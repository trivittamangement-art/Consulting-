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Parametros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Pedidos" sheetId="5" state="visible" r:id="rId5"/>
    <sheet xmlns:r="http://schemas.openxmlformats.org/officeDocument/2006/relationships" name="Acompanhamento" sheetId="6" state="visible" r:id="rId6"/>
    <sheet xmlns:r="http://schemas.openxmlformats.org/officeDocument/2006/relationships" name="S_Atividades" sheetId="7" state="visible" r:id="rId7"/>
    <sheet xmlns:r="http://schemas.openxmlformats.org/officeDocument/2006/relationships" name="Custos" sheetId="8" state="visible" r:id="rId8"/>
    <sheet xmlns:r="http://schemas.openxmlformats.org/officeDocument/2006/relationships" name="Embalagens" sheetId="9" state="visible" r:id="rId9"/>
    <sheet xmlns:r="http://schemas.openxmlformats.org/officeDocument/2006/relationships" name="Uso_Embalagens" sheetId="10" state="visible" r:id="rId10"/>
    <sheet xmlns:r="http://schemas.openxmlformats.org/officeDocument/2006/relationships" name="Listas" sheetId="11" state="visible" r:id="rId11"/>
  </sheets>
  <definedNames>
    <definedName name="_xlnm._FilterDatabase" localSheetId="3" hidden="1">'Clientes'!$A$1:$N$1</definedName>
    <definedName name="_xlnm._FilterDatabase" localSheetId="4" hidden="1">'Pedidos'!$A$1:$N$1</definedName>
    <definedName name="_xlnm._FilterDatabase" localSheetId="5" hidden="1">'Acompanhamento'!$A$1:$L$1</definedName>
    <definedName name="_xlnm._FilterDatabase" localSheetId="6" hidden="1">'S_Atividades'!$A$1:$N$1</definedName>
    <definedName name="_xlnm._FilterDatabase" localSheetId="7" hidden="1">'Custos'!$A$1:$I$1</definedName>
    <definedName name="_xlnm._FilterDatabase" localSheetId="8" hidden="1">'Embalagens'!$A$1:$Q$1</definedName>
    <definedName name="_xlnm._FilterDatabase" localSheetId="9" hidden="1">'Uso_Embalagens'!$A$1:$J$1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m/yyyy"/>
    <numFmt numFmtId="166" formatCode="0.0"/>
    <numFmt numFmtId="167" formatCode="dd/mm/yyyy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color rgb="00000000"/>
      <sz val="11"/>
    </font>
    <font>
      <b val="1"/>
      <color rgb="001F3864"/>
      <sz val="11"/>
    </font>
    <font>
      <b val="1"/>
      <color rgb="00FFFFFF"/>
    </font>
    <font>
      <b val="1"/>
      <color rgb="001F1F1F"/>
    </font>
    <font>
      <b val="1"/>
    </font>
    <font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66" fontId="0" fillId="5" borderId="1" pivotButton="0" quotePrefix="0" xfId="0"/>
    <xf numFmtId="1" fontId="0" fillId="5" borderId="1" pivotButton="0" quotePrefix="0" xfId="0"/>
    <xf numFmtId="9" fontId="0" fillId="5" borderId="1" pivotButton="0" quotePrefix="0" xfId="0"/>
    <xf numFmtId="4" fontId="0" fillId="5" borderId="1" pivotButton="0" quotePrefix="0" xfId="0"/>
    <xf numFmtId="3" fontId="0" fillId="5" borderId="1" pivotButton="0" quotePrefix="0" xfId="0"/>
    <xf numFmtId="165" fontId="0" fillId="0" borderId="0" pivotButton="0" quotePrefix="0" xfId="0"/>
    <xf numFmtId="9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0" fillId="4" borderId="0" pivotButton="0" quotePrefix="0" xfId="0"/>
    <xf numFmtId="167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4" fontId="0" fillId="4" borderId="0" pivotButton="0" quotePrefix="0" xfId="0"/>
    <xf numFmtId="3" fontId="0" fillId="0" borderId="0" pivotButton="0" quotePrefix="0" xfId="0"/>
    <xf numFmtId="3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PPR Comex · Planilha de controle</t>
        </is>
      </c>
    </row>
    <row r="2">
      <c r="A2" s="2" t="inlineStr"/>
    </row>
    <row r="3">
      <c r="A3" s="2" t="inlineStr">
        <is>
          <t>Colunas azuis: você (ou o agente) preenche. Colunas verdes: fórmulas, não editar.</t>
        </is>
      </c>
    </row>
    <row r="4">
      <c r="A4" s="2" t="inlineStr">
        <is>
          <t>Comece pela aba Parametros: troque o Mês de referência todo mês (sempre dia 01).</t>
        </is>
      </c>
    </row>
    <row r="5">
      <c r="A5" s="2" t="inlineStr"/>
    </row>
    <row r="6">
      <c r="A6" s="3" t="inlineStr">
        <is>
          <t>Meta 1 · Volume (75 t/mês): aba Pedidos (só lançar pedidos; o Painel calcula).</t>
        </is>
      </c>
    </row>
    <row r="7">
      <c r="A7" s="3" t="inlineStr">
        <is>
          <t>Meta 2 · Positivação +20%: abas Clientes, Pedidos e Acompanhamento.</t>
        </is>
      </c>
    </row>
    <row r="8">
      <c r="A8" s="2" t="inlineStr">
        <is>
          <t xml:space="preserve">  Clientes: um por linha, com a periodicidade de compra (1, 2, 3, 4, 6 ou 12 meses).</t>
        </is>
      </c>
    </row>
    <row r="9">
      <c r="A9" s="2" t="inlineStr">
        <is>
          <t xml:space="preserve">  Pedidos: lançar os pedidos do ano base (2025) e do ano meta (2026).</t>
        </is>
      </c>
    </row>
    <row r="10">
      <c r="A10" s="2" t="inlineStr">
        <is>
          <t xml:space="preserve">  Acompanhamento: um registro por cliente que não recomprou no mês, com motivo e ação.</t>
        </is>
      </c>
    </row>
    <row r="11">
      <c r="A11" s="3" t="inlineStr">
        <is>
          <t>Meta 3a · Gestão das S.A.: aba S_Atividades (uma linha por atividade solicitada).</t>
        </is>
      </c>
    </row>
    <row r="12">
      <c r="A12" s="2" t="inlineStr">
        <is>
          <t xml:space="preserve">  O prazo de cada setor vem da tabela de SLA da aba Parametros se a coluna Prazo ficar vazia.</t>
        </is>
      </c>
    </row>
    <row r="13">
      <c r="A13" s="2" t="inlineStr">
        <is>
          <t xml:space="preserve">  Registre cada cobrança feita (Nº cobranças e Última cobrança): é a prova da sua gestão.</t>
        </is>
      </c>
    </row>
    <row r="14">
      <c r="A14" s="3" t="inlineStr">
        <is>
          <t>Meta 3b · Redução de custo: aba Custos (uma linha por ação; referência x realizado).</t>
        </is>
      </c>
    </row>
    <row r="15">
      <c r="A15" s="3" t="inlineStr">
        <is>
          <t>Meta 3c · Giro de embalagens: abas Embalagens (estoque) e Uso_Embalagens (o que foi usado).</t>
        </is>
      </c>
    </row>
    <row r="16">
      <c r="A16" s="2" t="inlineStr"/>
    </row>
    <row r="17">
      <c r="A17" s="2" t="inlineStr">
        <is>
          <t>Relatório do mês: python3 ppr-comex/scripts/relatorio_mensal.py &lt;planilha&gt; --mes AAAA-MM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4" t="inlineStr">
        <is>
          <t>Painel PPR Comex · mês de referência:</t>
        </is>
      </c>
      <c r="B1" s="5">
        <f>Parametros!$B$2</f>
        <v/>
      </c>
    </row>
    <row r="2">
      <c r="A2" s="6" t="inlineStr">
        <is>
          <t>META 1 · VOLUME</t>
        </is>
      </c>
      <c r="B2" s="7" t="n"/>
    </row>
    <row r="3">
      <c r="A3" s="8" t="inlineStr">
        <is>
          <t>Toneladas vendidas no mês</t>
        </is>
      </c>
      <c r="B3" s="9">
        <f>SUMIFS(Pedidos!$E:$E,Pedidos!$B:$B,"&gt;="&amp;Parametros!$B$2,Pedidos!$B:$B,"&lt;="&amp;EOMONTH(Parametros!$B$2,0))</f>
        <v/>
      </c>
    </row>
    <row r="4">
      <c r="A4" s="8" t="inlineStr">
        <is>
          <t>Média mensal no ano (até o mês de referência)</t>
        </is>
      </c>
      <c r="B4" s="9">
        <f>SUMIFS(Pedidos!$E:$E,Pedidos!$K:$K,Parametros!$B$4,Pedidos!$B:$B,"&lt;="&amp;EOMONTH(Parametros!$B$2,0))/MONTH(Parametros!$B$2)</f>
        <v/>
      </c>
    </row>
    <row r="5">
      <c r="A5" s="8" t="inlineStr">
        <is>
          <t>Meta (t/mês)</t>
        </is>
      </c>
      <c r="B5" s="10">
        <f>Parametros!$B$6</f>
        <v/>
      </c>
    </row>
    <row r="6">
      <c r="A6" s="6" t="inlineStr">
        <is>
          <t>META 2 · POSITIVAÇÃO</t>
        </is>
      </c>
      <c r="B6" s="7" t="n"/>
    </row>
    <row r="7">
      <c r="A7" s="8" t="inlineStr">
        <is>
          <t>Clientes positivados no ano base</t>
        </is>
      </c>
      <c r="B7" s="10">
        <f>COUNTIF(Clientes!$I:$I,"&gt;0")</f>
        <v/>
      </c>
    </row>
    <row r="8">
      <c r="A8" s="8" t="inlineStr">
        <is>
          <t>Meta de clientes no ano (+20%)</t>
        </is>
      </c>
      <c r="B8" s="10">
        <f>ROUNDUP(B7*(1+Parametros!$B$5),0)</f>
        <v/>
      </c>
    </row>
    <row r="9">
      <c r="A9" s="8" t="inlineStr">
        <is>
          <t>Clientes positivados no ano meta (acumulado)</t>
        </is>
      </c>
      <c r="B9" s="10">
        <f>COUNTIF(Clientes!$K:$K,"&gt;0")</f>
        <v/>
      </c>
    </row>
    <row r="10">
      <c r="A10" s="8" t="inlineStr">
        <is>
          <t>Pedidos no ano base</t>
        </is>
      </c>
      <c r="B10" s="10">
        <f>COUNTIF(Pedidos!$K:$K,Parametros!$B$3)</f>
        <v/>
      </c>
    </row>
    <row r="11">
      <c r="A11" s="8" t="inlineStr">
        <is>
          <t>Meta de pedidos no ano (+20%)</t>
        </is>
      </c>
      <c r="B11" s="10">
        <f>ROUNDUP(B10*(1+Parametros!$B$5),0)</f>
        <v/>
      </c>
    </row>
    <row r="12">
      <c r="A12" s="8" t="inlineStr">
        <is>
          <t>Pedidos no ano meta (acumulado)</t>
        </is>
      </c>
      <c r="B12" s="10">
        <f>COUNTIF(Pedidos!$K:$K,Parametros!$B$4)</f>
        <v/>
      </c>
    </row>
    <row r="13">
      <c r="A13" s="8" t="inlineStr">
        <is>
          <t>Clientes que compraram no mês</t>
        </is>
      </c>
      <c r="B13" s="10">
        <f>COUNTIF(Clientes!$N:$N,"Comprou no mês")</f>
        <v/>
      </c>
    </row>
    <row r="14">
      <c r="A14" s="8" t="inlineStr">
        <is>
          <t>Clientes previstos no mês e ainda sem pedido</t>
        </is>
      </c>
      <c r="B14" s="10">
        <f>COUNTIF(Clientes!$N:$N,"Previsto no mês")</f>
        <v/>
      </c>
    </row>
    <row r="15">
      <c r="A15" s="8" t="inlineStr">
        <is>
          <t>Clientes atrasados na recompra</t>
        </is>
      </c>
      <c r="B15" s="10">
        <f>COUNTIF(Clientes!$N:$N,"Atrasado")</f>
        <v/>
      </c>
    </row>
    <row r="16">
      <c r="A16" s="8" t="inlineStr">
        <is>
          <t>Motivos registrados no mês</t>
        </is>
      </c>
      <c r="B16" s="10">
        <f>COUNTIFS(Acompanhamento!$A:$A,Parametros!$B$2)</f>
        <v/>
      </c>
    </row>
    <row r="17">
      <c r="A17" s="6" t="inlineStr">
        <is>
          <t>META 3a · S.A. E PRAZO DE EMBARQUE</t>
        </is>
      </c>
      <c r="B17" s="7" t="n"/>
    </row>
    <row r="18">
      <c r="A18" s="8" t="inlineStr">
        <is>
          <t>Atividades concluídas no mês</t>
        </is>
      </c>
      <c r="B18" s="10">
        <f>COUNTIFS(S_Atividades!$G:$G,"&gt;="&amp;Parametros!$B$2,S_Atividades!$G:$G,"&lt;="&amp;EOMONTH(Parametros!$B$2,0))</f>
        <v/>
      </c>
    </row>
    <row r="19">
      <c r="A19" s="8" t="inlineStr">
        <is>
          <t>% concluídas no prazo</t>
        </is>
      </c>
      <c r="B19" s="11">
        <f>IFERROR(COUNTIFS(S_Atividades!$G:$G,"&gt;="&amp;Parametros!$B$2,S_Atividades!$G:$G,"&lt;="&amp;EOMONTH(Parametros!$B$2,0),S_Atividades!$M:$M,"No prazo")/B18,"")</f>
        <v/>
      </c>
    </row>
    <row r="20">
      <c r="A20" s="8" t="inlineStr">
        <is>
          <t>Atividades em aberto atrasadas (hoje)</t>
        </is>
      </c>
      <c r="B20" s="10">
        <f>COUNTIF(S_Atividades!$M:$M,"Atrasada")</f>
        <v/>
      </c>
    </row>
    <row r="21">
      <c r="A21" s="8" t="inlineStr">
        <is>
          <t>Cobranças feitas (atividades do mês)</t>
        </is>
      </c>
      <c r="B21" s="10">
        <f>SUMIFS(S_Atividades!$H:$H,S_Atividades!$E:$E,"&gt;="&amp;Parametros!$B$2,S_Atividades!$E:$E,"&lt;="&amp;EOMONTH(Parametros!$B$2,0))</f>
        <v/>
      </c>
    </row>
    <row r="22">
      <c r="A22" s="8" t="inlineStr">
        <is>
          <t>Pedidos embarcados no mês</t>
        </is>
      </c>
      <c r="B22" s="10">
        <f>COUNTIFS(Pedidos!$I:$I,"&gt;="&amp;Parametros!$B$2,Pedidos!$I:$I,"&lt;="&amp;EOMONTH(Parametros!$B$2,0))</f>
        <v/>
      </c>
    </row>
    <row r="23">
      <c r="A23" s="8" t="inlineStr">
        <is>
          <t>% embarcados no prazo negociado</t>
        </is>
      </c>
      <c r="B23" s="11">
        <f>IFERROR(COUNTIFS(Pedidos!$I:$I,"&gt;="&amp;Parametros!$B$2,Pedidos!$I:$I,"&lt;="&amp;EOMONTH(Parametros!$B$2,0),Pedidos!$N:$N,"No prazo")/B22,"")</f>
        <v/>
      </c>
    </row>
    <row r="24">
      <c r="A24" s="6" t="inlineStr">
        <is>
          <t>META 3b · REDUÇÃO DE CUSTO</t>
        </is>
      </c>
      <c r="B24" s="7" t="n"/>
    </row>
    <row r="25">
      <c r="A25" s="8" t="inlineStr">
        <is>
          <t>Economia registrada no mês (R$)</t>
        </is>
      </c>
      <c r="B25" s="12">
        <f>SUMIFS(Custos!$I:$I,Custos!$A:$A,Parametros!$B$2)</f>
        <v/>
      </c>
    </row>
    <row r="26">
      <c r="A26" s="8" t="inlineStr">
        <is>
          <t>Economia acumulada no ano (R$)</t>
        </is>
      </c>
      <c r="B26" s="12">
        <f>SUMIFS(Custos!$I:$I,Custos!$A:$A,"&gt;="&amp;DATE(Parametros!$B$4,1,1),Custos!$A:$A,"&lt;="&amp;EOMONTH(Parametros!$B$2,0))</f>
        <v/>
      </c>
    </row>
    <row r="27">
      <c r="A27" s="6" t="inlineStr">
        <is>
          <t>META 3c · GIRO DE EMBALAGENS</t>
        </is>
      </c>
      <c r="B27" s="7" t="n"/>
    </row>
    <row r="28">
      <c r="A28" s="8" t="inlineStr">
        <is>
          <t>Valor parado em embalagens obsoletas (R$)</t>
        </is>
      </c>
      <c r="B28" s="12">
        <f>SUMIFS(Embalagens!$O:$O,Embalagens!$L:$L,"Obsoleta")</f>
        <v/>
      </c>
    </row>
    <row r="29">
      <c r="A29" s="8" t="inlineStr">
        <is>
          <t>Valor reaproveitado no mês (R$)</t>
        </is>
      </c>
      <c r="B29" s="12">
        <f>SUMIFS(Uso_Embalagens!$J:$J,Uso_Embalagens!$A:$A,"&gt;="&amp;Parametros!$B$2,Uso_Embalagens!$A:$A,"&lt;="&amp;EOMONTH(Parametros!$B$2,0))</f>
        <v/>
      </c>
    </row>
    <row r="30">
      <c r="A30" s="8" t="inlineStr">
        <is>
          <t>Unidades reaproveitadas no mês</t>
        </is>
      </c>
      <c r="B30" s="13">
        <f>SUMIFS(Uso_Embalagens!$E:$E,Uso_Embalagens!$A:$A,"&gt;="&amp;Parametros!$B$2,Uso_Embalagens!$A:$A,"&lt;="&amp;EOMONTH(Parametros!$B$2,0))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6" customWidth="1" min="3" max="3"/>
    <col width="3" customWidth="1" min="4" max="4"/>
    <col width="28" customWidth="1" min="5" max="5"/>
    <col width="20" customWidth="1" min="6" max="6"/>
  </cols>
  <sheetData>
    <row r="1">
      <c r="A1" s="6" t="inlineStr">
        <is>
          <t>Parâmetro</t>
        </is>
      </c>
      <c r="B1" s="6" t="inlineStr">
        <is>
          <t>Valor</t>
        </is>
      </c>
      <c r="C1" s="6" t="inlineStr">
        <is>
          <t>Observação</t>
        </is>
      </c>
      <c r="E1" s="6" t="inlineStr">
        <is>
          <t>Departamento</t>
        </is>
      </c>
      <c r="F1" s="6" t="inlineStr">
        <is>
          <t>Prazo padrão (dias)</t>
        </is>
      </c>
    </row>
    <row r="2">
      <c r="A2" t="inlineStr">
        <is>
          <t>Mês de referência</t>
        </is>
      </c>
      <c r="B2" s="14" t="n">
        <v>46266</v>
      </c>
      <c r="C2" t="inlineStr">
        <is>
          <t>Primeiro dia do mês que está sendo apurado</t>
        </is>
      </c>
      <c r="E2" t="inlineStr">
        <is>
          <t>Comercial/Comex</t>
        </is>
      </c>
      <c r="F2" t="n">
        <v>2</v>
      </c>
    </row>
    <row r="3">
      <c r="A3" t="inlineStr">
        <is>
          <t>Ano base</t>
        </is>
      </c>
      <c r="B3" t="n">
        <v>2025</v>
      </c>
      <c r="C3" t="inlineStr">
        <is>
          <t>Ano usado como base da positivação</t>
        </is>
      </c>
      <c r="E3" t="inlineStr">
        <is>
          <t>Compras/Suprimentos</t>
        </is>
      </c>
      <c r="F3" t="n">
        <v>10</v>
      </c>
    </row>
    <row r="4">
      <c r="A4" t="inlineStr">
        <is>
          <t>Ano meta</t>
        </is>
      </c>
      <c r="B4" t="n">
        <v>2026</v>
      </c>
      <c r="C4" t="inlineStr">
        <is>
          <t>Ano do PPR</t>
        </is>
      </c>
      <c r="E4" t="inlineStr">
        <is>
          <t>Marketing/Arte</t>
        </is>
      </c>
      <c r="F4" t="n">
        <v>7</v>
      </c>
    </row>
    <row r="5">
      <c r="A5" t="inlineStr">
        <is>
          <t>Meta de aumento de positivação</t>
        </is>
      </c>
      <c r="B5" s="15" t="n">
        <v>0.2</v>
      </c>
      <c r="C5" t="inlineStr">
        <is>
          <t>20% sobre o ano base</t>
        </is>
      </c>
      <c r="E5" t="inlineStr">
        <is>
          <t>Qualidade/Regulatório</t>
        </is>
      </c>
      <c r="F5" t="n">
        <v>7</v>
      </c>
    </row>
    <row r="6">
      <c r="A6" t="inlineStr">
        <is>
          <t>Meta de volume (t/mês)</t>
        </is>
      </c>
      <c r="B6" t="n">
        <v>75</v>
      </c>
      <c r="C6" t="inlineStr">
        <is>
          <t>Média mensal</t>
        </is>
      </c>
      <c r="E6" t="inlineStr">
        <is>
          <t>PCP/Produção</t>
        </is>
      </c>
      <c r="F6" t="n">
        <v>15</v>
      </c>
    </row>
    <row r="7">
      <c r="A7" t="inlineStr">
        <is>
          <t>Prazo de embarque padrão (dias)</t>
        </is>
      </c>
      <c r="B7" t="n">
        <v>30</v>
      </c>
      <c r="C7" t="inlineStr">
        <is>
          <t>Prazo negociado com o cliente</t>
        </is>
      </c>
      <c r="E7" t="inlineStr">
        <is>
          <t>Logística/Embarque</t>
        </is>
      </c>
      <c r="F7" t="n">
        <v>5</v>
      </c>
    </row>
    <row r="8">
      <c r="A8" t="inlineStr">
        <is>
          <t>Idade para obsoleta (meses)</t>
        </is>
      </c>
      <c r="B8" t="n">
        <v>12</v>
      </c>
      <c r="C8" t="inlineStr">
        <is>
          <t>Embalagem parada há mais tempo que isso</t>
        </is>
      </c>
      <c r="E8" t="inlineStr">
        <is>
          <t>Financeiro</t>
        </is>
      </c>
      <c r="F8" t="n">
        <v>3</v>
      </c>
    </row>
    <row r="9">
      <c r="E9" t="inlineStr">
        <is>
          <t>Documentação/Despachante</t>
        </is>
      </c>
      <c r="F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23" customWidth="1" min="5" max="5"/>
    <col width="25" customWidth="1" min="6" max="6"/>
    <col width="19" customWidth="1" min="7" max="7"/>
    <col width="14" customWidth="1" min="8" max="8"/>
    <col width="20" customWidth="1" min="9" max="9"/>
    <col width="22" customWidth="1" min="10" max="10"/>
    <col width="20" customWidth="1" min="11" max="11"/>
    <col width="17" customWidth="1" min="12" max="12"/>
    <col width="27" customWidth="1" min="13" max="13"/>
    <col width="19" customWidth="1" min="14" max="14"/>
  </cols>
  <sheetData>
    <row r="1" ht="34" customHeight="1">
      <c r="A1" s="16" t="inlineStr">
        <is>
          <t>Cód. Cliente</t>
        </is>
      </c>
      <c r="B1" s="16" t="inlineStr">
        <is>
          <t>Cliente</t>
        </is>
      </c>
      <c r="C1" s="16" t="inlineStr">
        <is>
          <t>País</t>
        </is>
      </c>
      <c r="D1" s="16" t="inlineStr">
        <is>
          <t>Idioma</t>
        </is>
      </c>
      <c r="E1" s="16" t="inlineStr">
        <is>
          <t>Canal/Representante</t>
        </is>
      </c>
      <c r="F1" s="16" t="inlineStr">
        <is>
          <t>Periodicidade (meses)</t>
        </is>
      </c>
      <c r="G1" s="16" t="inlineStr">
        <is>
          <t>Status cadastro</t>
        </is>
      </c>
      <c r="H1" s="16" t="inlineStr">
        <is>
          <t>Observação</t>
        </is>
      </c>
      <c r="I1" s="17" t="inlineStr">
        <is>
          <t>Pedidos ano base</t>
        </is>
      </c>
      <c r="J1" s="17" t="inlineStr">
        <is>
          <t>Toneladas ano base</t>
        </is>
      </c>
      <c r="K1" s="17" t="inlineStr">
        <is>
          <t>Pedidos ano meta</t>
        </is>
      </c>
      <c r="L1" s="17" t="inlineStr">
        <is>
          <t>Último pedido</t>
        </is>
      </c>
      <c r="M1" s="17" t="inlineStr">
        <is>
          <t>Próxima compra prevista</t>
        </is>
      </c>
      <c r="N1" s="17" t="inlineStr">
        <is>
          <t>Situação no mês</t>
        </is>
      </c>
    </row>
    <row r="2">
      <c r="A2" t="inlineStr">
        <is>
          <t>C001</t>
        </is>
      </c>
      <c r="B2" t="inlineStr">
        <is>
          <t>Cliente Exemplo 01</t>
        </is>
      </c>
      <c r="C2" t="inlineStr">
        <is>
          <t>Estados Unidos</t>
        </is>
      </c>
      <c r="D2" t="inlineStr">
        <is>
          <t>Inglês</t>
        </is>
      </c>
      <c r="E2" t="inlineStr">
        <is>
          <t>Agente LatAm</t>
        </is>
      </c>
      <c r="F2" t="n">
        <v>2</v>
      </c>
      <c r="G2" t="inlineStr">
        <is>
          <t>Ativo</t>
        </is>
      </c>
      <c r="H2" t="inlineStr"/>
      <c r="I2" s="18">
        <f>IF(A2="","",COUNTIFS(Pedidos!$C:$C,A2,Pedidos!$K:$K,Parametros!$B$3))</f>
        <v/>
      </c>
      <c r="J2" s="19">
        <f>IF(A2="","",SUMIFS(Pedidos!$E:$E,Pedidos!$C:$C,A2,Pedidos!$K:$K,Parametros!$B$3))</f>
        <v/>
      </c>
      <c r="K2" s="18">
        <f>IF(A2="","",COUNTIFS(Pedidos!$C:$C,A2,Pedidos!$K:$K,Parametros!$B$4))</f>
        <v/>
      </c>
      <c r="L2" s="20">
        <f>IF(A2="","",IF(COUNTIFS(Pedidos!$C:$C,A2,Pedidos!$B:$B,"&lt;="&amp;EOMONTH(Parametros!$B$2,0))=0,"",_xlfn.MAXIFS(Pedidos!$B:$B,Pedidos!$C:$C,A2,Pedidos!$B:$B,"&lt;="&amp;EOMONTH(Parametros!$B$2,0))))</f>
        <v/>
      </c>
      <c r="M2" s="20">
        <f>IF(OR(L2="",F2=""),"",EDATE(L2,F2))</f>
        <v/>
      </c>
      <c r="N2" s="21">
        <f>IF(A2="","",IF(L2="","Sem histórico",IF(AND(L2&gt;=Parametros!$B$2,L2&lt;=EOMONTH(Parametros!$B$2,0)),"Comprou no mês",IF(M2="","Sem periodicidade",IF(M2&lt;Parametros!$B$2,"Atrasado",IF(M2&lt;=EOMONTH(Parametros!$B$2,0),"Previsto no mês","Em dia"))))))</f>
        <v/>
      </c>
    </row>
    <row r="3">
      <c r="A3" t="inlineStr">
        <is>
          <t>C002</t>
        </is>
      </c>
      <c r="B3" t="inlineStr">
        <is>
          <t>Cliente Exemplo 02</t>
        </is>
      </c>
      <c r="C3" t="inlineStr">
        <is>
          <t>Paraguai</t>
        </is>
      </c>
      <c r="D3" t="inlineStr">
        <is>
          <t>Espanhol</t>
        </is>
      </c>
      <c r="E3" t="inlineStr">
        <is>
          <t>Trading</t>
        </is>
      </c>
      <c r="F3" t="n">
        <v>1</v>
      </c>
      <c r="G3" t="inlineStr">
        <is>
          <t>Ativo</t>
        </is>
      </c>
      <c r="H3" t="inlineStr"/>
      <c r="I3" s="18">
        <f>IF(A3="","",COUNTIFS(Pedidos!$C:$C,A3,Pedidos!$K:$K,Parametros!$B$3))</f>
        <v/>
      </c>
      <c r="J3" s="19">
        <f>IF(A3="","",SUMIFS(Pedidos!$E:$E,Pedidos!$C:$C,A3,Pedidos!$K:$K,Parametros!$B$3))</f>
        <v/>
      </c>
      <c r="K3" s="18">
        <f>IF(A3="","",COUNTIFS(Pedidos!$C:$C,A3,Pedidos!$K:$K,Parametros!$B$4))</f>
        <v/>
      </c>
      <c r="L3" s="20">
        <f>IF(A3="","",IF(COUNTIFS(Pedidos!$C:$C,A3,Pedidos!$B:$B,"&lt;="&amp;EOMONTH(Parametros!$B$2,0))=0,"",_xlfn.MAXIFS(Pedidos!$B:$B,Pedidos!$C:$C,A3,Pedidos!$B:$B,"&lt;="&amp;EOMONTH(Parametros!$B$2,0))))</f>
        <v/>
      </c>
      <c r="M3" s="20">
        <f>IF(OR(L3="",F3=""),"",EDATE(L3,F3))</f>
        <v/>
      </c>
      <c r="N3" s="21">
        <f>IF(A3="","",IF(L3="","Sem histórico",IF(AND(L3&gt;=Parametros!$B$2,L3&lt;=EOMONTH(Parametros!$B$2,0)),"Comprou no mês",IF(M3="","Sem periodicidade",IF(M3&lt;Parametros!$B$2,"Atrasado",IF(M3&lt;=EOMONTH(Parametros!$B$2,0),"Previsto no mês","Em dia"))))))</f>
        <v/>
      </c>
    </row>
    <row r="4">
      <c r="A4" t="inlineStr">
        <is>
          <t>C003</t>
        </is>
      </c>
      <c r="B4" t="inlineStr">
        <is>
          <t>Cliente Exemplo 03</t>
        </is>
      </c>
      <c r="C4" t="inlineStr">
        <is>
          <t>Chile</t>
        </is>
      </c>
      <c r="D4" t="inlineStr">
        <is>
          <t>Espanhol</t>
        </is>
      </c>
      <c r="E4" t="inlineStr">
        <is>
          <t>Trading</t>
        </is>
      </c>
      <c r="F4" t="n">
        <v>2</v>
      </c>
      <c r="G4" t="inlineStr">
        <is>
          <t>Ativo</t>
        </is>
      </c>
      <c r="H4" t="inlineStr"/>
      <c r="I4" s="18">
        <f>IF(A4="","",COUNTIFS(Pedidos!$C:$C,A4,Pedidos!$K:$K,Parametros!$B$3))</f>
        <v/>
      </c>
      <c r="J4" s="19">
        <f>IF(A4="","",SUMIFS(Pedidos!$E:$E,Pedidos!$C:$C,A4,Pedidos!$K:$K,Parametros!$B$3))</f>
        <v/>
      </c>
      <c r="K4" s="18">
        <f>IF(A4="","",COUNTIFS(Pedidos!$C:$C,A4,Pedidos!$K:$K,Parametros!$B$4))</f>
        <v/>
      </c>
      <c r="L4" s="20">
        <f>IF(A4="","",IF(COUNTIFS(Pedidos!$C:$C,A4,Pedidos!$B:$B,"&lt;="&amp;EOMONTH(Parametros!$B$2,0))=0,"",_xlfn.MAXIFS(Pedidos!$B:$B,Pedidos!$C:$C,A4,Pedidos!$B:$B,"&lt;="&amp;EOMONTH(Parametros!$B$2,0))))</f>
        <v/>
      </c>
      <c r="M4" s="20">
        <f>IF(OR(L4="",F4=""),"",EDATE(L4,F4))</f>
        <v/>
      </c>
      <c r="N4" s="21">
        <f>IF(A4="","",IF(L4="","Sem histórico",IF(AND(L4&gt;=Parametros!$B$2,L4&lt;=EOMONTH(Parametros!$B$2,0)),"Comprou no mês",IF(M4="","Sem periodicidade",IF(M4&lt;Parametros!$B$2,"Atrasado",IF(M4&lt;=EOMONTH(Parametros!$B$2,0),"Previsto no mês","Em dia"))))))</f>
        <v/>
      </c>
    </row>
    <row r="5">
      <c r="A5" t="inlineStr">
        <is>
          <t>C004</t>
        </is>
      </c>
      <c r="B5" t="inlineStr">
        <is>
          <t>Cliente Exemplo 04</t>
        </is>
      </c>
      <c r="C5" t="inlineStr">
        <is>
          <t>Paraguai</t>
        </is>
      </c>
      <c r="D5" t="inlineStr">
        <is>
          <t>Espanhol</t>
        </is>
      </c>
      <c r="E5" t="inlineStr">
        <is>
          <t>Direto</t>
        </is>
      </c>
      <c r="F5" t="n">
        <v>3</v>
      </c>
      <c r="G5" t="inlineStr">
        <is>
          <t>Ativo</t>
        </is>
      </c>
      <c r="H5" t="inlineStr"/>
      <c r="I5" s="18">
        <f>IF(A5="","",COUNTIFS(Pedidos!$C:$C,A5,Pedidos!$K:$K,Parametros!$B$3))</f>
        <v/>
      </c>
      <c r="J5" s="19">
        <f>IF(A5="","",SUMIFS(Pedidos!$E:$E,Pedidos!$C:$C,A5,Pedidos!$K:$K,Parametros!$B$3))</f>
        <v/>
      </c>
      <c r="K5" s="18">
        <f>IF(A5="","",COUNTIFS(Pedidos!$C:$C,A5,Pedidos!$K:$K,Parametros!$B$4))</f>
        <v/>
      </c>
      <c r="L5" s="20">
        <f>IF(A5="","",IF(COUNTIFS(Pedidos!$C:$C,A5,Pedidos!$B:$B,"&lt;="&amp;EOMONTH(Parametros!$B$2,0))=0,"",_xlfn.MAXIFS(Pedidos!$B:$B,Pedidos!$C:$C,A5,Pedidos!$B:$B,"&lt;="&amp;EOMONTH(Parametros!$B$2,0))))</f>
        <v/>
      </c>
      <c r="M5" s="20">
        <f>IF(OR(L5="",F5=""),"",EDATE(L5,F5))</f>
        <v/>
      </c>
      <c r="N5" s="21">
        <f>IF(A5="","",IF(L5="","Sem histórico",IF(AND(L5&gt;=Parametros!$B$2,L5&lt;=EOMONTH(Parametros!$B$2,0)),"Comprou no mês",IF(M5="","Sem periodicidade",IF(M5&lt;Parametros!$B$2,"Atrasado",IF(M5&lt;=EOMONTH(Parametros!$B$2,0),"Previsto no mês","Em dia"))))))</f>
        <v/>
      </c>
    </row>
    <row r="6">
      <c r="A6" t="inlineStr">
        <is>
          <t>C005</t>
        </is>
      </c>
      <c r="B6" t="inlineStr">
        <is>
          <t>Cliente Exemplo 05</t>
        </is>
      </c>
      <c r="C6" t="inlineStr">
        <is>
          <t>Paraguai</t>
        </is>
      </c>
      <c r="D6" t="inlineStr">
        <is>
          <t>Espanhol</t>
        </is>
      </c>
      <c r="E6" t="inlineStr">
        <is>
          <t>Agente LatAm</t>
        </is>
      </c>
      <c r="F6" t="n">
        <v>1</v>
      </c>
      <c r="G6" t="inlineStr">
        <is>
          <t>Ativo</t>
        </is>
      </c>
      <c r="H6" t="inlineStr"/>
      <c r="I6" s="18">
        <f>IF(A6="","",COUNTIFS(Pedidos!$C:$C,A6,Pedidos!$K:$K,Parametros!$B$3))</f>
        <v/>
      </c>
      <c r="J6" s="19">
        <f>IF(A6="","",SUMIFS(Pedidos!$E:$E,Pedidos!$C:$C,A6,Pedidos!$K:$K,Parametros!$B$3))</f>
        <v/>
      </c>
      <c r="K6" s="18">
        <f>IF(A6="","",COUNTIFS(Pedidos!$C:$C,A6,Pedidos!$K:$K,Parametros!$B$4))</f>
        <v/>
      </c>
      <c r="L6" s="20">
        <f>IF(A6="","",IF(COUNTIFS(Pedidos!$C:$C,A6,Pedidos!$B:$B,"&lt;="&amp;EOMONTH(Parametros!$B$2,0))=0,"",_xlfn.MAXIFS(Pedidos!$B:$B,Pedidos!$C:$C,A6,Pedidos!$B:$B,"&lt;="&amp;EOMONTH(Parametros!$B$2,0))))</f>
        <v/>
      </c>
      <c r="M6" s="20">
        <f>IF(OR(L6="",F6=""),"",EDATE(L6,F6))</f>
        <v/>
      </c>
      <c r="N6" s="21">
        <f>IF(A6="","",IF(L6="","Sem histórico",IF(AND(L6&gt;=Parametros!$B$2,L6&lt;=EOMONTH(Parametros!$B$2,0)),"Comprou no mês",IF(M6="","Sem periodicidade",IF(M6&lt;Parametros!$B$2,"Atrasado",IF(M6&lt;=EOMONTH(Parametros!$B$2,0),"Previsto no mês","Em dia"))))))</f>
        <v/>
      </c>
    </row>
    <row r="7">
      <c r="A7" t="inlineStr">
        <is>
          <t>C006</t>
        </is>
      </c>
      <c r="B7" t="inlineStr">
        <is>
          <t>Cliente Exemplo 06</t>
        </is>
      </c>
      <c r="C7" t="inlineStr">
        <is>
          <t>Japão</t>
        </is>
      </c>
      <c r="D7" t="inlineStr">
        <is>
          <t>Japonês</t>
        </is>
      </c>
      <c r="E7" t="inlineStr">
        <is>
          <t>Direto</t>
        </is>
      </c>
      <c r="F7" t="n">
        <v>1</v>
      </c>
      <c r="G7" t="inlineStr">
        <is>
          <t>Ativo</t>
        </is>
      </c>
      <c r="H7" t="inlineStr"/>
      <c r="I7" s="18">
        <f>IF(A7="","",COUNTIFS(Pedidos!$C:$C,A7,Pedidos!$K:$K,Parametros!$B$3))</f>
        <v/>
      </c>
      <c r="J7" s="19">
        <f>IF(A7="","",SUMIFS(Pedidos!$E:$E,Pedidos!$C:$C,A7,Pedidos!$K:$K,Parametros!$B$3))</f>
        <v/>
      </c>
      <c r="K7" s="18">
        <f>IF(A7="","",COUNTIFS(Pedidos!$C:$C,A7,Pedidos!$K:$K,Parametros!$B$4))</f>
        <v/>
      </c>
      <c r="L7" s="20">
        <f>IF(A7="","",IF(COUNTIFS(Pedidos!$C:$C,A7,Pedidos!$B:$B,"&lt;="&amp;EOMONTH(Parametros!$B$2,0))=0,"",_xlfn.MAXIFS(Pedidos!$B:$B,Pedidos!$C:$C,A7,Pedidos!$B:$B,"&lt;="&amp;EOMONTH(Parametros!$B$2,0))))</f>
        <v/>
      </c>
      <c r="M7" s="20">
        <f>IF(OR(L7="",F7=""),"",EDATE(L7,F7))</f>
        <v/>
      </c>
      <c r="N7" s="21">
        <f>IF(A7="","",IF(L7="","Sem histórico",IF(AND(L7&gt;=Parametros!$B$2,L7&lt;=EOMONTH(Parametros!$B$2,0)),"Comprou no mês",IF(M7="","Sem periodicidade",IF(M7&lt;Parametros!$B$2,"Atrasado",IF(M7&lt;=EOMONTH(Parametros!$B$2,0),"Previsto no mês","Em dia"))))))</f>
        <v/>
      </c>
    </row>
    <row r="8">
      <c r="A8" t="inlineStr">
        <is>
          <t>C007</t>
        </is>
      </c>
      <c r="B8" t="inlineStr">
        <is>
          <t>Cliente Exemplo 07</t>
        </is>
      </c>
      <c r="C8" t="inlineStr">
        <is>
          <t>Chile</t>
        </is>
      </c>
      <c r="D8" t="inlineStr">
        <is>
          <t>Espanhol</t>
        </is>
      </c>
      <c r="E8" t="inlineStr">
        <is>
          <t>Agente LatAm</t>
        </is>
      </c>
      <c r="F8" t="n">
        <v>3</v>
      </c>
      <c r="G8" t="inlineStr">
        <is>
          <t>Ativo</t>
        </is>
      </c>
      <c r="H8" t="inlineStr"/>
      <c r="I8" s="18">
        <f>IF(A8="","",COUNTIFS(Pedidos!$C:$C,A8,Pedidos!$K:$K,Parametros!$B$3))</f>
        <v/>
      </c>
      <c r="J8" s="19">
        <f>IF(A8="","",SUMIFS(Pedidos!$E:$E,Pedidos!$C:$C,A8,Pedidos!$K:$K,Parametros!$B$3))</f>
        <v/>
      </c>
      <c r="K8" s="18">
        <f>IF(A8="","",COUNTIFS(Pedidos!$C:$C,A8,Pedidos!$K:$K,Parametros!$B$4))</f>
        <v/>
      </c>
      <c r="L8" s="20">
        <f>IF(A8="","",IF(COUNTIFS(Pedidos!$C:$C,A8,Pedidos!$B:$B,"&lt;="&amp;EOMONTH(Parametros!$B$2,0))=0,"",_xlfn.MAXIFS(Pedidos!$B:$B,Pedidos!$C:$C,A8,Pedidos!$B:$B,"&lt;="&amp;EOMONTH(Parametros!$B$2,0))))</f>
        <v/>
      </c>
      <c r="M8" s="20">
        <f>IF(OR(L8="",F8=""),"",EDATE(L8,F8))</f>
        <v/>
      </c>
      <c r="N8" s="21">
        <f>IF(A8="","",IF(L8="","Sem histórico",IF(AND(L8&gt;=Parametros!$B$2,L8&lt;=EOMONTH(Parametros!$B$2,0)),"Comprou no mês",IF(M8="","Sem periodicidade",IF(M8&lt;Parametros!$B$2,"Atrasado",IF(M8&lt;=EOMONTH(Parametros!$B$2,0),"Previsto no mês","Em dia"))))))</f>
        <v/>
      </c>
    </row>
    <row r="9">
      <c r="A9" t="inlineStr">
        <is>
          <t>C008</t>
        </is>
      </c>
      <c r="B9" t="inlineStr">
        <is>
          <t>Cliente Exemplo 08</t>
        </is>
      </c>
      <c r="C9" t="inlineStr">
        <is>
          <t>Paraguai</t>
        </is>
      </c>
      <c r="D9" t="inlineStr">
        <is>
          <t>Espanhol</t>
        </is>
      </c>
      <c r="E9" t="inlineStr">
        <is>
          <t>Trading</t>
        </is>
      </c>
      <c r="F9" t="n">
        <v>6</v>
      </c>
      <c r="G9" t="inlineStr">
        <is>
          <t>Ativo</t>
        </is>
      </c>
      <c r="H9" t="inlineStr"/>
      <c r="I9" s="18">
        <f>IF(A9="","",COUNTIFS(Pedidos!$C:$C,A9,Pedidos!$K:$K,Parametros!$B$3))</f>
        <v/>
      </c>
      <c r="J9" s="19">
        <f>IF(A9="","",SUMIFS(Pedidos!$E:$E,Pedidos!$C:$C,A9,Pedidos!$K:$K,Parametros!$B$3))</f>
        <v/>
      </c>
      <c r="K9" s="18">
        <f>IF(A9="","",COUNTIFS(Pedidos!$C:$C,A9,Pedidos!$K:$K,Parametros!$B$4))</f>
        <v/>
      </c>
      <c r="L9" s="20">
        <f>IF(A9="","",IF(COUNTIFS(Pedidos!$C:$C,A9,Pedidos!$B:$B,"&lt;="&amp;EOMONTH(Parametros!$B$2,0))=0,"",_xlfn.MAXIFS(Pedidos!$B:$B,Pedidos!$C:$C,A9,Pedidos!$B:$B,"&lt;="&amp;EOMONTH(Parametros!$B$2,0))))</f>
        <v/>
      </c>
      <c r="M9" s="20">
        <f>IF(OR(L9="",F9=""),"",EDATE(L9,F9))</f>
        <v/>
      </c>
      <c r="N9" s="21">
        <f>IF(A9="","",IF(L9="","Sem histórico",IF(AND(L9&gt;=Parametros!$B$2,L9&lt;=EOMONTH(Parametros!$B$2,0)),"Comprou no mês",IF(M9="","Sem periodicidade",IF(M9&lt;Parametros!$B$2,"Atrasado",IF(M9&lt;=EOMONTH(Parametros!$B$2,0),"Previsto no mês","Em dia"))))))</f>
        <v/>
      </c>
    </row>
    <row r="10">
      <c r="A10" t="inlineStr">
        <is>
          <t>C009</t>
        </is>
      </c>
      <c r="B10" t="inlineStr">
        <is>
          <t>Cliente Exemplo 09</t>
        </is>
      </c>
      <c r="C10" t="inlineStr">
        <is>
          <t>Chile</t>
        </is>
      </c>
      <c r="D10" t="inlineStr">
        <is>
          <t>Espanhol</t>
        </is>
      </c>
      <c r="E10" t="inlineStr">
        <is>
          <t>Trading</t>
        </is>
      </c>
      <c r="F10" t="n">
        <v>2</v>
      </c>
      <c r="G10" t="inlineStr">
        <is>
          <t>Ativo</t>
        </is>
      </c>
      <c r="H10" t="inlineStr"/>
      <c r="I10" s="18">
        <f>IF(A10="","",COUNTIFS(Pedidos!$C:$C,A10,Pedidos!$K:$K,Parametros!$B$3))</f>
        <v/>
      </c>
      <c r="J10" s="19">
        <f>IF(A10="","",SUMIFS(Pedidos!$E:$E,Pedidos!$C:$C,A10,Pedidos!$K:$K,Parametros!$B$3))</f>
        <v/>
      </c>
      <c r="K10" s="18">
        <f>IF(A10="","",COUNTIFS(Pedidos!$C:$C,A10,Pedidos!$K:$K,Parametros!$B$4))</f>
        <v/>
      </c>
      <c r="L10" s="20">
        <f>IF(A10="","",IF(COUNTIFS(Pedidos!$C:$C,A10,Pedidos!$B:$B,"&lt;="&amp;EOMONTH(Parametros!$B$2,0))=0,"",_xlfn.MAXIFS(Pedidos!$B:$B,Pedidos!$C:$C,A10,Pedidos!$B:$B,"&lt;="&amp;EOMONTH(Parametros!$B$2,0))))</f>
        <v/>
      </c>
      <c r="M10" s="20">
        <f>IF(OR(L10="",F10=""),"",EDATE(L10,F10))</f>
        <v/>
      </c>
      <c r="N10" s="21">
        <f>IF(A10="","",IF(L10="","Sem histórico",IF(AND(L10&gt;=Parametros!$B$2,L10&lt;=EOMONTH(Parametros!$B$2,0)),"Comprou no mês",IF(M10="","Sem periodicidade",IF(M10&lt;Parametros!$B$2,"Atrasado",IF(M10&lt;=EOMONTH(Parametros!$B$2,0),"Previsto no mês","Em dia"))))))</f>
        <v/>
      </c>
    </row>
    <row r="11">
      <c r="A11" t="inlineStr">
        <is>
          <t>C010</t>
        </is>
      </c>
      <c r="B11" t="inlineStr">
        <is>
          <t>Cliente Exemplo 10</t>
        </is>
      </c>
      <c r="C11" t="inlineStr">
        <is>
          <t>Gana</t>
        </is>
      </c>
      <c r="D11" t="inlineStr">
        <is>
          <t>Inglês</t>
        </is>
      </c>
      <c r="E11" t="inlineStr">
        <is>
          <t>Trading</t>
        </is>
      </c>
      <c r="F11" t="n">
        <v>1</v>
      </c>
      <c r="G11" t="inlineStr">
        <is>
          <t>Ativo</t>
        </is>
      </c>
      <c r="H11" t="inlineStr"/>
      <c r="I11" s="18">
        <f>IF(A11="","",COUNTIFS(Pedidos!$C:$C,A11,Pedidos!$K:$K,Parametros!$B$3))</f>
        <v/>
      </c>
      <c r="J11" s="19">
        <f>IF(A11="","",SUMIFS(Pedidos!$E:$E,Pedidos!$C:$C,A11,Pedidos!$K:$K,Parametros!$B$3))</f>
        <v/>
      </c>
      <c r="K11" s="18">
        <f>IF(A11="","",COUNTIFS(Pedidos!$C:$C,A11,Pedidos!$K:$K,Parametros!$B$4))</f>
        <v/>
      </c>
      <c r="L11" s="20">
        <f>IF(A11="","",IF(COUNTIFS(Pedidos!$C:$C,A11,Pedidos!$B:$B,"&lt;="&amp;EOMONTH(Parametros!$B$2,0))=0,"",_xlfn.MAXIFS(Pedidos!$B:$B,Pedidos!$C:$C,A11,Pedidos!$B:$B,"&lt;="&amp;EOMONTH(Parametros!$B$2,0))))</f>
        <v/>
      </c>
      <c r="M11" s="20">
        <f>IF(OR(L11="",F11=""),"",EDATE(L11,F11))</f>
        <v/>
      </c>
      <c r="N11" s="21">
        <f>IF(A11="","",IF(L11="","Sem histórico",IF(AND(L11&gt;=Parametros!$B$2,L11&lt;=EOMONTH(Parametros!$B$2,0)),"Comprou no mês",IF(M11="","Sem periodicidade",IF(M11&lt;Parametros!$B$2,"Atrasado",IF(M11&lt;=EOMONTH(Parametros!$B$2,0),"Previsto no mês","Em dia"))))))</f>
        <v/>
      </c>
    </row>
    <row r="12">
      <c r="A12" t="inlineStr">
        <is>
          <t>C011</t>
        </is>
      </c>
      <c r="B12" t="inlineStr">
        <is>
          <t>Cliente Exemplo 11</t>
        </is>
      </c>
      <c r="C12" t="inlineStr">
        <is>
          <t>Gana</t>
        </is>
      </c>
      <c r="D12" t="inlineStr">
        <is>
          <t>Inglês</t>
        </is>
      </c>
      <c r="E12" t="inlineStr">
        <is>
          <t>Direto</t>
        </is>
      </c>
      <c r="F12" t="n">
        <v>3</v>
      </c>
      <c r="G12" t="inlineStr">
        <is>
          <t>Ativo</t>
        </is>
      </c>
      <c r="H12" t="inlineStr"/>
      <c r="I12" s="18">
        <f>IF(A12="","",COUNTIFS(Pedidos!$C:$C,A12,Pedidos!$K:$K,Parametros!$B$3))</f>
        <v/>
      </c>
      <c r="J12" s="19">
        <f>IF(A12="","",SUMIFS(Pedidos!$E:$E,Pedidos!$C:$C,A12,Pedidos!$K:$K,Parametros!$B$3))</f>
        <v/>
      </c>
      <c r="K12" s="18">
        <f>IF(A12="","",COUNTIFS(Pedidos!$C:$C,A12,Pedidos!$K:$K,Parametros!$B$4))</f>
        <v/>
      </c>
      <c r="L12" s="20">
        <f>IF(A12="","",IF(COUNTIFS(Pedidos!$C:$C,A12,Pedidos!$B:$B,"&lt;="&amp;EOMONTH(Parametros!$B$2,0))=0,"",_xlfn.MAXIFS(Pedidos!$B:$B,Pedidos!$C:$C,A12,Pedidos!$B:$B,"&lt;="&amp;EOMONTH(Parametros!$B$2,0))))</f>
        <v/>
      </c>
      <c r="M12" s="20">
        <f>IF(OR(L12="",F12=""),"",EDATE(L12,F12))</f>
        <v/>
      </c>
      <c r="N12" s="21">
        <f>IF(A12="","",IF(L12="","Sem histórico",IF(AND(L12&gt;=Parametros!$B$2,L12&lt;=EOMONTH(Parametros!$B$2,0)),"Comprou no mês",IF(M12="","Sem periodicidade",IF(M12&lt;Parametros!$B$2,"Atrasado",IF(M12&lt;=EOMONTH(Parametros!$B$2,0),"Previsto no mês","Em dia"))))))</f>
        <v/>
      </c>
    </row>
    <row r="13">
      <c r="A13" t="inlineStr">
        <is>
          <t>C012</t>
        </is>
      </c>
      <c r="B13" t="inlineStr">
        <is>
          <t>Cliente Exemplo 12</t>
        </is>
      </c>
      <c r="C13" t="inlineStr">
        <is>
          <t>Angola</t>
        </is>
      </c>
      <c r="D13" t="inlineStr">
        <is>
          <t>Português</t>
        </is>
      </c>
      <c r="E13" t="inlineStr">
        <is>
          <t>Trading</t>
        </is>
      </c>
      <c r="F13" t="n">
        <v>1</v>
      </c>
      <c r="G13" t="inlineStr">
        <is>
          <t>Ativo</t>
        </is>
      </c>
      <c r="H13" t="inlineStr"/>
      <c r="I13" s="18">
        <f>IF(A13="","",COUNTIFS(Pedidos!$C:$C,A13,Pedidos!$K:$K,Parametros!$B$3))</f>
        <v/>
      </c>
      <c r="J13" s="19">
        <f>IF(A13="","",SUMIFS(Pedidos!$E:$E,Pedidos!$C:$C,A13,Pedidos!$K:$K,Parametros!$B$3))</f>
        <v/>
      </c>
      <c r="K13" s="18">
        <f>IF(A13="","",COUNTIFS(Pedidos!$C:$C,A13,Pedidos!$K:$K,Parametros!$B$4))</f>
        <v/>
      </c>
      <c r="L13" s="20">
        <f>IF(A13="","",IF(COUNTIFS(Pedidos!$C:$C,A13,Pedidos!$B:$B,"&lt;="&amp;EOMONTH(Parametros!$B$2,0))=0,"",_xlfn.MAXIFS(Pedidos!$B:$B,Pedidos!$C:$C,A13,Pedidos!$B:$B,"&lt;="&amp;EOMONTH(Parametros!$B$2,0))))</f>
        <v/>
      </c>
      <c r="M13" s="20">
        <f>IF(OR(L13="",F13=""),"",EDATE(L13,F13))</f>
        <v/>
      </c>
      <c r="N13" s="21">
        <f>IF(A13="","",IF(L13="","Sem histórico",IF(AND(L13&gt;=Parametros!$B$2,L13&lt;=EOMONTH(Parametros!$B$2,0)),"Comprou no mês",IF(M13="","Sem periodicidade",IF(M13&lt;Parametros!$B$2,"Atrasado",IF(M13&lt;=EOMONTH(Parametros!$B$2,0),"Previsto no mês","Em dia"))))))</f>
        <v/>
      </c>
    </row>
    <row r="14">
      <c r="A14" t="inlineStr">
        <is>
          <t>C013</t>
        </is>
      </c>
      <c r="B14" t="inlineStr">
        <is>
          <t>Cliente Exemplo 13</t>
        </is>
      </c>
      <c r="C14" t="inlineStr">
        <is>
          <t>Uruguai</t>
        </is>
      </c>
      <c r="D14" t="inlineStr">
        <is>
          <t>Espanhol</t>
        </is>
      </c>
      <c r="E14" t="inlineStr">
        <is>
          <t>Agente LatAm</t>
        </is>
      </c>
      <c r="F14" t="n">
        <v>2</v>
      </c>
      <c r="G14" t="inlineStr">
        <is>
          <t>Ativo</t>
        </is>
      </c>
      <c r="H14" t="inlineStr"/>
      <c r="I14" s="18">
        <f>IF(A14="","",COUNTIFS(Pedidos!$C:$C,A14,Pedidos!$K:$K,Parametros!$B$3))</f>
        <v/>
      </c>
      <c r="J14" s="19">
        <f>IF(A14="","",SUMIFS(Pedidos!$E:$E,Pedidos!$C:$C,A14,Pedidos!$K:$K,Parametros!$B$3))</f>
        <v/>
      </c>
      <c r="K14" s="18">
        <f>IF(A14="","",COUNTIFS(Pedidos!$C:$C,A14,Pedidos!$K:$K,Parametros!$B$4))</f>
        <v/>
      </c>
      <c r="L14" s="20">
        <f>IF(A14="","",IF(COUNTIFS(Pedidos!$C:$C,A14,Pedidos!$B:$B,"&lt;="&amp;EOMONTH(Parametros!$B$2,0))=0,"",_xlfn.MAXIFS(Pedidos!$B:$B,Pedidos!$C:$C,A14,Pedidos!$B:$B,"&lt;="&amp;EOMONTH(Parametros!$B$2,0))))</f>
        <v/>
      </c>
      <c r="M14" s="20">
        <f>IF(OR(L14="",F14=""),"",EDATE(L14,F14))</f>
        <v/>
      </c>
      <c r="N14" s="21">
        <f>IF(A14="","",IF(L14="","Sem histórico",IF(AND(L14&gt;=Parametros!$B$2,L14&lt;=EOMONTH(Parametros!$B$2,0)),"Comprou no mês",IF(M14="","Sem periodicidade",IF(M14&lt;Parametros!$B$2,"Atrasado",IF(M14&lt;=EOMONTH(Parametros!$B$2,0),"Previsto no mês","Em dia"))))))</f>
        <v/>
      </c>
    </row>
    <row r="15">
      <c r="A15" t="inlineStr">
        <is>
          <t>C014</t>
        </is>
      </c>
      <c r="B15" t="inlineStr">
        <is>
          <t>Cliente Exemplo 14</t>
        </is>
      </c>
      <c r="C15" t="inlineStr">
        <is>
          <t>Uruguai</t>
        </is>
      </c>
      <c r="D15" t="inlineStr">
        <is>
          <t>Espanhol</t>
        </is>
      </c>
      <c r="E15" t="inlineStr">
        <is>
          <t>Direto</t>
        </is>
      </c>
      <c r="F15" t="n">
        <v>3</v>
      </c>
      <c r="G15" t="inlineStr">
        <is>
          <t>Ativo</t>
        </is>
      </c>
      <c r="H15" t="inlineStr"/>
      <c r="I15" s="18">
        <f>IF(A15="","",COUNTIFS(Pedidos!$C:$C,A15,Pedidos!$K:$K,Parametros!$B$3))</f>
        <v/>
      </c>
      <c r="J15" s="19">
        <f>IF(A15="","",SUMIFS(Pedidos!$E:$E,Pedidos!$C:$C,A15,Pedidos!$K:$K,Parametros!$B$3))</f>
        <v/>
      </c>
      <c r="K15" s="18">
        <f>IF(A15="","",COUNTIFS(Pedidos!$C:$C,A15,Pedidos!$K:$K,Parametros!$B$4))</f>
        <v/>
      </c>
      <c r="L15" s="20">
        <f>IF(A15="","",IF(COUNTIFS(Pedidos!$C:$C,A15,Pedidos!$B:$B,"&lt;="&amp;EOMONTH(Parametros!$B$2,0))=0,"",_xlfn.MAXIFS(Pedidos!$B:$B,Pedidos!$C:$C,A15,Pedidos!$B:$B,"&lt;="&amp;EOMONTH(Parametros!$B$2,0))))</f>
        <v/>
      </c>
      <c r="M15" s="20">
        <f>IF(OR(L15="",F15=""),"",EDATE(L15,F15))</f>
        <v/>
      </c>
      <c r="N15" s="21">
        <f>IF(A15="","",IF(L15="","Sem histórico",IF(AND(L15&gt;=Parametros!$B$2,L15&lt;=EOMONTH(Parametros!$B$2,0)),"Comprou no mês",IF(M15="","Sem periodicidade",IF(M15&lt;Parametros!$B$2,"Atrasado",IF(M15&lt;=EOMONTH(Parametros!$B$2,0),"Previsto no mês","Em dia"))))))</f>
        <v/>
      </c>
    </row>
    <row r="16">
      <c r="A16" t="inlineStr">
        <is>
          <t>C015</t>
        </is>
      </c>
      <c r="B16" t="inlineStr">
        <is>
          <t>Cliente Exemplo 15</t>
        </is>
      </c>
      <c r="C16" t="inlineStr">
        <is>
          <t>Gana</t>
        </is>
      </c>
      <c r="D16" t="inlineStr">
        <is>
          <t>Inglês</t>
        </is>
      </c>
      <c r="E16" t="inlineStr">
        <is>
          <t>Trading</t>
        </is>
      </c>
      <c r="F16" t="n">
        <v>2</v>
      </c>
      <c r="G16" t="inlineStr">
        <is>
          <t>Ativo</t>
        </is>
      </c>
      <c r="H16" t="inlineStr"/>
      <c r="I16" s="18">
        <f>IF(A16="","",COUNTIFS(Pedidos!$C:$C,A16,Pedidos!$K:$K,Parametros!$B$3))</f>
        <v/>
      </c>
      <c r="J16" s="19">
        <f>IF(A16="","",SUMIFS(Pedidos!$E:$E,Pedidos!$C:$C,A16,Pedidos!$K:$K,Parametros!$B$3))</f>
        <v/>
      </c>
      <c r="K16" s="18">
        <f>IF(A16="","",COUNTIFS(Pedidos!$C:$C,A16,Pedidos!$K:$K,Parametros!$B$4))</f>
        <v/>
      </c>
      <c r="L16" s="20">
        <f>IF(A16="","",IF(COUNTIFS(Pedidos!$C:$C,A16,Pedidos!$B:$B,"&lt;="&amp;EOMONTH(Parametros!$B$2,0))=0,"",_xlfn.MAXIFS(Pedidos!$B:$B,Pedidos!$C:$C,A16,Pedidos!$B:$B,"&lt;="&amp;EOMONTH(Parametros!$B$2,0))))</f>
        <v/>
      </c>
      <c r="M16" s="20">
        <f>IF(OR(L16="",F16=""),"",EDATE(L16,F16))</f>
        <v/>
      </c>
      <c r="N16" s="21">
        <f>IF(A16="","",IF(L16="","Sem histórico",IF(AND(L16&gt;=Parametros!$B$2,L16&lt;=EOMONTH(Parametros!$B$2,0)),"Comprou no mês",IF(M16="","Sem periodicidade",IF(M16&lt;Parametros!$B$2,"Atrasado",IF(M16&lt;=EOMONTH(Parametros!$B$2,0),"Previsto no mês","Em dia"))))))</f>
        <v/>
      </c>
    </row>
    <row r="17">
      <c r="A17" t="inlineStr">
        <is>
          <t>C016</t>
        </is>
      </c>
      <c r="B17" t="inlineStr">
        <is>
          <t>Cliente Exemplo 16</t>
        </is>
      </c>
      <c r="C17" t="inlineStr">
        <is>
          <t>Uruguai</t>
        </is>
      </c>
      <c r="D17" t="inlineStr">
        <is>
          <t>Espanhol</t>
        </is>
      </c>
      <c r="E17" t="inlineStr">
        <is>
          <t>Trading</t>
        </is>
      </c>
      <c r="F17" t="n">
        <v>1</v>
      </c>
      <c r="G17" t="inlineStr">
        <is>
          <t>Ativo</t>
        </is>
      </c>
      <c r="H17" t="inlineStr"/>
      <c r="I17" s="18">
        <f>IF(A17="","",COUNTIFS(Pedidos!$C:$C,A17,Pedidos!$K:$K,Parametros!$B$3))</f>
        <v/>
      </c>
      <c r="J17" s="19">
        <f>IF(A17="","",SUMIFS(Pedidos!$E:$E,Pedidos!$C:$C,A17,Pedidos!$K:$K,Parametros!$B$3))</f>
        <v/>
      </c>
      <c r="K17" s="18">
        <f>IF(A17="","",COUNTIFS(Pedidos!$C:$C,A17,Pedidos!$K:$K,Parametros!$B$4))</f>
        <v/>
      </c>
      <c r="L17" s="20">
        <f>IF(A17="","",IF(COUNTIFS(Pedidos!$C:$C,A17,Pedidos!$B:$B,"&lt;="&amp;EOMONTH(Parametros!$B$2,0))=0,"",_xlfn.MAXIFS(Pedidos!$B:$B,Pedidos!$C:$C,A17,Pedidos!$B:$B,"&lt;="&amp;EOMONTH(Parametros!$B$2,0))))</f>
        <v/>
      </c>
      <c r="M17" s="20">
        <f>IF(OR(L17="",F17=""),"",EDATE(L17,F17))</f>
        <v/>
      </c>
      <c r="N17" s="21">
        <f>IF(A17="","",IF(L17="","Sem histórico",IF(AND(L17&gt;=Parametros!$B$2,L17&lt;=EOMONTH(Parametros!$B$2,0)),"Comprou no mês",IF(M17="","Sem periodicidade",IF(M17&lt;Parametros!$B$2,"Atrasado",IF(M17&lt;=EOMONTH(Parametros!$B$2,0),"Previsto no mês","Em dia"))))))</f>
        <v/>
      </c>
    </row>
    <row r="18">
      <c r="A18" t="inlineStr">
        <is>
          <t>C017</t>
        </is>
      </c>
      <c r="B18" t="inlineStr">
        <is>
          <t>Cliente Exemplo 17</t>
        </is>
      </c>
      <c r="C18" t="inlineStr">
        <is>
          <t>Gana</t>
        </is>
      </c>
      <c r="D18" t="inlineStr">
        <is>
          <t>Inglês</t>
        </is>
      </c>
      <c r="E18" t="inlineStr">
        <is>
          <t>Direto</t>
        </is>
      </c>
      <c r="F18" t="n">
        <v>4</v>
      </c>
      <c r="G18" t="inlineStr">
        <is>
          <t>Ativo</t>
        </is>
      </c>
      <c r="H18" t="inlineStr"/>
      <c r="I18" s="18">
        <f>IF(A18="","",COUNTIFS(Pedidos!$C:$C,A18,Pedidos!$K:$K,Parametros!$B$3))</f>
        <v/>
      </c>
      <c r="J18" s="19">
        <f>IF(A18="","",SUMIFS(Pedidos!$E:$E,Pedidos!$C:$C,A18,Pedidos!$K:$K,Parametros!$B$3))</f>
        <v/>
      </c>
      <c r="K18" s="18">
        <f>IF(A18="","",COUNTIFS(Pedidos!$C:$C,A18,Pedidos!$K:$K,Parametros!$B$4))</f>
        <v/>
      </c>
      <c r="L18" s="20">
        <f>IF(A18="","",IF(COUNTIFS(Pedidos!$C:$C,A18,Pedidos!$B:$B,"&lt;="&amp;EOMONTH(Parametros!$B$2,0))=0,"",_xlfn.MAXIFS(Pedidos!$B:$B,Pedidos!$C:$C,A18,Pedidos!$B:$B,"&lt;="&amp;EOMONTH(Parametros!$B$2,0))))</f>
        <v/>
      </c>
      <c r="M18" s="20">
        <f>IF(OR(L18="",F18=""),"",EDATE(L18,F18))</f>
        <v/>
      </c>
      <c r="N18" s="21">
        <f>IF(A18="","",IF(L18="","Sem histórico",IF(AND(L18&gt;=Parametros!$B$2,L18&lt;=EOMONTH(Parametros!$B$2,0)),"Comprou no mês",IF(M18="","Sem periodicidade",IF(M18&lt;Parametros!$B$2,"Atrasado",IF(M18&lt;=EOMONTH(Parametros!$B$2,0),"Previsto no mês","Em dia"))))))</f>
        <v/>
      </c>
    </row>
    <row r="19">
      <c r="A19" t="inlineStr">
        <is>
          <t>C018</t>
        </is>
      </c>
      <c r="B19" t="inlineStr">
        <is>
          <t>Cliente Exemplo 18</t>
        </is>
      </c>
      <c r="C19" t="inlineStr">
        <is>
          <t>Estados Unidos</t>
        </is>
      </c>
      <c r="D19" t="inlineStr">
        <is>
          <t>Inglês</t>
        </is>
      </c>
      <c r="E19" t="inlineStr">
        <is>
          <t>Trading</t>
        </is>
      </c>
      <c r="F19" t="n">
        <v>1</v>
      </c>
      <c r="G19" t="inlineStr">
        <is>
          <t>Ativo</t>
        </is>
      </c>
      <c r="H19" t="inlineStr"/>
      <c r="I19" s="18">
        <f>IF(A19="","",COUNTIFS(Pedidos!$C:$C,A19,Pedidos!$K:$K,Parametros!$B$3))</f>
        <v/>
      </c>
      <c r="J19" s="19">
        <f>IF(A19="","",SUMIFS(Pedidos!$E:$E,Pedidos!$C:$C,A19,Pedidos!$K:$K,Parametros!$B$3))</f>
        <v/>
      </c>
      <c r="K19" s="18">
        <f>IF(A19="","",COUNTIFS(Pedidos!$C:$C,A19,Pedidos!$K:$K,Parametros!$B$4))</f>
        <v/>
      </c>
      <c r="L19" s="20">
        <f>IF(A19="","",IF(COUNTIFS(Pedidos!$C:$C,A19,Pedidos!$B:$B,"&lt;="&amp;EOMONTH(Parametros!$B$2,0))=0,"",_xlfn.MAXIFS(Pedidos!$B:$B,Pedidos!$C:$C,A19,Pedidos!$B:$B,"&lt;="&amp;EOMONTH(Parametros!$B$2,0))))</f>
        <v/>
      </c>
      <c r="M19" s="20">
        <f>IF(OR(L19="",F19=""),"",EDATE(L19,F19))</f>
        <v/>
      </c>
      <c r="N19" s="21">
        <f>IF(A19="","",IF(L19="","Sem histórico",IF(AND(L19&gt;=Parametros!$B$2,L19&lt;=EOMONTH(Parametros!$B$2,0)),"Comprou no mês",IF(M19="","Sem periodicidade",IF(M19&lt;Parametros!$B$2,"Atrasado",IF(M19&lt;=EOMONTH(Parametros!$B$2,0),"Previsto no mês","Em dia"))))))</f>
        <v/>
      </c>
    </row>
    <row r="20">
      <c r="A20" t="inlineStr">
        <is>
          <t>C019</t>
        </is>
      </c>
      <c r="B20" t="inlineStr">
        <is>
          <t>Cliente Exemplo 19</t>
        </is>
      </c>
      <c r="C20" t="inlineStr">
        <is>
          <t>Chile</t>
        </is>
      </c>
      <c r="D20" t="inlineStr">
        <is>
          <t>Espanhol</t>
        </is>
      </c>
      <c r="E20" t="inlineStr">
        <is>
          <t>Direto</t>
        </is>
      </c>
      <c r="F20" t="n">
        <v>3</v>
      </c>
      <c r="G20" t="inlineStr">
        <is>
          <t>Ativo</t>
        </is>
      </c>
      <c r="H20" t="inlineStr"/>
      <c r="I20" s="18">
        <f>IF(A20="","",COUNTIFS(Pedidos!$C:$C,A20,Pedidos!$K:$K,Parametros!$B$3))</f>
        <v/>
      </c>
      <c r="J20" s="19">
        <f>IF(A20="","",SUMIFS(Pedidos!$E:$E,Pedidos!$C:$C,A20,Pedidos!$K:$K,Parametros!$B$3))</f>
        <v/>
      </c>
      <c r="K20" s="18">
        <f>IF(A20="","",COUNTIFS(Pedidos!$C:$C,A20,Pedidos!$K:$K,Parametros!$B$4))</f>
        <v/>
      </c>
      <c r="L20" s="20">
        <f>IF(A20="","",IF(COUNTIFS(Pedidos!$C:$C,A20,Pedidos!$B:$B,"&lt;="&amp;EOMONTH(Parametros!$B$2,0))=0,"",_xlfn.MAXIFS(Pedidos!$B:$B,Pedidos!$C:$C,A20,Pedidos!$B:$B,"&lt;="&amp;EOMONTH(Parametros!$B$2,0))))</f>
        <v/>
      </c>
      <c r="M20" s="20">
        <f>IF(OR(L20="",F20=""),"",EDATE(L20,F20))</f>
        <v/>
      </c>
      <c r="N20" s="21">
        <f>IF(A20="","",IF(L20="","Sem histórico",IF(AND(L20&gt;=Parametros!$B$2,L20&lt;=EOMONTH(Parametros!$B$2,0)),"Comprou no mês",IF(M20="","Sem periodicidade",IF(M20&lt;Parametros!$B$2,"Atrasado",IF(M20&lt;=EOMONTH(Parametros!$B$2,0),"Previsto no mês","Em dia"))))))</f>
        <v/>
      </c>
    </row>
    <row r="21">
      <c r="A21" t="inlineStr">
        <is>
          <t>C020</t>
        </is>
      </c>
      <c r="B21" t="inlineStr">
        <is>
          <t>Cliente Exemplo 20</t>
        </is>
      </c>
      <c r="C21" t="inlineStr">
        <is>
          <t>Gana</t>
        </is>
      </c>
      <c r="D21" t="inlineStr">
        <is>
          <t>Inglês</t>
        </is>
      </c>
      <c r="E21" t="inlineStr">
        <is>
          <t>Agente LatAm</t>
        </is>
      </c>
      <c r="F21" t="n">
        <v>2</v>
      </c>
      <c r="G21" t="inlineStr">
        <is>
          <t>Ativo</t>
        </is>
      </c>
      <c r="H21" t="inlineStr"/>
      <c r="I21" s="18">
        <f>IF(A21="","",COUNTIFS(Pedidos!$C:$C,A21,Pedidos!$K:$K,Parametros!$B$3))</f>
        <v/>
      </c>
      <c r="J21" s="19">
        <f>IF(A21="","",SUMIFS(Pedidos!$E:$E,Pedidos!$C:$C,A21,Pedidos!$K:$K,Parametros!$B$3))</f>
        <v/>
      </c>
      <c r="K21" s="18">
        <f>IF(A21="","",COUNTIFS(Pedidos!$C:$C,A21,Pedidos!$K:$K,Parametros!$B$4))</f>
        <v/>
      </c>
      <c r="L21" s="20">
        <f>IF(A21="","",IF(COUNTIFS(Pedidos!$C:$C,A21,Pedidos!$B:$B,"&lt;="&amp;EOMONTH(Parametros!$B$2,0))=0,"",_xlfn.MAXIFS(Pedidos!$B:$B,Pedidos!$C:$C,A21,Pedidos!$B:$B,"&lt;="&amp;EOMONTH(Parametros!$B$2,0))))</f>
        <v/>
      </c>
      <c r="M21" s="20">
        <f>IF(OR(L21="",F21=""),"",EDATE(L21,F21))</f>
        <v/>
      </c>
      <c r="N21" s="21">
        <f>IF(A21="","",IF(L21="","Sem histórico",IF(AND(L21&gt;=Parametros!$B$2,L21&lt;=EOMONTH(Parametros!$B$2,0)),"Comprou no mês",IF(M21="","Sem periodicidade",IF(M21&lt;Parametros!$B$2,"Atrasado",IF(M21&lt;=EOMONTH(Parametros!$B$2,0),"Previsto no mês","Em dia"))))))</f>
        <v/>
      </c>
    </row>
    <row r="22">
      <c r="A22" t="inlineStr">
        <is>
          <t>C021</t>
        </is>
      </c>
      <c r="B22" t="inlineStr">
        <is>
          <t>Cliente Exemplo 21</t>
        </is>
      </c>
      <c r="C22" t="inlineStr">
        <is>
          <t>Peru</t>
        </is>
      </c>
      <c r="D22" t="inlineStr">
        <is>
          <t>Espanhol</t>
        </is>
      </c>
      <c r="E22" t="inlineStr">
        <is>
          <t>Agente LatAm</t>
        </is>
      </c>
      <c r="F22" t="n">
        <v>3</v>
      </c>
      <c r="G22" t="inlineStr">
        <is>
          <t>Ativo</t>
        </is>
      </c>
      <c r="H22" t="inlineStr"/>
      <c r="I22" s="18">
        <f>IF(A22="","",COUNTIFS(Pedidos!$C:$C,A22,Pedidos!$K:$K,Parametros!$B$3))</f>
        <v/>
      </c>
      <c r="J22" s="19">
        <f>IF(A22="","",SUMIFS(Pedidos!$E:$E,Pedidos!$C:$C,A22,Pedidos!$K:$K,Parametros!$B$3))</f>
        <v/>
      </c>
      <c r="K22" s="18">
        <f>IF(A22="","",COUNTIFS(Pedidos!$C:$C,A22,Pedidos!$K:$K,Parametros!$B$4))</f>
        <v/>
      </c>
      <c r="L22" s="20">
        <f>IF(A22="","",IF(COUNTIFS(Pedidos!$C:$C,A22,Pedidos!$B:$B,"&lt;="&amp;EOMONTH(Parametros!$B$2,0))=0,"",_xlfn.MAXIFS(Pedidos!$B:$B,Pedidos!$C:$C,A22,Pedidos!$B:$B,"&lt;="&amp;EOMONTH(Parametros!$B$2,0))))</f>
        <v/>
      </c>
      <c r="M22" s="20">
        <f>IF(OR(L22="",F22=""),"",EDATE(L22,F22))</f>
        <v/>
      </c>
      <c r="N22" s="21">
        <f>IF(A22="","",IF(L22="","Sem histórico",IF(AND(L22&gt;=Parametros!$B$2,L22&lt;=EOMONTH(Parametros!$B$2,0)),"Comprou no mês",IF(M22="","Sem periodicidade",IF(M22&lt;Parametros!$B$2,"Atrasado",IF(M22&lt;=EOMONTH(Parametros!$B$2,0),"Previsto no mês","Em dia"))))))</f>
        <v/>
      </c>
    </row>
    <row r="23">
      <c r="A23" t="inlineStr">
        <is>
          <t>C022</t>
        </is>
      </c>
      <c r="B23" t="inlineStr">
        <is>
          <t>Cliente Exemplo 22</t>
        </is>
      </c>
      <c r="C23" t="inlineStr">
        <is>
          <t>Bolívia</t>
        </is>
      </c>
      <c r="D23" t="inlineStr">
        <is>
          <t>Espanhol</t>
        </is>
      </c>
      <c r="E23" t="inlineStr">
        <is>
          <t>Agente LatAm</t>
        </is>
      </c>
      <c r="F23" t="n">
        <v>3</v>
      </c>
      <c r="G23" t="inlineStr">
        <is>
          <t>Ativo</t>
        </is>
      </c>
      <c r="H23" t="inlineStr"/>
      <c r="I23" s="18">
        <f>IF(A23="","",COUNTIFS(Pedidos!$C:$C,A23,Pedidos!$K:$K,Parametros!$B$3))</f>
        <v/>
      </c>
      <c r="J23" s="19">
        <f>IF(A23="","",SUMIFS(Pedidos!$E:$E,Pedidos!$C:$C,A23,Pedidos!$K:$K,Parametros!$B$3))</f>
        <v/>
      </c>
      <c r="K23" s="18">
        <f>IF(A23="","",COUNTIFS(Pedidos!$C:$C,A23,Pedidos!$K:$K,Parametros!$B$4))</f>
        <v/>
      </c>
      <c r="L23" s="20">
        <f>IF(A23="","",IF(COUNTIFS(Pedidos!$C:$C,A23,Pedidos!$B:$B,"&lt;="&amp;EOMONTH(Parametros!$B$2,0))=0,"",_xlfn.MAXIFS(Pedidos!$B:$B,Pedidos!$C:$C,A23,Pedidos!$B:$B,"&lt;="&amp;EOMONTH(Parametros!$B$2,0))))</f>
        <v/>
      </c>
      <c r="M23" s="20">
        <f>IF(OR(L23="",F23=""),"",EDATE(L23,F23))</f>
        <v/>
      </c>
      <c r="N23" s="21">
        <f>IF(A23="","",IF(L23="","Sem histórico",IF(AND(L23&gt;=Parametros!$B$2,L23&lt;=EOMONTH(Parametros!$B$2,0)),"Comprou no mês",IF(M23="","Sem periodicidade",IF(M23&lt;Parametros!$B$2,"Atrasado",IF(M23&lt;=EOMONTH(Parametros!$B$2,0),"Previsto no mês","Em dia"))))))</f>
        <v/>
      </c>
    </row>
    <row r="24">
      <c r="A24" t="inlineStr">
        <is>
          <t>C023</t>
        </is>
      </c>
      <c r="B24" t="inlineStr">
        <is>
          <t>Cliente Exemplo 23</t>
        </is>
      </c>
      <c r="C24" t="inlineStr">
        <is>
          <t>Estados Unidos</t>
        </is>
      </c>
      <c r="D24" t="inlineStr">
        <is>
          <t>Inglês</t>
        </is>
      </c>
      <c r="E24" t="inlineStr">
        <is>
          <t>Direto</t>
        </is>
      </c>
      <c r="F24" t="n">
        <v>2</v>
      </c>
      <c r="G24" t="inlineStr">
        <is>
          <t>Ativo</t>
        </is>
      </c>
      <c r="H24" t="inlineStr"/>
      <c r="I24" s="18">
        <f>IF(A24="","",COUNTIFS(Pedidos!$C:$C,A24,Pedidos!$K:$K,Parametros!$B$3))</f>
        <v/>
      </c>
      <c r="J24" s="19">
        <f>IF(A24="","",SUMIFS(Pedidos!$E:$E,Pedidos!$C:$C,A24,Pedidos!$K:$K,Parametros!$B$3))</f>
        <v/>
      </c>
      <c r="K24" s="18">
        <f>IF(A24="","",COUNTIFS(Pedidos!$C:$C,A24,Pedidos!$K:$K,Parametros!$B$4))</f>
        <v/>
      </c>
      <c r="L24" s="20">
        <f>IF(A24="","",IF(COUNTIFS(Pedidos!$C:$C,A24,Pedidos!$B:$B,"&lt;="&amp;EOMONTH(Parametros!$B$2,0))=0,"",_xlfn.MAXIFS(Pedidos!$B:$B,Pedidos!$C:$C,A24,Pedidos!$B:$B,"&lt;="&amp;EOMONTH(Parametros!$B$2,0))))</f>
        <v/>
      </c>
      <c r="M24" s="20">
        <f>IF(OR(L24="",F24=""),"",EDATE(L24,F24))</f>
        <v/>
      </c>
      <c r="N24" s="21">
        <f>IF(A24="","",IF(L24="","Sem histórico",IF(AND(L24&gt;=Parametros!$B$2,L24&lt;=EOMONTH(Parametros!$B$2,0)),"Comprou no mês",IF(M24="","Sem periodicidade",IF(M24&lt;Parametros!$B$2,"Atrasado",IF(M24&lt;=EOMONTH(Parametros!$B$2,0),"Previsto no mês","Em dia"))))))</f>
        <v/>
      </c>
    </row>
    <row r="25">
      <c r="A25" t="inlineStr">
        <is>
          <t>C024</t>
        </is>
      </c>
      <c r="B25" t="inlineStr">
        <is>
          <t>Cliente Exemplo 24</t>
        </is>
      </c>
      <c r="C25" t="inlineStr">
        <is>
          <t>Uruguai</t>
        </is>
      </c>
      <c r="D25" t="inlineStr">
        <is>
          <t>Espanhol</t>
        </is>
      </c>
      <c r="E25" t="inlineStr">
        <is>
          <t>Direto</t>
        </is>
      </c>
      <c r="F25" t="n">
        <v>4</v>
      </c>
      <c r="G25" t="inlineStr">
        <is>
          <t>Ativo</t>
        </is>
      </c>
      <c r="H25" t="inlineStr"/>
      <c r="I25" s="18">
        <f>IF(A25="","",COUNTIFS(Pedidos!$C:$C,A25,Pedidos!$K:$K,Parametros!$B$3))</f>
        <v/>
      </c>
      <c r="J25" s="19">
        <f>IF(A25="","",SUMIFS(Pedidos!$E:$E,Pedidos!$C:$C,A25,Pedidos!$K:$K,Parametros!$B$3))</f>
        <v/>
      </c>
      <c r="K25" s="18">
        <f>IF(A25="","",COUNTIFS(Pedidos!$C:$C,A25,Pedidos!$K:$K,Parametros!$B$4))</f>
        <v/>
      </c>
      <c r="L25" s="20">
        <f>IF(A25="","",IF(COUNTIFS(Pedidos!$C:$C,A25,Pedidos!$B:$B,"&lt;="&amp;EOMONTH(Parametros!$B$2,0))=0,"",_xlfn.MAXIFS(Pedidos!$B:$B,Pedidos!$C:$C,A25,Pedidos!$B:$B,"&lt;="&amp;EOMONTH(Parametros!$B$2,0))))</f>
        <v/>
      </c>
      <c r="M25" s="20">
        <f>IF(OR(L25="",F25=""),"",EDATE(L25,F25))</f>
        <v/>
      </c>
      <c r="N25" s="21">
        <f>IF(A25="","",IF(L25="","Sem histórico",IF(AND(L25&gt;=Parametros!$B$2,L25&lt;=EOMONTH(Parametros!$B$2,0)),"Comprou no mês",IF(M25="","Sem periodicidade",IF(M25&lt;Parametros!$B$2,"Atrasado",IF(M25&lt;=EOMONTH(Parametros!$B$2,0),"Previsto no mês","Em dia"))))))</f>
        <v/>
      </c>
    </row>
    <row r="26">
      <c r="A26" t="inlineStr">
        <is>
          <t>C025</t>
        </is>
      </c>
      <c r="B26" t="inlineStr">
        <is>
          <t>Cliente Exemplo 25</t>
        </is>
      </c>
      <c r="C26" t="inlineStr">
        <is>
          <t>Chile</t>
        </is>
      </c>
      <c r="D26" t="inlineStr">
        <is>
          <t>Espanhol</t>
        </is>
      </c>
      <c r="E26" t="inlineStr">
        <is>
          <t>Agente LatAm</t>
        </is>
      </c>
      <c r="F26" t="n">
        <v>3</v>
      </c>
      <c r="G26" t="inlineStr">
        <is>
          <t>Ativo</t>
        </is>
      </c>
      <c r="H26" t="inlineStr"/>
      <c r="I26" s="18">
        <f>IF(A26="","",COUNTIFS(Pedidos!$C:$C,A26,Pedidos!$K:$K,Parametros!$B$3))</f>
        <v/>
      </c>
      <c r="J26" s="19">
        <f>IF(A26="","",SUMIFS(Pedidos!$E:$E,Pedidos!$C:$C,A26,Pedidos!$K:$K,Parametros!$B$3))</f>
        <v/>
      </c>
      <c r="K26" s="18">
        <f>IF(A26="","",COUNTIFS(Pedidos!$C:$C,A26,Pedidos!$K:$K,Parametros!$B$4))</f>
        <v/>
      </c>
      <c r="L26" s="20">
        <f>IF(A26="","",IF(COUNTIFS(Pedidos!$C:$C,A26,Pedidos!$B:$B,"&lt;="&amp;EOMONTH(Parametros!$B$2,0))=0,"",_xlfn.MAXIFS(Pedidos!$B:$B,Pedidos!$C:$C,A26,Pedidos!$B:$B,"&lt;="&amp;EOMONTH(Parametros!$B$2,0))))</f>
        <v/>
      </c>
      <c r="M26" s="20">
        <f>IF(OR(L26="",F26=""),"",EDATE(L26,F26))</f>
        <v/>
      </c>
      <c r="N26" s="21">
        <f>IF(A26="","",IF(L26="","Sem histórico",IF(AND(L26&gt;=Parametros!$B$2,L26&lt;=EOMONTH(Parametros!$B$2,0)),"Comprou no mês",IF(M26="","Sem periodicidade",IF(M26&lt;Parametros!$B$2,"Atrasado",IF(M26&lt;=EOMONTH(Parametros!$B$2,0),"Previsto no mês","Em dia"))))))</f>
        <v/>
      </c>
    </row>
    <row r="27">
      <c r="A27" t="inlineStr">
        <is>
          <t>C026</t>
        </is>
      </c>
      <c r="B27" t="inlineStr">
        <is>
          <t>Cliente Exemplo 26</t>
        </is>
      </c>
      <c r="C27" t="inlineStr">
        <is>
          <t>Peru</t>
        </is>
      </c>
      <c r="D27" t="inlineStr">
        <is>
          <t>Espanhol</t>
        </is>
      </c>
      <c r="E27" t="inlineStr">
        <is>
          <t>Agente LatAm</t>
        </is>
      </c>
      <c r="F27" t="n">
        <v>3</v>
      </c>
      <c r="G27" t="inlineStr">
        <is>
          <t>Ativo</t>
        </is>
      </c>
      <c r="H27" t="inlineStr"/>
      <c r="I27" s="18">
        <f>IF(A27="","",COUNTIFS(Pedidos!$C:$C,A27,Pedidos!$K:$K,Parametros!$B$3))</f>
        <v/>
      </c>
      <c r="J27" s="19">
        <f>IF(A27="","",SUMIFS(Pedidos!$E:$E,Pedidos!$C:$C,A27,Pedidos!$K:$K,Parametros!$B$3))</f>
        <v/>
      </c>
      <c r="K27" s="18">
        <f>IF(A27="","",COUNTIFS(Pedidos!$C:$C,A27,Pedidos!$K:$K,Parametros!$B$4))</f>
        <v/>
      </c>
      <c r="L27" s="20">
        <f>IF(A27="","",IF(COUNTIFS(Pedidos!$C:$C,A27,Pedidos!$B:$B,"&lt;="&amp;EOMONTH(Parametros!$B$2,0))=0,"",_xlfn.MAXIFS(Pedidos!$B:$B,Pedidos!$C:$C,A27,Pedidos!$B:$B,"&lt;="&amp;EOMONTH(Parametros!$B$2,0))))</f>
        <v/>
      </c>
      <c r="M27" s="20">
        <f>IF(OR(L27="",F27=""),"",EDATE(L27,F27))</f>
        <v/>
      </c>
      <c r="N27" s="21">
        <f>IF(A27="","",IF(L27="","Sem histórico",IF(AND(L27&gt;=Parametros!$B$2,L27&lt;=EOMONTH(Parametros!$B$2,0)),"Comprou no mês",IF(M27="","Sem periodicidade",IF(M27&lt;Parametros!$B$2,"Atrasado",IF(M27&lt;=EOMONTH(Parametros!$B$2,0),"Previsto no mês","Em dia"))))))</f>
        <v/>
      </c>
    </row>
    <row r="28">
      <c r="I28" s="18">
        <f>IF(A28="","",COUNTIFS(Pedidos!$C:$C,A28,Pedidos!$K:$K,Parametros!$B$3))</f>
        <v/>
      </c>
      <c r="J28" s="19">
        <f>IF(A28="","",SUMIFS(Pedidos!$E:$E,Pedidos!$C:$C,A28,Pedidos!$K:$K,Parametros!$B$3))</f>
        <v/>
      </c>
      <c r="K28" s="18">
        <f>IF(A28="","",COUNTIFS(Pedidos!$C:$C,A28,Pedidos!$K:$K,Parametros!$B$4))</f>
        <v/>
      </c>
      <c r="L28" s="20">
        <f>IF(A28="","",IF(COUNTIFS(Pedidos!$C:$C,A28,Pedidos!$B:$B,"&lt;="&amp;EOMONTH(Parametros!$B$2,0))=0,"",_xlfn.MAXIFS(Pedidos!$B:$B,Pedidos!$C:$C,A28,Pedidos!$B:$B,"&lt;="&amp;EOMONTH(Parametros!$B$2,0))))</f>
        <v/>
      </c>
      <c r="M28" s="20">
        <f>IF(OR(L28="",F28=""),"",EDATE(L28,F28))</f>
        <v/>
      </c>
      <c r="N28" s="21">
        <f>IF(A28="","",IF(L28="","Sem histórico",IF(AND(L28&gt;=Parametros!$B$2,L28&lt;=EOMONTH(Parametros!$B$2,0)),"Comprou no mês",IF(M28="","Sem periodicidade",IF(M28&lt;Parametros!$B$2,"Atrasado",IF(M28&lt;=EOMONTH(Parametros!$B$2,0),"Previsto no mês","Em dia"))))))</f>
        <v/>
      </c>
    </row>
    <row r="29">
      <c r="I29" s="18">
        <f>IF(A29="","",COUNTIFS(Pedidos!$C:$C,A29,Pedidos!$K:$K,Parametros!$B$3))</f>
        <v/>
      </c>
      <c r="J29" s="19">
        <f>IF(A29="","",SUMIFS(Pedidos!$E:$E,Pedidos!$C:$C,A29,Pedidos!$K:$K,Parametros!$B$3))</f>
        <v/>
      </c>
      <c r="K29" s="18">
        <f>IF(A29="","",COUNTIFS(Pedidos!$C:$C,A29,Pedidos!$K:$K,Parametros!$B$4))</f>
        <v/>
      </c>
      <c r="L29" s="20">
        <f>IF(A29="","",IF(COUNTIFS(Pedidos!$C:$C,A29,Pedidos!$B:$B,"&lt;="&amp;EOMONTH(Parametros!$B$2,0))=0,"",_xlfn.MAXIFS(Pedidos!$B:$B,Pedidos!$C:$C,A29,Pedidos!$B:$B,"&lt;="&amp;EOMONTH(Parametros!$B$2,0))))</f>
        <v/>
      </c>
      <c r="M29" s="20">
        <f>IF(OR(L29="",F29=""),"",EDATE(L29,F29))</f>
        <v/>
      </c>
      <c r="N29" s="21">
        <f>IF(A29="","",IF(L29="","Sem histórico",IF(AND(L29&gt;=Parametros!$B$2,L29&lt;=EOMONTH(Parametros!$B$2,0)),"Comprou no mês",IF(M29="","Sem periodicidade",IF(M29&lt;Parametros!$B$2,"Atrasado",IF(M29&lt;=EOMONTH(Parametros!$B$2,0),"Previsto no mês","Em dia"))))))</f>
        <v/>
      </c>
    </row>
    <row r="30">
      <c r="I30" s="18">
        <f>IF(A30="","",COUNTIFS(Pedidos!$C:$C,A30,Pedidos!$K:$K,Parametros!$B$3))</f>
        <v/>
      </c>
      <c r="J30" s="19">
        <f>IF(A30="","",SUMIFS(Pedidos!$E:$E,Pedidos!$C:$C,A30,Pedidos!$K:$K,Parametros!$B$3))</f>
        <v/>
      </c>
      <c r="K30" s="18">
        <f>IF(A30="","",COUNTIFS(Pedidos!$C:$C,A30,Pedidos!$K:$K,Parametros!$B$4))</f>
        <v/>
      </c>
      <c r="L30" s="20">
        <f>IF(A30="","",IF(COUNTIFS(Pedidos!$C:$C,A30,Pedidos!$B:$B,"&lt;="&amp;EOMONTH(Parametros!$B$2,0))=0,"",_xlfn.MAXIFS(Pedidos!$B:$B,Pedidos!$C:$C,A30,Pedidos!$B:$B,"&lt;="&amp;EOMONTH(Parametros!$B$2,0))))</f>
        <v/>
      </c>
      <c r="M30" s="20">
        <f>IF(OR(L30="",F30=""),"",EDATE(L30,F30))</f>
        <v/>
      </c>
      <c r="N30" s="21">
        <f>IF(A30="","",IF(L30="","Sem histórico",IF(AND(L30&gt;=Parametros!$B$2,L30&lt;=EOMONTH(Parametros!$B$2,0)),"Comprou no mês",IF(M30="","Sem periodicidade",IF(M30&lt;Parametros!$B$2,"Atrasado",IF(M30&lt;=EOMONTH(Parametros!$B$2,0),"Previsto no mês","Em dia"))))))</f>
        <v/>
      </c>
    </row>
    <row r="31">
      <c r="I31" s="18">
        <f>IF(A31="","",COUNTIFS(Pedidos!$C:$C,A31,Pedidos!$K:$K,Parametros!$B$3))</f>
        <v/>
      </c>
      <c r="J31" s="19">
        <f>IF(A31="","",SUMIFS(Pedidos!$E:$E,Pedidos!$C:$C,A31,Pedidos!$K:$K,Parametros!$B$3))</f>
        <v/>
      </c>
      <c r="K31" s="18">
        <f>IF(A31="","",COUNTIFS(Pedidos!$C:$C,A31,Pedidos!$K:$K,Parametros!$B$4))</f>
        <v/>
      </c>
      <c r="L31" s="20">
        <f>IF(A31="","",IF(COUNTIFS(Pedidos!$C:$C,A31,Pedidos!$B:$B,"&lt;="&amp;EOMONTH(Parametros!$B$2,0))=0,"",_xlfn.MAXIFS(Pedidos!$B:$B,Pedidos!$C:$C,A31,Pedidos!$B:$B,"&lt;="&amp;EOMONTH(Parametros!$B$2,0))))</f>
        <v/>
      </c>
      <c r="M31" s="20">
        <f>IF(OR(L31="",F31=""),"",EDATE(L31,F31))</f>
        <v/>
      </c>
      <c r="N31" s="21">
        <f>IF(A31="","",IF(L31="","Sem histórico",IF(AND(L31&gt;=Parametros!$B$2,L31&lt;=EOMONTH(Parametros!$B$2,0)),"Comprou no mês",IF(M31="","Sem periodicidade",IF(M31&lt;Parametros!$B$2,"Atrasado",IF(M31&lt;=EOMONTH(Parametros!$B$2,0),"Previsto no mês","Em dia"))))))</f>
        <v/>
      </c>
    </row>
    <row r="32">
      <c r="I32" s="18">
        <f>IF(A32="","",COUNTIFS(Pedidos!$C:$C,A32,Pedidos!$K:$K,Parametros!$B$3))</f>
        <v/>
      </c>
      <c r="J32" s="19">
        <f>IF(A32="","",SUMIFS(Pedidos!$E:$E,Pedidos!$C:$C,A32,Pedidos!$K:$K,Parametros!$B$3))</f>
        <v/>
      </c>
      <c r="K32" s="18">
        <f>IF(A32="","",COUNTIFS(Pedidos!$C:$C,A32,Pedidos!$K:$K,Parametros!$B$4))</f>
        <v/>
      </c>
      <c r="L32" s="20">
        <f>IF(A32="","",IF(COUNTIFS(Pedidos!$C:$C,A32,Pedidos!$B:$B,"&lt;="&amp;EOMONTH(Parametros!$B$2,0))=0,"",_xlfn.MAXIFS(Pedidos!$B:$B,Pedidos!$C:$C,A32,Pedidos!$B:$B,"&lt;="&amp;EOMONTH(Parametros!$B$2,0))))</f>
        <v/>
      </c>
      <c r="M32" s="20">
        <f>IF(OR(L32="",F32=""),"",EDATE(L32,F32))</f>
        <v/>
      </c>
      <c r="N32" s="21">
        <f>IF(A32="","",IF(L32="","Sem histórico",IF(AND(L32&gt;=Parametros!$B$2,L32&lt;=EOMONTH(Parametros!$B$2,0)),"Comprou no mês",IF(M32="","Sem periodicidade",IF(M32&lt;Parametros!$B$2,"Atrasado",IF(M32&lt;=EOMONTH(Parametros!$B$2,0),"Previsto no mês","Em dia"))))))</f>
        <v/>
      </c>
    </row>
    <row r="33">
      <c r="I33" s="18">
        <f>IF(A33="","",COUNTIFS(Pedidos!$C:$C,A33,Pedidos!$K:$K,Parametros!$B$3))</f>
        <v/>
      </c>
      <c r="J33" s="19">
        <f>IF(A33="","",SUMIFS(Pedidos!$E:$E,Pedidos!$C:$C,A33,Pedidos!$K:$K,Parametros!$B$3))</f>
        <v/>
      </c>
      <c r="K33" s="18">
        <f>IF(A33="","",COUNTIFS(Pedidos!$C:$C,A33,Pedidos!$K:$K,Parametros!$B$4))</f>
        <v/>
      </c>
      <c r="L33" s="20">
        <f>IF(A33="","",IF(COUNTIFS(Pedidos!$C:$C,A33,Pedidos!$B:$B,"&lt;="&amp;EOMONTH(Parametros!$B$2,0))=0,"",_xlfn.MAXIFS(Pedidos!$B:$B,Pedidos!$C:$C,A33,Pedidos!$B:$B,"&lt;="&amp;EOMONTH(Parametros!$B$2,0))))</f>
        <v/>
      </c>
      <c r="M33" s="20">
        <f>IF(OR(L33="",F33=""),"",EDATE(L33,F33))</f>
        <v/>
      </c>
      <c r="N33" s="21">
        <f>IF(A33="","",IF(L33="","Sem histórico",IF(AND(L33&gt;=Parametros!$B$2,L33&lt;=EOMONTH(Parametros!$B$2,0)),"Comprou no mês",IF(M33="","Sem periodicidade",IF(M33&lt;Parametros!$B$2,"Atrasado",IF(M33&lt;=EOMONTH(Parametros!$B$2,0),"Previsto no mês","Em dia"))))))</f>
        <v/>
      </c>
    </row>
    <row r="34">
      <c r="I34" s="18">
        <f>IF(A34="","",COUNTIFS(Pedidos!$C:$C,A34,Pedidos!$K:$K,Parametros!$B$3))</f>
        <v/>
      </c>
      <c r="J34" s="19">
        <f>IF(A34="","",SUMIFS(Pedidos!$E:$E,Pedidos!$C:$C,A34,Pedidos!$K:$K,Parametros!$B$3))</f>
        <v/>
      </c>
      <c r="K34" s="18">
        <f>IF(A34="","",COUNTIFS(Pedidos!$C:$C,A34,Pedidos!$K:$K,Parametros!$B$4))</f>
        <v/>
      </c>
      <c r="L34" s="20">
        <f>IF(A34="","",IF(COUNTIFS(Pedidos!$C:$C,A34,Pedidos!$B:$B,"&lt;="&amp;EOMONTH(Parametros!$B$2,0))=0,"",_xlfn.MAXIFS(Pedidos!$B:$B,Pedidos!$C:$C,A34,Pedidos!$B:$B,"&lt;="&amp;EOMONTH(Parametros!$B$2,0))))</f>
        <v/>
      </c>
      <c r="M34" s="20">
        <f>IF(OR(L34="",F34=""),"",EDATE(L34,F34))</f>
        <v/>
      </c>
      <c r="N34" s="21">
        <f>IF(A34="","",IF(L34="","Sem histórico",IF(AND(L34&gt;=Parametros!$B$2,L34&lt;=EOMONTH(Parametros!$B$2,0)),"Comprou no mês",IF(M34="","Sem periodicidade",IF(M34&lt;Parametros!$B$2,"Atrasado",IF(M34&lt;=EOMONTH(Parametros!$B$2,0),"Previsto no mês","Em dia"))))))</f>
        <v/>
      </c>
    </row>
    <row r="35">
      <c r="I35" s="18">
        <f>IF(A35="","",COUNTIFS(Pedidos!$C:$C,A35,Pedidos!$K:$K,Parametros!$B$3))</f>
        <v/>
      </c>
      <c r="J35" s="19">
        <f>IF(A35="","",SUMIFS(Pedidos!$E:$E,Pedidos!$C:$C,A35,Pedidos!$K:$K,Parametros!$B$3))</f>
        <v/>
      </c>
      <c r="K35" s="18">
        <f>IF(A35="","",COUNTIFS(Pedidos!$C:$C,A35,Pedidos!$K:$K,Parametros!$B$4))</f>
        <v/>
      </c>
      <c r="L35" s="20">
        <f>IF(A35="","",IF(COUNTIFS(Pedidos!$C:$C,A35,Pedidos!$B:$B,"&lt;="&amp;EOMONTH(Parametros!$B$2,0))=0,"",_xlfn.MAXIFS(Pedidos!$B:$B,Pedidos!$C:$C,A35,Pedidos!$B:$B,"&lt;="&amp;EOMONTH(Parametros!$B$2,0))))</f>
        <v/>
      </c>
      <c r="M35" s="20">
        <f>IF(OR(L35="",F35=""),"",EDATE(L35,F35))</f>
        <v/>
      </c>
      <c r="N35" s="21">
        <f>IF(A35="","",IF(L35="","Sem histórico",IF(AND(L35&gt;=Parametros!$B$2,L35&lt;=EOMONTH(Parametros!$B$2,0)),"Comprou no mês",IF(M35="","Sem periodicidade",IF(M35&lt;Parametros!$B$2,"Atrasado",IF(M35&lt;=EOMONTH(Parametros!$B$2,0),"Previsto no mês","Em dia"))))))</f>
        <v/>
      </c>
    </row>
    <row r="36">
      <c r="I36" s="18">
        <f>IF(A36="","",COUNTIFS(Pedidos!$C:$C,A36,Pedidos!$K:$K,Parametros!$B$3))</f>
        <v/>
      </c>
      <c r="J36" s="19">
        <f>IF(A36="","",SUMIFS(Pedidos!$E:$E,Pedidos!$C:$C,A36,Pedidos!$K:$K,Parametros!$B$3))</f>
        <v/>
      </c>
      <c r="K36" s="18">
        <f>IF(A36="","",COUNTIFS(Pedidos!$C:$C,A36,Pedidos!$K:$K,Parametros!$B$4))</f>
        <v/>
      </c>
      <c r="L36" s="20">
        <f>IF(A36="","",IF(COUNTIFS(Pedidos!$C:$C,A36,Pedidos!$B:$B,"&lt;="&amp;EOMONTH(Parametros!$B$2,0))=0,"",_xlfn.MAXIFS(Pedidos!$B:$B,Pedidos!$C:$C,A36,Pedidos!$B:$B,"&lt;="&amp;EOMONTH(Parametros!$B$2,0))))</f>
        <v/>
      </c>
      <c r="M36" s="20">
        <f>IF(OR(L36="",F36=""),"",EDATE(L36,F36))</f>
        <v/>
      </c>
      <c r="N36" s="21">
        <f>IF(A36="","",IF(L36="","Sem histórico",IF(AND(L36&gt;=Parametros!$B$2,L36&lt;=EOMONTH(Parametros!$B$2,0)),"Comprou no mês",IF(M36="","Sem periodicidade",IF(M36&lt;Parametros!$B$2,"Atrasado",IF(M36&lt;=EOMONTH(Parametros!$B$2,0),"Previsto no mês","Em dia"))))))</f>
        <v/>
      </c>
    </row>
    <row r="37">
      <c r="I37" s="18">
        <f>IF(A37="","",COUNTIFS(Pedidos!$C:$C,A37,Pedidos!$K:$K,Parametros!$B$3))</f>
        <v/>
      </c>
      <c r="J37" s="19">
        <f>IF(A37="","",SUMIFS(Pedidos!$E:$E,Pedidos!$C:$C,A37,Pedidos!$K:$K,Parametros!$B$3))</f>
        <v/>
      </c>
      <c r="K37" s="18">
        <f>IF(A37="","",COUNTIFS(Pedidos!$C:$C,A37,Pedidos!$K:$K,Parametros!$B$4))</f>
        <v/>
      </c>
      <c r="L37" s="20">
        <f>IF(A37="","",IF(COUNTIFS(Pedidos!$C:$C,A37,Pedidos!$B:$B,"&lt;="&amp;EOMONTH(Parametros!$B$2,0))=0,"",_xlfn.MAXIFS(Pedidos!$B:$B,Pedidos!$C:$C,A37,Pedidos!$B:$B,"&lt;="&amp;EOMONTH(Parametros!$B$2,0))))</f>
        <v/>
      </c>
      <c r="M37" s="20">
        <f>IF(OR(L37="",F37=""),"",EDATE(L37,F37))</f>
        <v/>
      </c>
      <c r="N37" s="21">
        <f>IF(A37="","",IF(L37="","Sem histórico",IF(AND(L37&gt;=Parametros!$B$2,L37&lt;=EOMONTH(Parametros!$B$2,0)),"Comprou no mês",IF(M37="","Sem periodicidade",IF(M37&lt;Parametros!$B$2,"Atrasado",IF(M37&lt;=EOMONTH(Parametros!$B$2,0),"Previsto no mês","Em dia"))))))</f>
        <v/>
      </c>
    </row>
    <row r="38">
      <c r="I38" s="18">
        <f>IF(A38="","",COUNTIFS(Pedidos!$C:$C,A38,Pedidos!$K:$K,Parametros!$B$3))</f>
        <v/>
      </c>
      <c r="J38" s="19">
        <f>IF(A38="","",SUMIFS(Pedidos!$E:$E,Pedidos!$C:$C,A38,Pedidos!$K:$K,Parametros!$B$3))</f>
        <v/>
      </c>
      <c r="K38" s="18">
        <f>IF(A38="","",COUNTIFS(Pedidos!$C:$C,A38,Pedidos!$K:$K,Parametros!$B$4))</f>
        <v/>
      </c>
      <c r="L38" s="20">
        <f>IF(A38="","",IF(COUNTIFS(Pedidos!$C:$C,A38,Pedidos!$B:$B,"&lt;="&amp;EOMONTH(Parametros!$B$2,0))=0,"",_xlfn.MAXIFS(Pedidos!$B:$B,Pedidos!$C:$C,A38,Pedidos!$B:$B,"&lt;="&amp;EOMONTH(Parametros!$B$2,0))))</f>
        <v/>
      </c>
      <c r="M38" s="20">
        <f>IF(OR(L38="",F38=""),"",EDATE(L38,F38))</f>
        <v/>
      </c>
      <c r="N38" s="21">
        <f>IF(A38="","",IF(L38="","Sem histórico",IF(AND(L38&gt;=Parametros!$B$2,L38&lt;=EOMONTH(Parametros!$B$2,0)),"Comprou no mês",IF(M38="","Sem periodicidade",IF(M38&lt;Parametros!$B$2,"Atrasado",IF(M38&lt;=EOMONTH(Parametros!$B$2,0),"Previsto no mês","Em dia"))))))</f>
        <v/>
      </c>
    </row>
    <row r="39">
      <c r="I39" s="18">
        <f>IF(A39="","",COUNTIFS(Pedidos!$C:$C,A39,Pedidos!$K:$K,Parametros!$B$3))</f>
        <v/>
      </c>
      <c r="J39" s="19">
        <f>IF(A39="","",SUMIFS(Pedidos!$E:$E,Pedidos!$C:$C,A39,Pedidos!$K:$K,Parametros!$B$3))</f>
        <v/>
      </c>
      <c r="K39" s="18">
        <f>IF(A39="","",COUNTIFS(Pedidos!$C:$C,A39,Pedidos!$K:$K,Parametros!$B$4))</f>
        <v/>
      </c>
      <c r="L39" s="20">
        <f>IF(A39="","",IF(COUNTIFS(Pedidos!$C:$C,A39,Pedidos!$B:$B,"&lt;="&amp;EOMONTH(Parametros!$B$2,0))=0,"",_xlfn.MAXIFS(Pedidos!$B:$B,Pedidos!$C:$C,A39,Pedidos!$B:$B,"&lt;="&amp;EOMONTH(Parametros!$B$2,0))))</f>
        <v/>
      </c>
      <c r="M39" s="20">
        <f>IF(OR(L39="",F39=""),"",EDATE(L39,F39))</f>
        <v/>
      </c>
      <c r="N39" s="21">
        <f>IF(A39="","",IF(L39="","Sem histórico",IF(AND(L39&gt;=Parametros!$B$2,L39&lt;=EOMONTH(Parametros!$B$2,0)),"Comprou no mês",IF(M39="","Sem periodicidade",IF(M39&lt;Parametros!$B$2,"Atrasado",IF(M39&lt;=EOMONTH(Parametros!$B$2,0),"Previsto no mês","Em dia"))))))</f>
        <v/>
      </c>
    </row>
    <row r="40">
      <c r="I40" s="18">
        <f>IF(A40="","",COUNTIFS(Pedidos!$C:$C,A40,Pedidos!$K:$K,Parametros!$B$3))</f>
        <v/>
      </c>
      <c r="J40" s="19">
        <f>IF(A40="","",SUMIFS(Pedidos!$E:$E,Pedidos!$C:$C,A40,Pedidos!$K:$K,Parametros!$B$3))</f>
        <v/>
      </c>
      <c r="K40" s="18">
        <f>IF(A40="","",COUNTIFS(Pedidos!$C:$C,A40,Pedidos!$K:$K,Parametros!$B$4))</f>
        <v/>
      </c>
      <c r="L40" s="20">
        <f>IF(A40="","",IF(COUNTIFS(Pedidos!$C:$C,A40,Pedidos!$B:$B,"&lt;="&amp;EOMONTH(Parametros!$B$2,0))=0,"",_xlfn.MAXIFS(Pedidos!$B:$B,Pedidos!$C:$C,A40,Pedidos!$B:$B,"&lt;="&amp;EOMONTH(Parametros!$B$2,0))))</f>
        <v/>
      </c>
      <c r="M40" s="20">
        <f>IF(OR(L40="",F40=""),"",EDATE(L40,F40))</f>
        <v/>
      </c>
      <c r="N40" s="21">
        <f>IF(A40="","",IF(L40="","Sem histórico",IF(AND(L40&gt;=Parametros!$B$2,L40&lt;=EOMONTH(Parametros!$B$2,0)),"Comprou no mês",IF(M40="","Sem periodicidade",IF(M40&lt;Parametros!$B$2,"Atrasado",IF(M40&lt;=EOMONTH(Parametros!$B$2,0),"Previsto no mês","Em dia"))))))</f>
        <v/>
      </c>
    </row>
    <row r="41">
      <c r="I41" s="18">
        <f>IF(A41="","",COUNTIFS(Pedidos!$C:$C,A41,Pedidos!$K:$K,Parametros!$B$3))</f>
        <v/>
      </c>
      <c r="J41" s="19">
        <f>IF(A41="","",SUMIFS(Pedidos!$E:$E,Pedidos!$C:$C,A41,Pedidos!$K:$K,Parametros!$B$3))</f>
        <v/>
      </c>
      <c r="K41" s="18">
        <f>IF(A41="","",COUNTIFS(Pedidos!$C:$C,A41,Pedidos!$K:$K,Parametros!$B$4))</f>
        <v/>
      </c>
      <c r="L41" s="20">
        <f>IF(A41="","",IF(COUNTIFS(Pedidos!$C:$C,A41,Pedidos!$B:$B,"&lt;="&amp;EOMONTH(Parametros!$B$2,0))=0,"",_xlfn.MAXIFS(Pedidos!$B:$B,Pedidos!$C:$C,A41,Pedidos!$B:$B,"&lt;="&amp;EOMONTH(Parametros!$B$2,0))))</f>
        <v/>
      </c>
      <c r="M41" s="20">
        <f>IF(OR(L41="",F41=""),"",EDATE(L41,F41))</f>
        <v/>
      </c>
      <c r="N41" s="21">
        <f>IF(A41="","",IF(L41="","Sem histórico",IF(AND(L41&gt;=Parametros!$B$2,L41&lt;=EOMONTH(Parametros!$B$2,0)),"Comprou no mês",IF(M41="","Sem periodicidade",IF(M41&lt;Parametros!$B$2,"Atrasado",IF(M41&lt;=EOMONTH(Parametros!$B$2,0),"Previsto no mês","Em dia"))))))</f>
        <v/>
      </c>
    </row>
    <row r="42">
      <c r="I42" s="18">
        <f>IF(A42="","",COUNTIFS(Pedidos!$C:$C,A42,Pedidos!$K:$K,Parametros!$B$3))</f>
        <v/>
      </c>
      <c r="J42" s="19">
        <f>IF(A42="","",SUMIFS(Pedidos!$E:$E,Pedidos!$C:$C,A42,Pedidos!$K:$K,Parametros!$B$3))</f>
        <v/>
      </c>
      <c r="K42" s="18">
        <f>IF(A42="","",COUNTIFS(Pedidos!$C:$C,A42,Pedidos!$K:$K,Parametros!$B$4))</f>
        <v/>
      </c>
      <c r="L42" s="20">
        <f>IF(A42="","",IF(COUNTIFS(Pedidos!$C:$C,A42,Pedidos!$B:$B,"&lt;="&amp;EOMONTH(Parametros!$B$2,0))=0,"",_xlfn.MAXIFS(Pedidos!$B:$B,Pedidos!$C:$C,A42,Pedidos!$B:$B,"&lt;="&amp;EOMONTH(Parametros!$B$2,0))))</f>
        <v/>
      </c>
      <c r="M42" s="20">
        <f>IF(OR(L42="",F42=""),"",EDATE(L42,F42))</f>
        <v/>
      </c>
      <c r="N42" s="21">
        <f>IF(A42="","",IF(L42="","Sem histórico",IF(AND(L42&gt;=Parametros!$B$2,L42&lt;=EOMONTH(Parametros!$B$2,0)),"Comprou no mês",IF(M42="","Sem periodicidade",IF(M42&lt;Parametros!$B$2,"Atrasado",IF(M42&lt;=EOMONTH(Parametros!$B$2,0),"Previsto no mês","Em dia"))))))</f>
        <v/>
      </c>
    </row>
    <row r="43">
      <c r="I43" s="18">
        <f>IF(A43="","",COUNTIFS(Pedidos!$C:$C,A43,Pedidos!$K:$K,Parametros!$B$3))</f>
        <v/>
      </c>
      <c r="J43" s="19">
        <f>IF(A43="","",SUMIFS(Pedidos!$E:$E,Pedidos!$C:$C,A43,Pedidos!$K:$K,Parametros!$B$3))</f>
        <v/>
      </c>
      <c r="K43" s="18">
        <f>IF(A43="","",COUNTIFS(Pedidos!$C:$C,A43,Pedidos!$K:$K,Parametros!$B$4))</f>
        <v/>
      </c>
      <c r="L43" s="20">
        <f>IF(A43="","",IF(COUNTIFS(Pedidos!$C:$C,A43,Pedidos!$B:$B,"&lt;="&amp;EOMONTH(Parametros!$B$2,0))=0,"",_xlfn.MAXIFS(Pedidos!$B:$B,Pedidos!$C:$C,A43,Pedidos!$B:$B,"&lt;="&amp;EOMONTH(Parametros!$B$2,0))))</f>
        <v/>
      </c>
      <c r="M43" s="20">
        <f>IF(OR(L43="",F43=""),"",EDATE(L43,F43))</f>
        <v/>
      </c>
      <c r="N43" s="21">
        <f>IF(A43="","",IF(L43="","Sem histórico",IF(AND(L43&gt;=Parametros!$B$2,L43&lt;=EOMONTH(Parametros!$B$2,0)),"Comprou no mês",IF(M43="","Sem periodicidade",IF(M43&lt;Parametros!$B$2,"Atrasado",IF(M43&lt;=EOMONTH(Parametros!$B$2,0),"Previsto no mês","Em dia"))))))</f>
        <v/>
      </c>
    </row>
    <row r="44">
      <c r="I44" s="18">
        <f>IF(A44="","",COUNTIFS(Pedidos!$C:$C,A44,Pedidos!$K:$K,Parametros!$B$3))</f>
        <v/>
      </c>
      <c r="J44" s="19">
        <f>IF(A44="","",SUMIFS(Pedidos!$E:$E,Pedidos!$C:$C,A44,Pedidos!$K:$K,Parametros!$B$3))</f>
        <v/>
      </c>
      <c r="K44" s="18">
        <f>IF(A44="","",COUNTIFS(Pedidos!$C:$C,A44,Pedidos!$K:$K,Parametros!$B$4))</f>
        <v/>
      </c>
      <c r="L44" s="20">
        <f>IF(A44="","",IF(COUNTIFS(Pedidos!$C:$C,A44,Pedidos!$B:$B,"&lt;="&amp;EOMONTH(Parametros!$B$2,0))=0,"",_xlfn.MAXIFS(Pedidos!$B:$B,Pedidos!$C:$C,A44,Pedidos!$B:$B,"&lt;="&amp;EOMONTH(Parametros!$B$2,0))))</f>
        <v/>
      </c>
      <c r="M44" s="20">
        <f>IF(OR(L44="",F44=""),"",EDATE(L44,F44))</f>
        <v/>
      </c>
      <c r="N44" s="21">
        <f>IF(A44="","",IF(L44="","Sem histórico",IF(AND(L44&gt;=Parametros!$B$2,L44&lt;=EOMONTH(Parametros!$B$2,0)),"Comprou no mês",IF(M44="","Sem periodicidade",IF(M44&lt;Parametros!$B$2,"Atrasado",IF(M44&lt;=EOMONTH(Parametros!$B$2,0),"Previsto no mês","Em dia"))))))</f>
        <v/>
      </c>
    </row>
    <row r="45">
      <c r="I45" s="18">
        <f>IF(A45="","",COUNTIFS(Pedidos!$C:$C,A45,Pedidos!$K:$K,Parametros!$B$3))</f>
        <v/>
      </c>
      <c r="J45" s="19">
        <f>IF(A45="","",SUMIFS(Pedidos!$E:$E,Pedidos!$C:$C,A45,Pedidos!$K:$K,Parametros!$B$3))</f>
        <v/>
      </c>
      <c r="K45" s="18">
        <f>IF(A45="","",COUNTIFS(Pedidos!$C:$C,A45,Pedidos!$K:$K,Parametros!$B$4))</f>
        <v/>
      </c>
      <c r="L45" s="20">
        <f>IF(A45="","",IF(COUNTIFS(Pedidos!$C:$C,A45,Pedidos!$B:$B,"&lt;="&amp;EOMONTH(Parametros!$B$2,0))=0,"",_xlfn.MAXIFS(Pedidos!$B:$B,Pedidos!$C:$C,A45,Pedidos!$B:$B,"&lt;="&amp;EOMONTH(Parametros!$B$2,0))))</f>
        <v/>
      </c>
      <c r="M45" s="20">
        <f>IF(OR(L45="",F45=""),"",EDATE(L45,F45))</f>
        <v/>
      </c>
      <c r="N45" s="21">
        <f>IF(A45="","",IF(L45="","Sem histórico",IF(AND(L45&gt;=Parametros!$B$2,L45&lt;=EOMONTH(Parametros!$B$2,0)),"Comprou no mês",IF(M45="","Sem periodicidade",IF(M45&lt;Parametros!$B$2,"Atrasado",IF(M45&lt;=EOMONTH(Parametros!$B$2,0),"Previsto no mês","Em dia"))))))</f>
        <v/>
      </c>
    </row>
    <row r="46">
      <c r="I46" s="18">
        <f>IF(A46="","",COUNTIFS(Pedidos!$C:$C,A46,Pedidos!$K:$K,Parametros!$B$3))</f>
        <v/>
      </c>
      <c r="J46" s="19">
        <f>IF(A46="","",SUMIFS(Pedidos!$E:$E,Pedidos!$C:$C,A46,Pedidos!$K:$K,Parametros!$B$3))</f>
        <v/>
      </c>
      <c r="K46" s="18">
        <f>IF(A46="","",COUNTIFS(Pedidos!$C:$C,A46,Pedidos!$K:$K,Parametros!$B$4))</f>
        <v/>
      </c>
      <c r="L46" s="20">
        <f>IF(A46="","",IF(COUNTIFS(Pedidos!$C:$C,A46,Pedidos!$B:$B,"&lt;="&amp;EOMONTH(Parametros!$B$2,0))=0,"",_xlfn.MAXIFS(Pedidos!$B:$B,Pedidos!$C:$C,A46,Pedidos!$B:$B,"&lt;="&amp;EOMONTH(Parametros!$B$2,0))))</f>
        <v/>
      </c>
      <c r="M46" s="20">
        <f>IF(OR(L46="",F46=""),"",EDATE(L46,F46))</f>
        <v/>
      </c>
      <c r="N46" s="21">
        <f>IF(A46="","",IF(L46="","Sem histórico",IF(AND(L46&gt;=Parametros!$B$2,L46&lt;=EOMONTH(Parametros!$B$2,0)),"Comprou no mês",IF(M46="","Sem periodicidade",IF(M46&lt;Parametros!$B$2,"Atrasado",IF(M46&lt;=EOMONTH(Parametros!$B$2,0),"Previsto no mês","Em dia"))))))</f>
        <v/>
      </c>
    </row>
    <row r="47">
      <c r="I47" s="18">
        <f>IF(A47="","",COUNTIFS(Pedidos!$C:$C,A47,Pedidos!$K:$K,Parametros!$B$3))</f>
        <v/>
      </c>
      <c r="J47" s="19">
        <f>IF(A47="","",SUMIFS(Pedidos!$E:$E,Pedidos!$C:$C,A47,Pedidos!$K:$K,Parametros!$B$3))</f>
        <v/>
      </c>
      <c r="K47" s="18">
        <f>IF(A47="","",COUNTIFS(Pedidos!$C:$C,A47,Pedidos!$K:$K,Parametros!$B$4))</f>
        <v/>
      </c>
      <c r="L47" s="20">
        <f>IF(A47="","",IF(COUNTIFS(Pedidos!$C:$C,A47,Pedidos!$B:$B,"&lt;="&amp;EOMONTH(Parametros!$B$2,0))=0,"",_xlfn.MAXIFS(Pedidos!$B:$B,Pedidos!$C:$C,A47,Pedidos!$B:$B,"&lt;="&amp;EOMONTH(Parametros!$B$2,0))))</f>
        <v/>
      </c>
      <c r="M47" s="20">
        <f>IF(OR(L47="",F47=""),"",EDATE(L47,F47))</f>
        <v/>
      </c>
      <c r="N47" s="21">
        <f>IF(A47="","",IF(L47="","Sem histórico",IF(AND(L47&gt;=Parametros!$B$2,L47&lt;=EOMONTH(Parametros!$B$2,0)),"Comprou no mês",IF(M47="","Sem periodicidade",IF(M47&lt;Parametros!$B$2,"Atrasado",IF(M47&lt;=EOMONTH(Parametros!$B$2,0),"Previsto no mês","Em dia"))))))</f>
        <v/>
      </c>
    </row>
    <row r="48">
      <c r="I48" s="18">
        <f>IF(A48="","",COUNTIFS(Pedidos!$C:$C,A48,Pedidos!$K:$K,Parametros!$B$3))</f>
        <v/>
      </c>
      <c r="J48" s="19">
        <f>IF(A48="","",SUMIFS(Pedidos!$E:$E,Pedidos!$C:$C,A48,Pedidos!$K:$K,Parametros!$B$3))</f>
        <v/>
      </c>
      <c r="K48" s="18">
        <f>IF(A48="","",COUNTIFS(Pedidos!$C:$C,A48,Pedidos!$K:$K,Parametros!$B$4))</f>
        <v/>
      </c>
      <c r="L48" s="20">
        <f>IF(A48="","",IF(COUNTIFS(Pedidos!$C:$C,A48,Pedidos!$B:$B,"&lt;="&amp;EOMONTH(Parametros!$B$2,0))=0,"",_xlfn.MAXIFS(Pedidos!$B:$B,Pedidos!$C:$C,A48,Pedidos!$B:$B,"&lt;="&amp;EOMONTH(Parametros!$B$2,0))))</f>
        <v/>
      </c>
      <c r="M48" s="20">
        <f>IF(OR(L48="",F48=""),"",EDATE(L48,F48))</f>
        <v/>
      </c>
      <c r="N48" s="21">
        <f>IF(A48="","",IF(L48="","Sem histórico",IF(AND(L48&gt;=Parametros!$B$2,L48&lt;=EOMONTH(Parametros!$B$2,0)),"Comprou no mês",IF(M48="","Sem periodicidade",IF(M48&lt;Parametros!$B$2,"Atrasado",IF(M48&lt;=EOMONTH(Parametros!$B$2,0),"Previsto no mês","Em dia"))))))</f>
        <v/>
      </c>
    </row>
    <row r="49">
      <c r="I49" s="18">
        <f>IF(A49="","",COUNTIFS(Pedidos!$C:$C,A49,Pedidos!$K:$K,Parametros!$B$3))</f>
        <v/>
      </c>
      <c r="J49" s="19">
        <f>IF(A49="","",SUMIFS(Pedidos!$E:$E,Pedidos!$C:$C,A49,Pedidos!$K:$K,Parametros!$B$3))</f>
        <v/>
      </c>
      <c r="K49" s="18">
        <f>IF(A49="","",COUNTIFS(Pedidos!$C:$C,A49,Pedidos!$K:$K,Parametros!$B$4))</f>
        <v/>
      </c>
      <c r="L49" s="20">
        <f>IF(A49="","",IF(COUNTIFS(Pedidos!$C:$C,A49,Pedidos!$B:$B,"&lt;="&amp;EOMONTH(Parametros!$B$2,0))=0,"",_xlfn.MAXIFS(Pedidos!$B:$B,Pedidos!$C:$C,A49,Pedidos!$B:$B,"&lt;="&amp;EOMONTH(Parametros!$B$2,0))))</f>
        <v/>
      </c>
      <c r="M49" s="20">
        <f>IF(OR(L49="",F49=""),"",EDATE(L49,F49))</f>
        <v/>
      </c>
      <c r="N49" s="21">
        <f>IF(A49="","",IF(L49="","Sem histórico",IF(AND(L49&gt;=Parametros!$B$2,L49&lt;=EOMONTH(Parametros!$B$2,0)),"Comprou no mês",IF(M49="","Sem periodicidade",IF(M49&lt;Parametros!$B$2,"Atrasado",IF(M49&lt;=EOMONTH(Parametros!$B$2,0),"Previsto no mês","Em dia"))))))</f>
        <v/>
      </c>
    </row>
    <row r="50">
      <c r="I50" s="18">
        <f>IF(A50="","",COUNTIFS(Pedidos!$C:$C,A50,Pedidos!$K:$K,Parametros!$B$3))</f>
        <v/>
      </c>
      <c r="J50" s="19">
        <f>IF(A50="","",SUMIFS(Pedidos!$E:$E,Pedidos!$C:$C,A50,Pedidos!$K:$K,Parametros!$B$3))</f>
        <v/>
      </c>
      <c r="K50" s="18">
        <f>IF(A50="","",COUNTIFS(Pedidos!$C:$C,A50,Pedidos!$K:$K,Parametros!$B$4))</f>
        <v/>
      </c>
      <c r="L50" s="20">
        <f>IF(A50="","",IF(COUNTIFS(Pedidos!$C:$C,A50,Pedidos!$B:$B,"&lt;="&amp;EOMONTH(Parametros!$B$2,0))=0,"",_xlfn.MAXIFS(Pedidos!$B:$B,Pedidos!$C:$C,A50,Pedidos!$B:$B,"&lt;="&amp;EOMONTH(Parametros!$B$2,0))))</f>
        <v/>
      </c>
      <c r="M50" s="20">
        <f>IF(OR(L50="",F50=""),"",EDATE(L50,F50))</f>
        <v/>
      </c>
      <c r="N50" s="21">
        <f>IF(A50="","",IF(L50="","Sem histórico",IF(AND(L50&gt;=Parametros!$B$2,L50&lt;=EOMONTH(Parametros!$B$2,0)),"Comprou no mês",IF(M50="","Sem periodicidade",IF(M50&lt;Parametros!$B$2,"Atrasado",IF(M50&lt;=EOMONTH(Parametros!$B$2,0),"Previsto no mês","Em dia"))))))</f>
        <v/>
      </c>
    </row>
    <row r="51">
      <c r="I51" s="18">
        <f>IF(A51="","",COUNTIFS(Pedidos!$C:$C,A51,Pedidos!$K:$K,Parametros!$B$3))</f>
        <v/>
      </c>
      <c r="J51" s="19">
        <f>IF(A51="","",SUMIFS(Pedidos!$E:$E,Pedidos!$C:$C,A51,Pedidos!$K:$K,Parametros!$B$3))</f>
        <v/>
      </c>
      <c r="K51" s="18">
        <f>IF(A51="","",COUNTIFS(Pedidos!$C:$C,A51,Pedidos!$K:$K,Parametros!$B$4))</f>
        <v/>
      </c>
      <c r="L51" s="20">
        <f>IF(A51="","",IF(COUNTIFS(Pedidos!$C:$C,A51,Pedidos!$B:$B,"&lt;="&amp;EOMONTH(Parametros!$B$2,0))=0,"",_xlfn.MAXIFS(Pedidos!$B:$B,Pedidos!$C:$C,A51,Pedidos!$B:$B,"&lt;="&amp;EOMONTH(Parametros!$B$2,0))))</f>
        <v/>
      </c>
      <c r="M51" s="20">
        <f>IF(OR(L51="",F51=""),"",EDATE(L51,F51))</f>
        <v/>
      </c>
      <c r="N51" s="21">
        <f>IF(A51="","",IF(L51="","Sem histórico",IF(AND(L51&gt;=Parametros!$B$2,L51&lt;=EOMONTH(Parametros!$B$2,0)),"Comprou no mês",IF(M51="","Sem periodicidade",IF(M51&lt;Parametros!$B$2,"Atrasado",IF(M51&lt;=EOMONTH(Parametros!$B$2,0),"Previsto no mês","Em dia"))))))</f>
        <v/>
      </c>
    </row>
    <row r="52">
      <c r="I52" s="18">
        <f>IF(A52="","",COUNTIFS(Pedidos!$C:$C,A52,Pedidos!$K:$K,Parametros!$B$3))</f>
        <v/>
      </c>
      <c r="J52" s="19">
        <f>IF(A52="","",SUMIFS(Pedidos!$E:$E,Pedidos!$C:$C,A52,Pedidos!$K:$K,Parametros!$B$3))</f>
        <v/>
      </c>
      <c r="K52" s="18">
        <f>IF(A52="","",COUNTIFS(Pedidos!$C:$C,A52,Pedidos!$K:$K,Parametros!$B$4))</f>
        <v/>
      </c>
      <c r="L52" s="20">
        <f>IF(A52="","",IF(COUNTIFS(Pedidos!$C:$C,A52,Pedidos!$B:$B,"&lt;="&amp;EOMONTH(Parametros!$B$2,0))=0,"",_xlfn.MAXIFS(Pedidos!$B:$B,Pedidos!$C:$C,A52,Pedidos!$B:$B,"&lt;="&amp;EOMONTH(Parametros!$B$2,0))))</f>
        <v/>
      </c>
      <c r="M52" s="20">
        <f>IF(OR(L52="",F52=""),"",EDATE(L52,F52))</f>
        <v/>
      </c>
      <c r="N52" s="21">
        <f>IF(A52="","",IF(L52="","Sem histórico",IF(AND(L52&gt;=Parametros!$B$2,L52&lt;=EOMONTH(Parametros!$B$2,0)),"Comprou no mês",IF(M52="","Sem periodicidade",IF(M52&lt;Parametros!$B$2,"Atrasado",IF(M52&lt;=EOMONTH(Parametros!$B$2,0),"Previsto no mês","Em dia"))))))</f>
        <v/>
      </c>
    </row>
    <row r="53">
      <c r="I53" s="18">
        <f>IF(A53="","",COUNTIFS(Pedidos!$C:$C,A53,Pedidos!$K:$K,Parametros!$B$3))</f>
        <v/>
      </c>
      <c r="J53" s="19">
        <f>IF(A53="","",SUMIFS(Pedidos!$E:$E,Pedidos!$C:$C,A53,Pedidos!$K:$K,Parametros!$B$3))</f>
        <v/>
      </c>
      <c r="K53" s="18">
        <f>IF(A53="","",COUNTIFS(Pedidos!$C:$C,A53,Pedidos!$K:$K,Parametros!$B$4))</f>
        <v/>
      </c>
      <c r="L53" s="20">
        <f>IF(A53="","",IF(COUNTIFS(Pedidos!$C:$C,A53,Pedidos!$B:$B,"&lt;="&amp;EOMONTH(Parametros!$B$2,0))=0,"",_xlfn.MAXIFS(Pedidos!$B:$B,Pedidos!$C:$C,A53,Pedidos!$B:$B,"&lt;="&amp;EOMONTH(Parametros!$B$2,0))))</f>
        <v/>
      </c>
      <c r="M53" s="20">
        <f>IF(OR(L53="",F53=""),"",EDATE(L53,F53))</f>
        <v/>
      </c>
      <c r="N53" s="21">
        <f>IF(A53="","",IF(L53="","Sem histórico",IF(AND(L53&gt;=Parametros!$B$2,L53&lt;=EOMONTH(Parametros!$B$2,0)),"Comprou no mês",IF(M53="","Sem periodicidade",IF(M53&lt;Parametros!$B$2,"Atrasado",IF(M53&lt;=EOMONTH(Parametros!$B$2,0),"Previsto no mês","Em dia"))))))</f>
        <v/>
      </c>
    </row>
    <row r="54">
      <c r="I54" s="18">
        <f>IF(A54="","",COUNTIFS(Pedidos!$C:$C,A54,Pedidos!$K:$K,Parametros!$B$3))</f>
        <v/>
      </c>
      <c r="J54" s="19">
        <f>IF(A54="","",SUMIFS(Pedidos!$E:$E,Pedidos!$C:$C,A54,Pedidos!$K:$K,Parametros!$B$3))</f>
        <v/>
      </c>
      <c r="K54" s="18">
        <f>IF(A54="","",COUNTIFS(Pedidos!$C:$C,A54,Pedidos!$K:$K,Parametros!$B$4))</f>
        <v/>
      </c>
      <c r="L54" s="20">
        <f>IF(A54="","",IF(COUNTIFS(Pedidos!$C:$C,A54,Pedidos!$B:$B,"&lt;="&amp;EOMONTH(Parametros!$B$2,0))=0,"",_xlfn.MAXIFS(Pedidos!$B:$B,Pedidos!$C:$C,A54,Pedidos!$B:$B,"&lt;="&amp;EOMONTH(Parametros!$B$2,0))))</f>
        <v/>
      </c>
      <c r="M54" s="20">
        <f>IF(OR(L54="",F54=""),"",EDATE(L54,F54))</f>
        <v/>
      </c>
      <c r="N54" s="21">
        <f>IF(A54="","",IF(L54="","Sem histórico",IF(AND(L54&gt;=Parametros!$B$2,L54&lt;=EOMONTH(Parametros!$B$2,0)),"Comprou no mês",IF(M54="","Sem periodicidade",IF(M54&lt;Parametros!$B$2,"Atrasado",IF(M54&lt;=EOMONTH(Parametros!$B$2,0),"Previsto no mês","Em dia"))))))</f>
        <v/>
      </c>
    </row>
    <row r="55">
      <c r="I55" s="18">
        <f>IF(A55="","",COUNTIFS(Pedidos!$C:$C,A55,Pedidos!$K:$K,Parametros!$B$3))</f>
        <v/>
      </c>
      <c r="J55" s="19">
        <f>IF(A55="","",SUMIFS(Pedidos!$E:$E,Pedidos!$C:$C,A55,Pedidos!$K:$K,Parametros!$B$3))</f>
        <v/>
      </c>
      <c r="K55" s="18">
        <f>IF(A55="","",COUNTIFS(Pedidos!$C:$C,A55,Pedidos!$K:$K,Parametros!$B$4))</f>
        <v/>
      </c>
      <c r="L55" s="20">
        <f>IF(A55="","",IF(COUNTIFS(Pedidos!$C:$C,A55,Pedidos!$B:$B,"&lt;="&amp;EOMONTH(Parametros!$B$2,0))=0,"",_xlfn.MAXIFS(Pedidos!$B:$B,Pedidos!$C:$C,A55,Pedidos!$B:$B,"&lt;="&amp;EOMONTH(Parametros!$B$2,0))))</f>
        <v/>
      </c>
      <c r="M55" s="20">
        <f>IF(OR(L55="",F55=""),"",EDATE(L55,F55))</f>
        <v/>
      </c>
      <c r="N55" s="21">
        <f>IF(A55="","",IF(L55="","Sem histórico",IF(AND(L55&gt;=Parametros!$B$2,L55&lt;=EOMONTH(Parametros!$B$2,0)),"Comprou no mês",IF(M55="","Sem periodicidade",IF(M55&lt;Parametros!$B$2,"Atrasado",IF(M55&lt;=EOMONTH(Parametros!$B$2,0),"Previsto no mês","Em dia"))))))</f>
        <v/>
      </c>
    </row>
    <row r="56">
      <c r="I56" s="18">
        <f>IF(A56="","",COUNTIFS(Pedidos!$C:$C,A56,Pedidos!$K:$K,Parametros!$B$3))</f>
        <v/>
      </c>
      <c r="J56" s="19">
        <f>IF(A56="","",SUMIFS(Pedidos!$E:$E,Pedidos!$C:$C,A56,Pedidos!$K:$K,Parametros!$B$3))</f>
        <v/>
      </c>
      <c r="K56" s="18">
        <f>IF(A56="","",COUNTIFS(Pedidos!$C:$C,A56,Pedidos!$K:$K,Parametros!$B$4))</f>
        <v/>
      </c>
      <c r="L56" s="20">
        <f>IF(A56="","",IF(COUNTIFS(Pedidos!$C:$C,A56,Pedidos!$B:$B,"&lt;="&amp;EOMONTH(Parametros!$B$2,0))=0,"",_xlfn.MAXIFS(Pedidos!$B:$B,Pedidos!$C:$C,A56,Pedidos!$B:$B,"&lt;="&amp;EOMONTH(Parametros!$B$2,0))))</f>
        <v/>
      </c>
      <c r="M56" s="20">
        <f>IF(OR(L56="",F56=""),"",EDATE(L56,F56))</f>
        <v/>
      </c>
      <c r="N56" s="21">
        <f>IF(A56="","",IF(L56="","Sem histórico",IF(AND(L56&gt;=Parametros!$B$2,L56&lt;=EOMONTH(Parametros!$B$2,0)),"Comprou no mês",IF(M56="","Sem periodicidade",IF(M56&lt;Parametros!$B$2,"Atrasado",IF(M56&lt;=EOMONTH(Parametros!$B$2,0),"Previsto no mês","Em dia"))))))</f>
        <v/>
      </c>
    </row>
    <row r="57">
      <c r="I57" s="18">
        <f>IF(A57="","",COUNTIFS(Pedidos!$C:$C,A57,Pedidos!$K:$K,Parametros!$B$3))</f>
        <v/>
      </c>
      <c r="J57" s="19">
        <f>IF(A57="","",SUMIFS(Pedidos!$E:$E,Pedidos!$C:$C,A57,Pedidos!$K:$K,Parametros!$B$3))</f>
        <v/>
      </c>
      <c r="K57" s="18">
        <f>IF(A57="","",COUNTIFS(Pedidos!$C:$C,A57,Pedidos!$K:$K,Parametros!$B$4))</f>
        <v/>
      </c>
      <c r="L57" s="20">
        <f>IF(A57="","",IF(COUNTIFS(Pedidos!$C:$C,A57,Pedidos!$B:$B,"&lt;="&amp;EOMONTH(Parametros!$B$2,0))=0,"",_xlfn.MAXIFS(Pedidos!$B:$B,Pedidos!$C:$C,A57,Pedidos!$B:$B,"&lt;="&amp;EOMONTH(Parametros!$B$2,0))))</f>
        <v/>
      </c>
      <c r="M57" s="20">
        <f>IF(OR(L57="",F57=""),"",EDATE(L57,F57))</f>
        <v/>
      </c>
      <c r="N57" s="21">
        <f>IF(A57="","",IF(L57="","Sem histórico",IF(AND(L57&gt;=Parametros!$B$2,L57&lt;=EOMONTH(Parametros!$B$2,0)),"Comprou no mês",IF(M57="","Sem periodicidade",IF(M57&lt;Parametros!$B$2,"Atrasado",IF(M57&lt;=EOMONTH(Parametros!$B$2,0),"Previsto no mês","Em dia"))))))</f>
        <v/>
      </c>
    </row>
    <row r="58">
      <c r="I58" s="18">
        <f>IF(A58="","",COUNTIFS(Pedidos!$C:$C,A58,Pedidos!$K:$K,Parametros!$B$3))</f>
        <v/>
      </c>
      <c r="J58" s="19">
        <f>IF(A58="","",SUMIFS(Pedidos!$E:$E,Pedidos!$C:$C,A58,Pedidos!$K:$K,Parametros!$B$3))</f>
        <v/>
      </c>
      <c r="K58" s="18">
        <f>IF(A58="","",COUNTIFS(Pedidos!$C:$C,A58,Pedidos!$K:$K,Parametros!$B$4))</f>
        <v/>
      </c>
      <c r="L58" s="20">
        <f>IF(A58="","",IF(COUNTIFS(Pedidos!$C:$C,A58,Pedidos!$B:$B,"&lt;="&amp;EOMONTH(Parametros!$B$2,0))=0,"",_xlfn.MAXIFS(Pedidos!$B:$B,Pedidos!$C:$C,A58,Pedidos!$B:$B,"&lt;="&amp;EOMONTH(Parametros!$B$2,0))))</f>
        <v/>
      </c>
      <c r="M58" s="20">
        <f>IF(OR(L58="",F58=""),"",EDATE(L58,F58))</f>
        <v/>
      </c>
      <c r="N58" s="21">
        <f>IF(A58="","",IF(L58="","Sem histórico",IF(AND(L58&gt;=Parametros!$B$2,L58&lt;=EOMONTH(Parametros!$B$2,0)),"Comprou no mês",IF(M58="","Sem periodicidade",IF(M58&lt;Parametros!$B$2,"Atrasado",IF(M58&lt;=EOMONTH(Parametros!$B$2,0),"Previsto no mês","Em dia"))))))</f>
        <v/>
      </c>
    </row>
    <row r="59">
      <c r="I59" s="18">
        <f>IF(A59="","",COUNTIFS(Pedidos!$C:$C,A59,Pedidos!$K:$K,Parametros!$B$3))</f>
        <v/>
      </c>
      <c r="J59" s="19">
        <f>IF(A59="","",SUMIFS(Pedidos!$E:$E,Pedidos!$C:$C,A59,Pedidos!$K:$K,Parametros!$B$3))</f>
        <v/>
      </c>
      <c r="K59" s="18">
        <f>IF(A59="","",COUNTIFS(Pedidos!$C:$C,A59,Pedidos!$K:$K,Parametros!$B$4))</f>
        <v/>
      </c>
      <c r="L59" s="20">
        <f>IF(A59="","",IF(COUNTIFS(Pedidos!$C:$C,A59,Pedidos!$B:$B,"&lt;="&amp;EOMONTH(Parametros!$B$2,0))=0,"",_xlfn.MAXIFS(Pedidos!$B:$B,Pedidos!$C:$C,A59,Pedidos!$B:$B,"&lt;="&amp;EOMONTH(Parametros!$B$2,0))))</f>
        <v/>
      </c>
      <c r="M59" s="20">
        <f>IF(OR(L59="",F59=""),"",EDATE(L59,F59))</f>
        <v/>
      </c>
      <c r="N59" s="21">
        <f>IF(A59="","",IF(L59="","Sem histórico",IF(AND(L59&gt;=Parametros!$B$2,L59&lt;=EOMONTH(Parametros!$B$2,0)),"Comprou no mês",IF(M59="","Sem periodicidade",IF(M59&lt;Parametros!$B$2,"Atrasado",IF(M59&lt;=EOMONTH(Parametros!$B$2,0),"Previsto no mês","Em dia"))))))</f>
        <v/>
      </c>
    </row>
    <row r="60">
      <c r="I60" s="18">
        <f>IF(A60="","",COUNTIFS(Pedidos!$C:$C,A60,Pedidos!$K:$K,Parametros!$B$3))</f>
        <v/>
      </c>
      <c r="J60" s="19">
        <f>IF(A60="","",SUMIFS(Pedidos!$E:$E,Pedidos!$C:$C,A60,Pedidos!$K:$K,Parametros!$B$3))</f>
        <v/>
      </c>
      <c r="K60" s="18">
        <f>IF(A60="","",COUNTIFS(Pedidos!$C:$C,A60,Pedidos!$K:$K,Parametros!$B$4))</f>
        <v/>
      </c>
      <c r="L60" s="20">
        <f>IF(A60="","",IF(COUNTIFS(Pedidos!$C:$C,A60,Pedidos!$B:$B,"&lt;="&amp;EOMONTH(Parametros!$B$2,0))=0,"",_xlfn.MAXIFS(Pedidos!$B:$B,Pedidos!$C:$C,A60,Pedidos!$B:$B,"&lt;="&amp;EOMONTH(Parametros!$B$2,0))))</f>
        <v/>
      </c>
      <c r="M60" s="20">
        <f>IF(OR(L60="",F60=""),"",EDATE(L60,F60))</f>
        <v/>
      </c>
      <c r="N60" s="21">
        <f>IF(A60="","",IF(L60="","Sem histórico",IF(AND(L60&gt;=Parametros!$B$2,L60&lt;=EOMONTH(Parametros!$B$2,0)),"Comprou no mês",IF(M60="","Sem periodicidade",IF(M60&lt;Parametros!$B$2,"Atrasado",IF(M60&lt;=EOMONTH(Parametros!$B$2,0),"Previsto no mês","Em dia"))))))</f>
        <v/>
      </c>
    </row>
    <row r="61">
      <c r="I61" s="18">
        <f>IF(A61="","",COUNTIFS(Pedidos!$C:$C,A61,Pedidos!$K:$K,Parametros!$B$3))</f>
        <v/>
      </c>
      <c r="J61" s="19">
        <f>IF(A61="","",SUMIFS(Pedidos!$E:$E,Pedidos!$C:$C,A61,Pedidos!$K:$K,Parametros!$B$3))</f>
        <v/>
      </c>
      <c r="K61" s="18">
        <f>IF(A61="","",COUNTIFS(Pedidos!$C:$C,A61,Pedidos!$K:$K,Parametros!$B$4))</f>
        <v/>
      </c>
      <c r="L61" s="20">
        <f>IF(A61="","",IF(COUNTIFS(Pedidos!$C:$C,A61,Pedidos!$B:$B,"&lt;="&amp;EOMONTH(Parametros!$B$2,0))=0,"",_xlfn.MAXIFS(Pedidos!$B:$B,Pedidos!$C:$C,A61,Pedidos!$B:$B,"&lt;="&amp;EOMONTH(Parametros!$B$2,0))))</f>
        <v/>
      </c>
      <c r="M61" s="20">
        <f>IF(OR(L61="",F61=""),"",EDATE(L61,F61))</f>
        <v/>
      </c>
      <c r="N61" s="21">
        <f>IF(A61="","",IF(L61="","Sem histórico",IF(AND(L61&gt;=Parametros!$B$2,L61&lt;=EOMONTH(Parametros!$B$2,0)),"Comprou no mês",IF(M61="","Sem periodicidade",IF(M61&lt;Parametros!$B$2,"Atrasado",IF(M61&lt;=EOMONTH(Parametros!$B$2,0),"Previsto no mês","Em dia"))))))</f>
        <v/>
      </c>
    </row>
    <row r="62">
      <c r="I62" s="18">
        <f>IF(A62="","",COUNTIFS(Pedidos!$C:$C,A62,Pedidos!$K:$K,Parametros!$B$3))</f>
        <v/>
      </c>
      <c r="J62" s="19">
        <f>IF(A62="","",SUMIFS(Pedidos!$E:$E,Pedidos!$C:$C,A62,Pedidos!$K:$K,Parametros!$B$3))</f>
        <v/>
      </c>
      <c r="K62" s="18">
        <f>IF(A62="","",COUNTIFS(Pedidos!$C:$C,A62,Pedidos!$K:$K,Parametros!$B$4))</f>
        <v/>
      </c>
      <c r="L62" s="20">
        <f>IF(A62="","",IF(COUNTIFS(Pedidos!$C:$C,A62,Pedidos!$B:$B,"&lt;="&amp;EOMONTH(Parametros!$B$2,0))=0,"",_xlfn.MAXIFS(Pedidos!$B:$B,Pedidos!$C:$C,A62,Pedidos!$B:$B,"&lt;="&amp;EOMONTH(Parametros!$B$2,0))))</f>
        <v/>
      </c>
      <c r="M62" s="20">
        <f>IF(OR(L62="",F62=""),"",EDATE(L62,F62))</f>
        <v/>
      </c>
      <c r="N62" s="21">
        <f>IF(A62="","",IF(L62="","Sem histórico",IF(AND(L62&gt;=Parametros!$B$2,L62&lt;=EOMONTH(Parametros!$B$2,0)),"Comprou no mês",IF(M62="","Sem periodicidade",IF(M62&lt;Parametros!$B$2,"Atrasado",IF(M62&lt;=EOMONTH(Parametros!$B$2,0),"Previsto no mês","Em dia"))))))</f>
        <v/>
      </c>
    </row>
    <row r="63">
      <c r="I63" s="18">
        <f>IF(A63="","",COUNTIFS(Pedidos!$C:$C,A63,Pedidos!$K:$K,Parametros!$B$3))</f>
        <v/>
      </c>
      <c r="J63" s="19">
        <f>IF(A63="","",SUMIFS(Pedidos!$E:$E,Pedidos!$C:$C,A63,Pedidos!$K:$K,Parametros!$B$3))</f>
        <v/>
      </c>
      <c r="K63" s="18">
        <f>IF(A63="","",COUNTIFS(Pedidos!$C:$C,A63,Pedidos!$K:$K,Parametros!$B$4))</f>
        <v/>
      </c>
      <c r="L63" s="20">
        <f>IF(A63="","",IF(COUNTIFS(Pedidos!$C:$C,A63,Pedidos!$B:$B,"&lt;="&amp;EOMONTH(Parametros!$B$2,0))=0,"",_xlfn.MAXIFS(Pedidos!$B:$B,Pedidos!$C:$C,A63,Pedidos!$B:$B,"&lt;="&amp;EOMONTH(Parametros!$B$2,0))))</f>
        <v/>
      </c>
      <c r="M63" s="20">
        <f>IF(OR(L63="",F63=""),"",EDATE(L63,F63))</f>
        <v/>
      </c>
      <c r="N63" s="21">
        <f>IF(A63="","",IF(L63="","Sem histórico",IF(AND(L63&gt;=Parametros!$B$2,L63&lt;=EOMONTH(Parametros!$B$2,0)),"Comprou no mês",IF(M63="","Sem periodicidade",IF(M63&lt;Parametros!$B$2,"Atrasado",IF(M63&lt;=EOMONTH(Parametros!$B$2,0),"Previsto no mês","Em dia"))))))</f>
        <v/>
      </c>
    </row>
    <row r="64">
      <c r="I64" s="18">
        <f>IF(A64="","",COUNTIFS(Pedidos!$C:$C,A64,Pedidos!$K:$K,Parametros!$B$3))</f>
        <v/>
      </c>
      <c r="J64" s="19">
        <f>IF(A64="","",SUMIFS(Pedidos!$E:$E,Pedidos!$C:$C,A64,Pedidos!$K:$K,Parametros!$B$3))</f>
        <v/>
      </c>
      <c r="K64" s="18">
        <f>IF(A64="","",COUNTIFS(Pedidos!$C:$C,A64,Pedidos!$K:$K,Parametros!$B$4))</f>
        <v/>
      </c>
      <c r="L64" s="20">
        <f>IF(A64="","",IF(COUNTIFS(Pedidos!$C:$C,A64,Pedidos!$B:$B,"&lt;="&amp;EOMONTH(Parametros!$B$2,0))=0,"",_xlfn.MAXIFS(Pedidos!$B:$B,Pedidos!$C:$C,A64,Pedidos!$B:$B,"&lt;="&amp;EOMONTH(Parametros!$B$2,0))))</f>
        <v/>
      </c>
      <c r="M64" s="20">
        <f>IF(OR(L64="",F64=""),"",EDATE(L64,F64))</f>
        <v/>
      </c>
      <c r="N64" s="21">
        <f>IF(A64="","",IF(L64="","Sem histórico",IF(AND(L64&gt;=Parametros!$B$2,L64&lt;=EOMONTH(Parametros!$B$2,0)),"Comprou no mês",IF(M64="","Sem periodicidade",IF(M64&lt;Parametros!$B$2,"Atrasado",IF(M64&lt;=EOMONTH(Parametros!$B$2,0),"Previsto no mês","Em dia"))))))</f>
        <v/>
      </c>
    </row>
    <row r="65">
      <c r="I65" s="18">
        <f>IF(A65="","",COUNTIFS(Pedidos!$C:$C,A65,Pedidos!$K:$K,Parametros!$B$3))</f>
        <v/>
      </c>
      <c r="J65" s="19">
        <f>IF(A65="","",SUMIFS(Pedidos!$E:$E,Pedidos!$C:$C,A65,Pedidos!$K:$K,Parametros!$B$3))</f>
        <v/>
      </c>
      <c r="K65" s="18">
        <f>IF(A65="","",COUNTIFS(Pedidos!$C:$C,A65,Pedidos!$K:$K,Parametros!$B$4))</f>
        <v/>
      </c>
      <c r="L65" s="20">
        <f>IF(A65="","",IF(COUNTIFS(Pedidos!$C:$C,A65,Pedidos!$B:$B,"&lt;="&amp;EOMONTH(Parametros!$B$2,0))=0,"",_xlfn.MAXIFS(Pedidos!$B:$B,Pedidos!$C:$C,A65,Pedidos!$B:$B,"&lt;="&amp;EOMONTH(Parametros!$B$2,0))))</f>
        <v/>
      </c>
      <c r="M65" s="20">
        <f>IF(OR(L65="",F65=""),"",EDATE(L65,F65))</f>
        <v/>
      </c>
      <c r="N65" s="21">
        <f>IF(A65="","",IF(L65="","Sem histórico",IF(AND(L65&gt;=Parametros!$B$2,L65&lt;=EOMONTH(Parametros!$B$2,0)),"Comprou no mês",IF(M65="","Sem periodicidade",IF(M65&lt;Parametros!$B$2,"Atrasado",IF(M65&lt;=EOMONTH(Parametros!$B$2,0),"Previsto no mês","Em dia"))))))</f>
        <v/>
      </c>
    </row>
    <row r="66">
      <c r="I66" s="18">
        <f>IF(A66="","",COUNTIFS(Pedidos!$C:$C,A66,Pedidos!$K:$K,Parametros!$B$3))</f>
        <v/>
      </c>
      <c r="J66" s="19">
        <f>IF(A66="","",SUMIFS(Pedidos!$E:$E,Pedidos!$C:$C,A66,Pedidos!$K:$K,Parametros!$B$3))</f>
        <v/>
      </c>
      <c r="K66" s="18">
        <f>IF(A66="","",COUNTIFS(Pedidos!$C:$C,A66,Pedidos!$K:$K,Parametros!$B$4))</f>
        <v/>
      </c>
      <c r="L66" s="20">
        <f>IF(A66="","",IF(COUNTIFS(Pedidos!$C:$C,A66,Pedidos!$B:$B,"&lt;="&amp;EOMONTH(Parametros!$B$2,0))=0,"",_xlfn.MAXIFS(Pedidos!$B:$B,Pedidos!$C:$C,A66,Pedidos!$B:$B,"&lt;="&amp;EOMONTH(Parametros!$B$2,0))))</f>
        <v/>
      </c>
      <c r="M66" s="20">
        <f>IF(OR(L66="",F66=""),"",EDATE(L66,F66))</f>
        <v/>
      </c>
      <c r="N66" s="21">
        <f>IF(A66="","",IF(L66="","Sem histórico",IF(AND(L66&gt;=Parametros!$B$2,L66&lt;=EOMONTH(Parametros!$B$2,0)),"Comprou no mês",IF(M66="","Sem periodicidade",IF(M66&lt;Parametros!$B$2,"Atrasado",IF(M66&lt;=EOMONTH(Parametros!$B$2,0),"Previsto no mês","Em dia"))))))</f>
        <v/>
      </c>
    </row>
    <row r="67">
      <c r="I67" s="18">
        <f>IF(A67="","",COUNTIFS(Pedidos!$C:$C,A67,Pedidos!$K:$K,Parametros!$B$3))</f>
        <v/>
      </c>
      <c r="J67" s="19">
        <f>IF(A67="","",SUMIFS(Pedidos!$E:$E,Pedidos!$C:$C,A67,Pedidos!$K:$K,Parametros!$B$3))</f>
        <v/>
      </c>
      <c r="K67" s="18">
        <f>IF(A67="","",COUNTIFS(Pedidos!$C:$C,A67,Pedidos!$K:$K,Parametros!$B$4))</f>
        <v/>
      </c>
      <c r="L67" s="20">
        <f>IF(A67="","",IF(COUNTIFS(Pedidos!$C:$C,A67,Pedidos!$B:$B,"&lt;="&amp;EOMONTH(Parametros!$B$2,0))=0,"",_xlfn.MAXIFS(Pedidos!$B:$B,Pedidos!$C:$C,A67,Pedidos!$B:$B,"&lt;="&amp;EOMONTH(Parametros!$B$2,0))))</f>
        <v/>
      </c>
      <c r="M67" s="20">
        <f>IF(OR(L67="",F67=""),"",EDATE(L67,F67))</f>
        <v/>
      </c>
      <c r="N67" s="21">
        <f>IF(A67="","",IF(L67="","Sem histórico",IF(AND(L67&gt;=Parametros!$B$2,L67&lt;=EOMONTH(Parametros!$B$2,0)),"Comprou no mês",IF(M67="","Sem periodicidade",IF(M67&lt;Parametros!$B$2,"Atrasado",IF(M67&lt;=EOMONTH(Parametros!$B$2,0),"Previsto no mês","Em dia"))))))</f>
        <v/>
      </c>
    </row>
    <row r="68">
      <c r="I68" s="18">
        <f>IF(A68="","",COUNTIFS(Pedidos!$C:$C,A68,Pedidos!$K:$K,Parametros!$B$3))</f>
        <v/>
      </c>
      <c r="J68" s="19">
        <f>IF(A68="","",SUMIFS(Pedidos!$E:$E,Pedidos!$C:$C,A68,Pedidos!$K:$K,Parametros!$B$3))</f>
        <v/>
      </c>
      <c r="K68" s="18">
        <f>IF(A68="","",COUNTIFS(Pedidos!$C:$C,A68,Pedidos!$K:$K,Parametros!$B$4))</f>
        <v/>
      </c>
      <c r="L68" s="20">
        <f>IF(A68="","",IF(COUNTIFS(Pedidos!$C:$C,A68,Pedidos!$B:$B,"&lt;="&amp;EOMONTH(Parametros!$B$2,0))=0,"",_xlfn.MAXIFS(Pedidos!$B:$B,Pedidos!$C:$C,A68,Pedidos!$B:$B,"&lt;="&amp;EOMONTH(Parametros!$B$2,0))))</f>
        <v/>
      </c>
      <c r="M68" s="20">
        <f>IF(OR(L68="",F68=""),"",EDATE(L68,F68))</f>
        <v/>
      </c>
      <c r="N68" s="21">
        <f>IF(A68="","",IF(L68="","Sem histórico",IF(AND(L68&gt;=Parametros!$B$2,L68&lt;=EOMONTH(Parametros!$B$2,0)),"Comprou no mês",IF(M68="","Sem periodicidade",IF(M68&lt;Parametros!$B$2,"Atrasado",IF(M68&lt;=EOMONTH(Parametros!$B$2,0),"Previsto no mês","Em dia"))))))</f>
        <v/>
      </c>
    </row>
    <row r="69">
      <c r="I69" s="18">
        <f>IF(A69="","",COUNTIFS(Pedidos!$C:$C,A69,Pedidos!$K:$K,Parametros!$B$3))</f>
        <v/>
      </c>
      <c r="J69" s="19">
        <f>IF(A69="","",SUMIFS(Pedidos!$E:$E,Pedidos!$C:$C,A69,Pedidos!$K:$K,Parametros!$B$3))</f>
        <v/>
      </c>
      <c r="K69" s="18">
        <f>IF(A69="","",COUNTIFS(Pedidos!$C:$C,A69,Pedidos!$K:$K,Parametros!$B$4))</f>
        <v/>
      </c>
      <c r="L69" s="20">
        <f>IF(A69="","",IF(COUNTIFS(Pedidos!$C:$C,A69,Pedidos!$B:$B,"&lt;="&amp;EOMONTH(Parametros!$B$2,0))=0,"",_xlfn.MAXIFS(Pedidos!$B:$B,Pedidos!$C:$C,A69,Pedidos!$B:$B,"&lt;="&amp;EOMONTH(Parametros!$B$2,0))))</f>
        <v/>
      </c>
      <c r="M69" s="20">
        <f>IF(OR(L69="",F69=""),"",EDATE(L69,F69))</f>
        <v/>
      </c>
      <c r="N69" s="21">
        <f>IF(A69="","",IF(L69="","Sem histórico",IF(AND(L69&gt;=Parametros!$B$2,L69&lt;=EOMONTH(Parametros!$B$2,0)),"Comprou no mês",IF(M69="","Sem periodicidade",IF(M69&lt;Parametros!$B$2,"Atrasado",IF(M69&lt;=EOMONTH(Parametros!$B$2,0),"Previsto no mês","Em dia"))))))</f>
        <v/>
      </c>
    </row>
    <row r="70">
      <c r="I70" s="18">
        <f>IF(A70="","",COUNTIFS(Pedidos!$C:$C,A70,Pedidos!$K:$K,Parametros!$B$3))</f>
        <v/>
      </c>
      <c r="J70" s="19">
        <f>IF(A70="","",SUMIFS(Pedidos!$E:$E,Pedidos!$C:$C,A70,Pedidos!$K:$K,Parametros!$B$3))</f>
        <v/>
      </c>
      <c r="K70" s="18">
        <f>IF(A70="","",COUNTIFS(Pedidos!$C:$C,A70,Pedidos!$K:$K,Parametros!$B$4))</f>
        <v/>
      </c>
      <c r="L70" s="20">
        <f>IF(A70="","",IF(COUNTIFS(Pedidos!$C:$C,A70,Pedidos!$B:$B,"&lt;="&amp;EOMONTH(Parametros!$B$2,0))=0,"",_xlfn.MAXIFS(Pedidos!$B:$B,Pedidos!$C:$C,A70,Pedidos!$B:$B,"&lt;="&amp;EOMONTH(Parametros!$B$2,0))))</f>
        <v/>
      </c>
      <c r="M70" s="20">
        <f>IF(OR(L70="",F70=""),"",EDATE(L70,F70))</f>
        <v/>
      </c>
      <c r="N70" s="21">
        <f>IF(A70="","",IF(L70="","Sem histórico",IF(AND(L70&gt;=Parametros!$B$2,L70&lt;=EOMONTH(Parametros!$B$2,0)),"Comprou no mês",IF(M70="","Sem periodicidade",IF(M70&lt;Parametros!$B$2,"Atrasado",IF(M70&lt;=EOMONTH(Parametros!$B$2,0),"Previsto no mês","Em dia"))))))</f>
        <v/>
      </c>
    </row>
    <row r="71">
      <c r="I71" s="18">
        <f>IF(A71="","",COUNTIFS(Pedidos!$C:$C,A71,Pedidos!$K:$K,Parametros!$B$3))</f>
        <v/>
      </c>
      <c r="J71" s="19">
        <f>IF(A71="","",SUMIFS(Pedidos!$E:$E,Pedidos!$C:$C,A71,Pedidos!$K:$K,Parametros!$B$3))</f>
        <v/>
      </c>
      <c r="K71" s="18">
        <f>IF(A71="","",COUNTIFS(Pedidos!$C:$C,A71,Pedidos!$K:$K,Parametros!$B$4))</f>
        <v/>
      </c>
      <c r="L71" s="20">
        <f>IF(A71="","",IF(COUNTIFS(Pedidos!$C:$C,A71,Pedidos!$B:$B,"&lt;="&amp;EOMONTH(Parametros!$B$2,0))=0,"",_xlfn.MAXIFS(Pedidos!$B:$B,Pedidos!$C:$C,A71,Pedidos!$B:$B,"&lt;="&amp;EOMONTH(Parametros!$B$2,0))))</f>
        <v/>
      </c>
      <c r="M71" s="20">
        <f>IF(OR(L71="",F71=""),"",EDATE(L71,F71))</f>
        <v/>
      </c>
      <c r="N71" s="21">
        <f>IF(A71="","",IF(L71="","Sem histórico",IF(AND(L71&gt;=Parametros!$B$2,L71&lt;=EOMONTH(Parametros!$B$2,0)),"Comprou no mês",IF(M71="","Sem periodicidade",IF(M71&lt;Parametros!$B$2,"Atrasado",IF(M71&lt;=EOMONTH(Parametros!$B$2,0),"Previsto no mês","Em dia"))))))</f>
        <v/>
      </c>
    </row>
    <row r="72">
      <c r="I72" s="18">
        <f>IF(A72="","",COUNTIFS(Pedidos!$C:$C,A72,Pedidos!$K:$K,Parametros!$B$3))</f>
        <v/>
      </c>
      <c r="J72" s="19">
        <f>IF(A72="","",SUMIFS(Pedidos!$E:$E,Pedidos!$C:$C,A72,Pedidos!$K:$K,Parametros!$B$3))</f>
        <v/>
      </c>
      <c r="K72" s="18">
        <f>IF(A72="","",COUNTIFS(Pedidos!$C:$C,A72,Pedidos!$K:$K,Parametros!$B$4))</f>
        <v/>
      </c>
      <c r="L72" s="20">
        <f>IF(A72="","",IF(COUNTIFS(Pedidos!$C:$C,A72,Pedidos!$B:$B,"&lt;="&amp;EOMONTH(Parametros!$B$2,0))=0,"",_xlfn.MAXIFS(Pedidos!$B:$B,Pedidos!$C:$C,A72,Pedidos!$B:$B,"&lt;="&amp;EOMONTH(Parametros!$B$2,0))))</f>
        <v/>
      </c>
      <c r="M72" s="20">
        <f>IF(OR(L72="",F72=""),"",EDATE(L72,F72))</f>
        <v/>
      </c>
      <c r="N72" s="21">
        <f>IF(A72="","",IF(L72="","Sem histórico",IF(AND(L72&gt;=Parametros!$B$2,L72&lt;=EOMONTH(Parametros!$B$2,0)),"Comprou no mês",IF(M72="","Sem periodicidade",IF(M72&lt;Parametros!$B$2,"Atrasado",IF(M72&lt;=EOMONTH(Parametros!$B$2,0),"Previsto no mês","Em dia"))))))</f>
        <v/>
      </c>
    </row>
    <row r="73">
      <c r="I73" s="18">
        <f>IF(A73="","",COUNTIFS(Pedidos!$C:$C,A73,Pedidos!$K:$K,Parametros!$B$3))</f>
        <v/>
      </c>
      <c r="J73" s="19">
        <f>IF(A73="","",SUMIFS(Pedidos!$E:$E,Pedidos!$C:$C,A73,Pedidos!$K:$K,Parametros!$B$3))</f>
        <v/>
      </c>
      <c r="K73" s="18">
        <f>IF(A73="","",COUNTIFS(Pedidos!$C:$C,A73,Pedidos!$K:$K,Parametros!$B$4))</f>
        <v/>
      </c>
      <c r="L73" s="20">
        <f>IF(A73="","",IF(COUNTIFS(Pedidos!$C:$C,A73,Pedidos!$B:$B,"&lt;="&amp;EOMONTH(Parametros!$B$2,0))=0,"",_xlfn.MAXIFS(Pedidos!$B:$B,Pedidos!$C:$C,A73,Pedidos!$B:$B,"&lt;="&amp;EOMONTH(Parametros!$B$2,0))))</f>
        <v/>
      </c>
      <c r="M73" s="20">
        <f>IF(OR(L73="",F73=""),"",EDATE(L73,F73))</f>
        <v/>
      </c>
      <c r="N73" s="21">
        <f>IF(A73="","",IF(L73="","Sem histórico",IF(AND(L73&gt;=Parametros!$B$2,L73&lt;=EOMONTH(Parametros!$B$2,0)),"Comprou no mês",IF(M73="","Sem periodicidade",IF(M73&lt;Parametros!$B$2,"Atrasado",IF(M73&lt;=EOMONTH(Parametros!$B$2,0),"Previsto no mês","Em dia"))))))</f>
        <v/>
      </c>
    </row>
    <row r="74">
      <c r="I74" s="18">
        <f>IF(A74="","",COUNTIFS(Pedidos!$C:$C,A74,Pedidos!$K:$K,Parametros!$B$3))</f>
        <v/>
      </c>
      <c r="J74" s="19">
        <f>IF(A74="","",SUMIFS(Pedidos!$E:$E,Pedidos!$C:$C,A74,Pedidos!$K:$K,Parametros!$B$3))</f>
        <v/>
      </c>
      <c r="K74" s="18">
        <f>IF(A74="","",COUNTIFS(Pedidos!$C:$C,A74,Pedidos!$K:$K,Parametros!$B$4))</f>
        <v/>
      </c>
      <c r="L74" s="20">
        <f>IF(A74="","",IF(COUNTIFS(Pedidos!$C:$C,A74,Pedidos!$B:$B,"&lt;="&amp;EOMONTH(Parametros!$B$2,0))=0,"",_xlfn.MAXIFS(Pedidos!$B:$B,Pedidos!$C:$C,A74,Pedidos!$B:$B,"&lt;="&amp;EOMONTH(Parametros!$B$2,0))))</f>
        <v/>
      </c>
      <c r="M74" s="20">
        <f>IF(OR(L74="",F74=""),"",EDATE(L74,F74))</f>
        <v/>
      </c>
      <c r="N74" s="21">
        <f>IF(A74="","",IF(L74="","Sem histórico",IF(AND(L74&gt;=Parametros!$B$2,L74&lt;=EOMONTH(Parametros!$B$2,0)),"Comprou no mês",IF(M74="","Sem periodicidade",IF(M74&lt;Parametros!$B$2,"Atrasado",IF(M74&lt;=EOMONTH(Parametros!$B$2,0),"Previsto no mês","Em dia"))))))</f>
        <v/>
      </c>
    </row>
    <row r="75">
      <c r="I75" s="18">
        <f>IF(A75="","",COUNTIFS(Pedidos!$C:$C,A75,Pedidos!$K:$K,Parametros!$B$3))</f>
        <v/>
      </c>
      <c r="J75" s="19">
        <f>IF(A75="","",SUMIFS(Pedidos!$E:$E,Pedidos!$C:$C,A75,Pedidos!$K:$K,Parametros!$B$3))</f>
        <v/>
      </c>
      <c r="K75" s="18">
        <f>IF(A75="","",COUNTIFS(Pedidos!$C:$C,A75,Pedidos!$K:$K,Parametros!$B$4))</f>
        <v/>
      </c>
      <c r="L75" s="20">
        <f>IF(A75="","",IF(COUNTIFS(Pedidos!$C:$C,A75,Pedidos!$B:$B,"&lt;="&amp;EOMONTH(Parametros!$B$2,0))=0,"",_xlfn.MAXIFS(Pedidos!$B:$B,Pedidos!$C:$C,A75,Pedidos!$B:$B,"&lt;="&amp;EOMONTH(Parametros!$B$2,0))))</f>
        <v/>
      </c>
      <c r="M75" s="20">
        <f>IF(OR(L75="",F75=""),"",EDATE(L75,F75))</f>
        <v/>
      </c>
      <c r="N75" s="21">
        <f>IF(A75="","",IF(L75="","Sem histórico",IF(AND(L75&gt;=Parametros!$B$2,L75&lt;=EOMONTH(Parametros!$B$2,0)),"Comprou no mês",IF(M75="","Sem periodicidade",IF(M75&lt;Parametros!$B$2,"Atrasado",IF(M75&lt;=EOMONTH(Parametros!$B$2,0),"Previsto no mês","Em dia"))))))</f>
        <v/>
      </c>
    </row>
    <row r="76">
      <c r="I76" s="18">
        <f>IF(A76="","",COUNTIFS(Pedidos!$C:$C,A76,Pedidos!$K:$K,Parametros!$B$3))</f>
        <v/>
      </c>
      <c r="J76" s="19">
        <f>IF(A76="","",SUMIFS(Pedidos!$E:$E,Pedidos!$C:$C,A76,Pedidos!$K:$K,Parametros!$B$3))</f>
        <v/>
      </c>
      <c r="K76" s="18">
        <f>IF(A76="","",COUNTIFS(Pedidos!$C:$C,A76,Pedidos!$K:$K,Parametros!$B$4))</f>
        <v/>
      </c>
      <c r="L76" s="20">
        <f>IF(A76="","",IF(COUNTIFS(Pedidos!$C:$C,A76,Pedidos!$B:$B,"&lt;="&amp;EOMONTH(Parametros!$B$2,0))=0,"",_xlfn.MAXIFS(Pedidos!$B:$B,Pedidos!$C:$C,A76,Pedidos!$B:$B,"&lt;="&amp;EOMONTH(Parametros!$B$2,0))))</f>
        <v/>
      </c>
      <c r="M76" s="20">
        <f>IF(OR(L76="",F76=""),"",EDATE(L76,F76))</f>
        <v/>
      </c>
      <c r="N76" s="21">
        <f>IF(A76="","",IF(L76="","Sem histórico",IF(AND(L76&gt;=Parametros!$B$2,L76&lt;=EOMONTH(Parametros!$B$2,0)),"Comprou no mês",IF(M76="","Sem periodicidade",IF(M76&lt;Parametros!$B$2,"Atrasado",IF(M76&lt;=EOMONTH(Parametros!$B$2,0),"Previsto no mês","Em dia"))))))</f>
        <v/>
      </c>
    </row>
    <row r="77">
      <c r="I77" s="18">
        <f>IF(A77="","",COUNTIFS(Pedidos!$C:$C,A77,Pedidos!$K:$K,Parametros!$B$3))</f>
        <v/>
      </c>
      <c r="J77" s="19">
        <f>IF(A77="","",SUMIFS(Pedidos!$E:$E,Pedidos!$C:$C,A77,Pedidos!$K:$K,Parametros!$B$3))</f>
        <v/>
      </c>
      <c r="K77" s="18">
        <f>IF(A77="","",COUNTIFS(Pedidos!$C:$C,A77,Pedidos!$K:$K,Parametros!$B$4))</f>
        <v/>
      </c>
      <c r="L77" s="20">
        <f>IF(A77="","",IF(COUNTIFS(Pedidos!$C:$C,A77,Pedidos!$B:$B,"&lt;="&amp;EOMONTH(Parametros!$B$2,0))=0,"",_xlfn.MAXIFS(Pedidos!$B:$B,Pedidos!$C:$C,A77,Pedidos!$B:$B,"&lt;="&amp;EOMONTH(Parametros!$B$2,0))))</f>
        <v/>
      </c>
      <c r="M77" s="20">
        <f>IF(OR(L77="",F77=""),"",EDATE(L77,F77))</f>
        <v/>
      </c>
      <c r="N77" s="21">
        <f>IF(A77="","",IF(L77="","Sem histórico",IF(AND(L77&gt;=Parametros!$B$2,L77&lt;=EOMONTH(Parametros!$B$2,0)),"Comprou no mês",IF(M77="","Sem periodicidade",IF(M77&lt;Parametros!$B$2,"Atrasado",IF(M77&lt;=EOMONTH(Parametros!$B$2,0),"Previsto no mês","Em dia"))))))</f>
        <v/>
      </c>
    </row>
    <row r="78">
      <c r="I78" s="18">
        <f>IF(A78="","",COUNTIFS(Pedidos!$C:$C,A78,Pedidos!$K:$K,Parametros!$B$3))</f>
        <v/>
      </c>
      <c r="J78" s="19">
        <f>IF(A78="","",SUMIFS(Pedidos!$E:$E,Pedidos!$C:$C,A78,Pedidos!$K:$K,Parametros!$B$3))</f>
        <v/>
      </c>
      <c r="K78" s="18">
        <f>IF(A78="","",COUNTIFS(Pedidos!$C:$C,A78,Pedidos!$K:$K,Parametros!$B$4))</f>
        <v/>
      </c>
      <c r="L78" s="20">
        <f>IF(A78="","",IF(COUNTIFS(Pedidos!$C:$C,A78,Pedidos!$B:$B,"&lt;="&amp;EOMONTH(Parametros!$B$2,0))=0,"",_xlfn.MAXIFS(Pedidos!$B:$B,Pedidos!$C:$C,A78,Pedidos!$B:$B,"&lt;="&amp;EOMONTH(Parametros!$B$2,0))))</f>
        <v/>
      </c>
      <c r="M78" s="20">
        <f>IF(OR(L78="",F78=""),"",EDATE(L78,F78))</f>
        <v/>
      </c>
      <c r="N78" s="21">
        <f>IF(A78="","",IF(L78="","Sem histórico",IF(AND(L78&gt;=Parametros!$B$2,L78&lt;=EOMONTH(Parametros!$B$2,0)),"Comprou no mês",IF(M78="","Sem periodicidade",IF(M78&lt;Parametros!$B$2,"Atrasado",IF(M78&lt;=EOMONTH(Parametros!$B$2,0),"Previsto no mês","Em dia"))))))</f>
        <v/>
      </c>
    </row>
    <row r="79">
      <c r="I79" s="18">
        <f>IF(A79="","",COUNTIFS(Pedidos!$C:$C,A79,Pedidos!$K:$K,Parametros!$B$3))</f>
        <v/>
      </c>
      <c r="J79" s="19">
        <f>IF(A79="","",SUMIFS(Pedidos!$E:$E,Pedidos!$C:$C,A79,Pedidos!$K:$K,Parametros!$B$3))</f>
        <v/>
      </c>
      <c r="K79" s="18">
        <f>IF(A79="","",COUNTIFS(Pedidos!$C:$C,A79,Pedidos!$K:$K,Parametros!$B$4))</f>
        <v/>
      </c>
      <c r="L79" s="20">
        <f>IF(A79="","",IF(COUNTIFS(Pedidos!$C:$C,A79,Pedidos!$B:$B,"&lt;="&amp;EOMONTH(Parametros!$B$2,0))=0,"",_xlfn.MAXIFS(Pedidos!$B:$B,Pedidos!$C:$C,A79,Pedidos!$B:$B,"&lt;="&amp;EOMONTH(Parametros!$B$2,0))))</f>
        <v/>
      </c>
      <c r="M79" s="20">
        <f>IF(OR(L79="",F79=""),"",EDATE(L79,F79))</f>
        <v/>
      </c>
      <c r="N79" s="21">
        <f>IF(A79="","",IF(L79="","Sem histórico",IF(AND(L79&gt;=Parametros!$B$2,L79&lt;=EOMONTH(Parametros!$B$2,0)),"Comprou no mês",IF(M79="","Sem periodicidade",IF(M79&lt;Parametros!$B$2,"Atrasado",IF(M79&lt;=EOMONTH(Parametros!$B$2,0),"Previsto no mês","Em dia"))))))</f>
        <v/>
      </c>
    </row>
    <row r="80">
      <c r="I80" s="18">
        <f>IF(A80="","",COUNTIFS(Pedidos!$C:$C,A80,Pedidos!$K:$K,Parametros!$B$3))</f>
        <v/>
      </c>
      <c r="J80" s="19">
        <f>IF(A80="","",SUMIFS(Pedidos!$E:$E,Pedidos!$C:$C,A80,Pedidos!$K:$K,Parametros!$B$3))</f>
        <v/>
      </c>
      <c r="K80" s="18">
        <f>IF(A80="","",COUNTIFS(Pedidos!$C:$C,A80,Pedidos!$K:$K,Parametros!$B$4))</f>
        <v/>
      </c>
      <c r="L80" s="20">
        <f>IF(A80="","",IF(COUNTIFS(Pedidos!$C:$C,A80,Pedidos!$B:$B,"&lt;="&amp;EOMONTH(Parametros!$B$2,0))=0,"",_xlfn.MAXIFS(Pedidos!$B:$B,Pedidos!$C:$C,A80,Pedidos!$B:$B,"&lt;="&amp;EOMONTH(Parametros!$B$2,0))))</f>
        <v/>
      </c>
      <c r="M80" s="20">
        <f>IF(OR(L80="",F80=""),"",EDATE(L80,F80))</f>
        <v/>
      </c>
      <c r="N80" s="21">
        <f>IF(A80="","",IF(L80="","Sem histórico",IF(AND(L80&gt;=Parametros!$B$2,L80&lt;=EOMONTH(Parametros!$B$2,0)),"Comprou no mês",IF(M80="","Sem periodicidade",IF(M80&lt;Parametros!$B$2,"Atrasado",IF(M80&lt;=EOMONTH(Parametros!$B$2,0),"Previsto no mês","Em dia"))))))</f>
        <v/>
      </c>
    </row>
    <row r="81">
      <c r="I81" s="18">
        <f>IF(A81="","",COUNTIFS(Pedidos!$C:$C,A81,Pedidos!$K:$K,Parametros!$B$3))</f>
        <v/>
      </c>
      <c r="J81" s="19">
        <f>IF(A81="","",SUMIFS(Pedidos!$E:$E,Pedidos!$C:$C,A81,Pedidos!$K:$K,Parametros!$B$3))</f>
        <v/>
      </c>
      <c r="K81" s="18">
        <f>IF(A81="","",COUNTIFS(Pedidos!$C:$C,A81,Pedidos!$K:$K,Parametros!$B$4))</f>
        <v/>
      </c>
      <c r="L81" s="20">
        <f>IF(A81="","",IF(COUNTIFS(Pedidos!$C:$C,A81,Pedidos!$B:$B,"&lt;="&amp;EOMONTH(Parametros!$B$2,0))=0,"",_xlfn.MAXIFS(Pedidos!$B:$B,Pedidos!$C:$C,A81,Pedidos!$B:$B,"&lt;="&amp;EOMONTH(Parametros!$B$2,0))))</f>
        <v/>
      </c>
      <c r="M81" s="20">
        <f>IF(OR(L81="",F81=""),"",EDATE(L81,F81))</f>
        <v/>
      </c>
      <c r="N81" s="21">
        <f>IF(A81="","",IF(L81="","Sem histórico",IF(AND(L81&gt;=Parametros!$B$2,L81&lt;=EOMONTH(Parametros!$B$2,0)),"Comprou no mês",IF(M81="","Sem periodicidade",IF(M81&lt;Parametros!$B$2,"Atrasado",IF(M81&lt;=EOMONTH(Parametros!$B$2,0),"Previsto no mês","Em dia"))))))</f>
        <v/>
      </c>
    </row>
    <row r="82">
      <c r="I82" s="18">
        <f>IF(A82="","",COUNTIFS(Pedidos!$C:$C,A82,Pedidos!$K:$K,Parametros!$B$3))</f>
        <v/>
      </c>
      <c r="J82" s="19">
        <f>IF(A82="","",SUMIFS(Pedidos!$E:$E,Pedidos!$C:$C,A82,Pedidos!$K:$K,Parametros!$B$3))</f>
        <v/>
      </c>
      <c r="K82" s="18">
        <f>IF(A82="","",COUNTIFS(Pedidos!$C:$C,A82,Pedidos!$K:$K,Parametros!$B$4))</f>
        <v/>
      </c>
      <c r="L82" s="20">
        <f>IF(A82="","",IF(COUNTIFS(Pedidos!$C:$C,A82,Pedidos!$B:$B,"&lt;="&amp;EOMONTH(Parametros!$B$2,0))=0,"",_xlfn.MAXIFS(Pedidos!$B:$B,Pedidos!$C:$C,A82,Pedidos!$B:$B,"&lt;="&amp;EOMONTH(Parametros!$B$2,0))))</f>
        <v/>
      </c>
      <c r="M82" s="20">
        <f>IF(OR(L82="",F82=""),"",EDATE(L82,F82))</f>
        <v/>
      </c>
      <c r="N82" s="21">
        <f>IF(A82="","",IF(L82="","Sem histórico",IF(AND(L82&gt;=Parametros!$B$2,L82&lt;=EOMONTH(Parametros!$B$2,0)),"Comprou no mês",IF(M82="","Sem periodicidade",IF(M82&lt;Parametros!$B$2,"Atrasado",IF(M82&lt;=EOMONTH(Parametros!$B$2,0),"Previsto no mês","Em dia"))))))</f>
        <v/>
      </c>
    </row>
    <row r="83">
      <c r="I83" s="18">
        <f>IF(A83="","",COUNTIFS(Pedidos!$C:$C,A83,Pedidos!$K:$K,Parametros!$B$3))</f>
        <v/>
      </c>
      <c r="J83" s="19">
        <f>IF(A83="","",SUMIFS(Pedidos!$E:$E,Pedidos!$C:$C,A83,Pedidos!$K:$K,Parametros!$B$3))</f>
        <v/>
      </c>
      <c r="K83" s="18">
        <f>IF(A83="","",COUNTIFS(Pedidos!$C:$C,A83,Pedidos!$K:$K,Parametros!$B$4))</f>
        <v/>
      </c>
      <c r="L83" s="20">
        <f>IF(A83="","",IF(COUNTIFS(Pedidos!$C:$C,A83,Pedidos!$B:$B,"&lt;="&amp;EOMONTH(Parametros!$B$2,0))=0,"",_xlfn.MAXIFS(Pedidos!$B:$B,Pedidos!$C:$C,A83,Pedidos!$B:$B,"&lt;="&amp;EOMONTH(Parametros!$B$2,0))))</f>
        <v/>
      </c>
      <c r="M83" s="20">
        <f>IF(OR(L83="",F83=""),"",EDATE(L83,F83))</f>
        <v/>
      </c>
      <c r="N83" s="21">
        <f>IF(A83="","",IF(L83="","Sem histórico",IF(AND(L83&gt;=Parametros!$B$2,L83&lt;=EOMONTH(Parametros!$B$2,0)),"Comprou no mês",IF(M83="","Sem periodicidade",IF(M83&lt;Parametros!$B$2,"Atrasado",IF(M83&lt;=EOMONTH(Parametros!$B$2,0),"Previsto no mês","Em dia"))))))</f>
        <v/>
      </c>
    </row>
    <row r="84">
      <c r="I84" s="18">
        <f>IF(A84="","",COUNTIFS(Pedidos!$C:$C,A84,Pedidos!$K:$K,Parametros!$B$3))</f>
        <v/>
      </c>
      <c r="J84" s="19">
        <f>IF(A84="","",SUMIFS(Pedidos!$E:$E,Pedidos!$C:$C,A84,Pedidos!$K:$K,Parametros!$B$3))</f>
        <v/>
      </c>
      <c r="K84" s="18">
        <f>IF(A84="","",COUNTIFS(Pedidos!$C:$C,A84,Pedidos!$K:$K,Parametros!$B$4))</f>
        <v/>
      </c>
      <c r="L84" s="20">
        <f>IF(A84="","",IF(COUNTIFS(Pedidos!$C:$C,A84,Pedidos!$B:$B,"&lt;="&amp;EOMONTH(Parametros!$B$2,0))=0,"",_xlfn.MAXIFS(Pedidos!$B:$B,Pedidos!$C:$C,A84,Pedidos!$B:$B,"&lt;="&amp;EOMONTH(Parametros!$B$2,0))))</f>
        <v/>
      </c>
      <c r="M84" s="20">
        <f>IF(OR(L84="",F84=""),"",EDATE(L84,F84))</f>
        <v/>
      </c>
      <c r="N84" s="21">
        <f>IF(A84="","",IF(L84="","Sem histórico",IF(AND(L84&gt;=Parametros!$B$2,L84&lt;=EOMONTH(Parametros!$B$2,0)),"Comprou no mês",IF(M84="","Sem periodicidade",IF(M84&lt;Parametros!$B$2,"Atrasado",IF(M84&lt;=EOMONTH(Parametros!$B$2,0),"Previsto no mês","Em dia"))))))</f>
        <v/>
      </c>
    </row>
    <row r="85">
      <c r="I85" s="18">
        <f>IF(A85="","",COUNTIFS(Pedidos!$C:$C,A85,Pedidos!$K:$K,Parametros!$B$3))</f>
        <v/>
      </c>
      <c r="J85" s="19">
        <f>IF(A85="","",SUMIFS(Pedidos!$E:$E,Pedidos!$C:$C,A85,Pedidos!$K:$K,Parametros!$B$3))</f>
        <v/>
      </c>
      <c r="K85" s="18">
        <f>IF(A85="","",COUNTIFS(Pedidos!$C:$C,A85,Pedidos!$K:$K,Parametros!$B$4))</f>
        <v/>
      </c>
      <c r="L85" s="20">
        <f>IF(A85="","",IF(COUNTIFS(Pedidos!$C:$C,A85,Pedidos!$B:$B,"&lt;="&amp;EOMONTH(Parametros!$B$2,0))=0,"",_xlfn.MAXIFS(Pedidos!$B:$B,Pedidos!$C:$C,A85,Pedidos!$B:$B,"&lt;="&amp;EOMONTH(Parametros!$B$2,0))))</f>
        <v/>
      </c>
      <c r="M85" s="20">
        <f>IF(OR(L85="",F85=""),"",EDATE(L85,F85))</f>
        <v/>
      </c>
      <c r="N85" s="21">
        <f>IF(A85="","",IF(L85="","Sem histórico",IF(AND(L85&gt;=Parametros!$B$2,L85&lt;=EOMONTH(Parametros!$B$2,0)),"Comprou no mês",IF(M85="","Sem periodicidade",IF(M85&lt;Parametros!$B$2,"Atrasado",IF(M85&lt;=EOMONTH(Parametros!$B$2,0),"Previsto no mês","Em dia"))))))</f>
        <v/>
      </c>
    </row>
    <row r="86">
      <c r="I86" s="18">
        <f>IF(A86="","",COUNTIFS(Pedidos!$C:$C,A86,Pedidos!$K:$K,Parametros!$B$3))</f>
        <v/>
      </c>
      <c r="J86" s="19">
        <f>IF(A86="","",SUMIFS(Pedidos!$E:$E,Pedidos!$C:$C,A86,Pedidos!$K:$K,Parametros!$B$3))</f>
        <v/>
      </c>
      <c r="K86" s="18">
        <f>IF(A86="","",COUNTIFS(Pedidos!$C:$C,A86,Pedidos!$K:$K,Parametros!$B$4))</f>
        <v/>
      </c>
      <c r="L86" s="20">
        <f>IF(A86="","",IF(COUNTIFS(Pedidos!$C:$C,A86,Pedidos!$B:$B,"&lt;="&amp;EOMONTH(Parametros!$B$2,0))=0,"",_xlfn.MAXIFS(Pedidos!$B:$B,Pedidos!$C:$C,A86,Pedidos!$B:$B,"&lt;="&amp;EOMONTH(Parametros!$B$2,0))))</f>
        <v/>
      </c>
      <c r="M86" s="20">
        <f>IF(OR(L86="",F86=""),"",EDATE(L86,F86))</f>
        <v/>
      </c>
      <c r="N86" s="21">
        <f>IF(A86="","",IF(L86="","Sem histórico",IF(AND(L86&gt;=Parametros!$B$2,L86&lt;=EOMONTH(Parametros!$B$2,0)),"Comprou no mês",IF(M86="","Sem periodicidade",IF(M86&lt;Parametros!$B$2,"Atrasado",IF(M86&lt;=EOMONTH(Parametros!$B$2,0),"Previsto no mês","Em dia"))))))</f>
        <v/>
      </c>
    </row>
    <row r="87">
      <c r="I87" s="18">
        <f>IF(A87="","",COUNTIFS(Pedidos!$C:$C,A87,Pedidos!$K:$K,Parametros!$B$3))</f>
        <v/>
      </c>
      <c r="J87" s="19">
        <f>IF(A87="","",SUMIFS(Pedidos!$E:$E,Pedidos!$C:$C,A87,Pedidos!$K:$K,Parametros!$B$3))</f>
        <v/>
      </c>
      <c r="K87" s="18">
        <f>IF(A87="","",COUNTIFS(Pedidos!$C:$C,A87,Pedidos!$K:$K,Parametros!$B$4))</f>
        <v/>
      </c>
      <c r="L87" s="20">
        <f>IF(A87="","",IF(COUNTIFS(Pedidos!$C:$C,A87,Pedidos!$B:$B,"&lt;="&amp;EOMONTH(Parametros!$B$2,0))=0,"",_xlfn.MAXIFS(Pedidos!$B:$B,Pedidos!$C:$C,A87,Pedidos!$B:$B,"&lt;="&amp;EOMONTH(Parametros!$B$2,0))))</f>
        <v/>
      </c>
      <c r="M87" s="20">
        <f>IF(OR(L87="",F87=""),"",EDATE(L87,F87))</f>
        <v/>
      </c>
      <c r="N87" s="21">
        <f>IF(A87="","",IF(L87="","Sem histórico",IF(AND(L87&gt;=Parametros!$B$2,L87&lt;=EOMONTH(Parametros!$B$2,0)),"Comprou no mês",IF(M87="","Sem periodicidade",IF(M87&lt;Parametros!$B$2,"Atrasado",IF(M87&lt;=EOMONTH(Parametros!$B$2,0),"Previsto no mês","Em dia"))))))</f>
        <v/>
      </c>
    </row>
    <row r="88">
      <c r="I88" s="18">
        <f>IF(A88="","",COUNTIFS(Pedidos!$C:$C,A88,Pedidos!$K:$K,Parametros!$B$3))</f>
        <v/>
      </c>
      <c r="J88" s="19">
        <f>IF(A88="","",SUMIFS(Pedidos!$E:$E,Pedidos!$C:$C,A88,Pedidos!$K:$K,Parametros!$B$3))</f>
        <v/>
      </c>
      <c r="K88" s="18">
        <f>IF(A88="","",COUNTIFS(Pedidos!$C:$C,A88,Pedidos!$K:$K,Parametros!$B$4))</f>
        <v/>
      </c>
      <c r="L88" s="20">
        <f>IF(A88="","",IF(COUNTIFS(Pedidos!$C:$C,A88,Pedidos!$B:$B,"&lt;="&amp;EOMONTH(Parametros!$B$2,0))=0,"",_xlfn.MAXIFS(Pedidos!$B:$B,Pedidos!$C:$C,A88,Pedidos!$B:$B,"&lt;="&amp;EOMONTH(Parametros!$B$2,0))))</f>
        <v/>
      </c>
      <c r="M88" s="20">
        <f>IF(OR(L88="",F88=""),"",EDATE(L88,F88))</f>
        <v/>
      </c>
      <c r="N88" s="21">
        <f>IF(A88="","",IF(L88="","Sem histórico",IF(AND(L88&gt;=Parametros!$B$2,L88&lt;=EOMONTH(Parametros!$B$2,0)),"Comprou no mês",IF(M88="","Sem periodicidade",IF(M88&lt;Parametros!$B$2,"Atrasado",IF(M88&lt;=EOMONTH(Parametros!$B$2,0),"Previsto no mês","Em dia"))))))</f>
        <v/>
      </c>
    </row>
    <row r="89">
      <c r="I89" s="18">
        <f>IF(A89="","",COUNTIFS(Pedidos!$C:$C,A89,Pedidos!$K:$K,Parametros!$B$3))</f>
        <v/>
      </c>
      <c r="J89" s="19">
        <f>IF(A89="","",SUMIFS(Pedidos!$E:$E,Pedidos!$C:$C,A89,Pedidos!$K:$K,Parametros!$B$3))</f>
        <v/>
      </c>
      <c r="K89" s="18">
        <f>IF(A89="","",COUNTIFS(Pedidos!$C:$C,A89,Pedidos!$K:$K,Parametros!$B$4))</f>
        <v/>
      </c>
      <c r="L89" s="20">
        <f>IF(A89="","",IF(COUNTIFS(Pedidos!$C:$C,A89,Pedidos!$B:$B,"&lt;="&amp;EOMONTH(Parametros!$B$2,0))=0,"",_xlfn.MAXIFS(Pedidos!$B:$B,Pedidos!$C:$C,A89,Pedidos!$B:$B,"&lt;="&amp;EOMONTH(Parametros!$B$2,0))))</f>
        <v/>
      </c>
      <c r="M89" s="20">
        <f>IF(OR(L89="",F89=""),"",EDATE(L89,F89))</f>
        <v/>
      </c>
      <c r="N89" s="21">
        <f>IF(A89="","",IF(L89="","Sem histórico",IF(AND(L89&gt;=Parametros!$B$2,L89&lt;=EOMONTH(Parametros!$B$2,0)),"Comprou no mês",IF(M89="","Sem periodicidade",IF(M89&lt;Parametros!$B$2,"Atrasado",IF(M89&lt;=EOMONTH(Parametros!$B$2,0),"Previsto no mês","Em dia"))))))</f>
        <v/>
      </c>
    </row>
    <row r="90">
      <c r="I90" s="18">
        <f>IF(A90="","",COUNTIFS(Pedidos!$C:$C,A90,Pedidos!$K:$K,Parametros!$B$3))</f>
        <v/>
      </c>
      <c r="J90" s="19">
        <f>IF(A90="","",SUMIFS(Pedidos!$E:$E,Pedidos!$C:$C,A90,Pedidos!$K:$K,Parametros!$B$3))</f>
        <v/>
      </c>
      <c r="K90" s="18">
        <f>IF(A90="","",COUNTIFS(Pedidos!$C:$C,A90,Pedidos!$K:$K,Parametros!$B$4))</f>
        <v/>
      </c>
      <c r="L90" s="20">
        <f>IF(A90="","",IF(COUNTIFS(Pedidos!$C:$C,A90,Pedidos!$B:$B,"&lt;="&amp;EOMONTH(Parametros!$B$2,0))=0,"",_xlfn.MAXIFS(Pedidos!$B:$B,Pedidos!$C:$C,A90,Pedidos!$B:$B,"&lt;="&amp;EOMONTH(Parametros!$B$2,0))))</f>
        <v/>
      </c>
      <c r="M90" s="20">
        <f>IF(OR(L90="",F90=""),"",EDATE(L90,F90))</f>
        <v/>
      </c>
      <c r="N90" s="21">
        <f>IF(A90="","",IF(L90="","Sem histórico",IF(AND(L90&gt;=Parametros!$B$2,L90&lt;=EOMONTH(Parametros!$B$2,0)),"Comprou no mês",IF(M90="","Sem periodicidade",IF(M90&lt;Parametros!$B$2,"Atrasado",IF(M90&lt;=EOMONTH(Parametros!$B$2,0),"Previsto no mês","Em dia"))))))</f>
        <v/>
      </c>
    </row>
    <row r="91">
      <c r="I91" s="18">
        <f>IF(A91="","",COUNTIFS(Pedidos!$C:$C,A91,Pedidos!$K:$K,Parametros!$B$3))</f>
        <v/>
      </c>
      <c r="J91" s="19">
        <f>IF(A91="","",SUMIFS(Pedidos!$E:$E,Pedidos!$C:$C,A91,Pedidos!$K:$K,Parametros!$B$3))</f>
        <v/>
      </c>
      <c r="K91" s="18">
        <f>IF(A91="","",COUNTIFS(Pedidos!$C:$C,A91,Pedidos!$K:$K,Parametros!$B$4))</f>
        <v/>
      </c>
      <c r="L91" s="20">
        <f>IF(A91="","",IF(COUNTIFS(Pedidos!$C:$C,A91,Pedidos!$B:$B,"&lt;="&amp;EOMONTH(Parametros!$B$2,0))=0,"",_xlfn.MAXIFS(Pedidos!$B:$B,Pedidos!$C:$C,A91,Pedidos!$B:$B,"&lt;="&amp;EOMONTH(Parametros!$B$2,0))))</f>
        <v/>
      </c>
      <c r="M91" s="20">
        <f>IF(OR(L91="",F91=""),"",EDATE(L91,F91))</f>
        <v/>
      </c>
      <c r="N91" s="21">
        <f>IF(A91="","",IF(L91="","Sem histórico",IF(AND(L91&gt;=Parametros!$B$2,L91&lt;=EOMONTH(Parametros!$B$2,0)),"Comprou no mês",IF(M91="","Sem periodicidade",IF(M91&lt;Parametros!$B$2,"Atrasado",IF(M91&lt;=EOMONTH(Parametros!$B$2,0),"Previsto no mês","Em dia"))))))</f>
        <v/>
      </c>
    </row>
    <row r="92">
      <c r="I92" s="18">
        <f>IF(A92="","",COUNTIFS(Pedidos!$C:$C,A92,Pedidos!$K:$K,Parametros!$B$3))</f>
        <v/>
      </c>
      <c r="J92" s="19">
        <f>IF(A92="","",SUMIFS(Pedidos!$E:$E,Pedidos!$C:$C,A92,Pedidos!$K:$K,Parametros!$B$3))</f>
        <v/>
      </c>
      <c r="K92" s="18">
        <f>IF(A92="","",COUNTIFS(Pedidos!$C:$C,A92,Pedidos!$K:$K,Parametros!$B$4))</f>
        <v/>
      </c>
      <c r="L92" s="20">
        <f>IF(A92="","",IF(COUNTIFS(Pedidos!$C:$C,A92,Pedidos!$B:$B,"&lt;="&amp;EOMONTH(Parametros!$B$2,0))=0,"",_xlfn.MAXIFS(Pedidos!$B:$B,Pedidos!$C:$C,A92,Pedidos!$B:$B,"&lt;="&amp;EOMONTH(Parametros!$B$2,0))))</f>
        <v/>
      </c>
      <c r="M92" s="20">
        <f>IF(OR(L92="",F92=""),"",EDATE(L92,F92))</f>
        <v/>
      </c>
      <c r="N92" s="21">
        <f>IF(A92="","",IF(L92="","Sem histórico",IF(AND(L92&gt;=Parametros!$B$2,L92&lt;=EOMONTH(Parametros!$B$2,0)),"Comprou no mês",IF(M92="","Sem periodicidade",IF(M92&lt;Parametros!$B$2,"Atrasado",IF(M92&lt;=EOMONTH(Parametros!$B$2,0),"Previsto no mês","Em dia"))))))</f>
        <v/>
      </c>
    </row>
    <row r="93">
      <c r="I93" s="18">
        <f>IF(A93="","",COUNTIFS(Pedidos!$C:$C,A93,Pedidos!$K:$K,Parametros!$B$3))</f>
        <v/>
      </c>
      <c r="J93" s="19">
        <f>IF(A93="","",SUMIFS(Pedidos!$E:$E,Pedidos!$C:$C,A93,Pedidos!$K:$K,Parametros!$B$3))</f>
        <v/>
      </c>
      <c r="K93" s="18">
        <f>IF(A93="","",COUNTIFS(Pedidos!$C:$C,A93,Pedidos!$K:$K,Parametros!$B$4))</f>
        <v/>
      </c>
      <c r="L93" s="20">
        <f>IF(A93="","",IF(COUNTIFS(Pedidos!$C:$C,A93,Pedidos!$B:$B,"&lt;="&amp;EOMONTH(Parametros!$B$2,0))=0,"",_xlfn.MAXIFS(Pedidos!$B:$B,Pedidos!$C:$C,A93,Pedidos!$B:$B,"&lt;="&amp;EOMONTH(Parametros!$B$2,0))))</f>
        <v/>
      </c>
      <c r="M93" s="20">
        <f>IF(OR(L93="",F93=""),"",EDATE(L93,F93))</f>
        <v/>
      </c>
      <c r="N93" s="21">
        <f>IF(A93="","",IF(L93="","Sem histórico",IF(AND(L93&gt;=Parametros!$B$2,L93&lt;=EOMONTH(Parametros!$B$2,0)),"Comprou no mês",IF(M93="","Sem periodicidade",IF(M93&lt;Parametros!$B$2,"Atrasado",IF(M93&lt;=EOMONTH(Parametros!$B$2,0),"Previsto no mês","Em dia"))))))</f>
        <v/>
      </c>
    </row>
    <row r="94">
      <c r="I94" s="18">
        <f>IF(A94="","",COUNTIFS(Pedidos!$C:$C,A94,Pedidos!$K:$K,Parametros!$B$3))</f>
        <v/>
      </c>
      <c r="J94" s="19">
        <f>IF(A94="","",SUMIFS(Pedidos!$E:$E,Pedidos!$C:$C,A94,Pedidos!$K:$K,Parametros!$B$3))</f>
        <v/>
      </c>
      <c r="K94" s="18">
        <f>IF(A94="","",COUNTIFS(Pedidos!$C:$C,A94,Pedidos!$K:$K,Parametros!$B$4))</f>
        <v/>
      </c>
      <c r="L94" s="20">
        <f>IF(A94="","",IF(COUNTIFS(Pedidos!$C:$C,A94,Pedidos!$B:$B,"&lt;="&amp;EOMONTH(Parametros!$B$2,0))=0,"",_xlfn.MAXIFS(Pedidos!$B:$B,Pedidos!$C:$C,A94,Pedidos!$B:$B,"&lt;="&amp;EOMONTH(Parametros!$B$2,0))))</f>
        <v/>
      </c>
      <c r="M94" s="20">
        <f>IF(OR(L94="",F94=""),"",EDATE(L94,F94))</f>
        <v/>
      </c>
      <c r="N94" s="21">
        <f>IF(A94="","",IF(L94="","Sem histórico",IF(AND(L94&gt;=Parametros!$B$2,L94&lt;=EOMONTH(Parametros!$B$2,0)),"Comprou no mês",IF(M94="","Sem periodicidade",IF(M94&lt;Parametros!$B$2,"Atrasado",IF(M94&lt;=EOMONTH(Parametros!$B$2,0),"Previsto no mês","Em dia"))))))</f>
        <v/>
      </c>
    </row>
    <row r="95">
      <c r="I95" s="18">
        <f>IF(A95="","",COUNTIFS(Pedidos!$C:$C,A95,Pedidos!$K:$K,Parametros!$B$3))</f>
        <v/>
      </c>
      <c r="J95" s="19">
        <f>IF(A95="","",SUMIFS(Pedidos!$E:$E,Pedidos!$C:$C,A95,Pedidos!$K:$K,Parametros!$B$3))</f>
        <v/>
      </c>
      <c r="K95" s="18">
        <f>IF(A95="","",COUNTIFS(Pedidos!$C:$C,A95,Pedidos!$K:$K,Parametros!$B$4))</f>
        <v/>
      </c>
      <c r="L95" s="20">
        <f>IF(A95="","",IF(COUNTIFS(Pedidos!$C:$C,A95,Pedidos!$B:$B,"&lt;="&amp;EOMONTH(Parametros!$B$2,0))=0,"",_xlfn.MAXIFS(Pedidos!$B:$B,Pedidos!$C:$C,A95,Pedidos!$B:$B,"&lt;="&amp;EOMONTH(Parametros!$B$2,0))))</f>
        <v/>
      </c>
      <c r="M95" s="20">
        <f>IF(OR(L95="",F95=""),"",EDATE(L95,F95))</f>
        <v/>
      </c>
      <c r="N95" s="21">
        <f>IF(A95="","",IF(L95="","Sem histórico",IF(AND(L95&gt;=Parametros!$B$2,L95&lt;=EOMONTH(Parametros!$B$2,0)),"Comprou no mês",IF(M95="","Sem periodicidade",IF(M95&lt;Parametros!$B$2,"Atrasado",IF(M95&lt;=EOMONTH(Parametros!$B$2,0),"Previsto no mês","Em dia"))))))</f>
        <v/>
      </c>
    </row>
    <row r="96">
      <c r="I96" s="18">
        <f>IF(A96="","",COUNTIFS(Pedidos!$C:$C,A96,Pedidos!$K:$K,Parametros!$B$3))</f>
        <v/>
      </c>
      <c r="J96" s="19">
        <f>IF(A96="","",SUMIFS(Pedidos!$E:$E,Pedidos!$C:$C,A96,Pedidos!$K:$K,Parametros!$B$3))</f>
        <v/>
      </c>
      <c r="K96" s="18">
        <f>IF(A96="","",COUNTIFS(Pedidos!$C:$C,A96,Pedidos!$K:$K,Parametros!$B$4))</f>
        <v/>
      </c>
      <c r="L96" s="20">
        <f>IF(A96="","",IF(COUNTIFS(Pedidos!$C:$C,A96,Pedidos!$B:$B,"&lt;="&amp;EOMONTH(Parametros!$B$2,0))=0,"",_xlfn.MAXIFS(Pedidos!$B:$B,Pedidos!$C:$C,A96,Pedidos!$B:$B,"&lt;="&amp;EOMONTH(Parametros!$B$2,0))))</f>
        <v/>
      </c>
      <c r="M96" s="20">
        <f>IF(OR(L96="",F96=""),"",EDATE(L96,F96))</f>
        <v/>
      </c>
      <c r="N96" s="21">
        <f>IF(A96="","",IF(L96="","Sem histórico",IF(AND(L96&gt;=Parametros!$B$2,L96&lt;=EOMONTH(Parametros!$B$2,0)),"Comprou no mês",IF(M96="","Sem periodicidade",IF(M96&lt;Parametros!$B$2,"Atrasado",IF(M96&lt;=EOMONTH(Parametros!$B$2,0),"Previsto no mês","Em dia"))))))</f>
        <v/>
      </c>
    </row>
    <row r="97">
      <c r="I97" s="18">
        <f>IF(A97="","",COUNTIFS(Pedidos!$C:$C,A97,Pedidos!$K:$K,Parametros!$B$3))</f>
        <v/>
      </c>
      <c r="J97" s="19">
        <f>IF(A97="","",SUMIFS(Pedidos!$E:$E,Pedidos!$C:$C,A97,Pedidos!$K:$K,Parametros!$B$3))</f>
        <v/>
      </c>
      <c r="K97" s="18">
        <f>IF(A97="","",COUNTIFS(Pedidos!$C:$C,A97,Pedidos!$K:$K,Parametros!$B$4))</f>
        <v/>
      </c>
      <c r="L97" s="20">
        <f>IF(A97="","",IF(COUNTIFS(Pedidos!$C:$C,A97,Pedidos!$B:$B,"&lt;="&amp;EOMONTH(Parametros!$B$2,0))=0,"",_xlfn.MAXIFS(Pedidos!$B:$B,Pedidos!$C:$C,A97,Pedidos!$B:$B,"&lt;="&amp;EOMONTH(Parametros!$B$2,0))))</f>
        <v/>
      </c>
      <c r="M97" s="20">
        <f>IF(OR(L97="",F97=""),"",EDATE(L97,F97))</f>
        <v/>
      </c>
      <c r="N97" s="21">
        <f>IF(A97="","",IF(L97="","Sem histórico",IF(AND(L97&gt;=Parametros!$B$2,L97&lt;=EOMONTH(Parametros!$B$2,0)),"Comprou no mês",IF(M97="","Sem periodicidade",IF(M97&lt;Parametros!$B$2,"Atrasado",IF(M97&lt;=EOMONTH(Parametros!$B$2,0),"Previsto no mês","Em dia"))))))</f>
        <v/>
      </c>
    </row>
    <row r="98">
      <c r="I98" s="18">
        <f>IF(A98="","",COUNTIFS(Pedidos!$C:$C,A98,Pedidos!$K:$K,Parametros!$B$3))</f>
        <v/>
      </c>
      <c r="J98" s="19">
        <f>IF(A98="","",SUMIFS(Pedidos!$E:$E,Pedidos!$C:$C,A98,Pedidos!$K:$K,Parametros!$B$3))</f>
        <v/>
      </c>
      <c r="K98" s="18">
        <f>IF(A98="","",COUNTIFS(Pedidos!$C:$C,A98,Pedidos!$K:$K,Parametros!$B$4))</f>
        <v/>
      </c>
      <c r="L98" s="20">
        <f>IF(A98="","",IF(COUNTIFS(Pedidos!$C:$C,A98,Pedidos!$B:$B,"&lt;="&amp;EOMONTH(Parametros!$B$2,0))=0,"",_xlfn.MAXIFS(Pedidos!$B:$B,Pedidos!$C:$C,A98,Pedidos!$B:$B,"&lt;="&amp;EOMONTH(Parametros!$B$2,0))))</f>
        <v/>
      </c>
      <c r="M98" s="20">
        <f>IF(OR(L98="",F98=""),"",EDATE(L98,F98))</f>
        <v/>
      </c>
      <c r="N98" s="21">
        <f>IF(A98="","",IF(L98="","Sem histórico",IF(AND(L98&gt;=Parametros!$B$2,L98&lt;=EOMONTH(Parametros!$B$2,0)),"Comprou no mês",IF(M98="","Sem periodicidade",IF(M98&lt;Parametros!$B$2,"Atrasado",IF(M98&lt;=EOMONTH(Parametros!$B$2,0),"Previsto no mês","Em dia"))))))</f>
        <v/>
      </c>
    </row>
    <row r="99">
      <c r="I99" s="18">
        <f>IF(A99="","",COUNTIFS(Pedidos!$C:$C,A99,Pedidos!$K:$K,Parametros!$B$3))</f>
        <v/>
      </c>
      <c r="J99" s="19">
        <f>IF(A99="","",SUMIFS(Pedidos!$E:$E,Pedidos!$C:$C,A99,Pedidos!$K:$K,Parametros!$B$3))</f>
        <v/>
      </c>
      <c r="K99" s="18">
        <f>IF(A99="","",COUNTIFS(Pedidos!$C:$C,A99,Pedidos!$K:$K,Parametros!$B$4))</f>
        <v/>
      </c>
      <c r="L99" s="20">
        <f>IF(A99="","",IF(COUNTIFS(Pedidos!$C:$C,A99,Pedidos!$B:$B,"&lt;="&amp;EOMONTH(Parametros!$B$2,0))=0,"",_xlfn.MAXIFS(Pedidos!$B:$B,Pedidos!$C:$C,A99,Pedidos!$B:$B,"&lt;="&amp;EOMONTH(Parametros!$B$2,0))))</f>
        <v/>
      </c>
      <c r="M99" s="20">
        <f>IF(OR(L99="",F99=""),"",EDATE(L99,F99))</f>
        <v/>
      </c>
      <c r="N99" s="21">
        <f>IF(A99="","",IF(L99="","Sem histórico",IF(AND(L99&gt;=Parametros!$B$2,L99&lt;=EOMONTH(Parametros!$B$2,0)),"Comprou no mês",IF(M99="","Sem periodicidade",IF(M99&lt;Parametros!$B$2,"Atrasado",IF(M99&lt;=EOMONTH(Parametros!$B$2,0),"Previsto no mês","Em dia"))))))</f>
        <v/>
      </c>
    </row>
    <row r="100">
      <c r="I100" s="18">
        <f>IF(A100="","",COUNTIFS(Pedidos!$C:$C,A100,Pedidos!$K:$K,Parametros!$B$3))</f>
        <v/>
      </c>
      <c r="J100" s="19">
        <f>IF(A100="","",SUMIFS(Pedidos!$E:$E,Pedidos!$C:$C,A100,Pedidos!$K:$K,Parametros!$B$3))</f>
        <v/>
      </c>
      <c r="K100" s="18">
        <f>IF(A100="","",COUNTIFS(Pedidos!$C:$C,A100,Pedidos!$K:$K,Parametros!$B$4))</f>
        <v/>
      </c>
      <c r="L100" s="20">
        <f>IF(A100="","",IF(COUNTIFS(Pedidos!$C:$C,A100,Pedidos!$B:$B,"&lt;="&amp;EOMONTH(Parametros!$B$2,0))=0,"",_xlfn.MAXIFS(Pedidos!$B:$B,Pedidos!$C:$C,A100,Pedidos!$B:$B,"&lt;="&amp;EOMONTH(Parametros!$B$2,0))))</f>
        <v/>
      </c>
      <c r="M100" s="20">
        <f>IF(OR(L100="",F100=""),"",EDATE(L100,F100))</f>
        <v/>
      </c>
      <c r="N100" s="21">
        <f>IF(A100="","",IF(L100="","Sem histórico",IF(AND(L100&gt;=Parametros!$B$2,L100&lt;=EOMONTH(Parametros!$B$2,0)),"Comprou no mês",IF(M100="","Sem periodicidade",IF(M100&lt;Parametros!$B$2,"Atrasado",IF(M100&lt;=EOMONTH(Parametros!$B$2,0),"Previsto no mês","Em dia"))))))</f>
        <v/>
      </c>
    </row>
    <row r="101">
      <c r="I101" s="18">
        <f>IF(A101="","",COUNTIFS(Pedidos!$C:$C,A101,Pedidos!$K:$K,Parametros!$B$3))</f>
        <v/>
      </c>
      <c r="J101" s="19">
        <f>IF(A101="","",SUMIFS(Pedidos!$E:$E,Pedidos!$C:$C,A101,Pedidos!$K:$K,Parametros!$B$3))</f>
        <v/>
      </c>
      <c r="K101" s="18">
        <f>IF(A101="","",COUNTIFS(Pedidos!$C:$C,A101,Pedidos!$K:$K,Parametros!$B$4))</f>
        <v/>
      </c>
      <c r="L101" s="20">
        <f>IF(A101="","",IF(COUNTIFS(Pedidos!$C:$C,A101,Pedidos!$B:$B,"&lt;="&amp;EOMONTH(Parametros!$B$2,0))=0,"",_xlfn.MAXIFS(Pedidos!$B:$B,Pedidos!$C:$C,A101,Pedidos!$B:$B,"&lt;="&amp;EOMONTH(Parametros!$B$2,0))))</f>
        <v/>
      </c>
      <c r="M101" s="20">
        <f>IF(OR(L101="",F101=""),"",EDATE(L101,F101))</f>
        <v/>
      </c>
      <c r="N101" s="21">
        <f>IF(A101="","",IF(L101="","Sem histórico",IF(AND(L101&gt;=Parametros!$B$2,L101&lt;=EOMONTH(Parametros!$B$2,0)),"Comprou no mês",IF(M101="","Sem periodicidade",IF(M101&lt;Parametros!$B$2,"Atrasado",IF(M101&lt;=EOMONTH(Parametros!$B$2,0),"Previsto no mês","Em dia"))))))</f>
        <v/>
      </c>
    </row>
    <row r="102">
      <c r="I102" s="18">
        <f>IF(A102="","",COUNTIFS(Pedidos!$C:$C,A102,Pedidos!$K:$K,Parametros!$B$3))</f>
        <v/>
      </c>
      <c r="J102" s="19">
        <f>IF(A102="","",SUMIFS(Pedidos!$E:$E,Pedidos!$C:$C,A102,Pedidos!$K:$K,Parametros!$B$3))</f>
        <v/>
      </c>
      <c r="K102" s="18">
        <f>IF(A102="","",COUNTIFS(Pedidos!$C:$C,A102,Pedidos!$K:$K,Parametros!$B$4))</f>
        <v/>
      </c>
      <c r="L102" s="20">
        <f>IF(A102="","",IF(COUNTIFS(Pedidos!$C:$C,A102,Pedidos!$B:$B,"&lt;="&amp;EOMONTH(Parametros!$B$2,0))=0,"",_xlfn.MAXIFS(Pedidos!$B:$B,Pedidos!$C:$C,A102,Pedidos!$B:$B,"&lt;="&amp;EOMONTH(Parametros!$B$2,0))))</f>
        <v/>
      </c>
      <c r="M102" s="20">
        <f>IF(OR(L102="",F102=""),"",EDATE(L102,F102))</f>
        <v/>
      </c>
      <c r="N102" s="21">
        <f>IF(A102="","",IF(L102="","Sem histórico",IF(AND(L102&gt;=Parametros!$B$2,L102&lt;=EOMONTH(Parametros!$B$2,0)),"Comprou no mês",IF(M102="","Sem periodicidade",IF(M102&lt;Parametros!$B$2,"Atrasado",IF(M102&lt;=EOMONTH(Parametros!$B$2,0),"Previsto no mês","Em dia"))))))</f>
        <v/>
      </c>
    </row>
    <row r="103">
      <c r="I103" s="18">
        <f>IF(A103="","",COUNTIFS(Pedidos!$C:$C,A103,Pedidos!$K:$K,Parametros!$B$3))</f>
        <v/>
      </c>
      <c r="J103" s="19">
        <f>IF(A103="","",SUMIFS(Pedidos!$E:$E,Pedidos!$C:$C,A103,Pedidos!$K:$K,Parametros!$B$3))</f>
        <v/>
      </c>
      <c r="K103" s="18">
        <f>IF(A103="","",COUNTIFS(Pedidos!$C:$C,A103,Pedidos!$K:$K,Parametros!$B$4))</f>
        <v/>
      </c>
      <c r="L103" s="20">
        <f>IF(A103="","",IF(COUNTIFS(Pedidos!$C:$C,A103,Pedidos!$B:$B,"&lt;="&amp;EOMONTH(Parametros!$B$2,0))=0,"",_xlfn.MAXIFS(Pedidos!$B:$B,Pedidos!$C:$C,A103,Pedidos!$B:$B,"&lt;="&amp;EOMONTH(Parametros!$B$2,0))))</f>
        <v/>
      </c>
      <c r="M103" s="20">
        <f>IF(OR(L103="",F103=""),"",EDATE(L103,F103))</f>
        <v/>
      </c>
      <c r="N103" s="21">
        <f>IF(A103="","",IF(L103="","Sem histórico",IF(AND(L103&gt;=Parametros!$B$2,L103&lt;=EOMONTH(Parametros!$B$2,0)),"Comprou no mês",IF(M103="","Sem periodicidade",IF(M103&lt;Parametros!$B$2,"Atrasado",IF(M103&lt;=EOMONTH(Parametros!$B$2,0),"Previsto no mês","Em dia"))))))</f>
        <v/>
      </c>
    </row>
    <row r="104">
      <c r="I104" s="18">
        <f>IF(A104="","",COUNTIFS(Pedidos!$C:$C,A104,Pedidos!$K:$K,Parametros!$B$3))</f>
        <v/>
      </c>
      <c r="J104" s="19">
        <f>IF(A104="","",SUMIFS(Pedidos!$E:$E,Pedidos!$C:$C,A104,Pedidos!$K:$K,Parametros!$B$3))</f>
        <v/>
      </c>
      <c r="K104" s="18">
        <f>IF(A104="","",COUNTIFS(Pedidos!$C:$C,A104,Pedidos!$K:$K,Parametros!$B$4))</f>
        <v/>
      </c>
      <c r="L104" s="20">
        <f>IF(A104="","",IF(COUNTIFS(Pedidos!$C:$C,A104,Pedidos!$B:$B,"&lt;="&amp;EOMONTH(Parametros!$B$2,0))=0,"",_xlfn.MAXIFS(Pedidos!$B:$B,Pedidos!$C:$C,A104,Pedidos!$B:$B,"&lt;="&amp;EOMONTH(Parametros!$B$2,0))))</f>
        <v/>
      </c>
      <c r="M104" s="20">
        <f>IF(OR(L104="",F104=""),"",EDATE(L104,F104))</f>
        <v/>
      </c>
      <c r="N104" s="21">
        <f>IF(A104="","",IF(L104="","Sem histórico",IF(AND(L104&gt;=Parametros!$B$2,L104&lt;=EOMONTH(Parametros!$B$2,0)),"Comprou no mês",IF(M104="","Sem periodicidade",IF(M104&lt;Parametros!$B$2,"Atrasado",IF(M104&lt;=EOMONTH(Parametros!$B$2,0),"Previsto no mês","Em dia"))))))</f>
        <v/>
      </c>
    </row>
    <row r="105">
      <c r="I105" s="18">
        <f>IF(A105="","",COUNTIFS(Pedidos!$C:$C,A105,Pedidos!$K:$K,Parametros!$B$3))</f>
        <v/>
      </c>
      <c r="J105" s="19">
        <f>IF(A105="","",SUMIFS(Pedidos!$E:$E,Pedidos!$C:$C,A105,Pedidos!$K:$K,Parametros!$B$3))</f>
        <v/>
      </c>
      <c r="K105" s="18">
        <f>IF(A105="","",COUNTIFS(Pedidos!$C:$C,A105,Pedidos!$K:$K,Parametros!$B$4))</f>
        <v/>
      </c>
      <c r="L105" s="20">
        <f>IF(A105="","",IF(COUNTIFS(Pedidos!$C:$C,A105,Pedidos!$B:$B,"&lt;="&amp;EOMONTH(Parametros!$B$2,0))=0,"",_xlfn.MAXIFS(Pedidos!$B:$B,Pedidos!$C:$C,A105,Pedidos!$B:$B,"&lt;="&amp;EOMONTH(Parametros!$B$2,0))))</f>
        <v/>
      </c>
      <c r="M105" s="20">
        <f>IF(OR(L105="",F105=""),"",EDATE(L105,F105))</f>
        <v/>
      </c>
      <c r="N105" s="21">
        <f>IF(A105="","",IF(L105="","Sem histórico",IF(AND(L105&gt;=Parametros!$B$2,L105&lt;=EOMONTH(Parametros!$B$2,0)),"Comprou no mês",IF(M105="","Sem periodicidade",IF(M105&lt;Parametros!$B$2,"Atrasado",IF(M105&lt;=EOMONTH(Parametros!$B$2,0),"Previsto no mês","Em dia"))))))</f>
        <v/>
      </c>
    </row>
    <row r="106">
      <c r="I106" s="18">
        <f>IF(A106="","",COUNTIFS(Pedidos!$C:$C,A106,Pedidos!$K:$K,Parametros!$B$3))</f>
        <v/>
      </c>
      <c r="J106" s="19">
        <f>IF(A106="","",SUMIFS(Pedidos!$E:$E,Pedidos!$C:$C,A106,Pedidos!$K:$K,Parametros!$B$3))</f>
        <v/>
      </c>
      <c r="K106" s="18">
        <f>IF(A106="","",COUNTIFS(Pedidos!$C:$C,A106,Pedidos!$K:$K,Parametros!$B$4))</f>
        <v/>
      </c>
      <c r="L106" s="20">
        <f>IF(A106="","",IF(COUNTIFS(Pedidos!$C:$C,A106,Pedidos!$B:$B,"&lt;="&amp;EOMONTH(Parametros!$B$2,0))=0,"",_xlfn.MAXIFS(Pedidos!$B:$B,Pedidos!$C:$C,A106,Pedidos!$B:$B,"&lt;="&amp;EOMONTH(Parametros!$B$2,0))))</f>
        <v/>
      </c>
      <c r="M106" s="20">
        <f>IF(OR(L106="",F106=""),"",EDATE(L106,F106))</f>
        <v/>
      </c>
      <c r="N106" s="21">
        <f>IF(A106="","",IF(L106="","Sem histórico",IF(AND(L106&gt;=Parametros!$B$2,L106&lt;=EOMONTH(Parametros!$B$2,0)),"Comprou no mês",IF(M106="","Sem periodicidade",IF(M106&lt;Parametros!$B$2,"Atrasado",IF(M106&lt;=EOMONTH(Parametros!$B$2,0),"Previsto no mês","Em dia"))))))</f>
        <v/>
      </c>
    </row>
    <row r="107">
      <c r="I107" s="18">
        <f>IF(A107="","",COUNTIFS(Pedidos!$C:$C,A107,Pedidos!$K:$K,Parametros!$B$3))</f>
        <v/>
      </c>
      <c r="J107" s="19">
        <f>IF(A107="","",SUMIFS(Pedidos!$E:$E,Pedidos!$C:$C,A107,Pedidos!$K:$K,Parametros!$B$3))</f>
        <v/>
      </c>
      <c r="K107" s="18">
        <f>IF(A107="","",COUNTIFS(Pedidos!$C:$C,A107,Pedidos!$K:$K,Parametros!$B$4))</f>
        <v/>
      </c>
      <c r="L107" s="20">
        <f>IF(A107="","",IF(COUNTIFS(Pedidos!$C:$C,A107,Pedidos!$B:$B,"&lt;="&amp;EOMONTH(Parametros!$B$2,0))=0,"",_xlfn.MAXIFS(Pedidos!$B:$B,Pedidos!$C:$C,A107,Pedidos!$B:$B,"&lt;="&amp;EOMONTH(Parametros!$B$2,0))))</f>
        <v/>
      </c>
      <c r="M107" s="20">
        <f>IF(OR(L107="",F107=""),"",EDATE(L107,F107))</f>
        <v/>
      </c>
      <c r="N107" s="21">
        <f>IF(A107="","",IF(L107="","Sem histórico",IF(AND(L107&gt;=Parametros!$B$2,L107&lt;=EOMONTH(Parametros!$B$2,0)),"Comprou no mês",IF(M107="","Sem periodicidade",IF(M107&lt;Parametros!$B$2,"Atrasado",IF(M107&lt;=EOMONTH(Parametros!$B$2,0),"Previsto no mês","Em dia"))))))</f>
        <v/>
      </c>
    </row>
    <row r="108">
      <c r="I108" s="18">
        <f>IF(A108="","",COUNTIFS(Pedidos!$C:$C,A108,Pedidos!$K:$K,Parametros!$B$3))</f>
        <v/>
      </c>
      <c r="J108" s="19">
        <f>IF(A108="","",SUMIFS(Pedidos!$E:$E,Pedidos!$C:$C,A108,Pedidos!$K:$K,Parametros!$B$3))</f>
        <v/>
      </c>
      <c r="K108" s="18">
        <f>IF(A108="","",COUNTIFS(Pedidos!$C:$C,A108,Pedidos!$K:$K,Parametros!$B$4))</f>
        <v/>
      </c>
      <c r="L108" s="20">
        <f>IF(A108="","",IF(COUNTIFS(Pedidos!$C:$C,A108,Pedidos!$B:$B,"&lt;="&amp;EOMONTH(Parametros!$B$2,0))=0,"",_xlfn.MAXIFS(Pedidos!$B:$B,Pedidos!$C:$C,A108,Pedidos!$B:$B,"&lt;="&amp;EOMONTH(Parametros!$B$2,0))))</f>
        <v/>
      </c>
      <c r="M108" s="20">
        <f>IF(OR(L108="",F108=""),"",EDATE(L108,F108))</f>
        <v/>
      </c>
      <c r="N108" s="21">
        <f>IF(A108="","",IF(L108="","Sem histórico",IF(AND(L108&gt;=Parametros!$B$2,L108&lt;=EOMONTH(Parametros!$B$2,0)),"Comprou no mês",IF(M108="","Sem periodicidade",IF(M108&lt;Parametros!$B$2,"Atrasado",IF(M108&lt;=EOMONTH(Parametros!$B$2,0),"Previsto no mês","Em dia"))))))</f>
        <v/>
      </c>
    </row>
    <row r="109">
      <c r="I109" s="18">
        <f>IF(A109="","",COUNTIFS(Pedidos!$C:$C,A109,Pedidos!$K:$K,Parametros!$B$3))</f>
        <v/>
      </c>
      <c r="J109" s="19">
        <f>IF(A109="","",SUMIFS(Pedidos!$E:$E,Pedidos!$C:$C,A109,Pedidos!$K:$K,Parametros!$B$3))</f>
        <v/>
      </c>
      <c r="K109" s="18">
        <f>IF(A109="","",COUNTIFS(Pedidos!$C:$C,A109,Pedidos!$K:$K,Parametros!$B$4))</f>
        <v/>
      </c>
      <c r="L109" s="20">
        <f>IF(A109="","",IF(COUNTIFS(Pedidos!$C:$C,A109,Pedidos!$B:$B,"&lt;="&amp;EOMONTH(Parametros!$B$2,0))=0,"",_xlfn.MAXIFS(Pedidos!$B:$B,Pedidos!$C:$C,A109,Pedidos!$B:$B,"&lt;="&amp;EOMONTH(Parametros!$B$2,0))))</f>
        <v/>
      </c>
      <c r="M109" s="20">
        <f>IF(OR(L109="",F109=""),"",EDATE(L109,F109))</f>
        <v/>
      </c>
      <c r="N109" s="21">
        <f>IF(A109="","",IF(L109="","Sem histórico",IF(AND(L109&gt;=Parametros!$B$2,L109&lt;=EOMONTH(Parametros!$B$2,0)),"Comprou no mês",IF(M109="","Sem periodicidade",IF(M109&lt;Parametros!$B$2,"Atrasado",IF(M109&lt;=EOMONTH(Parametros!$B$2,0),"Previsto no mês","Em dia"))))))</f>
        <v/>
      </c>
    </row>
    <row r="110">
      <c r="I110" s="18">
        <f>IF(A110="","",COUNTIFS(Pedidos!$C:$C,A110,Pedidos!$K:$K,Parametros!$B$3))</f>
        <v/>
      </c>
      <c r="J110" s="19">
        <f>IF(A110="","",SUMIFS(Pedidos!$E:$E,Pedidos!$C:$C,A110,Pedidos!$K:$K,Parametros!$B$3))</f>
        <v/>
      </c>
      <c r="K110" s="18">
        <f>IF(A110="","",COUNTIFS(Pedidos!$C:$C,A110,Pedidos!$K:$K,Parametros!$B$4))</f>
        <v/>
      </c>
      <c r="L110" s="20">
        <f>IF(A110="","",IF(COUNTIFS(Pedidos!$C:$C,A110,Pedidos!$B:$B,"&lt;="&amp;EOMONTH(Parametros!$B$2,0))=0,"",_xlfn.MAXIFS(Pedidos!$B:$B,Pedidos!$C:$C,A110,Pedidos!$B:$B,"&lt;="&amp;EOMONTH(Parametros!$B$2,0))))</f>
        <v/>
      </c>
      <c r="M110" s="20">
        <f>IF(OR(L110="",F110=""),"",EDATE(L110,F110))</f>
        <v/>
      </c>
      <c r="N110" s="21">
        <f>IF(A110="","",IF(L110="","Sem histórico",IF(AND(L110&gt;=Parametros!$B$2,L110&lt;=EOMONTH(Parametros!$B$2,0)),"Comprou no mês",IF(M110="","Sem periodicidade",IF(M110&lt;Parametros!$B$2,"Atrasado",IF(M110&lt;=EOMONTH(Parametros!$B$2,0),"Previsto no mês","Em dia"))))))</f>
        <v/>
      </c>
    </row>
    <row r="111">
      <c r="I111" s="18">
        <f>IF(A111="","",COUNTIFS(Pedidos!$C:$C,A111,Pedidos!$K:$K,Parametros!$B$3))</f>
        <v/>
      </c>
      <c r="J111" s="19">
        <f>IF(A111="","",SUMIFS(Pedidos!$E:$E,Pedidos!$C:$C,A111,Pedidos!$K:$K,Parametros!$B$3))</f>
        <v/>
      </c>
      <c r="K111" s="18">
        <f>IF(A111="","",COUNTIFS(Pedidos!$C:$C,A111,Pedidos!$K:$K,Parametros!$B$4))</f>
        <v/>
      </c>
      <c r="L111" s="20">
        <f>IF(A111="","",IF(COUNTIFS(Pedidos!$C:$C,A111,Pedidos!$B:$B,"&lt;="&amp;EOMONTH(Parametros!$B$2,0))=0,"",_xlfn.MAXIFS(Pedidos!$B:$B,Pedidos!$C:$C,A111,Pedidos!$B:$B,"&lt;="&amp;EOMONTH(Parametros!$B$2,0))))</f>
        <v/>
      </c>
      <c r="M111" s="20">
        <f>IF(OR(L111="",F111=""),"",EDATE(L111,F111))</f>
        <v/>
      </c>
      <c r="N111" s="21">
        <f>IF(A111="","",IF(L111="","Sem histórico",IF(AND(L111&gt;=Parametros!$B$2,L111&lt;=EOMONTH(Parametros!$B$2,0)),"Comprou no mês",IF(M111="","Sem periodicidade",IF(M111&lt;Parametros!$B$2,"Atrasado",IF(M111&lt;=EOMONTH(Parametros!$B$2,0),"Previsto no mês","Em dia"))))))</f>
        <v/>
      </c>
    </row>
    <row r="112">
      <c r="I112" s="18">
        <f>IF(A112="","",COUNTIFS(Pedidos!$C:$C,A112,Pedidos!$K:$K,Parametros!$B$3))</f>
        <v/>
      </c>
      <c r="J112" s="19">
        <f>IF(A112="","",SUMIFS(Pedidos!$E:$E,Pedidos!$C:$C,A112,Pedidos!$K:$K,Parametros!$B$3))</f>
        <v/>
      </c>
      <c r="K112" s="18">
        <f>IF(A112="","",COUNTIFS(Pedidos!$C:$C,A112,Pedidos!$K:$K,Parametros!$B$4))</f>
        <v/>
      </c>
      <c r="L112" s="20">
        <f>IF(A112="","",IF(COUNTIFS(Pedidos!$C:$C,A112,Pedidos!$B:$B,"&lt;="&amp;EOMONTH(Parametros!$B$2,0))=0,"",_xlfn.MAXIFS(Pedidos!$B:$B,Pedidos!$C:$C,A112,Pedidos!$B:$B,"&lt;="&amp;EOMONTH(Parametros!$B$2,0))))</f>
        <v/>
      </c>
      <c r="M112" s="20">
        <f>IF(OR(L112="",F112=""),"",EDATE(L112,F112))</f>
        <v/>
      </c>
      <c r="N112" s="21">
        <f>IF(A112="","",IF(L112="","Sem histórico",IF(AND(L112&gt;=Parametros!$B$2,L112&lt;=EOMONTH(Parametros!$B$2,0)),"Comprou no mês",IF(M112="","Sem periodicidade",IF(M112&lt;Parametros!$B$2,"Atrasado",IF(M112&lt;=EOMONTH(Parametros!$B$2,0),"Previsto no mês","Em dia"))))))</f>
        <v/>
      </c>
    </row>
    <row r="113">
      <c r="I113" s="18">
        <f>IF(A113="","",COUNTIFS(Pedidos!$C:$C,A113,Pedidos!$K:$K,Parametros!$B$3))</f>
        <v/>
      </c>
      <c r="J113" s="19">
        <f>IF(A113="","",SUMIFS(Pedidos!$E:$E,Pedidos!$C:$C,A113,Pedidos!$K:$K,Parametros!$B$3))</f>
        <v/>
      </c>
      <c r="K113" s="18">
        <f>IF(A113="","",COUNTIFS(Pedidos!$C:$C,A113,Pedidos!$K:$K,Parametros!$B$4))</f>
        <v/>
      </c>
      <c r="L113" s="20">
        <f>IF(A113="","",IF(COUNTIFS(Pedidos!$C:$C,A113,Pedidos!$B:$B,"&lt;="&amp;EOMONTH(Parametros!$B$2,0))=0,"",_xlfn.MAXIFS(Pedidos!$B:$B,Pedidos!$C:$C,A113,Pedidos!$B:$B,"&lt;="&amp;EOMONTH(Parametros!$B$2,0))))</f>
        <v/>
      </c>
      <c r="M113" s="20">
        <f>IF(OR(L113="",F113=""),"",EDATE(L113,F113))</f>
        <v/>
      </c>
      <c r="N113" s="21">
        <f>IF(A113="","",IF(L113="","Sem histórico",IF(AND(L113&gt;=Parametros!$B$2,L113&lt;=EOMONTH(Parametros!$B$2,0)),"Comprou no mês",IF(M113="","Sem periodicidade",IF(M113&lt;Parametros!$B$2,"Atrasado",IF(M113&lt;=EOMONTH(Parametros!$B$2,0),"Previsto no mês","Em dia"))))))</f>
        <v/>
      </c>
    </row>
    <row r="114">
      <c r="I114" s="18">
        <f>IF(A114="","",COUNTIFS(Pedidos!$C:$C,A114,Pedidos!$K:$K,Parametros!$B$3))</f>
        <v/>
      </c>
      <c r="J114" s="19">
        <f>IF(A114="","",SUMIFS(Pedidos!$E:$E,Pedidos!$C:$C,A114,Pedidos!$K:$K,Parametros!$B$3))</f>
        <v/>
      </c>
      <c r="K114" s="18">
        <f>IF(A114="","",COUNTIFS(Pedidos!$C:$C,A114,Pedidos!$K:$K,Parametros!$B$4))</f>
        <v/>
      </c>
      <c r="L114" s="20">
        <f>IF(A114="","",IF(COUNTIFS(Pedidos!$C:$C,A114,Pedidos!$B:$B,"&lt;="&amp;EOMONTH(Parametros!$B$2,0))=0,"",_xlfn.MAXIFS(Pedidos!$B:$B,Pedidos!$C:$C,A114,Pedidos!$B:$B,"&lt;="&amp;EOMONTH(Parametros!$B$2,0))))</f>
        <v/>
      </c>
      <c r="M114" s="20">
        <f>IF(OR(L114="",F114=""),"",EDATE(L114,F114))</f>
        <v/>
      </c>
      <c r="N114" s="21">
        <f>IF(A114="","",IF(L114="","Sem histórico",IF(AND(L114&gt;=Parametros!$B$2,L114&lt;=EOMONTH(Parametros!$B$2,0)),"Comprou no mês",IF(M114="","Sem periodicidade",IF(M114&lt;Parametros!$B$2,"Atrasado",IF(M114&lt;=EOMONTH(Parametros!$B$2,0),"Previsto no mês","Em dia"))))))</f>
        <v/>
      </c>
    </row>
    <row r="115">
      <c r="I115" s="18">
        <f>IF(A115="","",COUNTIFS(Pedidos!$C:$C,A115,Pedidos!$K:$K,Parametros!$B$3))</f>
        <v/>
      </c>
      <c r="J115" s="19">
        <f>IF(A115="","",SUMIFS(Pedidos!$E:$E,Pedidos!$C:$C,A115,Pedidos!$K:$K,Parametros!$B$3))</f>
        <v/>
      </c>
      <c r="K115" s="18">
        <f>IF(A115="","",COUNTIFS(Pedidos!$C:$C,A115,Pedidos!$K:$K,Parametros!$B$4))</f>
        <v/>
      </c>
      <c r="L115" s="20">
        <f>IF(A115="","",IF(COUNTIFS(Pedidos!$C:$C,A115,Pedidos!$B:$B,"&lt;="&amp;EOMONTH(Parametros!$B$2,0))=0,"",_xlfn.MAXIFS(Pedidos!$B:$B,Pedidos!$C:$C,A115,Pedidos!$B:$B,"&lt;="&amp;EOMONTH(Parametros!$B$2,0))))</f>
        <v/>
      </c>
      <c r="M115" s="20">
        <f>IF(OR(L115="",F115=""),"",EDATE(L115,F115))</f>
        <v/>
      </c>
      <c r="N115" s="21">
        <f>IF(A115="","",IF(L115="","Sem histórico",IF(AND(L115&gt;=Parametros!$B$2,L115&lt;=EOMONTH(Parametros!$B$2,0)),"Comprou no mês",IF(M115="","Sem periodicidade",IF(M115&lt;Parametros!$B$2,"Atrasado",IF(M115&lt;=EOMONTH(Parametros!$B$2,0),"Previsto no mês","Em dia"))))))</f>
        <v/>
      </c>
    </row>
    <row r="116">
      <c r="I116" s="18">
        <f>IF(A116="","",COUNTIFS(Pedidos!$C:$C,A116,Pedidos!$K:$K,Parametros!$B$3))</f>
        <v/>
      </c>
      <c r="J116" s="19">
        <f>IF(A116="","",SUMIFS(Pedidos!$E:$E,Pedidos!$C:$C,A116,Pedidos!$K:$K,Parametros!$B$3))</f>
        <v/>
      </c>
      <c r="K116" s="18">
        <f>IF(A116="","",COUNTIFS(Pedidos!$C:$C,A116,Pedidos!$K:$K,Parametros!$B$4))</f>
        <v/>
      </c>
      <c r="L116" s="20">
        <f>IF(A116="","",IF(COUNTIFS(Pedidos!$C:$C,A116,Pedidos!$B:$B,"&lt;="&amp;EOMONTH(Parametros!$B$2,0))=0,"",_xlfn.MAXIFS(Pedidos!$B:$B,Pedidos!$C:$C,A116,Pedidos!$B:$B,"&lt;="&amp;EOMONTH(Parametros!$B$2,0))))</f>
        <v/>
      </c>
      <c r="M116" s="20">
        <f>IF(OR(L116="",F116=""),"",EDATE(L116,F116))</f>
        <v/>
      </c>
      <c r="N116" s="21">
        <f>IF(A116="","",IF(L116="","Sem histórico",IF(AND(L116&gt;=Parametros!$B$2,L116&lt;=EOMONTH(Parametros!$B$2,0)),"Comprou no mês",IF(M116="","Sem periodicidade",IF(M116&lt;Parametros!$B$2,"Atrasado",IF(M116&lt;=EOMONTH(Parametros!$B$2,0),"Previsto no mês","Em dia"))))))</f>
        <v/>
      </c>
    </row>
    <row r="117">
      <c r="I117" s="18">
        <f>IF(A117="","",COUNTIFS(Pedidos!$C:$C,A117,Pedidos!$K:$K,Parametros!$B$3))</f>
        <v/>
      </c>
      <c r="J117" s="19">
        <f>IF(A117="","",SUMIFS(Pedidos!$E:$E,Pedidos!$C:$C,A117,Pedidos!$K:$K,Parametros!$B$3))</f>
        <v/>
      </c>
      <c r="K117" s="18">
        <f>IF(A117="","",COUNTIFS(Pedidos!$C:$C,A117,Pedidos!$K:$K,Parametros!$B$4))</f>
        <v/>
      </c>
      <c r="L117" s="20">
        <f>IF(A117="","",IF(COUNTIFS(Pedidos!$C:$C,A117,Pedidos!$B:$B,"&lt;="&amp;EOMONTH(Parametros!$B$2,0))=0,"",_xlfn.MAXIFS(Pedidos!$B:$B,Pedidos!$C:$C,A117,Pedidos!$B:$B,"&lt;="&amp;EOMONTH(Parametros!$B$2,0))))</f>
        <v/>
      </c>
      <c r="M117" s="20">
        <f>IF(OR(L117="",F117=""),"",EDATE(L117,F117))</f>
        <v/>
      </c>
      <c r="N117" s="21">
        <f>IF(A117="","",IF(L117="","Sem histórico",IF(AND(L117&gt;=Parametros!$B$2,L117&lt;=EOMONTH(Parametros!$B$2,0)),"Comprou no mês",IF(M117="","Sem periodicidade",IF(M117&lt;Parametros!$B$2,"Atrasado",IF(M117&lt;=EOMONTH(Parametros!$B$2,0),"Previsto no mês","Em dia"))))))</f>
        <v/>
      </c>
    </row>
    <row r="118">
      <c r="I118" s="18">
        <f>IF(A118="","",COUNTIFS(Pedidos!$C:$C,A118,Pedidos!$K:$K,Parametros!$B$3))</f>
        <v/>
      </c>
      <c r="J118" s="19">
        <f>IF(A118="","",SUMIFS(Pedidos!$E:$E,Pedidos!$C:$C,A118,Pedidos!$K:$K,Parametros!$B$3))</f>
        <v/>
      </c>
      <c r="K118" s="18">
        <f>IF(A118="","",COUNTIFS(Pedidos!$C:$C,A118,Pedidos!$K:$K,Parametros!$B$4))</f>
        <v/>
      </c>
      <c r="L118" s="20">
        <f>IF(A118="","",IF(COUNTIFS(Pedidos!$C:$C,A118,Pedidos!$B:$B,"&lt;="&amp;EOMONTH(Parametros!$B$2,0))=0,"",_xlfn.MAXIFS(Pedidos!$B:$B,Pedidos!$C:$C,A118,Pedidos!$B:$B,"&lt;="&amp;EOMONTH(Parametros!$B$2,0))))</f>
        <v/>
      </c>
      <c r="M118" s="20">
        <f>IF(OR(L118="",F118=""),"",EDATE(L118,F118))</f>
        <v/>
      </c>
      <c r="N118" s="21">
        <f>IF(A118="","",IF(L118="","Sem histórico",IF(AND(L118&gt;=Parametros!$B$2,L118&lt;=EOMONTH(Parametros!$B$2,0)),"Comprou no mês",IF(M118="","Sem periodicidade",IF(M118&lt;Parametros!$B$2,"Atrasado",IF(M118&lt;=EOMONTH(Parametros!$B$2,0),"Previsto no mês","Em dia"))))))</f>
        <v/>
      </c>
    </row>
    <row r="119">
      <c r="I119" s="18">
        <f>IF(A119="","",COUNTIFS(Pedidos!$C:$C,A119,Pedidos!$K:$K,Parametros!$B$3))</f>
        <v/>
      </c>
      <c r="J119" s="19">
        <f>IF(A119="","",SUMIFS(Pedidos!$E:$E,Pedidos!$C:$C,A119,Pedidos!$K:$K,Parametros!$B$3))</f>
        <v/>
      </c>
      <c r="K119" s="18">
        <f>IF(A119="","",COUNTIFS(Pedidos!$C:$C,A119,Pedidos!$K:$K,Parametros!$B$4))</f>
        <v/>
      </c>
      <c r="L119" s="20">
        <f>IF(A119="","",IF(COUNTIFS(Pedidos!$C:$C,A119,Pedidos!$B:$B,"&lt;="&amp;EOMONTH(Parametros!$B$2,0))=0,"",_xlfn.MAXIFS(Pedidos!$B:$B,Pedidos!$C:$C,A119,Pedidos!$B:$B,"&lt;="&amp;EOMONTH(Parametros!$B$2,0))))</f>
        <v/>
      </c>
      <c r="M119" s="20">
        <f>IF(OR(L119="",F119=""),"",EDATE(L119,F119))</f>
        <v/>
      </c>
      <c r="N119" s="21">
        <f>IF(A119="","",IF(L119="","Sem histórico",IF(AND(L119&gt;=Parametros!$B$2,L119&lt;=EOMONTH(Parametros!$B$2,0)),"Comprou no mês",IF(M119="","Sem periodicidade",IF(M119&lt;Parametros!$B$2,"Atrasado",IF(M119&lt;=EOMONTH(Parametros!$B$2,0),"Previsto no mês","Em dia"))))))</f>
        <v/>
      </c>
    </row>
    <row r="120">
      <c r="I120" s="18">
        <f>IF(A120="","",COUNTIFS(Pedidos!$C:$C,A120,Pedidos!$K:$K,Parametros!$B$3))</f>
        <v/>
      </c>
      <c r="J120" s="19">
        <f>IF(A120="","",SUMIFS(Pedidos!$E:$E,Pedidos!$C:$C,A120,Pedidos!$K:$K,Parametros!$B$3))</f>
        <v/>
      </c>
      <c r="K120" s="18">
        <f>IF(A120="","",COUNTIFS(Pedidos!$C:$C,A120,Pedidos!$K:$K,Parametros!$B$4))</f>
        <v/>
      </c>
      <c r="L120" s="20">
        <f>IF(A120="","",IF(COUNTIFS(Pedidos!$C:$C,A120,Pedidos!$B:$B,"&lt;="&amp;EOMONTH(Parametros!$B$2,0))=0,"",_xlfn.MAXIFS(Pedidos!$B:$B,Pedidos!$C:$C,A120,Pedidos!$B:$B,"&lt;="&amp;EOMONTH(Parametros!$B$2,0))))</f>
        <v/>
      </c>
      <c r="M120" s="20">
        <f>IF(OR(L120="",F120=""),"",EDATE(L120,F120))</f>
        <v/>
      </c>
      <c r="N120" s="21">
        <f>IF(A120="","",IF(L120="","Sem histórico",IF(AND(L120&gt;=Parametros!$B$2,L120&lt;=EOMONTH(Parametros!$B$2,0)),"Comprou no mês",IF(M120="","Sem periodicidade",IF(M120&lt;Parametros!$B$2,"Atrasado",IF(M120&lt;=EOMONTH(Parametros!$B$2,0),"Previsto no mês","Em dia"))))))</f>
        <v/>
      </c>
    </row>
    <row r="121">
      <c r="I121" s="18">
        <f>IF(A121="","",COUNTIFS(Pedidos!$C:$C,A121,Pedidos!$K:$K,Parametros!$B$3))</f>
        <v/>
      </c>
      <c r="J121" s="19">
        <f>IF(A121="","",SUMIFS(Pedidos!$E:$E,Pedidos!$C:$C,A121,Pedidos!$K:$K,Parametros!$B$3))</f>
        <v/>
      </c>
      <c r="K121" s="18">
        <f>IF(A121="","",COUNTIFS(Pedidos!$C:$C,A121,Pedidos!$K:$K,Parametros!$B$4))</f>
        <v/>
      </c>
      <c r="L121" s="20">
        <f>IF(A121="","",IF(COUNTIFS(Pedidos!$C:$C,A121,Pedidos!$B:$B,"&lt;="&amp;EOMONTH(Parametros!$B$2,0))=0,"",_xlfn.MAXIFS(Pedidos!$B:$B,Pedidos!$C:$C,A121,Pedidos!$B:$B,"&lt;="&amp;EOMONTH(Parametros!$B$2,0))))</f>
        <v/>
      </c>
      <c r="M121" s="20">
        <f>IF(OR(L121="",F121=""),"",EDATE(L121,F121))</f>
        <v/>
      </c>
      <c r="N121" s="21">
        <f>IF(A121="","",IF(L121="","Sem histórico",IF(AND(L121&gt;=Parametros!$B$2,L121&lt;=EOMONTH(Parametros!$B$2,0)),"Comprou no mês",IF(M121="","Sem periodicidade",IF(M121&lt;Parametros!$B$2,"Atrasado",IF(M121&lt;=EOMONTH(Parametros!$B$2,0),"Previsto no mês","Em dia"))))))</f>
        <v/>
      </c>
    </row>
    <row r="122">
      <c r="I122" s="18">
        <f>IF(A122="","",COUNTIFS(Pedidos!$C:$C,A122,Pedidos!$K:$K,Parametros!$B$3))</f>
        <v/>
      </c>
      <c r="J122" s="19">
        <f>IF(A122="","",SUMIFS(Pedidos!$E:$E,Pedidos!$C:$C,A122,Pedidos!$K:$K,Parametros!$B$3))</f>
        <v/>
      </c>
      <c r="K122" s="18">
        <f>IF(A122="","",COUNTIFS(Pedidos!$C:$C,A122,Pedidos!$K:$K,Parametros!$B$4))</f>
        <v/>
      </c>
      <c r="L122" s="20">
        <f>IF(A122="","",IF(COUNTIFS(Pedidos!$C:$C,A122,Pedidos!$B:$B,"&lt;="&amp;EOMONTH(Parametros!$B$2,0))=0,"",_xlfn.MAXIFS(Pedidos!$B:$B,Pedidos!$C:$C,A122,Pedidos!$B:$B,"&lt;="&amp;EOMONTH(Parametros!$B$2,0))))</f>
        <v/>
      </c>
      <c r="M122" s="20">
        <f>IF(OR(L122="",F122=""),"",EDATE(L122,F122))</f>
        <v/>
      </c>
      <c r="N122" s="21">
        <f>IF(A122="","",IF(L122="","Sem histórico",IF(AND(L122&gt;=Parametros!$B$2,L122&lt;=EOMONTH(Parametros!$B$2,0)),"Comprou no mês",IF(M122="","Sem periodicidade",IF(M122&lt;Parametros!$B$2,"Atrasado",IF(M122&lt;=EOMONTH(Parametros!$B$2,0),"Previsto no mês","Em dia"))))))</f>
        <v/>
      </c>
    </row>
    <row r="123">
      <c r="I123" s="18">
        <f>IF(A123="","",COUNTIFS(Pedidos!$C:$C,A123,Pedidos!$K:$K,Parametros!$B$3))</f>
        <v/>
      </c>
      <c r="J123" s="19">
        <f>IF(A123="","",SUMIFS(Pedidos!$E:$E,Pedidos!$C:$C,A123,Pedidos!$K:$K,Parametros!$B$3))</f>
        <v/>
      </c>
      <c r="K123" s="18">
        <f>IF(A123="","",COUNTIFS(Pedidos!$C:$C,A123,Pedidos!$K:$K,Parametros!$B$4))</f>
        <v/>
      </c>
      <c r="L123" s="20">
        <f>IF(A123="","",IF(COUNTIFS(Pedidos!$C:$C,A123,Pedidos!$B:$B,"&lt;="&amp;EOMONTH(Parametros!$B$2,0))=0,"",_xlfn.MAXIFS(Pedidos!$B:$B,Pedidos!$C:$C,A123,Pedidos!$B:$B,"&lt;="&amp;EOMONTH(Parametros!$B$2,0))))</f>
        <v/>
      </c>
      <c r="M123" s="20">
        <f>IF(OR(L123="",F123=""),"",EDATE(L123,F123))</f>
        <v/>
      </c>
      <c r="N123" s="21">
        <f>IF(A123="","",IF(L123="","Sem histórico",IF(AND(L123&gt;=Parametros!$B$2,L123&lt;=EOMONTH(Parametros!$B$2,0)),"Comprou no mês",IF(M123="","Sem periodicidade",IF(M123&lt;Parametros!$B$2,"Atrasado",IF(M123&lt;=EOMONTH(Parametros!$B$2,0),"Previsto no mês","Em dia"))))))</f>
        <v/>
      </c>
    </row>
    <row r="124">
      <c r="I124" s="18">
        <f>IF(A124="","",COUNTIFS(Pedidos!$C:$C,A124,Pedidos!$K:$K,Parametros!$B$3))</f>
        <v/>
      </c>
      <c r="J124" s="19">
        <f>IF(A124="","",SUMIFS(Pedidos!$E:$E,Pedidos!$C:$C,A124,Pedidos!$K:$K,Parametros!$B$3))</f>
        <v/>
      </c>
      <c r="K124" s="18">
        <f>IF(A124="","",COUNTIFS(Pedidos!$C:$C,A124,Pedidos!$K:$K,Parametros!$B$4))</f>
        <v/>
      </c>
      <c r="L124" s="20">
        <f>IF(A124="","",IF(COUNTIFS(Pedidos!$C:$C,A124,Pedidos!$B:$B,"&lt;="&amp;EOMONTH(Parametros!$B$2,0))=0,"",_xlfn.MAXIFS(Pedidos!$B:$B,Pedidos!$C:$C,A124,Pedidos!$B:$B,"&lt;="&amp;EOMONTH(Parametros!$B$2,0))))</f>
        <v/>
      </c>
      <c r="M124" s="20">
        <f>IF(OR(L124="",F124=""),"",EDATE(L124,F124))</f>
        <v/>
      </c>
      <c r="N124" s="21">
        <f>IF(A124="","",IF(L124="","Sem histórico",IF(AND(L124&gt;=Parametros!$B$2,L124&lt;=EOMONTH(Parametros!$B$2,0)),"Comprou no mês",IF(M124="","Sem periodicidade",IF(M124&lt;Parametros!$B$2,"Atrasado",IF(M124&lt;=EOMONTH(Parametros!$B$2,0),"Previsto no mês","Em dia"))))))</f>
        <v/>
      </c>
    </row>
    <row r="125">
      <c r="I125" s="18">
        <f>IF(A125="","",COUNTIFS(Pedidos!$C:$C,A125,Pedidos!$K:$K,Parametros!$B$3))</f>
        <v/>
      </c>
      <c r="J125" s="19">
        <f>IF(A125="","",SUMIFS(Pedidos!$E:$E,Pedidos!$C:$C,A125,Pedidos!$K:$K,Parametros!$B$3))</f>
        <v/>
      </c>
      <c r="K125" s="18">
        <f>IF(A125="","",COUNTIFS(Pedidos!$C:$C,A125,Pedidos!$K:$K,Parametros!$B$4))</f>
        <v/>
      </c>
      <c r="L125" s="20">
        <f>IF(A125="","",IF(COUNTIFS(Pedidos!$C:$C,A125,Pedidos!$B:$B,"&lt;="&amp;EOMONTH(Parametros!$B$2,0))=0,"",_xlfn.MAXIFS(Pedidos!$B:$B,Pedidos!$C:$C,A125,Pedidos!$B:$B,"&lt;="&amp;EOMONTH(Parametros!$B$2,0))))</f>
        <v/>
      </c>
      <c r="M125" s="20">
        <f>IF(OR(L125="",F125=""),"",EDATE(L125,F125))</f>
        <v/>
      </c>
      <c r="N125" s="21">
        <f>IF(A125="","",IF(L125="","Sem histórico",IF(AND(L125&gt;=Parametros!$B$2,L125&lt;=EOMONTH(Parametros!$B$2,0)),"Comprou no mês",IF(M125="","Sem periodicidade",IF(M125&lt;Parametros!$B$2,"Atrasado",IF(M125&lt;=EOMONTH(Parametros!$B$2,0),"Previsto no mês","Em dia"))))))</f>
        <v/>
      </c>
    </row>
    <row r="126">
      <c r="I126" s="18">
        <f>IF(A126="","",COUNTIFS(Pedidos!$C:$C,A126,Pedidos!$K:$K,Parametros!$B$3))</f>
        <v/>
      </c>
      <c r="J126" s="19">
        <f>IF(A126="","",SUMIFS(Pedidos!$E:$E,Pedidos!$C:$C,A126,Pedidos!$K:$K,Parametros!$B$3))</f>
        <v/>
      </c>
      <c r="K126" s="18">
        <f>IF(A126="","",COUNTIFS(Pedidos!$C:$C,A126,Pedidos!$K:$K,Parametros!$B$4))</f>
        <v/>
      </c>
      <c r="L126" s="20">
        <f>IF(A126="","",IF(COUNTIFS(Pedidos!$C:$C,A126,Pedidos!$B:$B,"&lt;="&amp;EOMONTH(Parametros!$B$2,0))=0,"",_xlfn.MAXIFS(Pedidos!$B:$B,Pedidos!$C:$C,A126,Pedidos!$B:$B,"&lt;="&amp;EOMONTH(Parametros!$B$2,0))))</f>
        <v/>
      </c>
      <c r="M126" s="20">
        <f>IF(OR(L126="",F126=""),"",EDATE(L126,F126))</f>
        <v/>
      </c>
      <c r="N126" s="21">
        <f>IF(A126="","",IF(L126="","Sem histórico",IF(AND(L126&gt;=Parametros!$B$2,L126&lt;=EOMONTH(Parametros!$B$2,0)),"Comprou no mês",IF(M126="","Sem periodicidade",IF(M126&lt;Parametros!$B$2,"Atrasado",IF(M126&lt;=EOMONTH(Parametros!$B$2,0),"Previsto no mês","Em dia"))))))</f>
        <v/>
      </c>
    </row>
    <row r="127">
      <c r="I127" s="18">
        <f>IF(A127="","",COUNTIFS(Pedidos!$C:$C,A127,Pedidos!$K:$K,Parametros!$B$3))</f>
        <v/>
      </c>
      <c r="J127" s="19">
        <f>IF(A127="","",SUMIFS(Pedidos!$E:$E,Pedidos!$C:$C,A127,Pedidos!$K:$K,Parametros!$B$3))</f>
        <v/>
      </c>
      <c r="K127" s="18">
        <f>IF(A127="","",COUNTIFS(Pedidos!$C:$C,A127,Pedidos!$K:$K,Parametros!$B$4))</f>
        <v/>
      </c>
      <c r="L127" s="20">
        <f>IF(A127="","",IF(COUNTIFS(Pedidos!$C:$C,A127,Pedidos!$B:$B,"&lt;="&amp;EOMONTH(Parametros!$B$2,0))=0,"",_xlfn.MAXIFS(Pedidos!$B:$B,Pedidos!$C:$C,A127,Pedidos!$B:$B,"&lt;="&amp;EOMONTH(Parametros!$B$2,0))))</f>
        <v/>
      </c>
      <c r="M127" s="20">
        <f>IF(OR(L127="",F127=""),"",EDATE(L127,F127))</f>
        <v/>
      </c>
      <c r="N127" s="21">
        <f>IF(A127="","",IF(L127="","Sem histórico",IF(AND(L127&gt;=Parametros!$B$2,L127&lt;=EOMONTH(Parametros!$B$2,0)),"Comprou no mês",IF(M127="","Sem periodicidade",IF(M127&lt;Parametros!$B$2,"Atrasado",IF(M127&lt;=EOMONTH(Parametros!$B$2,0),"Previsto no mês","Em dia"))))))</f>
        <v/>
      </c>
    </row>
    <row r="128">
      <c r="I128" s="18">
        <f>IF(A128="","",COUNTIFS(Pedidos!$C:$C,A128,Pedidos!$K:$K,Parametros!$B$3))</f>
        <v/>
      </c>
      <c r="J128" s="19">
        <f>IF(A128="","",SUMIFS(Pedidos!$E:$E,Pedidos!$C:$C,A128,Pedidos!$K:$K,Parametros!$B$3))</f>
        <v/>
      </c>
      <c r="K128" s="18">
        <f>IF(A128="","",COUNTIFS(Pedidos!$C:$C,A128,Pedidos!$K:$K,Parametros!$B$4))</f>
        <v/>
      </c>
      <c r="L128" s="20">
        <f>IF(A128="","",IF(COUNTIFS(Pedidos!$C:$C,A128,Pedidos!$B:$B,"&lt;="&amp;EOMONTH(Parametros!$B$2,0))=0,"",_xlfn.MAXIFS(Pedidos!$B:$B,Pedidos!$C:$C,A128,Pedidos!$B:$B,"&lt;="&amp;EOMONTH(Parametros!$B$2,0))))</f>
        <v/>
      </c>
      <c r="M128" s="20">
        <f>IF(OR(L128="",F128=""),"",EDATE(L128,F128))</f>
        <v/>
      </c>
      <c r="N128" s="21">
        <f>IF(A128="","",IF(L128="","Sem histórico",IF(AND(L128&gt;=Parametros!$B$2,L128&lt;=EOMONTH(Parametros!$B$2,0)),"Comprou no mês",IF(M128="","Sem periodicidade",IF(M128&lt;Parametros!$B$2,"Atrasado",IF(M128&lt;=EOMONTH(Parametros!$B$2,0),"Previsto no mês","Em dia"))))))</f>
        <v/>
      </c>
    </row>
    <row r="129">
      <c r="I129" s="18">
        <f>IF(A129="","",COUNTIFS(Pedidos!$C:$C,A129,Pedidos!$K:$K,Parametros!$B$3))</f>
        <v/>
      </c>
      <c r="J129" s="19">
        <f>IF(A129="","",SUMIFS(Pedidos!$E:$E,Pedidos!$C:$C,A129,Pedidos!$K:$K,Parametros!$B$3))</f>
        <v/>
      </c>
      <c r="K129" s="18">
        <f>IF(A129="","",COUNTIFS(Pedidos!$C:$C,A129,Pedidos!$K:$K,Parametros!$B$4))</f>
        <v/>
      </c>
      <c r="L129" s="20">
        <f>IF(A129="","",IF(COUNTIFS(Pedidos!$C:$C,A129,Pedidos!$B:$B,"&lt;="&amp;EOMONTH(Parametros!$B$2,0))=0,"",_xlfn.MAXIFS(Pedidos!$B:$B,Pedidos!$C:$C,A129,Pedidos!$B:$B,"&lt;="&amp;EOMONTH(Parametros!$B$2,0))))</f>
        <v/>
      </c>
      <c r="M129" s="20">
        <f>IF(OR(L129="",F129=""),"",EDATE(L129,F129))</f>
        <v/>
      </c>
      <c r="N129" s="21">
        <f>IF(A129="","",IF(L129="","Sem histórico",IF(AND(L129&gt;=Parametros!$B$2,L129&lt;=EOMONTH(Parametros!$B$2,0)),"Comprou no mês",IF(M129="","Sem periodicidade",IF(M129&lt;Parametros!$B$2,"Atrasado",IF(M129&lt;=EOMONTH(Parametros!$B$2,0),"Previsto no mês","Em dia"))))))</f>
        <v/>
      </c>
    </row>
    <row r="130">
      <c r="I130" s="18">
        <f>IF(A130="","",COUNTIFS(Pedidos!$C:$C,A130,Pedidos!$K:$K,Parametros!$B$3))</f>
        <v/>
      </c>
      <c r="J130" s="19">
        <f>IF(A130="","",SUMIFS(Pedidos!$E:$E,Pedidos!$C:$C,A130,Pedidos!$K:$K,Parametros!$B$3))</f>
        <v/>
      </c>
      <c r="K130" s="18">
        <f>IF(A130="","",COUNTIFS(Pedidos!$C:$C,A130,Pedidos!$K:$K,Parametros!$B$4))</f>
        <v/>
      </c>
      <c r="L130" s="20">
        <f>IF(A130="","",IF(COUNTIFS(Pedidos!$C:$C,A130,Pedidos!$B:$B,"&lt;="&amp;EOMONTH(Parametros!$B$2,0))=0,"",_xlfn.MAXIFS(Pedidos!$B:$B,Pedidos!$C:$C,A130,Pedidos!$B:$B,"&lt;="&amp;EOMONTH(Parametros!$B$2,0))))</f>
        <v/>
      </c>
      <c r="M130" s="20">
        <f>IF(OR(L130="",F130=""),"",EDATE(L130,F130))</f>
        <v/>
      </c>
      <c r="N130" s="21">
        <f>IF(A130="","",IF(L130="","Sem histórico",IF(AND(L130&gt;=Parametros!$B$2,L130&lt;=EOMONTH(Parametros!$B$2,0)),"Comprou no mês",IF(M130="","Sem periodicidade",IF(M130&lt;Parametros!$B$2,"Atrasado",IF(M130&lt;=EOMONTH(Parametros!$B$2,0),"Previsto no mês","Em dia"))))))</f>
        <v/>
      </c>
    </row>
    <row r="131">
      <c r="I131" s="18">
        <f>IF(A131="","",COUNTIFS(Pedidos!$C:$C,A131,Pedidos!$K:$K,Parametros!$B$3))</f>
        <v/>
      </c>
      <c r="J131" s="19">
        <f>IF(A131="","",SUMIFS(Pedidos!$E:$E,Pedidos!$C:$C,A131,Pedidos!$K:$K,Parametros!$B$3))</f>
        <v/>
      </c>
      <c r="K131" s="18">
        <f>IF(A131="","",COUNTIFS(Pedidos!$C:$C,A131,Pedidos!$K:$K,Parametros!$B$4))</f>
        <v/>
      </c>
      <c r="L131" s="20">
        <f>IF(A131="","",IF(COUNTIFS(Pedidos!$C:$C,A131,Pedidos!$B:$B,"&lt;="&amp;EOMONTH(Parametros!$B$2,0))=0,"",_xlfn.MAXIFS(Pedidos!$B:$B,Pedidos!$C:$C,A131,Pedidos!$B:$B,"&lt;="&amp;EOMONTH(Parametros!$B$2,0))))</f>
        <v/>
      </c>
      <c r="M131" s="20">
        <f>IF(OR(L131="",F131=""),"",EDATE(L131,F131))</f>
        <v/>
      </c>
      <c r="N131" s="21">
        <f>IF(A131="","",IF(L131="","Sem histórico",IF(AND(L131&gt;=Parametros!$B$2,L131&lt;=EOMONTH(Parametros!$B$2,0)),"Comprou no mês",IF(M131="","Sem periodicidade",IF(M131&lt;Parametros!$B$2,"Atrasado",IF(M131&lt;=EOMONTH(Parametros!$B$2,0),"Previsto no mês","Em dia"))))))</f>
        <v/>
      </c>
    </row>
    <row r="132">
      <c r="I132" s="18">
        <f>IF(A132="","",COUNTIFS(Pedidos!$C:$C,A132,Pedidos!$K:$K,Parametros!$B$3))</f>
        <v/>
      </c>
      <c r="J132" s="19">
        <f>IF(A132="","",SUMIFS(Pedidos!$E:$E,Pedidos!$C:$C,A132,Pedidos!$K:$K,Parametros!$B$3))</f>
        <v/>
      </c>
      <c r="K132" s="18">
        <f>IF(A132="","",COUNTIFS(Pedidos!$C:$C,A132,Pedidos!$K:$K,Parametros!$B$4))</f>
        <v/>
      </c>
      <c r="L132" s="20">
        <f>IF(A132="","",IF(COUNTIFS(Pedidos!$C:$C,A132,Pedidos!$B:$B,"&lt;="&amp;EOMONTH(Parametros!$B$2,0))=0,"",_xlfn.MAXIFS(Pedidos!$B:$B,Pedidos!$C:$C,A132,Pedidos!$B:$B,"&lt;="&amp;EOMONTH(Parametros!$B$2,0))))</f>
        <v/>
      </c>
      <c r="M132" s="20">
        <f>IF(OR(L132="",F132=""),"",EDATE(L132,F132))</f>
        <v/>
      </c>
      <c r="N132" s="21">
        <f>IF(A132="","",IF(L132="","Sem histórico",IF(AND(L132&gt;=Parametros!$B$2,L132&lt;=EOMONTH(Parametros!$B$2,0)),"Comprou no mês",IF(M132="","Sem periodicidade",IF(M132&lt;Parametros!$B$2,"Atrasado",IF(M132&lt;=EOMONTH(Parametros!$B$2,0),"Previsto no mês","Em dia"))))))</f>
        <v/>
      </c>
    </row>
    <row r="133">
      <c r="I133" s="18">
        <f>IF(A133="","",COUNTIFS(Pedidos!$C:$C,A133,Pedidos!$K:$K,Parametros!$B$3))</f>
        <v/>
      </c>
      <c r="J133" s="19">
        <f>IF(A133="","",SUMIFS(Pedidos!$E:$E,Pedidos!$C:$C,A133,Pedidos!$K:$K,Parametros!$B$3))</f>
        <v/>
      </c>
      <c r="K133" s="18">
        <f>IF(A133="","",COUNTIFS(Pedidos!$C:$C,A133,Pedidos!$K:$K,Parametros!$B$4))</f>
        <v/>
      </c>
      <c r="L133" s="20">
        <f>IF(A133="","",IF(COUNTIFS(Pedidos!$C:$C,A133,Pedidos!$B:$B,"&lt;="&amp;EOMONTH(Parametros!$B$2,0))=0,"",_xlfn.MAXIFS(Pedidos!$B:$B,Pedidos!$C:$C,A133,Pedidos!$B:$B,"&lt;="&amp;EOMONTH(Parametros!$B$2,0))))</f>
        <v/>
      </c>
      <c r="M133" s="20">
        <f>IF(OR(L133="",F133=""),"",EDATE(L133,F133))</f>
        <v/>
      </c>
      <c r="N133" s="21">
        <f>IF(A133="","",IF(L133="","Sem histórico",IF(AND(L133&gt;=Parametros!$B$2,L133&lt;=EOMONTH(Parametros!$B$2,0)),"Comprou no mês",IF(M133="","Sem periodicidade",IF(M133&lt;Parametros!$B$2,"Atrasado",IF(M133&lt;=EOMONTH(Parametros!$B$2,0),"Previsto no mês","Em dia"))))))</f>
        <v/>
      </c>
    </row>
    <row r="134">
      <c r="I134" s="18">
        <f>IF(A134="","",COUNTIFS(Pedidos!$C:$C,A134,Pedidos!$K:$K,Parametros!$B$3))</f>
        <v/>
      </c>
      <c r="J134" s="19">
        <f>IF(A134="","",SUMIFS(Pedidos!$E:$E,Pedidos!$C:$C,A134,Pedidos!$K:$K,Parametros!$B$3))</f>
        <v/>
      </c>
      <c r="K134" s="18">
        <f>IF(A134="","",COUNTIFS(Pedidos!$C:$C,A134,Pedidos!$K:$K,Parametros!$B$4))</f>
        <v/>
      </c>
      <c r="L134" s="20">
        <f>IF(A134="","",IF(COUNTIFS(Pedidos!$C:$C,A134,Pedidos!$B:$B,"&lt;="&amp;EOMONTH(Parametros!$B$2,0))=0,"",_xlfn.MAXIFS(Pedidos!$B:$B,Pedidos!$C:$C,A134,Pedidos!$B:$B,"&lt;="&amp;EOMONTH(Parametros!$B$2,0))))</f>
        <v/>
      </c>
      <c r="M134" s="20">
        <f>IF(OR(L134="",F134=""),"",EDATE(L134,F134))</f>
        <v/>
      </c>
      <c r="N134" s="21">
        <f>IF(A134="","",IF(L134="","Sem histórico",IF(AND(L134&gt;=Parametros!$B$2,L134&lt;=EOMONTH(Parametros!$B$2,0)),"Comprou no mês",IF(M134="","Sem periodicidade",IF(M134&lt;Parametros!$B$2,"Atrasado",IF(M134&lt;=EOMONTH(Parametros!$B$2,0),"Previsto no mês","Em dia"))))))</f>
        <v/>
      </c>
    </row>
    <row r="135">
      <c r="I135" s="18">
        <f>IF(A135="","",COUNTIFS(Pedidos!$C:$C,A135,Pedidos!$K:$K,Parametros!$B$3))</f>
        <v/>
      </c>
      <c r="J135" s="19">
        <f>IF(A135="","",SUMIFS(Pedidos!$E:$E,Pedidos!$C:$C,A135,Pedidos!$K:$K,Parametros!$B$3))</f>
        <v/>
      </c>
      <c r="K135" s="18">
        <f>IF(A135="","",COUNTIFS(Pedidos!$C:$C,A135,Pedidos!$K:$K,Parametros!$B$4))</f>
        <v/>
      </c>
      <c r="L135" s="20">
        <f>IF(A135="","",IF(COUNTIFS(Pedidos!$C:$C,A135,Pedidos!$B:$B,"&lt;="&amp;EOMONTH(Parametros!$B$2,0))=0,"",_xlfn.MAXIFS(Pedidos!$B:$B,Pedidos!$C:$C,A135,Pedidos!$B:$B,"&lt;="&amp;EOMONTH(Parametros!$B$2,0))))</f>
        <v/>
      </c>
      <c r="M135" s="20">
        <f>IF(OR(L135="",F135=""),"",EDATE(L135,F135))</f>
        <v/>
      </c>
      <c r="N135" s="21">
        <f>IF(A135="","",IF(L135="","Sem histórico",IF(AND(L135&gt;=Parametros!$B$2,L135&lt;=EOMONTH(Parametros!$B$2,0)),"Comprou no mês",IF(M135="","Sem periodicidade",IF(M135&lt;Parametros!$B$2,"Atrasado",IF(M135&lt;=EOMONTH(Parametros!$B$2,0),"Previsto no mês","Em dia"))))))</f>
        <v/>
      </c>
    </row>
    <row r="136">
      <c r="I136" s="18">
        <f>IF(A136="","",COUNTIFS(Pedidos!$C:$C,A136,Pedidos!$K:$K,Parametros!$B$3))</f>
        <v/>
      </c>
      <c r="J136" s="19">
        <f>IF(A136="","",SUMIFS(Pedidos!$E:$E,Pedidos!$C:$C,A136,Pedidos!$K:$K,Parametros!$B$3))</f>
        <v/>
      </c>
      <c r="K136" s="18">
        <f>IF(A136="","",COUNTIFS(Pedidos!$C:$C,A136,Pedidos!$K:$K,Parametros!$B$4))</f>
        <v/>
      </c>
      <c r="L136" s="20">
        <f>IF(A136="","",IF(COUNTIFS(Pedidos!$C:$C,A136,Pedidos!$B:$B,"&lt;="&amp;EOMONTH(Parametros!$B$2,0))=0,"",_xlfn.MAXIFS(Pedidos!$B:$B,Pedidos!$C:$C,A136,Pedidos!$B:$B,"&lt;="&amp;EOMONTH(Parametros!$B$2,0))))</f>
        <v/>
      </c>
      <c r="M136" s="20">
        <f>IF(OR(L136="",F136=""),"",EDATE(L136,F136))</f>
        <v/>
      </c>
      <c r="N136" s="21">
        <f>IF(A136="","",IF(L136="","Sem histórico",IF(AND(L136&gt;=Parametros!$B$2,L136&lt;=EOMONTH(Parametros!$B$2,0)),"Comprou no mês",IF(M136="","Sem periodicidade",IF(M136&lt;Parametros!$B$2,"Atrasado",IF(M136&lt;=EOMONTH(Parametros!$B$2,0),"Previsto no mês","Em dia"))))))</f>
        <v/>
      </c>
    </row>
    <row r="137">
      <c r="I137" s="18">
        <f>IF(A137="","",COUNTIFS(Pedidos!$C:$C,A137,Pedidos!$K:$K,Parametros!$B$3))</f>
        <v/>
      </c>
      <c r="J137" s="19">
        <f>IF(A137="","",SUMIFS(Pedidos!$E:$E,Pedidos!$C:$C,A137,Pedidos!$K:$K,Parametros!$B$3))</f>
        <v/>
      </c>
      <c r="K137" s="18">
        <f>IF(A137="","",COUNTIFS(Pedidos!$C:$C,A137,Pedidos!$K:$K,Parametros!$B$4))</f>
        <v/>
      </c>
      <c r="L137" s="20">
        <f>IF(A137="","",IF(COUNTIFS(Pedidos!$C:$C,A137,Pedidos!$B:$B,"&lt;="&amp;EOMONTH(Parametros!$B$2,0))=0,"",_xlfn.MAXIFS(Pedidos!$B:$B,Pedidos!$C:$C,A137,Pedidos!$B:$B,"&lt;="&amp;EOMONTH(Parametros!$B$2,0))))</f>
        <v/>
      </c>
      <c r="M137" s="20">
        <f>IF(OR(L137="",F137=""),"",EDATE(L137,F137))</f>
        <v/>
      </c>
      <c r="N137" s="21">
        <f>IF(A137="","",IF(L137="","Sem histórico",IF(AND(L137&gt;=Parametros!$B$2,L137&lt;=EOMONTH(Parametros!$B$2,0)),"Comprou no mês",IF(M137="","Sem periodicidade",IF(M137&lt;Parametros!$B$2,"Atrasado",IF(M137&lt;=EOMONTH(Parametros!$B$2,0),"Previsto no mês","Em dia"))))))</f>
        <v/>
      </c>
    </row>
    <row r="138">
      <c r="I138" s="18">
        <f>IF(A138="","",COUNTIFS(Pedidos!$C:$C,A138,Pedidos!$K:$K,Parametros!$B$3))</f>
        <v/>
      </c>
      <c r="J138" s="19">
        <f>IF(A138="","",SUMIFS(Pedidos!$E:$E,Pedidos!$C:$C,A138,Pedidos!$K:$K,Parametros!$B$3))</f>
        <v/>
      </c>
      <c r="K138" s="18">
        <f>IF(A138="","",COUNTIFS(Pedidos!$C:$C,A138,Pedidos!$K:$K,Parametros!$B$4))</f>
        <v/>
      </c>
      <c r="L138" s="20">
        <f>IF(A138="","",IF(COUNTIFS(Pedidos!$C:$C,A138,Pedidos!$B:$B,"&lt;="&amp;EOMONTH(Parametros!$B$2,0))=0,"",_xlfn.MAXIFS(Pedidos!$B:$B,Pedidos!$C:$C,A138,Pedidos!$B:$B,"&lt;="&amp;EOMONTH(Parametros!$B$2,0))))</f>
        <v/>
      </c>
      <c r="M138" s="20">
        <f>IF(OR(L138="",F138=""),"",EDATE(L138,F138))</f>
        <v/>
      </c>
      <c r="N138" s="21">
        <f>IF(A138="","",IF(L138="","Sem histórico",IF(AND(L138&gt;=Parametros!$B$2,L138&lt;=EOMONTH(Parametros!$B$2,0)),"Comprou no mês",IF(M138="","Sem periodicidade",IF(M138&lt;Parametros!$B$2,"Atrasado",IF(M138&lt;=EOMONTH(Parametros!$B$2,0),"Previsto no mês","Em dia"))))))</f>
        <v/>
      </c>
    </row>
    <row r="139">
      <c r="I139" s="18">
        <f>IF(A139="","",COUNTIFS(Pedidos!$C:$C,A139,Pedidos!$K:$K,Parametros!$B$3))</f>
        <v/>
      </c>
      <c r="J139" s="19">
        <f>IF(A139="","",SUMIFS(Pedidos!$E:$E,Pedidos!$C:$C,A139,Pedidos!$K:$K,Parametros!$B$3))</f>
        <v/>
      </c>
      <c r="K139" s="18">
        <f>IF(A139="","",COUNTIFS(Pedidos!$C:$C,A139,Pedidos!$K:$K,Parametros!$B$4))</f>
        <v/>
      </c>
      <c r="L139" s="20">
        <f>IF(A139="","",IF(COUNTIFS(Pedidos!$C:$C,A139,Pedidos!$B:$B,"&lt;="&amp;EOMONTH(Parametros!$B$2,0))=0,"",_xlfn.MAXIFS(Pedidos!$B:$B,Pedidos!$C:$C,A139,Pedidos!$B:$B,"&lt;="&amp;EOMONTH(Parametros!$B$2,0))))</f>
        <v/>
      </c>
      <c r="M139" s="20">
        <f>IF(OR(L139="",F139=""),"",EDATE(L139,F139))</f>
        <v/>
      </c>
      <c r="N139" s="21">
        <f>IF(A139="","",IF(L139="","Sem histórico",IF(AND(L139&gt;=Parametros!$B$2,L139&lt;=EOMONTH(Parametros!$B$2,0)),"Comprou no mês",IF(M139="","Sem periodicidade",IF(M139&lt;Parametros!$B$2,"Atrasado",IF(M139&lt;=EOMONTH(Parametros!$B$2,0),"Previsto no mês","Em dia"))))))</f>
        <v/>
      </c>
    </row>
    <row r="140">
      <c r="I140" s="18">
        <f>IF(A140="","",COUNTIFS(Pedidos!$C:$C,A140,Pedidos!$K:$K,Parametros!$B$3))</f>
        <v/>
      </c>
      <c r="J140" s="19">
        <f>IF(A140="","",SUMIFS(Pedidos!$E:$E,Pedidos!$C:$C,A140,Pedidos!$K:$K,Parametros!$B$3))</f>
        <v/>
      </c>
      <c r="K140" s="18">
        <f>IF(A140="","",COUNTIFS(Pedidos!$C:$C,A140,Pedidos!$K:$K,Parametros!$B$4))</f>
        <v/>
      </c>
      <c r="L140" s="20">
        <f>IF(A140="","",IF(COUNTIFS(Pedidos!$C:$C,A140,Pedidos!$B:$B,"&lt;="&amp;EOMONTH(Parametros!$B$2,0))=0,"",_xlfn.MAXIFS(Pedidos!$B:$B,Pedidos!$C:$C,A140,Pedidos!$B:$B,"&lt;="&amp;EOMONTH(Parametros!$B$2,0))))</f>
        <v/>
      </c>
      <c r="M140" s="20">
        <f>IF(OR(L140="",F140=""),"",EDATE(L140,F140))</f>
        <v/>
      </c>
      <c r="N140" s="21">
        <f>IF(A140="","",IF(L140="","Sem histórico",IF(AND(L140&gt;=Parametros!$B$2,L140&lt;=EOMONTH(Parametros!$B$2,0)),"Comprou no mês",IF(M140="","Sem periodicidade",IF(M140&lt;Parametros!$B$2,"Atrasado",IF(M140&lt;=EOMONTH(Parametros!$B$2,0),"Previsto no mês","Em dia"))))))</f>
        <v/>
      </c>
    </row>
    <row r="141">
      <c r="I141" s="18">
        <f>IF(A141="","",COUNTIFS(Pedidos!$C:$C,A141,Pedidos!$K:$K,Parametros!$B$3))</f>
        <v/>
      </c>
      <c r="J141" s="19">
        <f>IF(A141="","",SUMIFS(Pedidos!$E:$E,Pedidos!$C:$C,A141,Pedidos!$K:$K,Parametros!$B$3))</f>
        <v/>
      </c>
      <c r="K141" s="18">
        <f>IF(A141="","",COUNTIFS(Pedidos!$C:$C,A141,Pedidos!$K:$K,Parametros!$B$4))</f>
        <v/>
      </c>
      <c r="L141" s="20">
        <f>IF(A141="","",IF(COUNTIFS(Pedidos!$C:$C,A141,Pedidos!$B:$B,"&lt;="&amp;EOMONTH(Parametros!$B$2,0))=0,"",_xlfn.MAXIFS(Pedidos!$B:$B,Pedidos!$C:$C,A141,Pedidos!$B:$B,"&lt;="&amp;EOMONTH(Parametros!$B$2,0))))</f>
        <v/>
      </c>
      <c r="M141" s="20">
        <f>IF(OR(L141="",F141=""),"",EDATE(L141,F141))</f>
        <v/>
      </c>
      <c r="N141" s="21">
        <f>IF(A141="","",IF(L141="","Sem histórico",IF(AND(L141&gt;=Parametros!$B$2,L141&lt;=EOMONTH(Parametros!$B$2,0)),"Comprou no mês",IF(M141="","Sem periodicidade",IF(M141&lt;Parametros!$B$2,"Atrasado",IF(M141&lt;=EOMONTH(Parametros!$B$2,0),"Previsto no mês","Em dia"))))))</f>
        <v/>
      </c>
    </row>
    <row r="142">
      <c r="I142" s="18">
        <f>IF(A142="","",COUNTIFS(Pedidos!$C:$C,A142,Pedidos!$K:$K,Parametros!$B$3))</f>
        <v/>
      </c>
      <c r="J142" s="19">
        <f>IF(A142="","",SUMIFS(Pedidos!$E:$E,Pedidos!$C:$C,A142,Pedidos!$K:$K,Parametros!$B$3))</f>
        <v/>
      </c>
      <c r="K142" s="18">
        <f>IF(A142="","",COUNTIFS(Pedidos!$C:$C,A142,Pedidos!$K:$K,Parametros!$B$4))</f>
        <v/>
      </c>
      <c r="L142" s="20">
        <f>IF(A142="","",IF(COUNTIFS(Pedidos!$C:$C,A142,Pedidos!$B:$B,"&lt;="&amp;EOMONTH(Parametros!$B$2,0))=0,"",_xlfn.MAXIFS(Pedidos!$B:$B,Pedidos!$C:$C,A142,Pedidos!$B:$B,"&lt;="&amp;EOMONTH(Parametros!$B$2,0))))</f>
        <v/>
      </c>
      <c r="M142" s="20">
        <f>IF(OR(L142="",F142=""),"",EDATE(L142,F142))</f>
        <v/>
      </c>
      <c r="N142" s="21">
        <f>IF(A142="","",IF(L142="","Sem histórico",IF(AND(L142&gt;=Parametros!$B$2,L142&lt;=EOMONTH(Parametros!$B$2,0)),"Comprou no mês",IF(M142="","Sem periodicidade",IF(M142&lt;Parametros!$B$2,"Atrasado",IF(M142&lt;=EOMONTH(Parametros!$B$2,0),"Previsto no mês","Em dia"))))))</f>
        <v/>
      </c>
    </row>
    <row r="143">
      <c r="I143" s="18">
        <f>IF(A143="","",COUNTIFS(Pedidos!$C:$C,A143,Pedidos!$K:$K,Parametros!$B$3))</f>
        <v/>
      </c>
      <c r="J143" s="19">
        <f>IF(A143="","",SUMIFS(Pedidos!$E:$E,Pedidos!$C:$C,A143,Pedidos!$K:$K,Parametros!$B$3))</f>
        <v/>
      </c>
      <c r="K143" s="18">
        <f>IF(A143="","",COUNTIFS(Pedidos!$C:$C,A143,Pedidos!$K:$K,Parametros!$B$4))</f>
        <v/>
      </c>
      <c r="L143" s="20">
        <f>IF(A143="","",IF(COUNTIFS(Pedidos!$C:$C,A143,Pedidos!$B:$B,"&lt;="&amp;EOMONTH(Parametros!$B$2,0))=0,"",_xlfn.MAXIFS(Pedidos!$B:$B,Pedidos!$C:$C,A143,Pedidos!$B:$B,"&lt;="&amp;EOMONTH(Parametros!$B$2,0))))</f>
        <v/>
      </c>
      <c r="M143" s="20">
        <f>IF(OR(L143="",F143=""),"",EDATE(L143,F143))</f>
        <v/>
      </c>
      <c r="N143" s="21">
        <f>IF(A143="","",IF(L143="","Sem histórico",IF(AND(L143&gt;=Parametros!$B$2,L143&lt;=EOMONTH(Parametros!$B$2,0)),"Comprou no mês",IF(M143="","Sem periodicidade",IF(M143&lt;Parametros!$B$2,"Atrasado",IF(M143&lt;=EOMONTH(Parametros!$B$2,0),"Previsto no mês","Em dia"))))))</f>
        <v/>
      </c>
    </row>
    <row r="144">
      <c r="I144" s="18">
        <f>IF(A144="","",COUNTIFS(Pedidos!$C:$C,A144,Pedidos!$K:$K,Parametros!$B$3))</f>
        <v/>
      </c>
      <c r="J144" s="19">
        <f>IF(A144="","",SUMIFS(Pedidos!$E:$E,Pedidos!$C:$C,A144,Pedidos!$K:$K,Parametros!$B$3))</f>
        <v/>
      </c>
      <c r="K144" s="18">
        <f>IF(A144="","",COUNTIFS(Pedidos!$C:$C,A144,Pedidos!$K:$K,Parametros!$B$4))</f>
        <v/>
      </c>
      <c r="L144" s="20">
        <f>IF(A144="","",IF(COUNTIFS(Pedidos!$C:$C,A144,Pedidos!$B:$B,"&lt;="&amp;EOMONTH(Parametros!$B$2,0))=0,"",_xlfn.MAXIFS(Pedidos!$B:$B,Pedidos!$C:$C,A144,Pedidos!$B:$B,"&lt;="&amp;EOMONTH(Parametros!$B$2,0))))</f>
        <v/>
      </c>
      <c r="M144" s="20">
        <f>IF(OR(L144="",F144=""),"",EDATE(L144,F144))</f>
        <v/>
      </c>
      <c r="N144" s="21">
        <f>IF(A144="","",IF(L144="","Sem histórico",IF(AND(L144&gt;=Parametros!$B$2,L144&lt;=EOMONTH(Parametros!$B$2,0)),"Comprou no mês",IF(M144="","Sem periodicidade",IF(M144&lt;Parametros!$B$2,"Atrasado",IF(M144&lt;=EOMONTH(Parametros!$B$2,0),"Previsto no mês","Em dia"))))))</f>
        <v/>
      </c>
    </row>
    <row r="145">
      <c r="I145" s="18">
        <f>IF(A145="","",COUNTIFS(Pedidos!$C:$C,A145,Pedidos!$K:$K,Parametros!$B$3))</f>
        <v/>
      </c>
      <c r="J145" s="19">
        <f>IF(A145="","",SUMIFS(Pedidos!$E:$E,Pedidos!$C:$C,A145,Pedidos!$K:$K,Parametros!$B$3))</f>
        <v/>
      </c>
      <c r="K145" s="18">
        <f>IF(A145="","",COUNTIFS(Pedidos!$C:$C,A145,Pedidos!$K:$K,Parametros!$B$4))</f>
        <v/>
      </c>
      <c r="L145" s="20">
        <f>IF(A145="","",IF(COUNTIFS(Pedidos!$C:$C,A145,Pedidos!$B:$B,"&lt;="&amp;EOMONTH(Parametros!$B$2,0))=0,"",_xlfn.MAXIFS(Pedidos!$B:$B,Pedidos!$C:$C,A145,Pedidos!$B:$B,"&lt;="&amp;EOMONTH(Parametros!$B$2,0))))</f>
        <v/>
      </c>
      <c r="M145" s="20">
        <f>IF(OR(L145="",F145=""),"",EDATE(L145,F145))</f>
        <v/>
      </c>
      <c r="N145" s="21">
        <f>IF(A145="","",IF(L145="","Sem histórico",IF(AND(L145&gt;=Parametros!$B$2,L145&lt;=EOMONTH(Parametros!$B$2,0)),"Comprou no mês",IF(M145="","Sem periodicidade",IF(M145&lt;Parametros!$B$2,"Atrasado",IF(M145&lt;=EOMONTH(Parametros!$B$2,0),"Previsto no mês","Em dia"))))))</f>
        <v/>
      </c>
    </row>
    <row r="146">
      <c r="I146" s="18">
        <f>IF(A146="","",COUNTIFS(Pedidos!$C:$C,A146,Pedidos!$K:$K,Parametros!$B$3))</f>
        <v/>
      </c>
      <c r="J146" s="19">
        <f>IF(A146="","",SUMIFS(Pedidos!$E:$E,Pedidos!$C:$C,A146,Pedidos!$K:$K,Parametros!$B$3))</f>
        <v/>
      </c>
      <c r="K146" s="18">
        <f>IF(A146="","",COUNTIFS(Pedidos!$C:$C,A146,Pedidos!$K:$K,Parametros!$B$4))</f>
        <v/>
      </c>
      <c r="L146" s="20">
        <f>IF(A146="","",IF(COUNTIFS(Pedidos!$C:$C,A146,Pedidos!$B:$B,"&lt;="&amp;EOMONTH(Parametros!$B$2,0))=0,"",_xlfn.MAXIFS(Pedidos!$B:$B,Pedidos!$C:$C,A146,Pedidos!$B:$B,"&lt;="&amp;EOMONTH(Parametros!$B$2,0))))</f>
        <v/>
      </c>
      <c r="M146" s="20">
        <f>IF(OR(L146="",F146=""),"",EDATE(L146,F146))</f>
        <v/>
      </c>
      <c r="N146" s="21">
        <f>IF(A146="","",IF(L146="","Sem histórico",IF(AND(L146&gt;=Parametros!$B$2,L146&lt;=EOMONTH(Parametros!$B$2,0)),"Comprou no mês",IF(M146="","Sem periodicidade",IF(M146&lt;Parametros!$B$2,"Atrasado",IF(M146&lt;=EOMONTH(Parametros!$B$2,0),"Previsto no mês","Em dia"))))))</f>
        <v/>
      </c>
    </row>
    <row r="147">
      <c r="I147" s="18">
        <f>IF(A147="","",COUNTIFS(Pedidos!$C:$C,A147,Pedidos!$K:$K,Parametros!$B$3))</f>
        <v/>
      </c>
      <c r="J147" s="19">
        <f>IF(A147="","",SUMIFS(Pedidos!$E:$E,Pedidos!$C:$C,A147,Pedidos!$K:$K,Parametros!$B$3))</f>
        <v/>
      </c>
      <c r="K147" s="18">
        <f>IF(A147="","",COUNTIFS(Pedidos!$C:$C,A147,Pedidos!$K:$K,Parametros!$B$4))</f>
        <v/>
      </c>
      <c r="L147" s="20">
        <f>IF(A147="","",IF(COUNTIFS(Pedidos!$C:$C,A147,Pedidos!$B:$B,"&lt;="&amp;EOMONTH(Parametros!$B$2,0))=0,"",_xlfn.MAXIFS(Pedidos!$B:$B,Pedidos!$C:$C,A147,Pedidos!$B:$B,"&lt;="&amp;EOMONTH(Parametros!$B$2,0))))</f>
        <v/>
      </c>
      <c r="M147" s="20">
        <f>IF(OR(L147="",F147=""),"",EDATE(L147,F147))</f>
        <v/>
      </c>
      <c r="N147" s="21">
        <f>IF(A147="","",IF(L147="","Sem histórico",IF(AND(L147&gt;=Parametros!$B$2,L147&lt;=EOMONTH(Parametros!$B$2,0)),"Comprou no mês",IF(M147="","Sem periodicidade",IF(M147&lt;Parametros!$B$2,"Atrasado",IF(M147&lt;=EOMONTH(Parametros!$B$2,0),"Previsto no mês","Em dia"))))))</f>
        <v/>
      </c>
    </row>
    <row r="148">
      <c r="I148" s="18">
        <f>IF(A148="","",COUNTIFS(Pedidos!$C:$C,A148,Pedidos!$K:$K,Parametros!$B$3))</f>
        <v/>
      </c>
      <c r="J148" s="19">
        <f>IF(A148="","",SUMIFS(Pedidos!$E:$E,Pedidos!$C:$C,A148,Pedidos!$K:$K,Parametros!$B$3))</f>
        <v/>
      </c>
      <c r="K148" s="18">
        <f>IF(A148="","",COUNTIFS(Pedidos!$C:$C,A148,Pedidos!$K:$K,Parametros!$B$4))</f>
        <v/>
      </c>
      <c r="L148" s="20">
        <f>IF(A148="","",IF(COUNTIFS(Pedidos!$C:$C,A148,Pedidos!$B:$B,"&lt;="&amp;EOMONTH(Parametros!$B$2,0))=0,"",_xlfn.MAXIFS(Pedidos!$B:$B,Pedidos!$C:$C,A148,Pedidos!$B:$B,"&lt;="&amp;EOMONTH(Parametros!$B$2,0))))</f>
        <v/>
      </c>
      <c r="M148" s="20">
        <f>IF(OR(L148="",F148=""),"",EDATE(L148,F148))</f>
        <v/>
      </c>
      <c r="N148" s="21">
        <f>IF(A148="","",IF(L148="","Sem histórico",IF(AND(L148&gt;=Parametros!$B$2,L148&lt;=EOMONTH(Parametros!$B$2,0)),"Comprou no mês",IF(M148="","Sem periodicidade",IF(M148&lt;Parametros!$B$2,"Atrasado",IF(M148&lt;=EOMONTH(Parametros!$B$2,0),"Previsto no mês","Em dia"))))))</f>
        <v/>
      </c>
    </row>
    <row r="149">
      <c r="I149" s="18">
        <f>IF(A149="","",COUNTIFS(Pedidos!$C:$C,A149,Pedidos!$K:$K,Parametros!$B$3))</f>
        <v/>
      </c>
      <c r="J149" s="19">
        <f>IF(A149="","",SUMIFS(Pedidos!$E:$E,Pedidos!$C:$C,A149,Pedidos!$K:$K,Parametros!$B$3))</f>
        <v/>
      </c>
      <c r="K149" s="18">
        <f>IF(A149="","",COUNTIFS(Pedidos!$C:$C,A149,Pedidos!$K:$K,Parametros!$B$4))</f>
        <v/>
      </c>
      <c r="L149" s="20">
        <f>IF(A149="","",IF(COUNTIFS(Pedidos!$C:$C,A149,Pedidos!$B:$B,"&lt;="&amp;EOMONTH(Parametros!$B$2,0))=0,"",_xlfn.MAXIFS(Pedidos!$B:$B,Pedidos!$C:$C,A149,Pedidos!$B:$B,"&lt;="&amp;EOMONTH(Parametros!$B$2,0))))</f>
        <v/>
      </c>
      <c r="M149" s="20">
        <f>IF(OR(L149="",F149=""),"",EDATE(L149,F149))</f>
        <v/>
      </c>
      <c r="N149" s="21">
        <f>IF(A149="","",IF(L149="","Sem histórico",IF(AND(L149&gt;=Parametros!$B$2,L149&lt;=EOMONTH(Parametros!$B$2,0)),"Comprou no mês",IF(M149="","Sem periodicidade",IF(M149&lt;Parametros!$B$2,"Atrasado",IF(M149&lt;=EOMONTH(Parametros!$B$2,0),"Previsto no mês","Em dia"))))))</f>
        <v/>
      </c>
    </row>
    <row r="150">
      <c r="I150" s="18">
        <f>IF(A150="","",COUNTIFS(Pedidos!$C:$C,A150,Pedidos!$K:$K,Parametros!$B$3))</f>
        <v/>
      </c>
      <c r="J150" s="19">
        <f>IF(A150="","",SUMIFS(Pedidos!$E:$E,Pedidos!$C:$C,A150,Pedidos!$K:$K,Parametros!$B$3))</f>
        <v/>
      </c>
      <c r="K150" s="18">
        <f>IF(A150="","",COUNTIFS(Pedidos!$C:$C,A150,Pedidos!$K:$K,Parametros!$B$4))</f>
        <v/>
      </c>
      <c r="L150" s="20">
        <f>IF(A150="","",IF(COUNTIFS(Pedidos!$C:$C,A150,Pedidos!$B:$B,"&lt;="&amp;EOMONTH(Parametros!$B$2,0))=0,"",_xlfn.MAXIFS(Pedidos!$B:$B,Pedidos!$C:$C,A150,Pedidos!$B:$B,"&lt;="&amp;EOMONTH(Parametros!$B$2,0))))</f>
        <v/>
      </c>
      <c r="M150" s="20">
        <f>IF(OR(L150="",F150=""),"",EDATE(L150,F150))</f>
        <v/>
      </c>
      <c r="N150" s="21">
        <f>IF(A150="","",IF(L150="","Sem histórico",IF(AND(L150&gt;=Parametros!$B$2,L150&lt;=EOMONTH(Parametros!$B$2,0)),"Comprou no mês",IF(M150="","Sem periodicidade",IF(M150&lt;Parametros!$B$2,"Atrasado",IF(M150&lt;=EOMONTH(Parametros!$B$2,0),"Previsto no mês","Em dia"))))))</f>
        <v/>
      </c>
    </row>
    <row r="151">
      <c r="I151" s="18">
        <f>IF(A151="","",COUNTIFS(Pedidos!$C:$C,A151,Pedidos!$K:$K,Parametros!$B$3))</f>
        <v/>
      </c>
      <c r="J151" s="19">
        <f>IF(A151="","",SUMIFS(Pedidos!$E:$E,Pedidos!$C:$C,A151,Pedidos!$K:$K,Parametros!$B$3))</f>
        <v/>
      </c>
      <c r="K151" s="18">
        <f>IF(A151="","",COUNTIFS(Pedidos!$C:$C,A151,Pedidos!$K:$K,Parametros!$B$4))</f>
        <v/>
      </c>
      <c r="L151" s="20">
        <f>IF(A151="","",IF(COUNTIFS(Pedidos!$C:$C,A151,Pedidos!$B:$B,"&lt;="&amp;EOMONTH(Parametros!$B$2,0))=0,"",_xlfn.MAXIFS(Pedidos!$B:$B,Pedidos!$C:$C,A151,Pedidos!$B:$B,"&lt;="&amp;EOMONTH(Parametros!$B$2,0))))</f>
        <v/>
      </c>
      <c r="M151" s="20">
        <f>IF(OR(L151="",F151=""),"",EDATE(L151,F151))</f>
        <v/>
      </c>
      <c r="N151" s="21">
        <f>IF(A151="","",IF(L151="","Sem histórico",IF(AND(L151&gt;=Parametros!$B$2,L151&lt;=EOMONTH(Parametros!$B$2,0)),"Comprou no mês",IF(M151="","Sem periodicidade",IF(M151&lt;Parametros!$B$2,"Atrasado",IF(M151&lt;=EOMONTH(Parametros!$B$2,0),"Previsto no mês","Em dia"))))))</f>
        <v/>
      </c>
    </row>
    <row r="152">
      <c r="I152" s="18">
        <f>IF(A152="","",COUNTIFS(Pedidos!$C:$C,A152,Pedidos!$K:$K,Parametros!$B$3))</f>
        <v/>
      </c>
      <c r="J152" s="19">
        <f>IF(A152="","",SUMIFS(Pedidos!$E:$E,Pedidos!$C:$C,A152,Pedidos!$K:$K,Parametros!$B$3))</f>
        <v/>
      </c>
      <c r="K152" s="18">
        <f>IF(A152="","",COUNTIFS(Pedidos!$C:$C,A152,Pedidos!$K:$K,Parametros!$B$4))</f>
        <v/>
      </c>
      <c r="L152" s="20">
        <f>IF(A152="","",IF(COUNTIFS(Pedidos!$C:$C,A152,Pedidos!$B:$B,"&lt;="&amp;EOMONTH(Parametros!$B$2,0))=0,"",_xlfn.MAXIFS(Pedidos!$B:$B,Pedidos!$C:$C,A152,Pedidos!$B:$B,"&lt;="&amp;EOMONTH(Parametros!$B$2,0))))</f>
        <v/>
      </c>
      <c r="M152" s="20">
        <f>IF(OR(L152="",F152=""),"",EDATE(L152,F152))</f>
        <v/>
      </c>
      <c r="N152" s="21">
        <f>IF(A152="","",IF(L152="","Sem histórico",IF(AND(L152&gt;=Parametros!$B$2,L152&lt;=EOMONTH(Parametros!$B$2,0)),"Comprou no mês",IF(M152="","Sem periodicidade",IF(M152&lt;Parametros!$B$2,"Atrasado",IF(M152&lt;=EOMONTH(Parametros!$B$2,0),"Previsto no mês","Em dia"))))))</f>
        <v/>
      </c>
    </row>
    <row r="153">
      <c r="I153" s="18">
        <f>IF(A153="","",COUNTIFS(Pedidos!$C:$C,A153,Pedidos!$K:$K,Parametros!$B$3))</f>
        <v/>
      </c>
      <c r="J153" s="19">
        <f>IF(A153="","",SUMIFS(Pedidos!$E:$E,Pedidos!$C:$C,A153,Pedidos!$K:$K,Parametros!$B$3))</f>
        <v/>
      </c>
      <c r="K153" s="18">
        <f>IF(A153="","",COUNTIFS(Pedidos!$C:$C,A153,Pedidos!$K:$K,Parametros!$B$4))</f>
        <v/>
      </c>
      <c r="L153" s="20">
        <f>IF(A153="","",IF(COUNTIFS(Pedidos!$C:$C,A153,Pedidos!$B:$B,"&lt;="&amp;EOMONTH(Parametros!$B$2,0))=0,"",_xlfn.MAXIFS(Pedidos!$B:$B,Pedidos!$C:$C,A153,Pedidos!$B:$B,"&lt;="&amp;EOMONTH(Parametros!$B$2,0))))</f>
        <v/>
      </c>
      <c r="M153" s="20">
        <f>IF(OR(L153="",F153=""),"",EDATE(L153,F153))</f>
        <v/>
      </c>
      <c r="N153" s="21">
        <f>IF(A153="","",IF(L153="","Sem histórico",IF(AND(L153&gt;=Parametros!$B$2,L153&lt;=EOMONTH(Parametros!$B$2,0)),"Comprou no mês",IF(M153="","Sem periodicidade",IF(M153&lt;Parametros!$B$2,"Atrasado",IF(M153&lt;=EOMONTH(Parametros!$B$2,0),"Previsto no mês","Em dia"))))))</f>
        <v/>
      </c>
    </row>
    <row r="154">
      <c r="I154" s="18">
        <f>IF(A154="","",COUNTIFS(Pedidos!$C:$C,A154,Pedidos!$K:$K,Parametros!$B$3))</f>
        <v/>
      </c>
      <c r="J154" s="19">
        <f>IF(A154="","",SUMIFS(Pedidos!$E:$E,Pedidos!$C:$C,A154,Pedidos!$K:$K,Parametros!$B$3))</f>
        <v/>
      </c>
      <c r="K154" s="18">
        <f>IF(A154="","",COUNTIFS(Pedidos!$C:$C,A154,Pedidos!$K:$K,Parametros!$B$4))</f>
        <v/>
      </c>
      <c r="L154" s="20">
        <f>IF(A154="","",IF(COUNTIFS(Pedidos!$C:$C,A154,Pedidos!$B:$B,"&lt;="&amp;EOMONTH(Parametros!$B$2,0))=0,"",_xlfn.MAXIFS(Pedidos!$B:$B,Pedidos!$C:$C,A154,Pedidos!$B:$B,"&lt;="&amp;EOMONTH(Parametros!$B$2,0))))</f>
        <v/>
      </c>
      <c r="M154" s="20">
        <f>IF(OR(L154="",F154=""),"",EDATE(L154,F154))</f>
        <v/>
      </c>
      <c r="N154" s="21">
        <f>IF(A154="","",IF(L154="","Sem histórico",IF(AND(L154&gt;=Parametros!$B$2,L154&lt;=EOMONTH(Parametros!$B$2,0)),"Comprou no mês",IF(M154="","Sem periodicidade",IF(M154&lt;Parametros!$B$2,"Atrasado",IF(M154&lt;=EOMONTH(Parametros!$B$2,0),"Previsto no mês","Em dia"))))))</f>
        <v/>
      </c>
    </row>
    <row r="155">
      <c r="I155" s="18">
        <f>IF(A155="","",COUNTIFS(Pedidos!$C:$C,A155,Pedidos!$K:$K,Parametros!$B$3))</f>
        <v/>
      </c>
      <c r="J155" s="19">
        <f>IF(A155="","",SUMIFS(Pedidos!$E:$E,Pedidos!$C:$C,A155,Pedidos!$K:$K,Parametros!$B$3))</f>
        <v/>
      </c>
      <c r="K155" s="18">
        <f>IF(A155="","",COUNTIFS(Pedidos!$C:$C,A155,Pedidos!$K:$K,Parametros!$B$4))</f>
        <v/>
      </c>
      <c r="L155" s="20">
        <f>IF(A155="","",IF(COUNTIFS(Pedidos!$C:$C,A155,Pedidos!$B:$B,"&lt;="&amp;EOMONTH(Parametros!$B$2,0))=0,"",_xlfn.MAXIFS(Pedidos!$B:$B,Pedidos!$C:$C,A155,Pedidos!$B:$B,"&lt;="&amp;EOMONTH(Parametros!$B$2,0))))</f>
        <v/>
      </c>
      <c r="M155" s="20">
        <f>IF(OR(L155="",F155=""),"",EDATE(L155,F155))</f>
        <v/>
      </c>
      <c r="N155" s="21">
        <f>IF(A155="","",IF(L155="","Sem histórico",IF(AND(L155&gt;=Parametros!$B$2,L155&lt;=EOMONTH(Parametros!$B$2,0)),"Comprou no mês",IF(M155="","Sem periodicidade",IF(M155&lt;Parametros!$B$2,"Atrasado",IF(M155&lt;=EOMONTH(Parametros!$B$2,0),"Previsto no mês","Em dia"))))))</f>
        <v/>
      </c>
    </row>
    <row r="156">
      <c r="I156" s="18">
        <f>IF(A156="","",COUNTIFS(Pedidos!$C:$C,A156,Pedidos!$K:$K,Parametros!$B$3))</f>
        <v/>
      </c>
      <c r="J156" s="19">
        <f>IF(A156="","",SUMIFS(Pedidos!$E:$E,Pedidos!$C:$C,A156,Pedidos!$K:$K,Parametros!$B$3))</f>
        <v/>
      </c>
      <c r="K156" s="18">
        <f>IF(A156="","",COUNTIFS(Pedidos!$C:$C,A156,Pedidos!$K:$K,Parametros!$B$4))</f>
        <v/>
      </c>
      <c r="L156" s="20">
        <f>IF(A156="","",IF(COUNTIFS(Pedidos!$C:$C,A156,Pedidos!$B:$B,"&lt;="&amp;EOMONTH(Parametros!$B$2,0))=0,"",_xlfn.MAXIFS(Pedidos!$B:$B,Pedidos!$C:$C,A156,Pedidos!$B:$B,"&lt;="&amp;EOMONTH(Parametros!$B$2,0))))</f>
        <v/>
      </c>
      <c r="M156" s="20">
        <f>IF(OR(L156="",F156=""),"",EDATE(L156,F156))</f>
        <v/>
      </c>
      <c r="N156" s="21">
        <f>IF(A156="","",IF(L156="","Sem histórico",IF(AND(L156&gt;=Parametros!$B$2,L156&lt;=EOMONTH(Parametros!$B$2,0)),"Comprou no mês",IF(M156="","Sem periodicidade",IF(M156&lt;Parametros!$B$2,"Atrasado",IF(M156&lt;=EOMONTH(Parametros!$B$2,0),"Previsto no mês","Em dia"))))))</f>
        <v/>
      </c>
    </row>
    <row r="157">
      <c r="I157" s="18">
        <f>IF(A157="","",COUNTIFS(Pedidos!$C:$C,A157,Pedidos!$K:$K,Parametros!$B$3))</f>
        <v/>
      </c>
      <c r="J157" s="19">
        <f>IF(A157="","",SUMIFS(Pedidos!$E:$E,Pedidos!$C:$C,A157,Pedidos!$K:$K,Parametros!$B$3))</f>
        <v/>
      </c>
      <c r="K157" s="18">
        <f>IF(A157="","",COUNTIFS(Pedidos!$C:$C,A157,Pedidos!$K:$K,Parametros!$B$4))</f>
        <v/>
      </c>
      <c r="L157" s="20">
        <f>IF(A157="","",IF(COUNTIFS(Pedidos!$C:$C,A157,Pedidos!$B:$B,"&lt;="&amp;EOMONTH(Parametros!$B$2,0))=0,"",_xlfn.MAXIFS(Pedidos!$B:$B,Pedidos!$C:$C,A157,Pedidos!$B:$B,"&lt;="&amp;EOMONTH(Parametros!$B$2,0))))</f>
        <v/>
      </c>
      <c r="M157" s="20">
        <f>IF(OR(L157="",F157=""),"",EDATE(L157,F157))</f>
        <v/>
      </c>
      <c r="N157" s="21">
        <f>IF(A157="","",IF(L157="","Sem histórico",IF(AND(L157&gt;=Parametros!$B$2,L157&lt;=EOMONTH(Parametros!$B$2,0)),"Comprou no mês",IF(M157="","Sem periodicidade",IF(M157&lt;Parametros!$B$2,"Atrasado",IF(M157&lt;=EOMONTH(Parametros!$B$2,0),"Previsto no mês","Em dia"))))))</f>
        <v/>
      </c>
    </row>
    <row r="158">
      <c r="I158" s="18">
        <f>IF(A158="","",COUNTIFS(Pedidos!$C:$C,A158,Pedidos!$K:$K,Parametros!$B$3))</f>
        <v/>
      </c>
      <c r="J158" s="19">
        <f>IF(A158="","",SUMIFS(Pedidos!$E:$E,Pedidos!$C:$C,A158,Pedidos!$K:$K,Parametros!$B$3))</f>
        <v/>
      </c>
      <c r="K158" s="18">
        <f>IF(A158="","",COUNTIFS(Pedidos!$C:$C,A158,Pedidos!$K:$K,Parametros!$B$4))</f>
        <v/>
      </c>
      <c r="L158" s="20">
        <f>IF(A158="","",IF(COUNTIFS(Pedidos!$C:$C,A158,Pedidos!$B:$B,"&lt;="&amp;EOMONTH(Parametros!$B$2,0))=0,"",_xlfn.MAXIFS(Pedidos!$B:$B,Pedidos!$C:$C,A158,Pedidos!$B:$B,"&lt;="&amp;EOMONTH(Parametros!$B$2,0))))</f>
        <v/>
      </c>
      <c r="M158" s="20">
        <f>IF(OR(L158="",F158=""),"",EDATE(L158,F158))</f>
        <v/>
      </c>
      <c r="N158" s="21">
        <f>IF(A158="","",IF(L158="","Sem histórico",IF(AND(L158&gt;=Parametros!$B$2,L158&lt;=EOMONTH(Parametros!$B$2,0)),"Comprou no mês",IF(M158="","Sem periodicidade",IF(M158&lt;Parametros!$B$2,"Atrasado",IF(M158&lt;=EOMONTH(Parametros!$B$2,0),"Previsto no mês","Em dia"))))))</f>
        <v/>
      </c>
    </row>
    <row r="159">
      <c r="I159" s="18">
        <f>IF(A159="","",COUNTIFS(Pedidos!$C:$C,A159,Pedidos!$K:$K,Parametros!$B$3))</f>
        <v/>
      </c>
      <c r="J159" s="19">
        <f>IF(A159="","",SUMIFS(Pedidos!$E:$E,Pedidos!$C:$C,A159,Pedidos!$K:$K,Parametros!$B$3))</f>
        <v/>
      </c>
      <c r="K159" s="18">
        <f>IF(A159="","",COUNTIFS(Pedidos!$C:$C,A159,Pedidos!$K:$K,Parametros!$B$4))</f>
        <v/>
      </c>
      <c r="L159" s="20">
        <f>IF(A159="","",IF(COUNTIFS(Pedidos!$C:$C,A159,Pedidos!$B:$B,"&lt;="&amp;EOMONTH(Parametros!$B$2,0))=0,"",_xlfn.MAXIFS(Pedidos!$B:$B,Pedidos!$C:$C,A159,Pedidos!$B:$B,"&lt;="&amp;EOMONTH(Parametros!$B$2,0))))</f>
        <v/>
      </c>
      <c r="M159" s="20">
        <f>IF(OR(L159="",F159=""),"",EDATE(L159,F159))</f>
        <v/>
      </c>
      <c r="N159" s="21">
        <f>IF(A159="","",IF(L159="","Sem histórico",IF(AND(L159&gt;=Parametros!$B$2,L159&lt;=EOMONTH(Parametros!$B$2,0)),"Comprou no mês",IF(M159="","Sem periodicidade",IF(M159&lt;Parametros!$B$2,"Atrasado",IF(M159&lt;=EOMONTH(Parametros!$B$2,0),"Previsto no mês","Em dia"))))))</f>
        <v/>
      </c>
    </row>
    <row r="160">
      <c r="I160" s="18">
        <f>IF(A160="","",COUNTIFS(Pedidos!$C:$C,A160,Pedidos!$K:$K,Parametros!$B$3))</f>
        <v/>
      </c>
      <c r="J160" s="19">
        <f>IF(A160="","",SUMIFS(Pedidos!$E:$E,Pedidos!$C:$C,A160,Pedidos!$K:$K,Parametros!$B$3))</f>
        <v/>
      </c>
      <c r="K160" s="18">
        <f>IF(A160="","",COUNTIFS(Pedidos!$C:$C,A160,Pedidos!$K:$K,Parametros!$B$4))</f>
        <v/>
      </c>
      <c r="L160" s="20">
        <f>IF(A160="","",IF(COUNTIFS(Pedidos!$C:$C,A160,Pedidos!$B:$B,"&lt;="&amp;EOMONTH(Parametros!$B$2,0))=0,"",_xlfn.MAXIFS(Pedidos!$B:$B,Pedidos!$C:$C,A160,Pedidos!$B:$B,"&lt;="&amp;EOMONTH(Parametros!$B$2,0))))</f>
        <v/>
      </c>
      <c r="M160" s="20">
        <f>IF(OR(L160="",F160=""),"",EDATE(L160,F160))</f>
        <v/>
      </c>
      <c r="N160" s="21">
        <f>IF(A160="","",IF(L160="","Sem histórico",IF(AND(L160&gt;=Parametros!$B$2,L160&lt;=EOMONTH(Parametros!$B$2,0)),"Comprou no mês",IF(M160="","Sem periodicidade",IF(M160&lt;Parametros!$B$2,"Atrasado",IF(M160&lt;=EOMONTH(Parametros!$B$2,0),"Previsto no mês","Em dia"))))))</f>
        <v/>
      </c>
    </row>
    <row r="161">
      <c r="I161" s="18">
        <f>IF(A161="","",COUNTIFS(Pedidos!$C:$C,A161,Pedidos!$K:$K,Parametros!$B$3))</f>
        <v/>
      </c>
      <c r="J161" s="19">
        <f>IF(A161="","",SUMIFS(Pedidos!$E:$E,Pedidos!$C:$C,A161,Pedidos!$K:$K,Parametros!$B$3))</f>
        <v/>
      </c>
      <c r="K161" s="18">
        <f>IF(A161="","",COUNTIFS(Pedidos!$C:$C,A161,Pedidos!$K:$K,Parametros!$B$4))</f>
        <v/>
      </c>
      <c r="L161" s="20">
        <f>IF(A161="","",IF(COUNTIFS(Pedidos!$C:$C,A161,Pedidos!$B:$B,"&lt;="&amp;EOMONTH(Parametros!$B$2,0))=0,"",_xlfn.MAXIFS(Pedidos!$B:$B,Pedidos!$C:$C,A161,Pedidos!$B:$B,"&lt;="&amp;EOMONTH(Parametros!$B$2,0))))</f>
        <v/>
      </c>
      <c r="M161" s="20">
        <f>IF(OR(L161="",F161=""),"",EDATE(L161,F161))</f>
        <v/>
      </c>
      <c r="N161" s="21">
        <f>IF(A161="","",IF(L161="","Sem histórico",IF(AND(L161&gt;=Parametros!$B$2,L161&lt;=EOMONTH(Parametros!$B$2,0)),"Comprou no mês",IF(M161="","Sem periodicidade",IF(M161&lt;Parametros!$B$2,"Atrasado",IF(M161&lt;=EOMONTH(Parametros!$B$2,0),"Previsto no mês","Em dia"))))))</f>
        <v/>
      </c>
    </row>
    <row r="162">
      <c r="I162" s="18">
        <f>IF(A162="","",COUNTIFS(Pedidos!$C:$C,A162,Pedidos!$K:$K,Parametros!$B$3))</f>
        <v/>
      </c>
      <c r="J162" s="19">
        <f>IF(A162="","",SUMIFS(Pedidos!$E:$E,Pedidos!$C:$C,A162,Pedidos!$K:$K,Parametros!$B$3))</f>
        <v/>
      </c>
      <c r="K162" s="18">
        <f>IF(A162="","",COUNTIFS(Pedidos!$C:$C,A162,Pedidos!$K:$K,Parametros!$B$4))</f>
        <v/>
      </c>
      <c r="L162" s="20">
        <f>IF(A162="","",IF(COUNTIFS(Pedidos!$C:$C,A162,Pedidos!$B:$B,"&lt;="&amp;EOMONTH(Parametros!$B$2,0))=0,"",_xlfn.MAXIFS(Pedidos!$B:$B,Pedidos!$C:$C,A162,Pedidos!$B:$B,"&lt;="&amp;EOMONTH(Parametros!$B$2,0))))</f>
        <v/>
      </c>
      <c r="M162" s="20">
        <f>IF(OR(L162="",F162=""),"",EDATE(L162,F162))</f>
        <v/>
      </c>
      <c r="N162" s="21">
        <f>IF(A162="","",IF(L162="","Sem histórico",IF(AND(L162&gt;=Parametros!$B$2,L162&lt;=EOMONTH(Parametros!$B$2,0)),"Comprou no mês",IF(M162="","Sem periodicidade",IF(M162&lt;Parametros!$B$2,"Atrasado",IF(M162&lt;=EOMONTH(Parametros!$B$2,0),"Previsto no mês","Em dia"))))))</f>
        <v/>
      </c>
    </row>
    <row r="163">
      <c r="I163" s="18">
        <f>IF(A163="","",COUNTIFS(Pedidos!$C:$C,A163,Pedidos!$K:$K,Parametros!$B$3))</f>
        <v/>
      </c>
      <c r="J163" s="19">
        <f>IF(A163="","",SUMIFS(Pedidos!$E:$E,Pedidos!$C:$C,A163,Pedidos!$K:$K,Parametros!$B$3))</f>
        <v/>
      </c>
      <c r="K163" s="18">
        <f>IF(A163="","",COUNTIFS(Pedidos!$C:$C,A163,Pedidos!$K:$K,Parametros!$B$4))</f>
        <v/>
      </c>
      <c r="L163" s="20">
        <f>IF(A163="","",IF(COUNTIFS(Pedidos!$C:$C,A163,Pedidos!$B:$B,"&lt;="&amp;EOMONTH(Parametros!$B$2,0))=0,"",_xlfn.MAXIFS(Pedidos!$B:$B,Pedidos!$C:$C,A163,Pedidos!$B:$B,"&lt;="&amp;EOMONTH(Parametros!$B$2,0))))</f>
        <v/>
      </c>
      <c r="M163" s="20">
        <f>IF(OR(L163="",F163=""),"",EDATE(L163,F163))</f>
        <v/>
      </c>
      <c r="N163" s="21">
        <f>IF(A163="","",IF(L163="","Sem histórico",IF(AND(L163&gt;=Parametros!$B$2,L163&lt;=EOMONTH(Parametros!$B$2,0)),"Comprou no mês",IF(M163="","Sem periodicidade",IF(M163&lt;Parametros!$B$2,"Atrasado",IF(M163&lt;=EOMONTH(Parametros!$B$2,0),"Previsto no mês","Em dia"))))))</f>
        <v/>
      </c>
    </row>
    <row r="164">
      <c r="I164" s="18">
        <f>IF(A164="","",COUNTIFS(Pedidos!$C:$C,A164,Pedidos!$K:$K,Parametros!$B$3))</f>
        <v/>
      </c>
      <c r="J164" s="19">
        <f>IF(A164="","",SUMIFS(Pedidos!$E:$E,Pedidos!$C:$C,A164,Pedidos!$K:$K,Parametros!$B$3))</f>
        <v/>
      </c>
      <c r="K164" s="18">
        <f>IF(A164="","",COUNTIFS(Pedidos!$C:$C,A164,Pedidos!$K:$K,Parametros!$B$4))</f>
        <v/>
      </c>
      <c r="L164" s="20">
        <f>IF(A164="","",IF(COUNTIFS(Pedidos!$C:$C,A164,Pedidos!$B:$B,"&lt;="&amp;EOMONTH(Parametros!$B$2,0))=0,"",_xlfn.MAXIFS(Pedidos!$B:$B,Pedidos!$C:$C,A164,Pedidos!$B:$B,"&lt;="&amp;EOMONTH(Parametros!$B$2,0))))</f>
        <v/>
      </c>
      <c r="M164" s="20">
        <f>IF(OR(L164="",F164=""),"",EDATE(L164,F164))</f>
        <v/>
      </c>
      <c r="N164" s="21">
        <f>IF(A164="","",IF(L164="","Sem histórico",IF(AND(L164&gt;=Parametros!$B$2,L164&lt;=EOMONTH(Parametros!$B$2,0)),"Comprou no mês",IF(M164="","Sem periodicidade",IF(M164&lt;Parametros!$B$2,"Atrasado",IF(M164&lt;=EOMONTH(Parametros!$B$2,0),"Previsto no mês","Em dia"))))))</f>
        <v/>
      </c>
    </row>
    <row r="165">
      <c r="I165" s="18">
        <f>IF(A165="","",COUNTIFS(Pedidos!$C:$C,A165,Pedidos!$K:$K,Parametros!$B$3))</f>
        <v/>
      </c>
      <c r="J165" s="19">
        <f>IF(A165="","",SUMIFS(Pedidos!$E:$E,Pedidos!$C:$C,A165,Pedidos!$K:$K,Parametros!$B$3))</f>
        <v/>
      </c>
      <c r="K165" s="18">
        <f>IF(A165="","",COUNTIFS(Pedidos!$C:$C,A165,Pedidos!$K:$K,Parametros!$B$4))</f>
        <v/>
      </c>
      <c r="L165" s="20">
        <f>IF(A165="","",IF(COUNTIFS(Pedidos!$C:$C,A165,Pedidos!$B:$B,"&lt;="&amp;EOMONTH(Parametros!$B$2,0))=0,"",_xlfn.MAXIFS(Pedidos!$B:$B,Pedidos!$C:$C,A165,Pedidos!$B:$B,"&lt;="&amp;EOMONTH(Parametros!$B$2,0))))</f>
        <v/>
      </c>
      <c r="M165" s="20">
        <f>IF(OR(L165="",F165=""),"",EDATE(L165,F165))</f>
        <v/>
      </c>
      <c r="N165" s="21">
        <f>IF(A165="","",IF(L165="","Sem histórico",IF(AND(L165&gt;=Parametros!$B$2,L165&lt;=EOMONTH(Parametros!$B$2,0)),"Comprou no mês",IF(M165="","Sem periodicidade",IF(M165&lt;Parametros!$B$2,"Atrasado",IF(M165&lt;=EOMONTH(Parametros!$B$2,0),"Previsto no mês","Em dia"))))))</f>
        <v/>
      </c>
    </row>
    <row r="166">
      <c r="I166" s="18">
        <f>IF(A166="","",COUNTIFS(Pedidos!$C:$C,A166,Pedidos!$K:$K,Parametros!$B$3))</f>
        <v/>
      </c>
      <c r="J166" s="19">
        <f>IF(A166="","",SUMIFS(Pedidos!$E:$E,Pedidos!$C:$C,A166,Pedidos!$K:$K,Parametros!$B$3))</f>
        <v/>
      </c>
      <c r="K166" s="18">
        <f>IF(A166="","",COUNTIFS(Pedidos!$C:$C,A166,Pedidos!$K:$K,Parametros!$B$4))</f>
        <v/>
      </c>
      <c r="L166" s="20">
        <f>IF(A166="","",IF(COUNTIFS(Pedidos!$C:$C,A166,Pedidos!$B:$B,"&lt;="&amp;EOMONTH(Parametros!$B$2,0))=0,"",_xlfn.MAXIFS(Pedidos!$B:$B,Pedidos!$C:$C,A166,Pedidos!$B:$B,"&lt;="&amp;EOMONTH(Parametros!$B$2,0))))</f>
        <v/>
      </c>
      <c r="M166" s="20">
        <f>IF(OR(L166="",F166=""),"",EDATE(L166,F166))</f>
        <v/>
      </c>
      <c r="N166" s="21">
        <f>IF(A166="","",IF(L166="","Sem histórico",IF(AND(L166&gt;=Parametros!$B$2,L166&lt;=EOMONTH(Parametros!$B$2,0)),"Comprou no mês",IF(M166="","Sem periodicidade",IF(M166&lt;Parametros!$B$2,"Atrasado",IF(M166&lt;=EOMONTH(Parametros!$B$2,0),"Previsto no mês","Em dia"))))))</f>
        <v/>
      </c>
    </row>
    <row r="167">
      <c r="I167" s="18">
        <f>IF(A167="","",COUNTIFS(Pedidos!$C:$C,A167,Pedidos!$K:$K,Parametros!$B$3))</f>
        <v/>
      </c>
      <c r="J167" s="19">
        <f>IF(A167="","",SUMIFS(Pedidos!$E:$E,Pedidos!$C:$C,A167,Pedidos!$K:$K,Parametros!$B$3))</f>
        <v/>
      </c>
      <c r="K167" s="18">
        <f>IF(A167="","",COUNTIFS(Pedidos!$C:$C,A167,Pedidos!$K:$K,Parametros!$B$4))</f>
        <v/>
      </c>
      <c r="L167" s="20">
        <f>IF(A167="","",IF(COUNTIFS(Pedidos!$C:$C,A167,Pedidos!$B:$B,"&lt;="&amp;EOMONTH(Parametros!$B$2,0))=0,"",_xlfn.MAXIFS(Pedidos!$B:$B,Pedidos!$C:$C,A167,Pedidos!$B:$B,"&lt;="&amp;EOMONTH(Parametros!$B$2,0))))</f>
        <v/>
      </c>
      <c r="M167" s="20">
        <f>IF(OR(L167="",F167=""),"",EDATE(L167,F167))</f>
        <v/>
      </c>
      <c r="N167" s="21">
        <f>IF(A167="","",IF(L167="","Sem histórico",IF(AND(L167&gt;=Parametros!$B$2,L167&lt;=EOMONTH(Parametros!$B$2,0)),"Comprou no mês",IF(M167="","Sem periodicidade",IF(M167&lt;Parametros!$B$2,"Atrasado",IF(M167&lt;=EOMONTH(Parametros!$B$2,0),"Previsto no mês","Em dia"))))))</f>
        <v/>
      </c>
    </row>
    <row r="168">
      <c r="I168" s="18">
        <f>IF(A168="","",COUNTIFS(Pedidos!$C:$C,A168,Pedidos!$K:$K,Parametros!$B$3))</f>
        <v/>
      </c>
      <c r="J168" s="19">
        <f>IF(A168="","",SUMIFS(Pedidos!$E:$E,Pedidos!$C:$C,A168,Pedidos!$K:$K,Parametros!$B$3))</f>
        <v/>
      </c>
      <c r="K168" s="18">
        <f>IF(A168="","",COUNTIFS(Pedidos!$C:$C,A168,Pedidos!$K:$K,Parametros!$B$4))</f>
        <v/>
      </c>
      <c r="L168" s="20">
        <f>IF(A168="","",IF(COUNTIFS(Pedidos!$C:$C,A168,Pedidos!$B:$B,"&lt;="&amp;EOMONTH(Parametros!$B$2,0))=0,"",_xlfn.MAXIFS(Pedidos!$B:$B,Pedidos!$C:$C,A168,Pedidos!$B:$B,"&lt;="&amp;EOMONTH(Parametros!$B$2,0))))</f>
        <v/>
      </c>
      <c r="M168" s="20">
        <f>IF(OR(L168="",F168=""),"",EDATE(L168,F168))</f>
        <v/>
      </c>
      <c r="N168" s="21">
        <f>IF(A168="","",IF(L168="","Sem histórico",IF(AND(L168&gt;=Parametros!$B$2,L168&lt;=EOMONTH(Parametros!$B$2,0)),"Comprou no mês",IF(M168="","Sem periodicidade",IF(M168&lt;Parametros!$B$2,"Atrasado",IF(M168&lt;=EOMONTH(Parametros!$B$2,0),"Previsto no mês","Em dia"))))))</f>
        <v/>
      </c>
    </row>
    <row r="169">
      <c r="I169" s="18">
        <f>IF(A169="","",COUNTIFS(Pedidos!$C:$C,A169,Pedidos!$K:$K,Parametros!$B$3))</f>
        <v/>
      </c>
      <c r="J169" s="19">
        <f>IF(A169="","",SUMIFS(Pedidos!$E:$E,Pedidos!$C:$C,A169,Pedidos!$K:$K,Parametros!$B$3))</f>
        <v/>
      </c>
      <c r="K169" s="18">
        <f>IF(A169="","",COUNTIFS(Pedidos!$C:$C,A169,Pedidos!$K:$K,Parametros!$B$4))</f>
        <v/>
      </c>
      <c r="L169" s="20">
        <f>IF(A169="","",IF(COUNTIFS(Pedidos!$C:$C,A169,Pedidos!$B:$B,"&lt;="&amp;EOMONTH(Parametros!$B$2,0))=0,"",_xlfn.MAXIFS(Pedidos!$B:$B,Pedidos!$C:$C,A169,Pedidos!$B:$B,"&lt;="&amp;EOMONTH(Parametros!$B$2,0))))</f>
        <v/>
      </c>
      <c r="M169" s="20">
        <f>IF(OR(L169="",F169=""),"",EDATE(L169,F169))</f>
        <v/>
      </c>
      <c r="N169" s="21">
        <f>IF(A169="","",IF(L169="","Sem histórico",IF(AND(L169&gt;=Parametros!$B$2,L169&lt;=EOMONTH(Parametros!$B$2,0)),"Comprou no mês",IF(M169="","Sem periodicidade",IF(M169&lt;Parametros!$B$2,"Atrasado",IF(M169&lt;=EOMONTH(Parametros!$B$2,0),"Previsto no mês","Em dia"))))))</f>
        <v/>
      </c>
    </row>
    <row r="170">
      <c r="I170" s="18">
        <f>IF(A170="","",COUNTIFS(Pedidos!$C:$C,A170,Pedidos!$K:$K,Parametros!$B$3))</f>
        <v/>
      </c>
      <c r="J170" s="19">
        <f>IF(A170="","",SUMIFS(Pedidos!$E:$E,Pedidos!$C:$C,A170,Pedidos!$K:$K,Parametros!$B$3))</f>
        <v/>
      </c>
      <c r="K170" s="18">
        <f>IF(A170="","",COUNTIFS(Pedidos!$C:$C,A170,Pedidos!$K:$K,Parametros!$B$4))</f>
        <v/>
      </c>
      <c r="L170" s="20">
        <f>IF(A170="","",IF(COUNTIFS(Pedidos!$C:$C,A170,Pedidos!$B:$B,"&lt;="&amp;EOMONTH(Parametros!$B$2,0))=0,"",_xlfn.MAXIFS(Pedidos!$B:$B,Pedidos!$C:$C,A170,Pedidos!$B:$B,"&lt;="&amp;EOMONTH(Parametros!$B$2,0))))</f>
        <v/>
      </c>
      <c r="M170" s="20">
        <f>IF(OR(L170="",F170=""),"",EDATE(L170,F170))</f>
        <v/>
      </c>
      <c r="N170" s="21">
        <f>IF(A170="","",IF(L170="","Sem histórico",IF(AND(L170&gt;=Parametros!$B$2,L170&lt;=EOMONTH(Parametros!$B$2,0)),"Comprou no mês",IF(M170="","Sem periodicidade",IF(M170&lt;Parametros!$B$2,"Atrasado",IF(M170&lt;=EOMONTH(Parametros!$B$2,0),"Previsto no mês","Em dia"))))))</f>
        <v/>
      </c>
    </row>
    <row r="171">
      <c r="I171" s="18">
        <f>IF(A171="","",COUNTIFS(Pedidos!$C:$C,A171,Pedidos!$K:$K,Parametros!$B$3))</f>
        <v/>
      </c>
      <c r="J171" s="19">
        <f>IF(A171="","",SUMIFS(Pedidos!$E:$E,Pedidos!$C:$C,A171,Pedidos!$K:$K,Parametros!$B$3))</f>
        <v/>
      </c>
      <c r="K171" s="18">
        <f>IF(A171="","",COUNTIFS(Pedidos!$C:$C,A171,Pedidos!$K:$K,Parametros!$B$4))</f>
        <v/>
      </c>
      <c r="L171" s="20">
        <f>IF(A171="","",IF(COUNTIFS(Pedidos!$C:$C,A171,Pedidos!$B:$B,"&lt;="&amp;EOMONTH(Parametros!$B$2,0))=0,"",_xlfn.MAXIFS(Pedidos!$B:$B,Pedidos!$C:$C,A171,Pedidos!$B:$B,"&lt;="&amp;EOMONTH(Parametros!$B$2,0))))</f>
        <v/>
      </c>
      <c r="M171" s="20">
        <f>IF(OR(L171="",F171=""),"",EDATE(L171,F171))</f>
        <v/>
      </c>
      <c r="N171" s="21">
        <f>IF(A171="","",IF(L171="","Sem histórico",IF(AND(L171&gt;=Parametros!$B$2,L171&lt;=EOMONTH(Parametros!$B$2,0)),"Comprou no mês",IF(M171="","Sem periodicidade",IF(M171&lt;Parametros!$B$2,"Atrasado",IF(M171&lt;=EOMONTH(Parametros!$B$2,0),"Previsto no mês","Em dia"))))))</f>
        <v/>
      </c>
    </row>
    <row r="172">
      <c r="I172" s="18">
        <f>IF(A172="","",COUNTIFS(Pedidos!$C:$C,A172,Pedidos!$K:$K,Parametros!$B$3))</f>
        <v/>
      </c>
      <c r="J172" s="19">
        <f>IF(A172="","",SUMIFS(Pedidos!$E:$E,Pedidos!$C:$C,A172,Pedidos!$K:$K,Parametros!$B$3))</f>
        <v/>
      </c>
      <c r="K172" s="18">
        <f>IF(A172="","",COUNTIFS(Pedidos!$C:$C,A172,Pedidos!$K:$K,Parametros!$B$4))</f>
        <v/>
      </c>
      <c r="L172" s="20">
        <f>IF(A172="","",IF(COUNTIFS(Pedidos!$C:$C,A172,Pedidos!$B:$B,"&lt;="&amp;EOMONTH(Parametros!$B$2,0))=0,"",_xlfn.MAXIFS(Pedidos!$B:$B,Pedidos!$C:$C,A172,Pedidos!$B:$B,"&lt;="&amp;EOMONTH(Parametros!$B$2,0))))</f>
        <v/>
      </c>
      <c r="M172" s="20">
        <f>IF(OR(L172="",F172=""),"",EDATE(L172,F172))</f>
        <v/>
      </c>
      <c r="N172" s="21">
        <f>IF(A172="","",IF(L172="","Sem histórico",IF(AND(L172&gt;=Parametros!$B$2,L172&lt;=EOMONTH(Parametros!$B$2,0)),"Comprou no mês",IF(M172="","Sem periodicidade",IF(M172&lt;Parametros!$B$2,"Atrasado",IF(M172&lt;=EOMONTH(Parametros!$B$2,0),"Previsto no mês","Em dia"))))))</f>
        <v/>
      </c>
    </row>
    <row r="173">
      <c r="I173" s="18">
        <f>IF(A173="","",COUNTIFS(Pedidos!$C:$C,A173,Pedidos!$K:$K,Parametros!$B$3))</f>
        <v/>
      </c>
      <c r="J173" s="19">
        <f>IF(A173="","",SUMIFS(Pedidos!$E:$E,Pedidos!$C:$C,A173,Pedidos!$K:$K,Parametros!$B$3))</f>
        <v/>
      </c>
      <c r="K173" s="18">
        <f>IF(A173="","",COUNTIFS(Pedidos!$C:$C,A173,Pedidos!$K:$K,Parametros!$B$4))</f>
        <v/>
      </c>
      <c r="L173" s="20">
        <f>IF(A173="","",IF(COUNTIFS(Pedidos!$C:$C,A173,Pedidos!$B:$B,"&lt;="&amp;EOMONTH(Parametros!$B$2,0))=0,"",_xlfn.MAXIFS(Pedidos!$B:$B,Pedidos!$C:$C,A173,Pedidos!$B:$B,"&lt;="&amp;EOMONTH(Parametros!$B$2,0))))</f>
        <v/>
      </c>
      <c r="M173" s="20">
        <f>IF(OR(L173="",F173=""),"",EDATE(L173,F173))</f>
        <v/>
      </c>
      <c r="N173" s="21">
        <f>IF(A173="","",IF(L173="","Sem histórico",IF(AND(L173&gt;=Parametros!$B$2,L173&lt;=EOMONTH(Parametros!$B$2,0)),"Comprou no mês",IF(M173="","Sem periodicidade",IF(M173&lt;Parametros!$B$2,"Atrasado",IF(M173&lt;=EOMONTH(Parametros!$B$2,0),"Previsto no mês","Em dia"))))))</f>
        <v/>
      </c>
    </row>
    <row r="174">
      <c r="I174" s="18">
        <f>IF(A174="","",COUNTIFS(Pedidos!$C:$C,A174,Pedidos!$K:$K,Parametros!$B$3))</f>
        <v/>
      </c>
      <c r="J174" s="19">
        <f>IF(A174="","",SUMIFS(Pedidos!$E:$E,Pedidos!$C:$C,A174,Pedidos!$K:$K,Parametros!$B$3))</f>
        <v/>
      </c>
      <c r="K174" s="18">
        <f>IF(A174="","",COUNTIFS(Pedidos!$C:$C,A174,Pedidos!$K:$K,Parametros!$B$4))</f>
        <v/>
      </c>
      <c r="L174" s="20">
        <f>IF(A174="","",IF(COUNTIFS(Pedidos!$C:$C,A174,Pedidos!$B:$B,"&lt;="&amp;EOMONTH(Parametros!$B$2,0))=0,"",_xlfn.MAXIFS(Pedidos!$B:$B,Pedidos!$C:$C,A174,Pedidos!$B:$B,"&lt;="&amp;EOMONTH(Parametros!$B$2,0))))</f>
        <v/>
      </c>
      <c r="M174" s="20">
        <f>IF(OR(L174="",F174=""),"",EDATE(L174,F174))</f>
        <v/>
      </c>
      <c r="N174" s="21">
        <f>IF(A174="","",IF(L174="","Sem histórico",IF(AND(L174&gt;=Parametros!$B$2,L174&lt;=EOMONTH(Parametros!$B$2,0)),"Comprou no mês",IF(M174="","Sem periodicidade",IF(M174&lt;Parametros!$B$2,"Atrasado",IF(M174&lt;=EOMONTH(Parametros!$B$2,0),"Previsto no mês","Em dia"))))))</f>
        <v/>
      </c>
    </row>
    <row r="175">
      <c r="I175" s="18">
        <f>IF(A175="","",COUNTIFS(Pedidos!$C:$C,A175,Pedidos!$K:$K,Parametros!$B$3))</f>
        <v/>
      </c>
      <c r="J175" s="19">
        <f>IF(A175="","",SUMIFS(Pedidos!$E:$E,Pedidos!$C:$C,A175,Pedidos!$K:$K,Parametros!$B$3))</f>
        <v/>
      </c>
      <c r="K175" s="18">
        <f>IF(A175="","",COUNTIFS(Pedidos!$C:$C,A175,Pedidos!$K:$K,Parametros!$B$4))</f>
        <v/>
      </c>
      <c r="L175" s="20">
        <f>IF(A175="","",IF(COUNTIFS(Pedidos!$C:$C,A175,Pedidos!$B:$B,"&lt;="&amp;EOMONTH(Parametros!$B$2,0))=0,"",_xlfn.MAXIFS(Pedidos!$B:$B,Pedidos!$C:$C,A175,Pedidos!$B:$B,"&lt;="&amp;EOMONTH(Parametros!$B$2,0))))</f>
        <v/>
      </c>
      <c r="M175" s="20">
        <f>IF(OR(L175="",F175=""),"",EDATE(L175,F175))</f>
        <v/>
      </c>
      <c r="N175" s="21">
        <f>IF(A175="","",IF(L175="","Sem histórico",IF(AND(L175&gt;=Parametros!$B$2,L175&lt;=EOMONTH(Parametros!$B$2,0)),"Comprou no mês",IF(M175="","Sem periodicidade",IF(M175&lt;Parametros!$B$2,"Atrasado",IF(M175&lt;=EOMONTH(Parametros!$B$2,0),"Previsto no mês","Em dia"))))))</f>
        <v/>
      </c>
    </row>
    <row r="176">
      <c r="I176" s="18">
        <f>IF(A176="","",COUNTIFS(Pedidos!$C:$C,A176,Pedidos!$K:$K,Parametros!$B$3))</f>
        <v/>
      </c>
      <c r="J176" s="19">
        <f>IF(A176="","",SUMIFS(Pedidos!$E:$E,Pedidos!$C:$C,A176,Pedidos!$K:$K,Parametros!$B$3))</f>
        <v/>
      </c>
      <c r="K176" s="18">
        <f>IF(A176="","",COUNTIFS(Pedidos!$C:$C,A176,Pedidos!$K:$K,Parametros!$B$4))</f>
        <v/>
      </c>
      <c r="L176" s="20">
        <f>IF(A176="","",IF(COUNTIFS(Pedidos!$C:$C,A176,Pedidos!$B:$B,"&lt;="&amp;EOMONTH(Parametros!$B$2,0))=0,"",_xlfn.MAXIFS(Pedidos!$B:$B,Pedidos!$C:$C,A176,Pedidos!$B:$B,"&lt;="&amp;EOMONTH(Parametros!$B$2,0))))</f>
        <v/>
      </c>
      <c r="M176" s="20">
        <f>IF(OR(L176="",F176=""),"",EDATE(L176,F176))</f>
        <v/>
      </c>
      <c r="N176" s="21">
        <f>IF(A176="","",IF(L176="","Sem histórico",IF(AND(L176&gt;=Parametros!$B$2,L176&lt;=EOMONTH(Parametros!$B$2,0)),"Comprou no mês",IF(M176="","Sem periodicidade",IF(M176&lt;Parametros!$B$2,"Atrasado",IF(M176&lt;=EOMONTH(Parametros!$B$2,0),"Previsto no mês","Em dia"))))))</f>
        <v/>
      </c>
    </row>
    <row r="177">
      <c r="I177" s="18">
        <f>IF(A177="","",COUNTIFS(Pedidos!$C:$C,A177,Pedidos!$K:$K,Parametros!$B$3))</f>
        <v/>
      </c>
      <c r="J177" s="19">
        <f>IF(A177="","",SUMIFS(Pedidos!$E:$E,Pedidos!$C:$C,A177,Pedidos!$K:$K,Parametros!$B$3))</f>
        <v/>
      </c>
      <c r="K177" s="18">
        <f>IF(A177="","",COUNTIFS(Pedidos!$C:$C,A177,Pedidos!$K:$K,Parametros!$B$4))</f>
        <v/>
      </c>
      <c r="L177" s="20">
        <f>IF(A177="","",IF(COUNTIFS(Pedidos!$C:$C,A177,Pedidos!$B:$B,"&lt;="&amp;EOMONTH(Parametros!$B$2,0))=0,"",_xlfn.MAXIFS(Pedidos!$B:$B,Pedidos!$C:$C,A177,Pedidos!$B:$B,"&lt;="&amp;EOMONTH(Parametros!$B$2,0))))</f>
        <v/>
      </c>
      <c r="M177" s="20">
        <f>IF(OR(L177="",F177=""),"",EDATE(L177,F177))</f>
        <v/>
      </c>
      <c r="N177" s="21">
        <f>IF(A177="","",IF(L177="","Sem histórico",IF(AND(L177&gt;=Parametros!$B$2,L177&lt;=EOMONTH(Parametros!$B$2,0)),"Comprou no mês",IF(M177="","Sem periodicidade",IF(M177&lt;Parametros!$B$2,"Atrasado",IF(M177&lt;=EOMONTH(Parametros!$B$2,0),"Previsto no mês","Em dia"))))))</f>
        <v/>
      </c>
    </row>
    <row r="178">
      <c r="I178" s="18">
        <f>IF(A178="","",COUNTIFS(Pedidos!$C:$C,A178,Pedidos!$K:$K,Parametros!$B$3))</f>
        <v/>
      </c>
      <c r="J178" s="19">
        <f>IF(A178="","",SUMIFS(Pedidos!$E:$E,Pedidos!$C:$C,A178,Pedidos!$K:$K,Parametros!$B$3))</f>
        <v/>
      </c>
      <c r="K178" s="18">
        <f>IF(A178="","",COUNTIFS(Pedidos!$C:$C,A178,Pedidos!$K:$K,Parametros!$B$4))</f>
        <v/>
      </c>
      <c r="L178" s="20">
        <f>IF(A178="","",IF(COUNTIFS(Pedidos!$C:$C,A178,Pedidos!$B:$B,"&lt;="&amp;EOMONTH(Parametros!$B$2,0))=0,"",_xlfn.MAXIFS(Pedidos!$B:$B,Pedidos!$C:$C,A178,Pedidos!$B:$B,"&lt;="&amp;EOMONTH(Parametros!$B$2,0))))</f>
        <v/>
      </c>
      <c r="M178" s="20">
        <f>IF(OR(L178="",F178=""),"",EDATE(L178,F178))</f>
        <v/>
      </c>
      <c r="N178" s="21">
        <f>IF(A178="","",IF(L178="","Sem histórico",IF(AND(L178&gt;=Parametros!$B$2,L178&lt;=EOMONTH(Parametros!$B$2,0)),"Comprou no mês",IF(M178="","Sem periodicidade",IF(M178&lt;Parametros!$B$2,"Atrasado",IF(M178&lt;=EOMONTH(Parametros!$B$2,0),"Previsto no mês","Em dia"))))))</f>
        <v/>
      </c>
    </row>
    <row r="179">
      <c r="I179" s="18">
        <f>IF(A179="","",COUNTIFS(Pedidos!$C:$C,A179,Pedidos!$K:$K,Parametros!$B$3))</f>
        <v/>
      </c>
      <c r="J179" s="19">
        <f>IF(A179="","",SUMIFS(Pedidos!$E:$E,Pedidos!$C:$C,A179,Pedidos!$K:$K,Parametros!$B$3))</f>
        <v/>
      </c>
      <c r="K179" s="18">
        <f>IF(A179="","",COUNTIFS(Pedidos!$C:$C,A179,Pedidos!$K:$K,Parametros!$B$4))</f>
        <v/>
      </c>
      <c r="L179" s="20">
        <f>IF(A179="","",IF(COUNTIFS(Pedidos!$C:$C,A179,Pedidos!$B:$B,"&lt;="&amp;EOMONTH(Parametros!$B$2,0))=0,"",_xlfn.MAXIFS(Pedidos!$B:$B,Pedidos!$C:$C,A179,Pedidos!$B:$B,"&lt;="&amp;EOMONTH(Parametros!$B$2,0))))</f>
        <v/>
      </c>
      <c r="M179" s="20">
        <f>IF(OR(L179="",F179=""),"",EDATE(L179,F179))</f>
        <v/>
      </c>
      <c r="N179" s="21">
        <f>IF(A179="","",IF(L179="","Sem histórico",IF(AND(L179&gt;=Parametros!$B$2,L179&lt;=EOMONTH(Parametros!$B$2,0)),"Comprou no mês",IF(M179="","Sem periodicidade",IF(M179&lt;Parametros!$B$2,"Atrasado",IF(M179&lt;=EOMONTH(Parametros!$B$2,0),"Previsto no mês","Em dia"))))))</f>
        <v/>
      </c>
    </row>
    <row r="180">
      <c r="I180" s="18">
        <f>IF(A180="","",COUNTIFS(Pedidos!$C:$C,A180,Pedidos!$K:$K,Parametros!$B$3))</f>
        <v/>
      </c>
      <c r="J180" s="19">
        <f>IF(A180="","",SUMIFS(Pedidos!$E:$E,Pedidos!$C:$C,A180,Pedidos!$K:$K,Parametros!$B$3))</f>
        <v/>
      </c>
      <c r="K180" s="18">
        <f>IF(A180="","",COUNTIFS(Pedidos!$C:$C,A180,Pedidos!$K:$K,Parametros!$B$4))</f>
        <v/>
      </c>
      <c r="L180" s="20">
        <f>IF(A180="","",IF(COUNTIFS(Pedidos!$C:$C,A180,Pedidos!$B:$B,"&lt;="&amp;EOMONTH(Parametros!$B$2,0))=0,"",_xlfn.MAXIFS(Pedidos!$B:$B,Pedidos!$C:$C,A180,Pedidos!$B:$B,"&lt;="&amp;EOMONTH(Parametros!$B$2,0))))</f>
        <v/>
      </c>
      <c r="M180" s="20">
        <f>IF(OR(L180="",F180=""),"",EDATE(L180,F180))</f>
        <v/>
      </c>
      <c r="N180" s="21">
        <f>IF(A180="","",IF(L180="","Sem histórico",IF(AND(L180&gt;=Parametros!$B$2,L180&lt;=EOMONTH(Parametros!$B$2,0)),"Comprou no mês",IF(M180="","Sem periodicidade",IF(M180&lt;Parametros!$B$2,"Atrasado",IF(M180&lt;=EOMONTH(Parametros!$B$2,0),"Previsto no mês","Em dia"))))))</f>
        <v/>
      </c>
    </row>
    <row r="181">
      <c r="I181" s="18">
        <f>IF(A181="","",COUNTIFS(Pedidos!$C:$C,A181,Pedidos!$K:$K,Parametros!$B$3))</f>
        <v/>
      </c>
      <c r="J181" s="19">
        <f>IF(A181="","",SUMIFS(Pedidos!$E:$E,Pedidos!$C:$C,A181,Pedidos!$K:$K,Parametros!$B$3))</f>
        <v/>
      </c>
      <c r="K181" s="18">
        <f>IF(A181="","",COUNTIFS(Pedidos!$C:$C,A181,Pedidos!$K:$K,Parametros!$B$4))</f>
        <v/>
      </c>
      <c r="L181" s="20">
        <f>IF(A181="","",IF(COUNTIFS(Pedidos!$C:$C,A181,Pedidos!$B:$B,"&lt;="&amp;EOMONTH(Parametros!$B$2,0))=0,"",_xlfn.MAXIFS(Pedidos!$B:$B,Pedidos!$C:$C,A181,Pedidos!$B:$B,"&lt;="&amp;EOMONTH(Parametros!$B$2,0))))</f>
        <v/>
      </c>
      <c r="M181" s="20">
        <f>IF(OR(L181="",F181=""),"",EDATE(L181,F181))</f>
        <v/>
      </c>
      <c r="N181" s="21">
        <f>IF(A181="","",IF(L181="","Sem histórico",IF(AND(L181&gt;=Parametros!$B$2,L181&lt;=EOMONTH(Parametros!$B$2,0)),"Comprou no mês",IF(M181="","Sem periodicidade",IF(M181&lt;Parametros!$B$2,"Atrasado",IF(M181&lt;=EOMONTH(Parametros!$B$2,0),"Previsto no mês","Em dia"))))))</f>
        <v/>
      </c>
    </row>
    <row r="182">
      <c r="I182" s="18">
        <f>IF(A182="","",COUNTIFS(Pedidos!$C:$C,A182,Pedidos!$K:$K,Parametros!$B$3))</f>
        <v/>
      </c>
      <c r="J182" s="19">
        <f>IF(A182="","",SUMIFS(Pedidos!$E:$E,Pedidos!$C:$C,A182,Pedidos!$K:$K,Parametros!$B$3))</f>
        <v/>
      </c>
      <c r="K182" s="18">
        <f>IF(A182="","",COUNTIFS(Pedidos!$C:$C,A182,Pedidos!$K:$K,Parametros!$B$4))</f>
        <v/>
      </c>
      <c r="L182" s="20">
        <f>IF(A182="","",IF(COUNTIFS(Pedidos!$C:$C,A182,Pedidos!$B:$B,"&lt;="&amp;EOMONTH(Parametros!$B$2,0))=0,"",_xlfn.MAXIFS(Pedidos!$B:$B,Pedidos!$C:$C,A182,Pedidos!$B:$B,"&lt;="&amp;EOMONTH(Parametros!$B$2,0))))</f>
        <v/>
      </c>
      <c r="M182" s="20">
        <f>IF(OR(L182="",F182=""),"",EDATE(L182,F182))</f>
        <v/>
      </c>
      <c r="N182" s="21">
        <f>IF(A182="","",IF(L182="","Sem histórico",IF(AND(L182&gt;=Parametros!$B$2,L182&lt;=EOMONTH(Parametros!$B$2,0)),"Comprou no mês",IF(M182="","Sem periodicidade",IF(M182&lt;Parametros!$B$2,"Atrasado",IF(M182&lt;=EOMONTH(Parametros!$B$2,0),"Previsto no mês","Em dia"))))))</f>
        <v/>
      </c>
    </row>
    <row r="183">
      <c r="I183" s="18">
        <f>IF(A183="","",COUNTIFS(Pedidos!$C:$C,A183,Pedidos!$K:$K,Parametros!$B$3))</f>
        <v/>
      </c>
      <c r="J183" s="19">
        <f>IF(A183="","",SUMIFS(Pedidos!$E:$E,Pedidos!$C:$C,A183,Pedidos!$K:$K,Parametros!$B$3))</f>
        <v/>
      </c>
      <c r="K183" s="18">
        <f>IF(A183="","",COUNTIFS(Pedidos!$C:$C,A183,Pedidos!$K:$K,Parametros!$B$4))</f>
        <v/>
      </c>
      <c r="L183" s="20">
        <f>IF(A183="","",IF(COUNTIFS(Pedidos!$C:$C,A183,Pedidos!$B:$B,"&lt;="&amp;EOMONTH(Parametros!$B$2,0))=0,"",_xlfn.MAXIFS(Pedidos!$B:$B,Pedidos!$C:$C,A183,Pedidos!$B:$B,"&lt;="&amp;EOMONTH(Parametros!$B$2,0))))</f>
        <v/>
      </c>
      <c r="M183" s="20">
        <f>IF(OR(L183="",F183=""),"",EDATE(L183,F183))</f>
        <v/>
      </c>
      <c r="N183" s="21">
        <f>IF(A183="","",IF(L183="","Sem histórico",IF(AND(L183&gt;=Parametros!$B$2,L183&lt;=EOMONTH(Parametros!$B$2,0)),"Comprou no mês",IF(M183="","Sem periodicidade",IF(M183&lt;Parametros!$B$2,"Atrasado",IF(M183&lt;=EOMONTH(Parametros!$B$2,0),"Previsto no mês","Em dia"))))))</f>
        <v/>
      </c>
    </row>
    <row r="184">
      <c r="I184" s="18">
        <f>IF(A184="","",COUNTIFS(Pedidos!$C:$C,A184,Pedidos!$K:$K,Parametros!$B$3))</f>
        <v/>
      </c>
      <c r="J184" s="19">
        <f>IF(A184="","",SUMIFS(Pedidos!$E:$E,Pedidos!$C:$C,A184,Pedidos!$K:$K,Parametros!$B$3))</f>
        <v/>
      </c>
      <c r="K184" s="18">
        <f>IF(A184="","",COUNTIFS(Pedidos!$C:$C,A184,Pedidos!$K:$K,Parametros!$B$4))</f>
        <v/>
      </c>
      <c r="L184" s="20">
        <f>IF(A184="","",IF(COUNTIFS(Pedidos!$C:$C,A184,Pedidos!$B:$B,"&lt;="&amp;EOMONTH(Parametros!$B$2,0))=0,"",_xlfn.MAXIFS(Pedidos!$B:$B,Pedidos!$C:$C,A184,Pedidos!$B:$B,"&lt;="&amp;EOMONTH(Parametros!$B$2,0))))</f>
        <v/>
      </c>
      <c r="M184" s="20">
        <f>IF(OR(L184="",F184=""),"",EDATE(L184,F184))</f>
        <v/>
      </c>
      <c r="N184" s="21">
        <f>IF(A184="","",IF(L184="","Sem histórico",IF(AND(L184&gt;=Parametros!$B$2,L184&lt;=EOMONTH(Parametros!$B$2,0)),"Comprou no mês",IF(M184="","Sem periodicidade",IF(M184&lt;Parametros!$B$2,"Atrasado",IF(M184&lt;=EOMONTH(Parametros!$B$2,0),"Previsto no mês","Em dia"))))))</f>
        <v/>
      </c>
    </row>
    <row r="185">
      <c r="I185" s="18">
        <f>IF(A185="","",COUNTIFS(Pedidos!$C:$C,A185,Pedidos!$K:$K,Parametros!$B$3))</f>
        <v/>
      </c>
      <c r="J185" s="19">
        <f>IF(A185="","",SUMIFS(Pedidos!$E:$E,Pedidos!$C:$C,A185,Pedidos!$K:$K,Parametros!$B$3))</f>
        <v/>
      </c>
      <c r="K185" s="18">
        <f>IF(A185="","",COUNTIFS(Pedidos!$C:$C,A185,Pedidos!$K:$K,Parametros!$B$4))</f>
        <v/>
      </c>
      <c r="L185" s="20">
        <f>IF(A185="","",IF(COUNTIFS(Pedidos!$C:$C,A185,Pedidos!$B:$B,"&lt;="&amp;EOMONTH(Parametros!$B$2,0))=0,"",_xlfn.MAXIFS(Pedidos!$B:$B,Pedidos!$C:$C,A185,Pedidos!$B:$B,"&lt;="&amp;EOMONTH(Parametros!$B$2,0))))</f>
        <v/>
      </c>
      <c r="M185" s="20">
        <f>IF(OR(L185="",F185=""),"",EDATE(L185,F185))</f>
        <v/>
      </c>
      <c r="N185" s="21">
        <f>IF(A185="","",IF(L185="","Sem histórico",IF(AND(L185&gt;=Parametros!$B$2,L185&lt;=EOMONTH(Parametros!$B$2,0)),"Comprou no mês",IF(M185="","Sem periodicidade",IF(M185&lt;Parametros!$B$2,"Atrasado",IF(M185&lt;=EOMONTH(Parametros!$B$2,0),"Previsto no mês","Em dia"))))))</f>
        <v/>
      </c>
    </row>
    <row r="186">
      <c r="I186" s="18">
        <f>IF(A186="","",COUNTIFS(Pedidos!$C:$C,A186,Pedidos!$K:$K,Parametros!$B$3))</f>
        <v/>
      </c>
      <c r="J186" s="19">
        <f>IF(A186="","",SUMIFS(Pedidos!$E:$E,Pedidos!$C:$C,A186,Pedidos!$K:$K,Parametros!$B$3))</f>
        <v/>
      </c>
      <c r="K186" s="18">
        <f>IF(A186="","",COUNTIFS(Pedidos!$C:$C,A186,Pedidos!$K:$K,Parametros!$B$4))</f>
        <v/>
      </c>
      <c r="L186" s="20">
        <f>IF(A186="","",IF(COUNTIFS(Pedidos!$C:$C,A186,Pedidos!$B:$B,"&lt;="&amp;EOMONTH(Parametros!$B$2,0))=0,"",_xlfn.MAXIFS(Pedidos!$B:$B,Pedidos!$C:$C,A186,Pedidos!$B:$B,"&lt;="&amp;EOMONTH(Parametros!$B$2,0))))</f>
        <v/>
      </c>
      <c r="M186" s="20">
        <f>IF(OR(L186="",F186=""),"",EDATE(L186,F186))</f>
        <v/>
      </c>
      <c r="N186" s="21">
        <f>IF(A186="","",IF(L186="","Sem histórico",IF(AND(L186&gt;=Parametros!$B$2,L186&lt;=EOMONTH(Parametros!$B$2,0)),"Comprou no mês",IF(M186="","Sem periodicidade",IF(M186&lt;Parametros!$B$2,"Atrasado",IF(M186&lt;=EOMONTH(Parametros!$B$2,0),"Previsto no mês","Em dia"))))))</f>
        <v/>
      </c>
    </row>
    <row r="187">
      <c r="I187" s="18">
        <f>IF(A187="","",COUNTIFS(Pedidos!$C:$C,A187,Pedidos!$K:$K,Parametros!$B$3))</f>
        <v/>
      </c>
      <c r="J187" s="19">
        <f>IF(A187="","",SUMIFS(Pedidos!$E:$E,Pedidos!$C:$C,A187,Pedidos!$K:$K,Parametros!$B$3))</f>
        <v/>
      </c>
      <c r="K187" s="18">
        <f>IF(A187="","",COUNTIFS(Pedidos!$C:$C,A187,Pedidos!$K:$K,Parametros!$B$4))</f>
        <v/>
      </c>
      <c r="L187" s="20">
        <f>IF(A187="","",IF(COUNTIFS(Pedidos!$C:$C,A187,Pedidos!$B:$B,"&lt;="&amp;EOMONTH(Parametros!$B$2,0))=0,"",_xlfn.MAXIFS(Pedidos!$B:$B,Pedidos!$C:$C,A187,Pedidos!$B:$B,"&lt;="&amp;EOMONTH(Parametros!$B$2,0))))</f>
        <v/>
      </c>
      <c r="M187" s="20">
        <f>IF(OR(L187="",F187=""),"",EDATE(L187,F187))</f>
        <v/>
      </c>
      <c r="N187" s="21">
        <f>IF(A187="","",IF(L187="","Sem histórico",IF(AND(L187&gt;=Parametros!$B$2,L187&lt;=EOMONTH(Parametros!$B$2,0)),"Comprou no mês",IF(M187="","Sem periodicidade",IF(M187&lt;Parametros!$B$2,"Atrasado",IF(M187&lt;=EOMONTH(Parametros!$B$2,0),"Previsto no mês","Em dia"))))))</f>
        <v/>
      </c>
    </row>
    <row r="188">
      <c r="I188" s="18">
        <f>IF(A188="","",COUNTIFS(Pedidos!$C:$C,A188,Pedidos!$K:$K,Parametros!$B$3))</f>
        <v/>
      </c>
      <c r="J188" s="19">
        <f>IF(A188="","",SUMIFS(Pedidos!$E:$E,Pedidos!$C:$C,A188,Pedidos!$K:$K,Parametros!$B$3))</f>
        <v/>
      </c>
      <c r="K188" s="18">
        <f>IF(A188="","",COUNTIFS(Pedidos!$C:$C,A188,Pedidos!$K:$K,Parametros!$B$4))</f>
        <v/>
      </c>
      <c r="L188" s="20">
        <f>IF(A188="","",IF(COUNTIFS(Pedidos!$C:$C,A188,Pedidos!$B:$B,"&lt;="&amp;EOMONTH(Parametros!$B$2,0))=0,"",_xlfn.MAXIFS(Pedidos!$B:$B,Pedidos!$C:$C,A188,Pedidos!$B:$B,"&lt;="&amp;EOMONTH(Parametros!$B$2,0))))</f>
        <v/>
      </c>
      <c r="M188" s="20">
        <f>IF(OR(L188="",F188=""),"",EDATE(L188,F188))</f>
        <v/>
      </c>
      <c r="N188" s="21">
        <f>IF(A188="","",IF(L188="","Sem histórico",IF(AND(L188&gt;=Parametros!$B$2,L188&lt;=EOMONTH(Parametros!$B$2,0)),"Comprou no mês",IF(M188="","Sem periodicidade",IF(M188&lt;Parametros!$B$2,"Atrasado",IF(M188&lt;=EOMONTH(Parametros!$B$2,0),"Previsto no mês","Em dia"))))))</f>
        <v/>
      </c>
    </row>
    <row r="189">
      <c r="I189" s="18">
        <f>IF(A189="","",COUNTIFS(Pedidos!$C:$C,A189,Pedidos!$K:$K,Parametros!$B$3))</f>
        <v/>
      </c>
      <c r="J189" s="19">
        <f>IF(A189="","",SUMIFS(Pedidos!$E:$E,Pedidos!$C:$C,A189,Pedidos!$K:$K,Parametros!$B$3))</f>
        <v/>
      </c>
      <c r="K189" s="18">
        <f>IF(A189="","",COUNTIFS(Pedidos!$C:$C,A189,Pedidos!$K:$K,Parametros!$B$4))</f>
        <v/>
      </c>
      <c r="L189" s="20">
        <f>IF(A189="","",IF(COUNTIFS(Pedidos!$C:$C,A189,Pedidos!$B:$B,"&lt;="&amp;EOMONTH(Parametros!$B$2,0))=0,"",_xlfn.MAXIFS(Pedidos!$B:$B,Pedidos!$C:$C,A189,Pedidos!$B:$B,"&lt;="&amp;EOMONTH(Parametros!$B$2,0))))</f>
        <v/>
      </c>
      <c r="M189" s="20">
        <f>IF(OR(L189="",F189=""),"",EDATE(L189,F189))</f>
        <v/>
      </c>
      <c r="N189" s="21">
        <f>IF(A189="","",IF(L189="","Sem histórico",IF(AND(L189&gt;=Parametros!$B$2,L189&lt;=EOMONTH(Parametros!$B$2,0)),"Comprou no mês",IF(M189="","Sem periodicidade",IF(M189&lt;Parametros!$B$2,"Atrasado",IF(M189&lt;=EOMONTH(Parametros!$B$2,0),"Previsto no mês","Em dia"))))))</f>
        <v/>
      </c>
    </row>
    <row r="190">
      <c r="I190" s="18">
        <f>IF(A190="","",COUNTIFS(Pedidos!$C:$C,A190,Pedidos!$K:$K,Parametros!$B$3))</f>
        <v/>
      </c>
      <c r="J190" s="19">
        <f>IF(A190="","",SUMIFS(Pedidos!$E:$E,Pedidos!$C:$C,A190,Pedidos!$K:$K,Parametros!$B$3))</f>
        <v/>
      </c>
      <c r="K190" s="18">
        <f>IF(A190="","",COUNTIFS(Pedidos!$C:$C,A190,Pedidos!$K:$K,Parametros!$B$4))</f>
        <v/>
      </c>
      <c r="L190" s="20">
        <f>IF(A190="","",IF(COUNTIFS(Pedidos!$C:$C,A190,Pedidos!$B:$B,"&lt;="&amp;EOMONTH(Parametros!$B$2,0))=0,"",_xlfn.MAXIFS(Pedidos!$B:$B,Pedidos!$C:$C,A190,Pedidos!$B:$B,"&lt;="&amp;EOMONTH(Parametros!$B$2,0))))</f>
        <v/>
      </c>
      <c r="M190" s="20">
        <f>IF(OR(L190="",F190=""),"",EDATE(L190,F190))</f>
        <v/>
      </c>
      <c r="N190" s="21">
        <f>IF(A190="","",IF(L190="","Sem histórico",IF(AND(L190&gt;=Parametros!$B$2,L190&lt;=EOMONTH(Parametros!$B$2,0)),"Comprou no mês",IF(M190="","Sem periodicidade",IF(M190&lt;Parametros!$B$2,"Atrasado",IF(M190&lt;=EOMONTH(Parametros!$B$2,0),"Previsto no mês","Em dia"))))))</f>
        <v/>
      </c>
    </row>
    <row r="191">
      <c r="I191" s="18">
        <f>IF(A191="","",COUNTIFS(Pedidos!$C:$C,A191,Pedidos!$K:$K,Parametros!$B$3))</f>
        <v/>
      </c>
      <c r="J191" s="19">
        <f>IF(A191="","",SUMIFS(Pedidos!$E:$E,Pedidos!$C:$C,A191,Pedidos!$K:$K,Parametros!$B$3))</f>
        <v/>
      </c>
      <c r="K191" s="18">
        <f>IF(A191="","",COUNTIFS(Pedidos!$C:$C,A191,Pedidos!$K:$K,Parametros!$B$4))</f>
        <v/>
      </c>
      <c r="L191" s="20">
        <f>IF(A191="","",IF(COUNTIFS(Pedidos!$C:$C,A191,Pedidos!$B:$B,"&lt;="&amp;EOMONTH(Parametros!$B$2,0))=0,"",_xlfn.MAXIFS(Pedidos!$B:$B,Pedidos!$C:$C,A191,Pedidos!$B:$B,"&lt;="&amp;EOMONTH(Parametros!$B$2,0))))</f>
        <v/>
      </c>
      <c r="M191" s="20">
        <f>IF(OR(L191="",F191=""),"",EDATE(L191,F191))</f>
        <v/>
      </c>
      <c r="N191" s="21">
        <f>IF(A191="","",IF(L191="","Sem histórico",IF(AND(L191&gt;=Parametros!$B$2,L191&lt;=EOMONTH(Parametros!$B$2,0)),"Comprou no mês",IF(M191="","Sem periodicidade",IF(M191&lt;Parametros!$B$2,"Atrasado",IF(M191&lt;=EOMONTH(Parametros!$B$2,0),"Previsto no mês","Em dia"))))))</f>
        <v/>
      </c>
    </row>
    <row r="192">
      <c r="I192" s="18">
        <f>IF(A192="","",COUNTIFS(Pedidos!$C:$C,A192,Pedidos!$K:$K,Parametros!$B$3))</f>
        <v/>
      </c>
      <c r="J192" s="19">
        <f>IF(A192="","",SUMIFS(Pedidos!$E:$E,Pedidos!$C:$C,A192,Pedidos!$K:$K,Parametros!$B$3))</f>
        <v/>
      </c>
      <c r="K192" s="18">
        <f>IF(A192="","",COUNTIFS(Pedidos!$C:$C,A192,Pedidos!$K:$K,Parametros!$B$4))</f>
        <v/>
      </c>
      <c r="L192" s="20">
        <f>IF(A192="","",IF(COUNTIFS(Pedidos!$C:$C,A192,Pedidos!$B:$B,"&lt;="&amp;EOMONTH(Parametros!$B$2,0))=0,"",_xlfn.MAXIFS(Pedidos!$B:$B,Pedidos!$C:$C,A192,Pedidos!$B:$B,"&lt;="&amp;EOMONTH(Parametros!$B$2,0))))</f>
        <v/>
      </c>
      <c r="M192" s="20">
        <f>IF(OR(L192="",F192=""),"",EDATE(L192,F192))</f>
        <v/>
      </c>
      <c r="N192" s="21">
        <f>IF(A192="","",IF(L192="","Sem histórico",IF(AND(L192&gt;=Parametros!$B$2,L192&lt;=EOMONTH(Parametros!$B$2,0)),"Comprou no mês",IF(M192="","Sem periodicidade",IF(M192&lt;Parametros!$B$2,"Atrasado",IF(M192&lt;=EOMONTH(Parametros!$B$2,0),"Previsto no mês","Em dia"))))))</f>
        <v/>
      </c>
    </row>
    <row r="193">
      <c r="I193" s="18">
        <f>IF(A193="","",COUNTIFS(Pedidos!$C:$C,A193,Pedidos!$K:$K,Parametros!$B$3))</f>
        <v/>
      </c>
      <c r="J193" s="19">
        <f>IF(A193="","",SUMIFS(Pedidos!$E:$E,Pedidos!$C:$C,A193,Pedidos!$K:$K,Parametros!$B$3))</f>
        <v/>
      </c>
      <c r="K193" s="18">
        <f>IF(A193="","",COUNTIFS(Pedidos!$C:$C,A193,Pedidos!$K:$K,Parametros!$B$4))</f>
        <v/>
      </c>
      <c r="L193" s="20">
        <f>IF(A193="","",IF(COUNTIFS(Pedidos!$C:$C,A193,Pedidos!$B:$B,"&lt;="&amp;EOMONTH(Parametros!$B$2,0))=0,"",_xlfn.MAXIFS(Pedidos!$B:$B,Pedidos!$C:$C,A193,Pedidos!$B:$B,"&lt;="&amp;EOMONTH(Parametros!$B$2,0))))</f>
        <v/>
      </c>
      <c r="M193" s="20">
        <f>IF(OR(L193="",F193=""),"",EDATE(L193,F193))</f>
        <v/>
      </c>
      <c r="N193" s="21">
        <f>IF(A193="","",IF(L193="","Sem histórico",IF(AND(L193&gt;=Parametros!$B$2,L193&lt;=EOMONTH(Parametros!$B$2,0)),"Comprou no mês",IF(M193="","Sem periodicidade",IF(M193&lt;Parametros!$B$2,"Atrasado",IF(M193&lt;=EOMONTH(Parametros!$B$2,0),"Previsto no mês","Em dia"))))))</f>
        <v/>
      </c>
    </row>
    <row r="194">
      <c r="I194" s="18">
        <f>IF(A194="","",COUNTIFS(Pedidos!$C:$C,A194,Pedidos!$K:$K,Parametros!$B$3))</f>
        <v/>
      </c>
      <c r="J194" s="19">
        <f>IF(A194="","",SUMIFS(Pedidos!$E:$E,Pedidos!$C:$C,A194,Pedidos!$K:$K,Parametros!$B$3))</f>
        <v/>
      </c>
      <c r="K194" s="18">
        <f>IF(A194="","",COUNTIFS(Pedidos!$C:$C,A194,Pedidos!$K:$K,Parametros!$B$4))</f>
        <v/>
      </c>
      <c r="L194" s="20">
        <f>IF(A194="","",IF(COUNTIFS(Pedidos!$C:$C,A194,Pedidos!$B:$B,"&lt;="&amp;EOMONTH(Parametros!$B$2,0))=0,"",_xlfn.MAXIFS(Pedidos!$B:$B,Pedidos!$C:$C,A194,Pedidos!$B:$B,"&lt;="&amp;EOMONTH(Parametros!$B$2,0))))</f>
        <v/>
      </c>
      <c r="M194" s="20">
        <f>IF(OR(L194="",F194=""),"",EDATE(L194,F194))</f>
        <v/>
      </c>
      <c r="N194" s="21">
        <f>IF(A194="","",IF(L194="","Sem histórico",IF(AND(L194&gt;=Parametros!$B$2,L194&lt;=EOMONTH(Parametros!$B$2,0)),"Comprou no mês",IF(M194="","Sem periodicidade",IF(M194&lt;Parametros!$B$2,"Atrasado",IF(M194&lt;=EOMONTH(Parametros!$B$2,0),"Previsto no mês","Em dia"))))))</f>
        <v/>
      </c>
    </row>
    <row r="195">
      <c r="I195" s="18">
        <f>IF(A195="","",COUNTIFS(Pedidos!$C:$C,A195,Pedidos!$K:$K,Parametros!$B$3))</f>
        <v/>
      </c>
      <c r="J195" s="19">
        <f>IF(A195="","",SUMIFS(Pedidos!$E:$E,Pedidos!$C:$C,A195,Pedidos!$K:$K,Parametros!$B$3))</f>
        <v/>
      </c>
      <c r="K195" s="18">
        <f>IF(A195="","",COUNTIFS(Pedidos!$C:$C,A195,Pedidos!$K:$K,Parametros!$B$4))</f>
        <v/>
      </c>
      <c r="L195" s="20">
        <f>IF(A195="","",IF(COUNTIFS(Pedidos!$C:$C,A195,Pedidos!$B:$B,"&lt;="&amp;EOMONTH(Parametros!$B$2,0))=0,"",_xlfn.MAXIFS(Pedidos!$B:$B,Pedidos!$C:$C,A195,Pedidos!$B:$B,"&lt;="&amp;EOMONTH(Parametros!$B$2,0))))</f>
        <v/>
      </c>
      <c r="M195" s="20">
        <f>IF(OR(L195="",F195=""),"",EDATE(L195,F195))</f>
        <v/>
      </c>
      <c r="N195" s="21">
        <f>IF(A195="","",IF(L195="","Sem histórico",IF(AND(L195&gt;=Parametros!$B$2,L195&lt;=EOMONTH(Parametros!$B$2,0)),"Comprou no mês",IF(M195="","Sem periodicidade",IF(M195&lt;Parametros!$B$2,"Atrasado",IF(M195&lt;=EOMONTH(Parametros!$B$2,0),"Previsto no mês","Em dia"))))))</f>
        <v/>
      </c>
    </row>
    <row r="196">
      <c r="I196" s="18">
        <f>IF(A196="","",COUNTIFS(Pedidos!$C:$C,A196,Pedidos!$K:$K,Parametros!$B$3))</f>
        <v/>
      </c>
      <c r="J196" s="19">
        <f>IF(A196="","",SUMIFS(Pedidos!$E:$E,Pedidos!$C:$C,A196,Pedidos!$K:$K,Parametros!$B$3))</f>
        <v/>
      </c>
      <c r="K196" s="18">
        <f>IF(A196="","",COUNTIFS(Pedidos!$C:$C,A196,Pedidos!$K:$K,Parametros!$B$4))</f>
        <v/>
      </c>
      <c r="L196" s="20">
        <f>IF(A196="","",IF(COUNTIFS(Pedidos!$C:$C,A196,Pedidos!$B:$B,"&lt;="&amp;EOMONTH(Parametros!$B$2,0))=0,"",_xlfn.MAXIFS(Pedidos!$B:$B,Pedidos!$C:$C,A196,Pedidos!$B:$B,"&lt;="&amp;EOMONTH(Parametros!$B$2,0))))</f>
        <v/>
      </c>
      <c r="M196" s="20">
        <f>IF(OR(L196="",F196=""),"",EDATE(L196,F196))</f>
        <v/>
      </c>
      <c r="N196" s="21">
        <f>IF(A196="","",IF(L196="","Sem histórico",IF(AND(L196&gt;=Parametros!$B$2,L196&lt;=EOMONTH(Parametros!$B$2,0)),"Comprou no mês",IF(M196="","Sem periodicidade",IF(M196&lt;Parametros!$B$2,"Atrasado",IF(M196&lt;=EOMONTH(Parametros!$B$2,0),"Previsto no mês","Em dia"))))))</f>
        <v/>
      </c>
    </row>
    <row r="197">
      <c r="I197" s="18">
        <f>IF(A197="","",COUNTIFS(Pedidos!$C:$C,A197,Pedidos!$K:$K,Parametros!$B$3))</f>
        <v/>
      </c>
      <c r="J197" s="19">
        <f>IF(A197="","",SUMIFS(Pedidos!$E:$E,Pedidos!$C:$C,A197,Pedidos!$K:$K,Parametros!$B$3))</f>
        <v/>
      </c>
      <c r="K197" s="18">
        <f>IF(A197="","",COUNTIFS(Pedidos!$C:$C,A197,Pedidos!$K:$K,Parametros!$B$4))</f>
        <v/>
      </c>
      <c r="L197" s="20">
        <f>IF(A197="","",IF(COUNTIFS(Pedidos!$C:$C,A197,Pedidos!$B:$B,"&lt;="&amp;EOMONTH(Parametros!$B$2,0))=0,"",_xlfn.MAXIFS(Pedidos!$B:$B,Pedidos!$C:$C,A197,Pedidos!$B:$B,"&lt;="&amp;EOMONTH(Parametros!$B$2,0))))</f>
        <v/>
      </c>
      <c r="M197" s="20">
        <f>IF(OR(L197="",F197=""),"",EDATE(L197,F197))</f>
        <v/>
      </c>
      <c r="N197" s="21">
        <f>IF(A197="","",IF(L197="","Sem histórico",IF(AND(L197&gt;=Parametros!$B$2,L197&lt;=EOMONTH(Parametros!$B$2,0)),"Comprou no mês",IF(M197="","Sem periodicidade",IF(M197&lt;Parametros!$B$2,"Atrasado",IF(M197&lt;=EOMONTH(Parametros!$B$2,0),"Previsto no mês","Em dia"))))))</f>
        <v/>
      </c>
    </row>
    <row r="198">
      <c r="I198" s="18">
        <f>IF(A198="","",COUNTIFS(Pedidos!$C:$C,A198,Pedidos!$K:$K,Parametros!$B$3))</f>
        <v/>
      </c>
      <c r="J198" s="19">
        <f>IF(A198="","",SUMIFS(Pedidos!$E:$E,Pedidos!$C:$C,A198,Pedidos!$K:$K,Parametros!$B$3))</f>
        <v/>
      </c>
      <c r="K198" s="18">
        <f>IF(A198="","",COUNTIFS(Pedidos!$C:$C,A198,Pedidos!$K:$K,Parametros!$B$4))</f>
        <v/>
      </c>
      <c r="L198" s="20">
        <f>IF(A198="","",IF(COUNTIFS(Pedidos!$C:$C,A198,Pedidos!$B:$B,"&lt;="&amp;EOMONTH(Parametros!$B$2,0))=0,"",_xlfn.MAXIFS(Pedidos!$B:$B,Pedidos!$C:$C,A198,Pedidos!$B:$B,"&lt;="&amp;EOMONTH(Parametros!$B$2,0))))</f>
        <v/>
      </c>
      <c r="M198" s="20">
        <f>IF(OR(L198="",F198=""),"",EDATE(L198,F198))</f>
        <v/>
      </c>
      <c r="N198" s="21">
        <f>IF(A198="","",IF(L198="","Sem histórico",IF(AND(L198&gt;=Parametros!$B$2,L198&lt;=EOMONTH(Parametros!$B$2,0)),"Comprou no mês",IF(M198="","Sem periodicidade",IF(M198&lt;Parametros!$B$2,"Atrasado",IF(M198&lt;=EOMONTH(Parametros!$B$2,0),"Previsto no mês","Em dia"))))))</f>
        <v/>
      </c>
    </row>
    <row r="199">
      <c r="I199" s="18">
        <f>IF(A199="","",COUNTIFS(Pedidos!$C:$C,A199,Pedidos!$K:$K,Parametros!$B$3))</f>
        <v/>
      </c>
      <c r="J199" s="19">
        <f>IF(A199="","",SUMIFS(Pedidos!$E:$E,Pedidos!$C:$C,A199,Pedidos!$K:$K,Parametros!$B$3))</f>
        <v/>
      </c>
      <c r="K199" s="18">
        <f>IF(A199="","",COUNTIFS(Pedidos!$C:$C,A199,Pedidos!$K:$K,Parametros!$B$4))</f>
        <v/>
      </c>
      <c r="L199" s="20">
        <f>IF(A199="","",IF(COUNTIFS(Pedidos!$C:$C,A199,Pedidos!$B:$B,"&lt;="&amp;EOMONTH(Parametros!$B$2,0))=0,"",_xlfn.MAXIFS(Pedidos!$B:$B,Pedidos!$C:$C,A199,Pedidos!$B:$B,"&lt;="&amp;EOMONTH(Parametros!$B$2,0))))</f>
        <v/>
      </c>
      <c r="M199" s="20">
        <f>IF(OR(L199="",F199=""),"",EDATE(L199,F199))</f>
        <v/>
      </c>
      <c r="N199" s="21">
        <f>IF(A199="","",IF(L199="","Sem histórico",IF(AND(L199&gt;=Parametros!$B$2,L199&lt;=EOMONTH(Parametros!$B$2,0)),"Comprou no mês",IF(M199="","Sem periodicidade",IF(M199&lt;Parametros!$B$2,"Atrasado",IF(M199&lt;=EOMONTH(Parametros!$B$2,0),"Previsto no mês","Em dia"))))))</f>
        <v/>
      </c>
    </row>
    <row r="200">
      <c r="I200" s="18">
        <f>IF(A200="","",COUNTIFS(Pedidos!$C:$C,A200,Pedidos!$K:$K,Parametros!$B$3))</f>
        <v/>
      </c>
      <c r="J200" s="19">
        <f>IF(A200="","",SUMIFS(Pedidos!$E:$E,Pedidos!$C:$C,A200,Pedidos!$K:$K,Parametros!$B$3))</f>
        <v/>
      </c>
      <c r="K200" s="18">
        <f>IF(A200="","",COUNTIFS(Pedidos!$C:$C,A200,Pedidos!$K:$K,Parametros!$B$4))</f>
        <v/>
      </c>
      <c r="L200" s="20">
        <f>IF(A200="","",IF(COUNTIFS(Pedidos!$C:$C,A200,Pedidos!$B:$B,"&lt;="&amp;EOMONTH(Parametros!$B$2,0))=0,"",_xlfn.MAXIFS(Pedidos!$B:$B,Pedidos!$C:$C,A200,Pedidos!$B:$B,"&lt;="&amp;EOMONTH(Parametros!$B$2,0))))</f>
        <v/>
      </c>
      <c r="M200" s="20">
        <f>IF(OR(L200="",F200=""),"",EDATE(L200,F200))</f>
        <v/>
      </c>
      <c r="N200" s="21">
        <f>IF(A200="","",IF(L200="","Sem histórico",IF(AND(L200&gt;=Parametros!$B$2,L200&lt;=EOMONTH(Parametros!$B$2,0)),"Comprou no mês",IF(M200="","Sem periodicidade",IF(M200&lt;Parametros!$B$2,"Atrasado",IF(M200&lt;=EOMONTH(Parametros!$B$2,0),"Previsto no mês","Em dia"))))))</f>
        <v/>
      </c>
    </row>
    <row r="201">
      <c r="I201" s="18">
        <f>IF(A201="","",COUNTIFS(Pedidos!$C:$C,A201,Pedidos!$K:$K,Parametros!$B$3))</f>
        <v/>
      </c>
      <c r="J201" s="19">
        <f>IF(A201="","",SUMIFS(Pedidos!$E:$E,Pedidos!$C:$C,A201,Pedidos!$K:$K,Parametros!$B$3))</f>
        <v/>
      </c>
      <c r="K201" s="18">
        <f>IF(A201="","",COUNTIFS(Pedidos!$C:$C,A201,Pedidos!$K:$K,Parametros!$B$4))</f>
        <v/>
      </c>
      <c r="L201" s="20">
        <f>IF(A201="","",IF(COUNTIFS(Pedidos!$C:$C,A201,Pedidos!$B:$B,"&lt;="&amp;EOMONTH(Parametros!$B$2,0))=0,"",_xlfn.MAXIFS(Pedidos!$B:$B,Pedidos!$C:$C,A201,Pedidos!$B:$B,"&lt;="&amp;EOMONTH(Parametros!$B$2,0))))</f>
        <v/>
      </c>
      <c r="M201" s="20">
        <f>IF(OR(L201="",F201=""),"",EDATE(L201,F201))</f>
        <v/>
      </c>
      <c r="N201" s="21">
        <f>IF(A201="","",IF(L201="","Sem histórico",IF(AND(L201&gt;=Parametros!$B$2,L201&lt;=EOMONTH(Parametros!$B$2,0)),"Comprou no mês",IF(M201="","Sem periodicidade",IF(M201&lt;Parametros!$B$2,"Atrasado",IF(M201&lt;=EOMONTH(Parametros!$B$2,0),"Previsto no mês","Em dia"))))))</f>
        <v/>
      </c>
    </row>
    <row r="202">
      <c r="I202" s="18">
        <f>IF(A202="","",COUNTIFS(Pedidos!$C:$C,A202,Pedidos!$K:$K,Parametros!$B$3))</f>
        <v/>
      </c>
      <c r="J202" s="19">
        <f>IF(A202="","",SUMIFS(Pedidos!$E:$E,Pedidos!$C:$C,A202,Pedidos!$K:$K,Parametros!$B$3))</f>
        <v/>
      </c>
      <c r="K202" s="18">
        <f>IF(A202="","",COUNTIFS(Pedidos!$C:$C,A202,Pedidos!$K:$K,Parametros!$B$4))</f>
        <v/>
      </c>
      <c r="L202" s="20">
        <f>IF(A202="","",IF(COUNTIFS(Pedidos!$C:$C,A202,Pedidos!$B:$B,"&lt;="&amp;EOMONTH(Parametros!$B$2,0))=0,"",_xlfn.MAXIFS(Pedidos!$B:$B,Pedidos!$C:$C,A202,Pedidos!$B:$B,"&lt;="&amp;EOMONTH(Parametros!$B$2,0))))</f>
        <v/>
      </c>
      <c r="M202" s="20">
        <f>IF(OR(L202="",F202=""),"",EDATE(L202,F202))</f>
        <v/>
      </c>
      <c r="N202" s="21">
        <f>IF(A202="","",IF(L202="","Sem histórico",IF(AND(L202&gt;=Parametros!$B$2,L202&lt;=EOMONTH(Parametros!$B$2,0)),"Comprou no mês",IF(M202="","Sem periodicidade",IF(M202&lt;Parametros!$B$2,"Atrasado",IF(M202&lt;=EOMONTH(Parametros!$B$2,0),"Previsto no mês","Em dia"))))))</f>
        <v/>
      </c>
    </row>
    <row r="203">
      <c r="I203" s="18">
        <f>IF(A203="","",COUNTIFS(Pedidos!$C:$C,A203,Pedidos!$K:$K,Parametros!$B$3))</f>
        <v/>
      </c>
      <c r="J203" s="19">
        <f>IF(A203="","",SUMIFS(Pedidos!$E:$E,Pedidos!$C:$C,A203,Pedidos!$K:$K,Parametros!$B$3))</f>
        <v/>
      </c>
      <c r="K203" s="18">
        <f>IF(A203="","",COUNTIFS(Pedidos!$C:$C,A203,Pedidos!$K:$K,Parametros!$B$4))</f>
        <v/>
      </c>
      <c r="L203" s="20">
        <f>IF(A203="","",IF(COUNTIFS(Pedidos!$C:$C,A203,Pedidos!$B:$B,"&lt;="&amp;EOMONTH(Parametros!$B$2,0))=0,"",_xlfn.MAXIFS(Pedidos!$B:$B,Pedidos!$C:$C,A203,Pedidos!$B:$B,"&lt;="&amp;EOMONTH(Parametros!$B$2,0))))</f>
        <v/>
      </c>
      <c r="M203" s="20">
        <f>IF(OR(L203="",F203=""),"",EDATE(L203,F203))</f>
        <v/>
      </c>
      <c r="N203" s="21">
        <f>IF(A203="","",IF(L203="","Sem histórico",IF(AND(L203&gt;=Parametros!$B$2,L203&lt;=EOMONTH(Parametros!$B$2,0)),"Comprou no mês",IF(M203="","Sem periodicidade",IF(M203&lt;Parametros!$B$2,"Atrasado",IF(M203&lt;=EOMONTH(Parametros!$B$2,0),"Previsto no mês","Em dia"))))))</f>
        <v/>
      </c>
    </row>
    <row r="204">
      <c r="I204" s="18">
        <f>IF(A204="","",COUNTIFS(Pedidos!$C:$C,A204,Pedidos!$K:$K,Parametros!$B$3))</f>
        <v/>
      </c>
      <c r="J204" s="19">
        <f>IF(A204="","",SUMIFS(Pedidos!$E:$E,Pedidos!$C:$C,A204,Pedidos!$K:$K,Parametros!$B$3))</f>
        <v/>
      </c>
      <c r="K204" s="18">
        <f>IF(A204="","",COUNTIFS(Pedidos!$C:$C,A204,Pedidos!$K:$K,Parametros!$B$4))</f>
        <v/>
      </c>
      <c r="L204" s="20">
        <f>IF(A204="","",IF(COUNTIFS(Pedidos!$C:$C,A204,Pedidos!$B:$B,"&lt;="&amp;EOMONTH(Parametros!$B$2,0))=0,"",_xlfn.MAXIFS(Pedidos!$B:$B,Pedidos!$C:$C,A204,Pedidos!$B:$B,"&lt;="&amp;EOMONTH(Parametros!$B$2,0))))</f>
        <v/>
      </c>
      <c r="M204" s="20">
        <f>IF(OR(L204="",F204=""),"",EDATE(L204,F204))</f>
        <v/>
      </c>
      <c r="N204" s="21">
        <f>IF(A204="","",IF(L204="","Sem histórico",IF(AND(L204&gt;=Parametros!$B$2,L204&lt;=EOMONTH(Parametros!$B$2,0)),"Comprou no mês",IF(M204="","Sem periodicidade",IF(M204&lt;Parametros!$B$2,"Atrasado",IF(M204&lt;=EOMONTH(Parametros!$B$2,0),"Previsto no mês","Em dia"))))))</f>
        <v/>
      </c>
    </row>
    <row r="205">
      <c r="I205" s="18">
        <f>IF(A205="","",COUNTIFS(Pedidos!$C:$C,A205,Pedidos!$K:$K,Parametros!$B$3))</f>
        <v/>
      </c>
      <c r="J205" s="19">
        <f>IF(A205="","",SUMIFS(Pedidos!$E:$E,Pedidos!$C:$C,A205,Pedidos!$K:$K,Parametros!$B$3))</f>
        <v/>
      </c>
      <c r="K205" s="18">
        <f>IF(A205="","",COUNTIFS(Pedidos!$C:$C,A205,Pedidos!$K:$K,Parametros!$B$4))</f>
        <v/>
      </c>
      <c r="L205" s="20">
        <f>IF(A205="","",IF(COUNTIFS(Pedidos!$C:$C,A205,Pedidos!$B:$B,"&lt;="&amp;EOMONTH(Parametros!$B$2,0))=0,"",_xlfn.MAXIFS(Pedidos!$B:$B,Pedidos!$C:$C,A205,Pedidos!$B:$B,"&lt;="&amp;EOMONTH(Parametros!$B$2,0))))</f>
        <v/>
      </c>
      <c r="M205" s="20">
        <f>IF(OR(L205="",F205=""),"",EDATE(L205,F205))</f>
        <v/>
      </c>
      <c r="N205" s="21">
        <f>IF(A205="","",IF(L205="","Sem histórico",IF(AND(L205&gt;=Parametros!$B$2,L205&lt;=EOMONTH(Parametros!$B$2,0)),"Comprou no mês",IF(M205="","Sem periodicidade",IF(M205&lt;Parametros!$B$2,"Atrasado",IF(M205&lt;=EOMONTH(Parametros!$B$2,0),"Previsto no mês","Em dia"))))))</f>
        <v/>
      </c>
    </row>
    <row r="206">
      <c r="I206" s="18">
        <f>IF(A206="","",COUNTIFS(Pedidos!$C:$C,A206,Pedidos!$K:$K,Parametros!$B$3))</f>
        <v/>
      </c>
      <c r="J206" s="19">
        <f>IF(A206="","",SUMIFS(Pedidos!$E:$E,Pedidos!$C:$C,A206,Pedidos!$K:$K,Parametros!$B$3))</f>
        <v/>
      </c>
      <c r="K206" s="18">
        <f>IF(A206="","",COUNTIFS(Pedidos!$C:$C,A206,Pedidos!$K:$K,Parametros!$B$4))</f>
        <v/>
      </c>
      <c r="L206" s="20">
        <f>IF(A206="","",IF(COUNTIFS(Pedidos!$C:$C,A206,Pedidos!$B:$B,"&lt;="&amp;EOMONTH(Parametros!$B$2,0))=0,"",_xlfn.MAXIFS(Pedidos!$B:$B,Pedidos!$C:$C,A206,Pedidos!$B:$B,"&lt;="&amp;EOMONTH(Parametros!$B$2,0))))</f>
        <v/>
      </c>
      <c r="M206" s="20">
        <f>IF(OR(L206="",F206=""),"",EDATE(L206,F206))</f>
        <v/>
      </c>
      <c r="N206" s="21">
        <f>IF(A206="","",IF(L206="","Sem histórico",IF(AND(L206&gt;=Parametros!$B$2,L206&lt;=EOMONTH(Parametros!$B$2,0)),"Comprou no mês",IF(M206="","Sem periodicidade",IF(M206&lt;Parametros!$B$2,"Atrasado",IF(M206&lt;=EOMONTH(Parametros!$B$2,0),"Previsto no mês","Em dia"))))))</f>
        <v/>
      </c>
    </row>
    <row r="207">
      <c r="I207" s="18">
        <f>IF(A207="","",COUNTIFS(Pedidos!$C:$C,A207,Pedidos!$K:$K,Parametros!$B$3))</f>
        <v/>
      </c>
      <c r="J207" s="19">
        <f>IF(A207="","",SUMIFS(Pedidos!$E:$E,Pedidos!$C:$C,A207,Pedidos!$K:$K,Parametros!$B$3))</f>
        <v/>
      </c>
      <c r="K207" s="18">
        <f>IF(A207="","",COUNTIFS(Pedidos!$C:$C,A207,Pedidos!$K:$K,Parametros!$B$4))</f>
        <v/>
      </c>
      <c r="L207" s="20">
        <f>IF(A207="","",IF(COUNTIFS(Pedidos!$C:$C,A207,Pedidos!$B:$B,"&lt;="&amp;EOMONTH(Parametros!$B$2,0))=0,"",_xlfn.MAXIFS(Pedidos!$B:$B,Pedidos!$C:$C,A207,Pedidos!$B:$B,"&lt;="&amp;EOMONTH(Parametros!$B$2,0))))</f>
        <v/>
      </c>
      <c r="M207" s="20">
        <f>IF(OR(L207="",F207=""),"",EDATE(L207,F207))</f>
        <v/>
      </c>
      <c r="N207" s="21">
        <f>IF(A207="","",IF(L207="","Sem histórico",IF(AND(L207&gt;=Parametros!$B$2,L207&lt;=EOMONTH(Parametros!$B$2,0)),"Comprou no mês",IF(M207="","Sem periodicidade",IF(M207&lt;Parametros!$B$2,"Atrasado",IF(M207&lt;=EOMONTH(Parametros!$B$2,0),"Previsto no mês","Em dia"))))))</f>
        <v/>
      </c>
    </row>
    <row r="208">
      <c r="I208" s="18">
        <f>IF(A208="","",COUNTIFS(Pedidos!$C:$C,A208,Pedidos!$K:$K,Parametros!$B$3))</f>
        <v/>
      </c>
      <c r="J208" s="19">
        <f>IF(A208="","",SUMIFS(Pedidos!$E:$E,Pedidos!$C:$C,A208,Pedidos!$K:$K,Parametros!$B$3))</f>
        <v/>
      </c>
      <c r="K208" s="18">
        <f>IF(A208="","",COUNTIFS(Pedidos!$C:$C,A208,Pedidos!$K:$K,Parametros!$B$4))</f>
        <v/>
      </c>
      <c r="L208" s="20">
        <f>IF(A208="","",IF(COUNTIFS(Pedidos!$C:$C,A208,Pedidos!$B:$B,"&lt;="&amp;EOMONTH(Parametros!$B$2,0))=0,"",_xlfn.MAXIFS(Pedidos!$B:$B,Pedidos!$C:$C,A208,Pedidos!$B:$B,"&lt;="&amp;EOMONTH(Parametros!$B$2,0))))</f>
        <v/>
      </c>
      <c r="M208" s="20">
        <f>IF(OR(L208="",F208=""),"",EDATE(L208,F208))</f>
        <v/>
      </c>
      <c r="N208" s="21">
        <f>IF(A208="","",IF(L208="","Sem histórico",IF(AND(L208&gt;=Parametros!$B$2,L208&lt;=EOMONTH(Parametros!$B$2,0)),"Comprou no mês",IF(M208="","Sem periodicidade",IF(M208&lt;Parametros!$B$2,"Atrasado",IF(M208&lt;=EOMONTH(Parametros!$B$2,0),"Previsto no mês","Em dia"))))))</f>
        <v/>
      </c>
    </row>
    <row r="209">
      <c r="I209" s="18">
        <f>IF(A209="","",COUNTIFS(Pedidos!$C:$C,A209,Pedidos!$K:$K,Parametros!$B$3))</f>
        <v/>
      </c>
      <c r="J209" s="19">
        <f>IF(A209="","",SUMIFS(Pedidos!$E:$E,Pedidos!$C:$C,A209,Pedidos!$K:$K,Parametros!$B$3))</f>
        <v/>
      </c>
      <c r="K209" s="18">
        <f>IF(A209="","",COUNTIFS(Pedidos!$C:$C,A209,Pedidos!$K:$K,Parametros!$B$4))</f>
        <v/>
      </c>
      <c r="L209" s="20">
        <f>IF(A209="","",IF(COUNTIFS(Pedidos!$C:$C,A209,Pedidos!$B:$B,"&lt;="&amp;EOMONTH(Parametros!$B$2,0))=0,"",_xlfn.MAXIFS(Pedidos!$B:$B,Pedidos!$C:$C,A209,Pedidos!$B:$B,"&lt;="&amp;EOMONTH(Parametros!$B$2,0))))</f>
        <v/>
      </c>
      <c r="M209" s="20">
        <f>IF(OR(L209="",F209=""),"",EDATE(L209,F209))</f>
        <v/>
      </c>
      <c r="N209" s="21">
        <f>IF(A209="","",IF(L209="","Sem histórico",IF(AND(L209&gt;=Parametros!$B$2,L209&lt;=EOMONTH(Parametros!$B$2,0)),"Comprou no mês",IF(M209="","Sem periodicidade",IF(M209&lt;Parametros!$B$2,"Atrasado",IF(M209&lt;=EOMONTH(Parametros!$B$2,0),"Previsto no mês","Em dia"))))))</f>
        <v/>
      </c>
    </row>
    <row r="210">
      <c r="I210" s="18">
        <f>IF(A210="","",COUNTIFS(Pedidos!$C:$C,A210,Pedidos!$K:$K,Parametros!$B$3))</f>
        <v/>
      </c>
      <c r="J210" s="19">
        <f>IF(A210="","",SUMIFS(Pedidos!$E:$E,Pedidos!$C:$C,A210,Pedidos!$K:$K,Parametros!$B$3))</f>
        <v/>
      </c>
      <c r="K210" s="18">
        <f>IF(A210="","",COUNTIFS(Pedidos!$C:$C,A210,Pedidos!$K:$K,Parametros!$B$4))</f>
        <v/>
      </c>
      <c r="L210" s="20">
        <f>IF(A210="","",IF(COUNTIFS(Pedidos!$C:$C,A210,Pedidos!$B:$B,"&lt;="&amp;EOMONTH(Parametros!$B$2,0))=0,"",_xlfn.MAXIFS(Pedidos!$B:$B,Pedidos!$C:$C,A210,Pedidos!$B:$B,"&lt;="&amp;EOMONTH(Parametros!$B$2,0))))</f>
        <v/>
      </c>
      <c r="M210" s="20">
        <f>IF(OR(L210="",F210=""),"",EDATE(L210,F210))</f>
        <v/>
      </c>
      <c r="N210" s="21">
        <f>IF(A210="","",IF(L210="","Sem histórico",IF(AND(L210&gt;=Parametros!$B$2,L210&lt;=EOMONTH(Parametros!$B$2,0)),"Comprou no mês",IF(M210="","Sem periodicidade",IF(M210&lt;Parametros!$B$2,"Atrasado",IF(M210&lt;=EOMONTH(Parametros!$B$2,0),"Previsto no mês","Em dia"))))))</f>
        <v/>
      </c>
    </row>
    <row r="211">
      <c r="I211" s="18">
        <f>IF(A211="","",COUNTIFS(Pedidos!$C:$C,A211,Pedidos!$K:$K,Parametros!$B$3))</f>
        <v/>
      </c>
      <c r="J211" s="19">
        <f>IF(A211="","",SUMIFS(Pedidos!$E:$E,Pedidos!$C:$C,A211,Pedidos!$K:$K,Parametros!$B$3))</f>
        <v/>
      </c>
      <c r="K211" s="18">
        <f>IF(A211="","",COUNTIFS(Pedidos!$C:$C,A211,Pedidos!$K:$K,Parametros!$B$4))</f>
        <v/>
      </c>
      <c r="L211" s="20">
        <f>IF(A211="","",IF(COUNTIFS(Pedidos!$C:$C,A211,Pedidos!$B:$B,"&lt;="&amp;EOMONTH(Parametros!$B$2,0))=0,"",_xlfn.MAXIFS(Pedidos!$B:$B,Pedidos!$C:$C,A211,Pedidos!$B:$B,"&lt;="&amp;EOMONTH(Parametros!$B$2,0))))</f>
        <v/>
      </c>
      <c r="M211" s="20">
        <f>IF(OR(L211="",F211=""),"",EDATE(L211,F211))</f>
        <v/>
      </c>
      <c r="N211" s="21">
        <f>IF(A211="","",IF(L211="","Sem histórico",IF(AND(L211&gt;=Parametros!$B$2,L211&lt;=EOMONTH(Parametros!$B$2,0)),"Comprou no mês",IF(M211="","Sem periodicidade",IF(M211&lt;Parametros!$B$2,"Atrasado",IF(M211&lt;=EOMONTH(Parametros!$B$2,0),"Previsto no mês","Em dia"))))))</f>
        <v/>
      </c>
    </row>
    <row r="212">
      <c r="I212" s="18">
        <f>IF(A212="","",COUNTIFS(Pedidos!$C:$C,A212,Pedidos!$K:$K,Parametros!$B$3))</f>
        <v/>
      </c>
      <c r="J212" s="19">
        <f>IF(A212="","",SUMIFS(Pedidos!$E:$E,Pedidos!$C:$C,A212,Pedidos!$K:$K,Parametros!$B$3))</f>
        <v/>
      </c>
      <c r="K212" s="18">
        <f>IF(A212="","",COUNTIFS(Pedidos!$C:$C,A212,Pedidos!$K:$K,Parametros!$B$4))</f>
        <v/>
      </c>
      <c r="L212" s="20">
        <f>IF(A212="","",IF(COUNTIFS(Pedidos!$C:$C,A212,Pedidos!$B:$B,"&lt;="&amp;EOMONTH(Parametros!$B$2,0))=0,"",_xlfn.MAXIFS(Pedidos!$B:$B,Pedidos!$C:$C,A212,Pedidos!$B:$B,"&lt;="&amp;EOMONTH(Parametros!$B$2,0))))</f>
        <v/>
      </c>
      <c r="M212" s="20">
        <f>IF(OR(L212="",F212=""),"",EDATE(L212,F212))</f>
        <v/>
      </c>
      <c r="N212" s="21">
        <f>IF(A212="","",IF(L212="","Sem histórico",IF(AND(L212&gt;=Parametros!$B$2,L212&lt;=EOMONTH(Parametros!$B$2,0)),"Comprou no mês",IF(M212="","Sem periodicidade",IF(M212&lt;Parametros!$B$2,"Atrasado",IF(M212&lt;=EOMONTH(Parametros!$B$2,0),"Previsto no mês","Em dia"))))))</f>
        <v/>
      </c>
    </row>
    <row r="213">
      <c r="I213" s="18">
        <f>IF(A213="","",COUNTIFS(Pedidos!$C:$C,A213,Pedidos!$K:$K,Parametros!$B$3))</f>
        <v/>
      </c>
      <c r="J213" s="19">
        <f>IF(A213="","",SUMIFS(Pedidos!$E:$E,Pedidos!$C:$C,A213,Pedidos!$K:$K,Parametros!$B$3))</f>
        <v/>
      </c>
      <c r="K213" s="18">
        <f>IF(A213="","",COUNTIFS(Pedidos!$C:$C,A213,Pedidos!$K:$K,Parametros!$B$4))</f>
        <v/>
      </c>
      <c r="L213" s="20">
        <f>IF(A213="","",IF(COUNTIFS(Pedidos!$C:$C,A213,Pedidos!$B:$B,"&lt;="&amp;EOMONTH(Parametros!$B$2,0))=0,"",_xlfn.MAXIFS(Pedidos!$B:$B,Pedidos!$C:$C,A213,Pedidos!$B:$B,"&lt;="&amp;EOMONTH(Parametros!$B$2,0))))</f>
        <v/>
      </c>
      <c r="M213" s="20">
        <f>IF(OR(L213="",F213=""),"",EDATE(L213,F213))</f>
        <v/>
      </c>
      <c r="N213" s="21">
        <f>IF(A213="","",IF(L213="","Sem histórico",IF(AND(L213&gt;=Parametros!$B$2,L213&lt;=EOMONTH(Parametros!$B$2,0)),"Comprou no mês",IF(M213="","Sem periodicidade",IF(M213&lt;Parametros!$B$2,"Atrasado",IF(M213&lt;=EOMONTH(Parametros!$B$2,0),"Previsto no mês","Em dia"))))))</f>
        <v/>
      </c>
    </row>
    <row r="214">
      <c r="I214" s="18">
        <f>IF(A214="","",COUNTIFS(Pedidos!$C:$C,A214,Pedidos!$K:$K,Parametros!$B$3))</f>
        <v/>
      </c>
      <c r="J214" s="19">
        <f>IF(A214="","",SUMIFS(Pedidos!$E:$E,Pedidos!$C:$C,A214,Pedidos!$K:$K,Parametros!$B$3))</f>
        <v/>
      </c>
      <c r="K214" s="18">
        <f>IF(A214="","",COUNTIFS(Pedidos!$C:$C,A214,Pedidos!$K:$K,Parametros!$B$4))</f>
        <v/>
      </c>
      <c r="L214" s="20">
        <f>IF(A214="","",IF(COUNTIFS(Pedidos!$C:$C,A214,Pedidos!$B:$B,"&lt;="&amp;EOMONTH(Parametros!$B$2,0))=0,"",_xlfn.MAXIFS(Pedidos!$B:$B,Pedidos!$C:$C,A214,Pedidos!$B:$B,"&lt;="&amp;EOMONTH(Parametros!$B$2,0))))</f>
        <v/>
      </c>
      <c r="M214" s="20">
        <f>IF(OR(L214="",F214=""),"",EDATE(L214,F214))</f>
        <v/>
      </c>
      <c r="N214" s="21">
        <f>IF(A214="","",IF(L214="","Sem histórico",IF(AND(L214&gt;=Parametros!$B$2,L214&lt;=EOMONTH(Parametros!$B$2,0)),"Comprou no mês",IF(M214="","Sem periodicidade",IF(M214&lt;Parametros!$B$2,"Atrasado",IF(M214&lt;=EOMONTH(Parametros!$B$2,0),"Previsto no mês","Em dia"))))))</f>
        <v/>
      </c>
    </row>
    <row r="215">
      <c r="I215" s="18">
        <f>IF(A215="","",COUNTIFS(Pedidos!$C:$C,A215,Pedidos!$K:$K,Parametros!$B$3))</f>
        <v/>
      </c>
      <c r="J215" s="19">
        <f>IF(A215="","",SUMIFS(Pedidos!$E:$E,Pedidos!$C:$C,A215,Pedidos!$K:$K,Parametros!$B$3))</f>
        <v/>
      </c>
      <c r="K215" s="18">
        <f>IF(A215="","",COUNTIFS(Pedidos!$C:$C,A215,Pedidos!$K:$K,Parametros!$B$4))</f>
        <v/>
      </c>
      <c r="L215" s="20">
        <f>IF(A215="","",IF(COUNTIFS(Pedidos!$C:$C,A215,Pedidos!$B:$B,"&lt;="&amp;EOMONTH(Parametros!$B$2,0))=0,"",_xlfn.MAXIFS(Pedidos!$B:$B,Pedidos!$C:$C,A215,Pedidos!$B:$B,"&lt;="&amp;EOMONTH(Parametros!$B$2,0))))</f>
        <v/>
      </c>
      <c r="M215" s="20">
        <f>IF(OR(L215="",F215=""),"",EDATE(L215,F215))</f>
        <v/>
      </c>
      <c r="N215" s="21">
        <f>IF(A215="","",IF(L215="","Sem histórico",IF(AND(L215&gt;=Parametros!$B$2,L215&lt;=EOMONTH(Parametros!$B$2,0)),"Comprou no mês",IF(M215="","Sem periodicidade",IF(M215&lt;Parametros!$B$2,"Atrasado",IF(M215&lt;=EOMONTH(Parametros!$B$2,0),"Previsto no mês","Em dia"))))))</f>
        <v/>
      </c>
    </row>
    <row r="216">
      <c r="I216" s="18">
        <f>IF(A216="","",COUNTIFS(Pedidos!$C:$C,A216,Pedidos!$K:$K,Parametros!$B$3))</f>
        <v/>
      </c>
      <c r="J216" s="19">
        <f>IF(A216="","",SUMIFS(Pedidos!$E:$E,Pedidos!$C:$C,A216,Pedidos!$K:$K,Parametros!$B$3))</f>
        <v/>
      </c>
      <c r="K216" s="18">
        <f>IF(A216="","",COUNTIFS(Pedidos!$C:$C,A216,Pedidos!$K:$K,Parametros!$B$4))</f>
        <v/>
      </c>
      <c r="L216" s="20">
        <f>IF(A216="","",IF(COUNTIFS(Pedidos!$C:$C,A216,Pedidos!$B:$B,"&lt;="&amp;EOMONTH(Parametros!$B$2,0))=0,"",_xlfn.MAXIFS(Pedidos!$B:$B,Pedidos!$C:$C,A216,Pedidos!$B:$B,"&lt;="&amp;EOMONTH(Parametros!$B$2,0))))</f>
        <v/>
      </c>
      <c r="M216" s="20">
        <f>IF(OR(L216="",F216=""),"",EDATE(L216,F216))</f>
        <v/>
      </c>
      <c r="N216" s="21">
        <f>IF(A216="","",IF(L216="","Sem histórico",IF(AND(L216&gt;=Parametros!$B$2,L216&lt;=EOMONTH(Parametros!$B$2,0)),"Comprou no mês",IF(M216="","Sem periodicidade",IF(M216&lt;Parametros!$B$2,"Atrasado",IF(M216&lt;=EOMONTH(Parametros!$B$2,0),"Previsto no mês","Em dia"))))))</f>
        <v/>
      </c>
    </row>
    <row r="217">
      <c r="I217" s="18">
        <f>IF(A217="","",COUNTIFS(Pedidos!$C:$C,A217,Pedidos!$K:$K,Parametros!$B$3))</f>
        <v/>
      </c>
      <c r="J217" s="19">
        <f>IF(A217="","",SUMIFS(Pedidos!$E:$E,Pedidos!$C:$C,A217,Pedidos!$K:$K,Parametros!$B$3))</f>
        <v/>
      </c>
      <c r="K217" s="18">
        <f>IF(A217="","",COUNTIFS(Pedidos!$C:$C,A217,Pedidos!$K:$K,Parametros!$B$4))</f>
        <v/>
      </c>
      <c r="L217" s="20">
        <f>IF(A217="","",IF(COUNTIFS(Pedidos!$C:$C,A217,Pedidos!$B:$B,"&lt;="&amp;EOMONTH(Parametros!$B$2,0))=0,"",_xlfn.MAXIFS(Pedidos!$B:$B,Pedidos!$C:$C,A217,Pedidos!$B:$B,"&lt;="&amp;EOMONTH(Parametros!$B$2,0))))</f>
        <v/>
      </c>
      <c r="M217" s="20">
        <f>IF(OR(L217="",F217=""),"",EDATE(L217,F217))</f>
        <v/>
      </c>
      <c r="N217" s="21">
        <f>IF(A217="","",IF(L217="","Sem histórico",IF(AND(L217&gt;=Parametros!$B$2,L217&lt;=EOMONTH(Parametros!$B$2,0)),"Comprou no mês",IF(M217="","Sem periodicidade",IF(M217&lt;Parametros!$B$2,"Atrasado",IF(M217&lt;=EOMONTH(Parametros!$B$2,0),"Previsto no mês","Em dia"))))))</f>
        <v/>
      </c>
    </row>
    <row r="218">
      <c r="I218" s="18">
        <f>IF(A218="","",COUNTIFS(Pedidos!$C:$C,A218,Pedidos!$K:$K,Parametros!$B$3))</f>
        <v/>
      </c>
      <c r="J218" s="19">
        <f>IF(A218="","",SUMIFS(Pedidos!$E:$E,Pedidos!$C:$C,A218,Pedidos!$K:$K,Parametros!$B$3))</f>
        <v/>
      </c>
      <c r="K218" s="18">
        <f>IF(A218="","",COUNTIFS(Pedidos!$C:$C,A218,Pedidos!$K:$K,Parametros!$B$4))</f>
        <v/>
      </c>
      <c r="L218" s="20">
        <f>IF(A218="","",IF(COUNTIFS(Pedidos!$C:$C,A218,Pedidos!$B:$B,"&lt;="&amp;EOMONTH(Parametros!$B$2,0))=0,"",_xlfn.MAXIFS(Pedidos!$B:$B,Pedidos!$C:$C,A218,Pedidos!$B:$B,"&lt;="&amp;EOMONTH(Parametros!$B$2,0))))</f>
        <v/>
      </c>
      <c r="M218" s="20">
        <f>IF(OR(L218="",F218=""),"",EDATE(L218,F218))</f>
        <v/>
      </c>
      <c r="N218" s="21">
        <f>IF(A218="","",IF(L218="","Sem histórico",IF(AND(L218&gt;=Parametros!$B$2,L218&lt;=EOMONTH(Parametros!$B$2,0)),"Comprou no mês",IF(M218="","Sem periodicidade",IF(M218&lt;Parametros!$B$2,"Atrasado",IF(M218&lt;=EOMONTH(Parametros!$B$2,0),"Previsto no mês","Em dia"))))))</f>
        <v/>
      </c>
    </row>
    <row r="219">
      <c r="I219" s="18">
        <f>IF(A219="","",COUNTIFS(Pedidos!$C:$C,A219,Pedidos!$K:$K,Parametros!$B$3))</f>
        <v/>
      </c>
      <c r="J219" s="19">
        <f>IF(A219="","",SUMIFS(Pedidos!$E:$E,Pedidos!$C:$C,A219,Pedidos!$K:$K,Parametros!$B$3))</f>
        <v/>
      </c>
      <c r="K219" s="18">
        <f>IF(A219="","",COUNTIFS(Pedidos!$C:$C,A219,Pedidos!$K:$K,Parametros!$B$4))</f>
        <v/>
      </c>
      <c r="L219" s="20">
        <f>IF(A219="","",IF(COUNTIFS(Pedidos!$C:$C,A219,Pedidos!$B:$B,"&lt;="&amp;EOMONTH(Parametros!$B$2,0))=0,"",_xlfn.MAXIFS(Pedidos!$B:$B,Pedidos!$C:$C,A219,Pedidos!$B:$B,"&lt;="&amp;EOMONTH(Parametros!$B$2,0))))</f>
        <v/>
      </c>
      <c r="M219" s="20">
        <f>IF(OR(L219="",F219=""),"",EDATE(L219,F219))</f>
        <v/>
      </c>
      <c r="N219" s="21">
        <f>IF(A219="","",IF(L219="","Sem histórico",IF(AND(L219&gt;=Parametros!$B$2,L219&lt;=EOMONTH(Parametros!$B$2,0)),"Comprou no mês",IF(M219="","Sem periodicidade",IF(M219&lt;Parametros!$B$2,"Atrasado",IF(M219&lt;=EOMONTH(Parametros!$B$2,0),"Previsto no mês","Em dia"))))))</f>
        <v/>
      </c>
    </row>
    <row r="220">
      <c r="I220" s="18">
        <f>IF(A220="","",COUNTIFS(Pedidos!$C:$C,A220,Pedidos!$K:$K,Parametros!$B$3))</f>
        <v/>
      </c>
      <c r="J220" s="19">
        <f>IF(A220="","",SUMIFS(Pedidos!$E:$E,Pedidos!$C:$C,A220,Pedidos!$K:$K,Parametros!$B$3))</f>
        <v/>
      </c>
      <c r="K220" s="18">
        <f>IF(A220="","",COUNTIFS(Pedidos!$C:$C,A220,Pedidos!$K:$K,Parametros!$B$4))</f>
        <v/>
      </c>
      <c r="L220" s="20">
        <f>IF(A220="","",IF(COUNTIFS(Pedidos!$C:$C,A220,Pedidos!$B:$B,"&lt;="&amp;EOMONTH(Parametros!$B$2,0))=0,"",_xlfn.MAXIFS(Pedidos!$B:$B,Pedidos!$C:$C,A220,Pedidos!$B:$B,"&lt;="&amp;EOMONTH(Parametros!$B$2,0))))</f>
        <v/>
      </c>
      <c r="M220" s="20">
        <f>IF(OR(L220="",F220=""),"",EDATE(L220,F220))</f>
        <v/>
      </c>
      <c r="N220" s="21">
        <f>IF(A220="","",IF(L220="","Sem histórico",IF(AND(L220&gt;=Parametros!$B$2,L220&lt;=EOMONTH(Parametros!$B$2,0)),"Comprou no mês",IF(M220="","Sem periodicidade",IF(M220&lt;Parametros!$B$2,"Atrasado",IF(M220&lt;=EOMONTH(Parametros!$B$2,0),"Previsto no mês","Em dia"))))))</f>
        <v/>
      </c>
    </row>
    <row r="221">
      <c r="I221" s="18">
        <f>IF(A221="","",COUNTIFS(Pedidos!$C:$C,A221,Pedidos!$K:$K,Parametros!$B$3))</f>
        <v/>
      </c>
      <c r="J221" s="19">
        <f>IF(A221="","",SUMIFS(Pedidos!$E:$E,Pedidos!$C:$C,A221,Pedidos!$K:$K,Parametros!$B$3))</f>
        <v/>
      </c>
      <c r="K221" s="18">
        <f>IF(A221="","",COUNTIFS(Pedidos!$C:$C,A221,Pedidos!$K:$K,Parametros!$B$4))</f>
        <v/>
      </c>
      <c r="L221" s="20">
        <f>IF(A221="","",IF(COUNTIFS(Pedidos!$C:$C,A221,Pedidos!$B:$B,"&lt;="&amp;EOMONTH(Parametros!$B$2,0))=0,"",_xlfn.MAXIFS(Pedidos!$B:$B,Pedidos!$C:$C,A221,Pedidos!$B:$B,"&lt;="&amp;EOMONTH(Parametros!$B$2,0))))</f>
        <v/>
      </c>
      <c r="M221" s="20">
        <f>IF(OR(L221="",F221=""),"",EDATE(L221,F221))</f>
        <v/>
      </c>
      <c r="N221" s="21">
        <f>IF(A221="","",IF(L221="","Sem histórico",IF(AND(L221&gt;=Parametros!$B$2,L221&lt;=EOMONTH(Parametros!$B$2,0)),"Comprou no mês",IF(M221="","Sem periodicidade",IF(M221&lt;Parametros!$B$2,"Atrasado",IF(M221&lt;=EOMONTH(Parametros!$B$2,0),"Previsto no mês","Em dia"))))))</f>
        <v/>
      </c>
    </row>
    <row r="222">
      <c r="I222" s="18">
        <f>IF(A222="","",COUNTIFS(Pedidos!$C:$C,A222,Pedidos!$K:$K,Parametros!$B$3))</f>
        <v/>
      </c>
      <c r="J222" s="19">
        <f>IF(A222="","",SUMIFS(Pedidos!$E:$E,Pedidos!$C:$C,A222,Pedidos!$K:$K,Parametros!$B$3))</f>
        <v/>
      </c>
      <c r="K222" s="18">
        <f>IF(A222="","",COUNTIFS(Pedidos!$C:$C,A222,Pedidos!$K:$K,Parametros!$B$4))</f>
        <v/>
      </c>
      <c r="L222" s="20">
        <f>IF(A222="","",IF(COUNTIFS(Pedidos!$C:$C,A222,Pedidos!$B:$B,"&lt;="&amp;EOMONTH(Parametros!$B$2,0))=0,"",_xlfn.MAXIFS(Pedidos!$B:$B,Pedidos!$C:$C,A222,Pedidos!$B:$B,"&lt;="&amp;EOMONTH(Parametros!$B$2,0))))</f>
        <v/>
      </c>
      <c r="M222" s="20">
        <f>IF(OR(L222="",F222=""),"",EDATE(L222,F222))</f>
        <v/>
      </c>
      <c r="N222" s="21">
        <f>IF(A222="","",IF(L222="","Sem histórico",IF(AND(L222&gt;=Parametros!$B$2,L222&lt;=EOMONTH(Parametros!$B$2,0)),"Comprou no mês",IF(M222="","Sem periodicidade",IF(M222&lt;Parametros!$B$2,"Atrasado",IF(M222&lt;=EOMONTH(Parametros!$B$2,0),"Previsto no mês","Em dia"))))))</f>
        <v/>
      </c>
    </row>
    <row r="223">
      <c r="I223" s="18">
        <f>IF(A223="","",COUNTIFS(Pedidos!$C:$C,A223,Pedidos!$K:$K,Parametros!$B$3))</f>
        <v/>
      </c>
      <c r="J223" s="19">
        <f>IF(A223="","",SUMIFS(Pedidos!$E:$E,Pedidos!$C:$C,A223,Pedidos!$K:$K,Parametros!$B$3))</f>
        <v/>
      </c>
      <c r="K223" s="18">
        <f>IF(A223="","",COUNTIFS(Pedidos!$C:$C,A223,Pedidos!$K:$K,Parametros!$B$4))</f>
        <v/>
      </c>
      <c r="L223" s="20">
        <f>IF(A223="","",IF(COUNTIFS(Pedidos!$C:$C,A223,Pedidos!$B:$B,"&lt;="&amp;EOMONTH(Parametros!$B$2,0))=0,"",_xlfn.MAXIFS(Pedidos!$B:$B,Pedidos!$C:$C,A223,Pedidos!$B:$B,"&lt;="&amp;EOMONTH(Parametros!$B$2,0))))</f>
        <v/>
      </c>
      <c r="M223" s="20">
        <f>IF(OR(L223="",F223=""),"",EDATE(L223,F223))</f>
        <v/>
      </c>
      <c r="N223" s="21">
        <f>IF(A223="","",IF(L223="","Sem histórico",IF(AND(L223&gt;=Parametros!$B$2,L223&lt;=EOMONTH(Parametros!$B$2,0)),"Comprou no mês",IF(M223="","Sem periodicidade",IF(M223&lt;Parametros!$B$2,"Atrasado",IF(M223&lt;=EOMONTH(Parametros!$B$2,0),"Previsto no mês","Em dia"))))))</f>
        <v/>
      </c>
    </row>
    <row r="224">
      <c r="I224" s="18">
        <f>IF(A224="","",COUNTIFS(Pedidos!$C:$C,A224,Pedidos!$K:$K,Parametros!$B$3))</f>
        <v/>
      </c>
      <c r="J224" s="19">
        <f>IF(A224="","",SUMIFS(Pedidos!$E:$E,Pedidos!$C:$C,A224,Pedidos!$K:$K,Parametros!$B$3))</f>
        <v/>
      </c>
      <c r="K224" s="18">
        <f>IF(A224="","",COUNTIFS(Pedidos!$C:$C,A224,Pedidos!$K:$K,Parametros!$B$4))</f>
        <v/>
      </c>
      <c r="L224" s="20">
        <f>IF(A224="","",IF(COUNTIFS(Pedidos!$C:$C,A224,Pedidos!$B:$B,"&lt;="&amp;EOMONTH(Parametros!$B$2,0))=0,"",_xlfn.MAXIFS(Pedidos!$B:$B,Pedidos!$C:$C,A224,Pedidos!$B:$B,"&lt;="&amp;EOMONTH(Parametros!$B$2,0))))</f>
        <v/>
      </c>
      <c r="M224" s="20">
        <f>IF(OR(L224="",F224=""),"",EDATE(L224,F224))</f>
        <v/>
      </c>
      <c r="N224" s="21">
        <f>IF(A224="","",IF(L224="","Sem histórico",IF(AND(L224&gt;=Parametros!$B$2,L224&lt;=EOMONTH(Parametros!$B$2,0)),"Comprou no mês",IF(M224="","Sem periodicidade",IF(M224&lt;Parametros!$B$2,"Atrasado",IF(M224&lt;=EOMONTH(Parametros!$B$2,0),"Previsto no mês","Em dia"))))))</f>
        <v/>
      </c>
    </row>
    <row r="225">
      <c r="I225" s="18">
        <f>IF(A225="","",COUNTIFS(Pedidos!$C:$C,A225,Pedidos!$K:$K,Parametros!$B$3))</f>
        <v/>
      </c>
      <c r="J225" s="19">
        <f>IF(A225="","",SUMIFS(Pedidos!$E:$E,Pedidos!$C:$C,A225,Pedidos!$K:$K,Parametros!$B$3))</f>
        <v/>
      </c>
      <c r="K225" s="18">
        <f>IF(A225="","",COUNTIFS(Pedidos!$C:$C,A225,Pedidos!$K:$K,Parametros!$B$4))</f>
        <v/>
      </c>
      <c r="L225" s="20">
        <f>IF(A225="","",IF(COUNTIFS(Pedidos!$C:$C,A225,Pedidos!$B:$B,"&lt;="&amp;EOMONTH(Parametros!$B$2,0))=0,"",_xlfn.MAXIFS(Pedidos!$B:$B,Pedidos!$C:$C,A225,Pedidos!$B:$B,"&lt;="&amp;EOMONTH(Parametros!$B$2,0))))</f>
        <v/>
      </c>
      <c r="M225" s="20">
        <f>IF(OR(L225="",F225=""),"",EDATE(L225,F225))</f>
        <v/>
      </c>
      <c r="N225" s="21">
        <f>IF(A225="","",IF(L225="","Sem histórico",IF(AND(L225&gt;=Parametros!$B$2,L225&lt;=EOMONTH(Parametros!$B$2,0)),"Comprou no mês",IF(M225="","Sem periodicidade",IF(M225&lt;Parametros!$B$2,"Atrasado",IF(M225&lt;=EOMONTH(Parametros!$B$2,0),"Previsto no mês","Em dia"))))))</f>
        <v/>
      </c>
    </row>
    <row r="226">
      <c r="I226" s="18">
        <f>IF(A226="","",COUNTIFS(Pedidos!$C:$C,A226,Pedidos!$K:$K,Parametros!$B$3))</f>
        <v/>
      </c>
      <c r="J226" s="19">
        <f>IF(A226="","",SUMIFS(Pedidos!$E:$E,Pedidos!$C:$C,A226,Pedidos!$K:$K,Parametros!$B$3))</f>
        <v/>
      </c>
      <c r="K226" s="18">
        <f>IF(A226="","",COUNTIFS(Pedidos!$C:$C,A226,Pedidos!$K:$K,Parametros!$B$4))</f>
        <v/>
      </c>
      <c r="L226" s="20">
        <f>IF(A226="","",IF(COUNTIFS(Pedidos!$C:$C,A226,Pedidos!$B:$B,"&lt;="&amp;EOMONTH(Parametros!$B$2,0))=0,"",_xlfn.MAXIFS(Pedidos!$B:$B,Pedidos!$C:$C,A226,Pedidos!$B:$B,"&lt;="&amp;EOMONTH(Parametros!$B$2,0))))</f>
        <v/>
      </c>
      <c r="M226" s="20">
        <f>IF(OR(L226="",F226=""),"",EDATE(L226,F226))</f>
        <v/>
      </c>
      <c r="N226" s="21">
        <f>IF(A226="","",IF(L226="","Sem histórico",IF(AND(L226&gt;=Parametros!$B$2,L226&lt;=EOMONTH(Parametros!$B$2,0)),"Comprou no mês",IF(M226="","Sem periodicidade",IF(M226&lt;Parametros!$B$2,"Atrasado",IF(M226&lt;=EOMONTH(Parametros!$B$2,0),"Previsto no mês","Em dia"))))))</f>
        <v/>
      </c>
    </row>
    <row r="227">
      <c r="I227" s="18">
        <f>IF(A227="","",COUNTIFS(Pedidos!$C:$C,A227,Pedidos!$K:$K,Parametros!$B$3))</f>
        <v/>
      </c>
      <c r="J227" s="19">
        <f>IF(A227="","",SUMIFS(Pedidos!$E:$E,Pedidos!$C:$C,A227,Pedidos!$K:$K,Parametros!$B$3))</f>
        <v/>
      </c>
      <c r="K227" s="18">
        <f>IF(A227="","",COUNTIFS(Pedidos!$C:$C,A227,Pedidos!$K:$K,Parametros!$B$4))</f>
        <v/>
      </c>
      <c r="L227" s="20">
        <f>IF(A227="","",IF(COUNTIFS(Pedidos!$C:$C,A227,Pedidos!$B:$B,"&lt;="&amp;EOMONTH(Parametros!$B$2,0))=0,"",_xlfn.MAXIFS(Pedidos!$B:$B,Pedidos!$C:$C,A227,Pedidos!$B:$B,"&lt;="&amp;EOMONTH(Parametros!$B$2,0))))</f>
        <v/>
      </c>
      <c r="M227" s="20">
        <f>IF(OR(L227="",F227=""),"",EDATE(L227,F227))</f>
        <v/>
      </c>
      <c r="N227" s="21">
        <f>IF(A227="","",IF(L227="","Sem histórico",IF(AND(L227&gt;=Parametros!$B$2,L227&lt;=EOMONTH(Parametros!$B$2,0)),"Comprou no mês",IF(M227="","Sem periodicidade",IF(M227&lt;Parametros!$B$2,"Atrasado",IF(M227&lt;=EOMONTH(Parametros!$B$2,0),"Previsto no mês","Em dia"))))))</f>
        <v/>
      </c>
    </row>
    <row r="228">
      <c r="I228" s="18">
        <f>IF(A228="","",COUNTIFS(Pedidos!$C:$C,A228,Pedidos!$K:$K,Parametros!$B$3))</f>
        <v/>
      </c>
      <c r="J228" s="19">
        <f>IF(A228="","",SUMIFS(Pedidos!$E:$E,Pedidos!$C:$C,A228,Pedidos!$K:$K,Parametros!$B$3))</f>
        <v/>
      </c>
      <c r="K228" s="18">
        <f>IF(A228="","",COUNTIFS(Pedidos!$C:$C,A228,Pedidos!$K:$K,Parametros!$B$4))</f>
        <v/>
      </c>
      <c r="L228" s="20">
        <f>IF(A228="","",IF(COUNTIFS(Pedidos!$C:$C,A228,Pedidos!$B:$B,"&lt;="&amp;EOMONTH(Parametros!$B$2,0))=0,"",_xlfn.MAXIFS(Pedidos!$B:$B,Pedidos!$C:$C,A228,Pedidos!$B:$B,"&lt;="&amp;EOMONTH(Parametros!$B$2,0))))</f>
        <v/>
      </c>
      <c r="M228" s="20">
        <f>IF(OR(L228="",F228=""),"",EDATE(L228,F228))</f>
        <v/>
      </c>
      <c r="N228" s="21">
        <f>IF(A228="","",IF(L228="","Sem histórico",IF(AND(L228&gt;=Parametros!$B$2,L228&lt;=EOMONTH(Parametros!$B$2,0)),"Comprou no mês",IF(M228="","Sem periodicidade",IF(M228&lt;Parametros!$B$2,"Atrasado",IF(M228&lt;=EOMONTH(Parametros!$B$2,0),"Previsto no mês","Em dia"))))))</f>
        <v/>
      </c>
    </row>
    <row r="229">
      <c r="I229" s="18">
        <f>IF(A229="","",COUNTIFS(Pedidos!$C:$C,A229,Pedidos!$K:$K,Parametros!$B$3))</f>
        <v/>
      </c>
      <c r="J229" s="19">
        <f>IF(A229="","",SUMIFS(Pedidos!$E:$E,Pedidos!$C:$C,A229,Pedidos!$K:$K,Parametros!$B$3))</f>
        <v/>
      </c>
      <c r="K229" s="18">
        <f>IF(A229="","",COUNTIFS(Pedidos!$C:$C,A229,Pedidos!$K:$K,Parametros!$B$4))</f>
        <v/>
      </c>
      <c r="L229" s="20">
        <f>IF(A229="","",IF(COUNTIFS(Pedidos!$C:$C,A229,Pedidos!$B:$B,"&lt;="&amp;EOMONTH(Parametros!$B$2,0))=0,"",_xlfn.MAXIFS(Pedidos!$B:$B,Pedidos!$C:$C,A229,Pedidos!$B:$B,"&lt;="&amp;EOMONTH(Parametros!$B$2,0))))</f>
        <v/>
      </c>
      <c r="M229" s="20">
        <f>IF(OR(L229="",F229=""),"",EDATE(L229,F229))</f>
        <v/>
      </c>
      <c r="N229" s="21">
        <f>IF(A229="","",IF(L229="","Sem histórico",IF(AND(L229&gt;=Parametros!$B$2,L229&lt;=EOMONTH(Parametros!$B$2,0)),"Comprou no mês",IF(M229="","Sem periodicidade",IF(M229&lt;Parametros!$B$2,"Atrasado",IF(M229&lt;=EOMONTH(Parametros!$B$2,0),"Previsto no mês","Em dia"))))))</f>
        <v/>
      </c>
    </row>
    <row r="230">
      <c r="I230" s="18">
        <f>IF(A230="","",COUNTIFS(Pedidos!$C:$C,A230,Pedidos!$K:$K,Parametros!$B$3))</f>
        <v/>
      </c>
      <c r="J230" s="19">
        <f>IF(A230="","",SUMIFS(Pedidos!$E:$E,Pedidos!$C:$C,A230,Pedidos!$K:$K,Parametros!$B$3))</f>
        <v/>
      </c>
      <c r="K230" s="18">
        <f>IF(A230="","",COUNTIFS(Pedidos!$C:$C,A230,Pedidos!$K:$K,Parametros!$B$4))</f>
        <v/>
      </c>
      <c r="L230" s="20">
        <f>IF(A230="","",IF(COUNTIFS(Pedidos!$C:$C,A230,Pedidos!$B:$B,"&lt;="&amp;EOMONTH(Parametros!$B$2,0))=0,"",_xlfn.MAXIFS(Pedidos!$B:$B,Pedidos!$C:$C,A230,Pedidos!$B:$B,"&lt;="&amp;EOMONTH(Parametros!$B$2,0))))</f>
        <v/>
      </c>
      <c r="M230" s="20">
        <f>IF(OR(L230="",F230=""),"",EDATE(L230,F230))</f>
        <v/>
      </c>
      <c r="N230" s="21">
        <f>IF(A230="","",IF(L230="","Sem histórico",IF(AND(L230&gt;=Parametros!$B$2,L230&lt;=EOMONTH(Parametros!$B$2,0)),"Comprou no mês",IF(M230="","Sem periodicidade",IF(M230&lt;Parametros!$B$2,"Atrasado",IF(M230&lt;=EOMONTH(Parametros!$B$2,0),"Previsto no mês","Em dia"))))))</f>
        <v/>
      </c>
    </row>
    <row r="231">
      <c r="I231" s="18">
        <f>IF(A231="","",COUNTIFS(Pedidos!$C:$C,A231,Pedidos!$K:$K,Parametros!$B$3))</f>
        <v/>
      </c>
      <c r="J231" s="19">
        <f>IF(A231="","",SUMIFS(Pedidos!$E:$E,Pedidos!$C:$C,A231,Pedidos!$K:$K,Parametros!$B$3))</f>
        <v/>
      </c>
      <c r="K231" s="18">
        <f>IF(A231="","",COUNTIFS(Pedidos!$C:$C,A231,Pedidos!$K:$K,Parametros!$B$4))</f>
        <v/>
      </c>
      <c r="L231" s="20">
        <f>IF(A231="","",IF(COUNTIFS(Pedidos!$C:$C,A231,Pedidos!$B:$B,"&lt;="&amp;EOMONTH(Parametros!$B$2,0))=0,"",_xlfn.MAXIFS(Pedidos!$B:$B,Pedidos!$C:$C,A231,Pedidos!$B:$B,"&lt;="&amp;EOMONTH(Parametros!$B$2,0))))</f>
        <v/>
      </c>
      <c r="M231" s="20">
        <f>IF(OR(L231="",F231=""),"",EDATE(L231,F231))</f>
        <v/>
      </c>
      <c r="N231" s="21">
        <f>IF(A231="","",IF(L231="","Sem histórico",IF(AND(L231&gt;=Parametros!$B$2,L231&lt;=EOMONTH(Parametros!$B$2,0)),"Comprou no mês",IF(M231="","Sem periodicidade",IF(M231&lt;Parametros!$B$2,"Atrasado",IF(M231&lt;=EOMONTH(Parametros!$B$2,0),"Previsto no mês","Em dia"))))))</f>
        <v/>
      </c>
    </row>
    <row r="232">
      <c r="I232" s="18">
        <f>IF(A232="","",COUNTIFS(Pedidos!$C:$C,A232,Pedidos!$K:$K,Parametros!$B$3))</f>
        <v/>
      </c>
      <c r="J232" s="19">
        <f>IF(A232="","",SUMIFS(Pedidos!$E:$E,Pedidos!$C:$C,A232,Pedidos!$K:$K,Parametros!$B$3))</f>
        <v/>
      </c>
      <c r="K232" s="18">
        <f>IF(A232="","",COUNTIFS(Pedidos!$C:$C,A232,Pedidos!$K:$K,Parametros!$B$4))</f>
        <v/>
      </c>
      <c r="L232" s="20">
        <f>IF(A232="","",IF(COUNTIFS(Pedidos!$C:$C,A232,Pedidos!$B:$B,"&lt;="&amp;EOMONTH(Parametros!$B$2,0))=0,"",_xlfn.MAXIFS(Pedidos!$B:$B,Pedidos!$C:$C,A232,Pedidos!$B:$B,"&lt;="&amp;EOMONTH(Parametros!$B$2,0))))</f>
        <v/>
      </c>
      <c r="M232" s="20">
        <f>IF(OR(L232="",F232=""),"",EDATE(L232,F232))</f>
        <v/>
      </c>
      <c r="N232" s="21">
        <f>IF(A232="","",IF(L232="","Sem histórico",IF(AND(L232&gt;=Parametros!$B$2,L232&lt;=EOMONTH(Parametros!$B$2,0)),"Comprou no mês",IF(M232="","Sem periodicidade",IF(M232&lt;Parametros!$B$2,"Atrasado",IF(M232&lt;=EOMONTH(Parametros!$B$2,0),"Previsto no mês","Em dia"))))))</f>
        <v/>
      </c>
    </row>
    <row r="233">
      <c r="I233" s="18">
        <f>IF(A233="","",COUNTIFS(Pedidos!$C:$C,A233,Pedidos!$K:$K,Parametros!$B$3))</f>
        <v/>
      </c>
      <c r="J233" s="19">
        <f>IF(A233="","",SUMIFS(Pedidos!$E:$E,Pedidos!$C:$C,A233,Pedidos!$K:$K,Parametros!$B$3))</f>
        <v/>
      </c>
      <c r="K233" s="18">
        <f>IF(A233="","",COUNTIFS(Pedidos!$C:$C,A233,Pedidos!$K:$K,Parametros!$B$4))</f>
        <v/>
      </c>
      <c r="L233" s="20">
        <f>IF(A233="","",IF(COUNTIFS(Pedidos!$C:$C,A233,Pedidos!$B:$B,"&lt;="&amp;EOMONTH(Parametros!$B$2,0))=0,"",_xlfn.MAXIFS(Pedidos!$B:$B,Pedidos!$C:$C,A233,Pedidos!$B:$B,"&lt;="&amp;EOMONTH(Parametros!$B$2,0))))</f>
        <v/>
      </c>
      <c r="M233" s="20">
        <f>IF(OR(L233="",F233=""),"",EDATE(L233,F233))</f>
        <v/>
      </c>
      <c r="N233" s="21">
        <f>IF(A233="","",IF(L233="","Sem histórico",IF(AND(L233&gt;=Parametros!$B$2,L233&lt;=EOMONTH(Parametros!$B$2,0)),"Comprou no mês",IF(M233="","Sem periodicidade",IF(M233&lt;Parametros!$B$2,"Atrasado",IF(M233&lt;=EOMONTH(Parametros!$B$2,0),"Previsto no mês","Em dia"))))))</f>
        <v/>
      </c>
    </row>
    <row r="234">
      <c r="I234" s="18">
        <f>IF(A234="","",COUNTIFS(Pedidos!$C:$C,A234,Pedidos!$K:$K,Parametros!$B$3))</f>
        <v/>
      </c>
      <c r="J234" s="19">
        <f>IF(A234="","",SUMIFS(Pedidos!$E:$E,Pedidos!$C:$C,A234,Pedidos!$K:$K,Parametros!$B$3))</f>
        <v/>
      </c>
      <c r="K234" s="18">
        <f>IF(A234="","",COUNTIFS(Pedidos!$C:$C,A234,Pedidos!$K:$K,Parametros!$B$4))</f>
        <v/>
      </c>
      <c r="L234" s="20">
        <f>IF(A234="","",IF(COUNTIFS(Pedidos!$C:$C,A234,Pedidos!$B:$B,"&lt;="&amp;EOMONTH(Parametros!$B$2,0))=0,"",_xlfn.MAXIFS(Pedidos!$B:$B,Pedidos!$C:$C,A234,Pedidos!$B:$B,"&lt;="&amp;EOMONTH(Parametros!$B$2,0))))</f>
        <v/>
      </c>
      <c r="M234" s="20">
        <f>IF(OR(L234="",F234=""),"",EDATE(L234,F234))</f>
        <v/>
      </c>
      <c r="N234" s="21">
        <f>IF(A234="","",IF(L234="","Sem histórico",IF(AND(L234&gt;=Parametros!$B$2,L234&lt;=EOMONTH(Parametros!$B$2,0)),"Comprou no mês",IF(M234="","Sem periodicidade",IF(M234&lt;Parametros!$B$2,"Atrasado",IF(M234&lt;=EOMONTH(Parametros!$B$2,0),"Previsto no mês","Em dia"))))))</f>
        <v/>
      </c>
    </row>
    <row r="235">
      <c r="I235" s="18">
        <f>IF(A235="","",COUNTIFS(Pedidos!$C:$C,A235,Pedidos!$K:$K,Parametros!$B$3))</f>
        <v/>
      </c>
      <c r="J235" s="19">
        <f>IF(A235="","",SUMIFS(Pedidos!$E:$E,Pedidos!$C:$C,A235,Pedidos!$K:$K,Parametros!$B$3))</f>
        <v/>
      </c>
      <c r="K235" s="18">
        <f>IF(A235="","",COUNTIFS(Pedidos!$C:$C,A235,Pedidos!$K:$K,Parametros!$B$4))</f>
        <v/>
      </c>
      <c r="L235" s="20">
        <f>IF(A235="","",IF(COUNTIFS(Pedidos!$C:$C,A235,Pedidos!$B:$B,"&lt;="&amp;EOMONTH(Parametros!$B$2,0))=0,"",_xlfn.MAXIFS(Pedidos!$B:$B,Pedidos!$C:$C,A235,Pedidos!$B:$B,"&lt;="&amp;EOMONTH(Parametros!$B$2,0))))</f>
        <v/>
      </c>
      <c r="M235" s="20">
        <f>IF(OR(L235="",F235=""),"",EDATE(L235,F235))</f>
        <v/>
      </c>
      <c r="N235" s="21">
        <f>IF(A235="","",IF(L235="","Sem histórico",IF(AND(L235&gt;=Parametros!$B$2,L235&lt;=EOMONTH(Parametros!$B$2,0)),"Comprou no mês",IF(M235="","Sem periodicidade",IF(M235&lt;Parametros!$B$2,"Atrasado",IF(M235&lt;=EOMONTH(Parametros!$B$2,0),"Previsto no mês","Em dia"))))))</f>
        <v/>
      </c>
    </row>
    <row r="236">
      <c r="I236" s="18">
        <f>IF(A236="","",COUNTIFS(Pedidos!$C:$C,A236,Pedidos!$K:$K,Parametros!$B$3))</f>
        <v/>
      </c>
      <c r="J236" s="19">
        <f>IF(A236="","",SUMIFS(Pedidos!$E:$E,Pedidos!$C:$C,A236,Pedidos!$K:$K,Parametros!$B$3))</f>
        <v/>
      </c>
      <c r="K236" s="18">
        <f>IF(A236="","",COUNTIFS(Pedidos!$C:$C,A236,Pedidos!$K:$K,Parametros!$B$4))</f>
        <v/>
      </c>
      <c r="L236" s="20">
        <f>IF(A236="","",IF(COUNTIFS(Pedidos!$C:$C,A236,Pedidos!$B:$B,"&lt;="&amp;EOMONTH(Parametros!$B$2,0))=0,"",_xlfn.MAXIFS(Pedidos!$B:$B,Pedidos!$C:$C,A236,Pedidos!$B:$B,"&lt;="&amp;EOMONTH(Parametros!$B$2,0))))</f>
        <v/>
      </c>
      <c r="M236" s="20">
        <f>IF(OR(L236="",F236=""),"",EDATE(L236,F236))</f>
        <v/>
      </c>
      <c r="N236" s="21">
        <f>IF(A236="","",IF(L236="","Sem histórico",IF(AND(L236&gt;=Parametros!$B$2,L236&lt;=EOMONTH(Parametros!$B$2,0)),"Comprou no mês",IF(M236="","Sem periodicidade",IF(M236&lt;Parametros!$B$2,"Atrasado",IF(M236&lt;=EOMONTH(Parametros!$B$2,0),"Previsto no mês","Em dia"))))))</f>
        <v/>
      </c>
    </row>
    <row r="237">
      <c r="I237" s="18">
        <f>IF(A237="","",COUNTIFS(Pedidos!$C:$C,A237,Pedidos!$K:$K,Parametros!$B$3))</f>
        <v/>
      </c>
      <c r="J237" s="19">
        <f>IF(A237="","",SUMIFS(Pedidos!$E:$E,Pedidos!$C:$C,A237,Pedidos!$K:$K,Parametros!$B$3))</f>
        <v/>
      </c>
      <c r="K237" s="18">
        <f>IF(A237="","",COUNTIFS(Pedidos!$C:$C,A237,Pedidos!$K:$K,Parametros!$B$4))</f>
        <v/>
      </c>
      <c r="L237" s="20">
        <f>IF(A237="","",IF(COUNTIFS(Pedidos!$C:$C,A237,Pedidos!$B:$B,"&lt;="&amp;EOMONTH(Parametros!$B$2,0))=0,"",_xlfn.MAXIFS(Pedidos!$B:$B,Pedidos!$C:$C,A237,Pedidos!$B:$B,"&lt;="&amp;EOMONTH(Parametros!$B$2,0))))</f>
        <v/>
      </c>
      <c r="M237" s="20">
        <f>IF(OR(L237="",F237=""),"",EDATE(L237,F237))</f>
        <v/>
      </c>
      <c r="N237" s="21">
        <f>IF(A237="","",IF(L237="","Sem histórico",IF(AND(L237&gt;=Parametros!$B$2,L237&lt;=EOMONTH(Parametros!$B$2,0)),"Comprou no mês",IF(M237="","Sem periodicidade",IF(M237&lt;Parametros!$B$2,"Atrasado",IF(M237&lt;=EOMONTH(Parametros!$B$2,0),"Previsto no mês","Em dia"))))))</f>
        <v/>
      </c>
    </row>
    <row r="238">
      <c r="I238" s="18">
        <f>IF(A238="","",COUNTIFS(Pedidos!$C:$C,A238,Pedidos!$K:$K,Parametros!$B$3))</f>
        <v/>
      </c>
      <c r="J238" s="19">
        <f>IF(A238="","",SUMIFS(Pedidos!$E:$E,Pedidos!$C:$C,A238,Pedidos!$K:$K,Parametros!$B$3))</f>
        <v/>
      </c>
      <c r="K238" s="18">
        <f>IF(A238="","",COUNTIFS(Pedidos!$C:$C,A238,Pedidos!$K:$K,Parametros!$B$4))</f>
        <v/>
      </c>
      <c r="L238" s="20">
        <f>IF(A238="","",IF(COUNTIFS(Pedidos!$C:$C,A238,Pedidos!$B:$B,"&lt;="&amp;EOMONTH(Parametros!$B$2,0))=0,"",_xlfn.MAXIFS(Pedidos!$B:$B,Pedidos!$C:$C,A238,Pedidos!$B:$B,"&lt;="&amp;EOMONTH(Parametros!$B$2,0))))</f>
        <v/>
      </c>
      <c r="M238" s="20">
        <f>IF(OR(L238="",F238=""),"",EDATE(L238,F238))</f>
        <v/>
      </c>
      <c r="N238" s="21">
        <f>IF(A238="","",IF(L238="","Sem histórico",IF(AND(L238&gt;=Parametros!$B$2,L238&lt;=EOMONTH(Parametros!$B$2,0)),"Comprou no mês",IF(M238="","Sem periodicidade",IF(M238&lt;Parametros!$B$2,"Atrasado",IF(M238&lt;=EOMONTH(Parametros!$B$2,0),"Previsto no mês","Em dia"))))))</f>
        <v/>
      </c>
    </row>
    <row r="239">
      <c r="I239" s="18">
        <f>IF(A239="","",COUNTIFS(Pedidos!$C:$C,A239,Pedidos!$K:$K,Parametros!$B$3))</f>
        <v/>
      </c>
      <c r="J239" s="19">
        <f>IF(A239="","",SUMIFS(Pedidos!$E:$E,Pedidos!$C:$C,A239,Pedidos!$K:$K,Parametros!$B$3))</f>
        <v/>
      </c>
      <c r="K239" s="18">
        <f>IF(A239="","",COUNTIFS(Pedidos!$C:$C,A239,Pedidos!$K:$K,Parametros!$B$4))</f>
        <v/>
      </c>
      <c r="L239" s="20">
        <f>IF(A239="","",IF(COUNTIFS(Pedidos!$C:$C,A239,Pedidos!$B:$B,"&lt;="&amp;EOMONTH(Parametros!$B$2,0))=0,"",_xlfn.MAXIFS(Pedidos!$B:$B,Pedidos!$C:$C,A239,Pedidos!$B:$B,"&lt;="&amp;EOMONTH(Parametros!$B$2,0))))</f>
        <v/>
      </c>
      <c r="M239" s="20">
        <f>IF(OR(L239="",F239=""),"",EDATE(L239,F239))</f>
        <v/>
      </c>
      <c r="N239" s="21">
        <f>IF(A239="","",IF(L239="","Sem histórico",IF(AND(L239&gt;=Parametros!$B$2,L239&lt;=EOMONTH(Parametros!$B$2,0)),"Comprou no mês",IF(M239="","Sem periodicidade",IF(M239&lt;Parametros!$B$2,"Atrasado",IF(M239&lt;=EOMONTH(Parametros!$B$2,0),"Previsto no mês","Em dia"))))))</f>
        <v/>
      </c>
    </row>
    <row r="240">
      <c r="I240" s="18">
        <f>IF(A240="","",COUNTIFS(Pedidos!$C:$C,A240,Pedidos!$K:$K,Parametros!$B$3))</f>
        <v/>
      </c>
      <c r="J240" s="19">
        <f>IF(A240="","",SUMIFS(Pedidos!$E:$E,Pedidos!$C:$C,A240,Pedidos!$K:$K,Parametros!$B$3))</f>
        <v/>
      </c>
      <c r="K240" s="18">
        <f>IF(A240="","",COUNTIFS(Pedidos!$C:$C,A240,Pedidos!$K:$K,Parametros!$B$4))</f>
        <v/>
      </c>
      <c r="L240" s="20">
        <f>IF(A240="","",IF(COUNTIFS(Pedidos!$C:$C,A240,Pedidos!$B:$B,"&lt;="&amp;EOMONTH(Parametros!$B$2,0))=0,"",_xlfn.MAXIFS(Pedidos!$B:$B,Pedidos!$C:$C,A240,Pedidos!$B:$B,"&lt;="&amp;EOMONTH(Parametros!$B$2,0))))</f>
        <v/>
      </c>
      <c r="M240" s="20">
        <f>IF(OR(L240="",F240=""),"",EDATE(L240,F240))</f>
        <v/>
      </c>
      <c r="N240" s="21">
        <f>IF(A240="","",IF(L240="","Sem histórico",IF(AND(L240&gt;=Parametros!$B$2,L240&lt;=EOMONTH(Parametros!$B$2,0)),"Comprou no mês",IF(M240="","Sem periodicidade",IF(M240&lt;Parametros!$B$2,"Atrasado",IF(M240&lt;=EOMONTH(Parametros!$B$2,0),"Previsto no mês","Em dia"))))))</f>
        <v/>
      </c>
    </row>
    <row r="241">
      <c r="I241" s="18">
        <f>IF(A241="","",COUNTIFS(Pedidos!$C:$C,A241,Pedidos!$K:$K,Parametros!$B$3))</f>
        <v/>
      </c>
      <c r="J241" s="19">
        <f>IF(A241="","",SUMIFS(Pedidos!$E:$E,Pedidos!$C:$C,A241,Pedidos!$K:$K,Parametros!$B$3))</f>
        <v/>
      </c>
      <c r="K241" s="18">
        <f>IF(A241="","",COUNTIFS(Pedidos!$C:$C,A241,Pedidos!$K:$K,Parametros!$B$4))</f>
        <v/>
      </c>
      <c r="L241" s="20">
        <f>IF(A241="","",IF(COUNTIFS(Pedidos!$C:$C,A241,Pedidos!$B:$B,"&lt;="&amp;EOMONTH(Parametros!$B$2,0))=0,"",_xlfn.MAXIFS(Pedidos!$B:$B,Pedidos!$C:$C,A241,Pedidos!$B:$B,"&lt;="&amp;EOMONTH(Parametros!$B$2,0))))</f>
        <v/>
      </c>
      <c r="M241" s="20">
        <f>IF(OR(L241="",F241=""),"",EDATE(L241,F241))</f>
        <v/>
      </c>
      <c r="N241" s="21">
        <f>IF(A241="","",IF(L241="","Sem histórico",IF(AND(L241&gt;=Parametros!$B$2,L241&lt;=EOMONTH(Parametros!$B$2,0)),"Comprou no mês",IF(M241="","Sem periodicidade",IF(M241&lt;Parametros!$B$2,"Atrasado",IF(M241&lt;=EOMONTH(Parametros!$B$2,0),"Previsto no mês","Em dia"))))))</f>
        <v/>
      </c>
    </row>
    <row r="242">
      <c r="I242" s="18">
        <f>IF(A242="","",COUNTIFS(Pedidos!$C:$C,A242,Pedidos!$K:$K,Parametros!$B$3))</f>
        <v/>
      </c>
      <c r="J242" s="19">
        <f>IF(A242="","",SUMIFS(Pedidos!$E:$E,Pedidos!$C:$C,A242,Pedidos!$K:$K,Parametros!$B$3))</f>
        <v/>
      </c>
      <c r="K242" s="18">
        <f>IF(A242="","",COUNTIFS(Pedidos!$C:$C,A242,Pedidos!$K:$K,Parametros!$B$4))</f>
        <v/>
      </c>
      <c r="L242" s="20">
        <f>IF(A242="","",IF(COUNTIFS(Pedidos!$C:$C,A242,Pedidos!$B:$B,"&lt;="&amp;EOMONTH(Parametros!$B$2,0))=0,"",_xlfn.MAXIFS(Pedidos!$B:$B,Pedidos!$C:$C,A242,Pedidos!$B:$B,"&lt;="&amp;EOMONTH(Parametros!$B$2,0))))</f>
        <v/>
      </c>
      <c r="M242" s="20">
        <f>IF(OR(L242="",F242=""),"",EDATE(L242,F242))</f>
        <v/>
      </c>
      <c r="N242" s="21">
        <f>IF(A242="","",IF(L242="","Sem histórico",IF(AND(L242&gt;=Parametros!$B$2,L242&lt;=EOMONTH(Parametros!$B$2,0)),"Comprou no mês",IF(M242="","Sem periodicidade",IF(M242&lt;Parametros!$B$2,"Atrasado",IF(M242&lt;=EOMONTH(Parametros!$B$2,0),"Previsto no mês","Em dia"))))))</f>
        <v/>
      </c>
    </row>
    <row r="243">
      <c r="I243" s="18">
        <f>IF(A243="","",COUNTIFS(Pedidos!$C:$C,A243,Pedidos!$K:$K,Parametros!$B$3))</f>
        <v/>
      </c>
      <c r="J243" s="19">
        <f>IF(A243="","",SUMIFS(Pedidos!$E:$E,Pedidos!$C:$C,A243,Pedidos!$K:$K,Parametros!$B$3))</f>
        <v/>
      </c>
      <c r="K243" s="18">
        <f>IF(A243="","",COUNTIFS(Pedidos!$C:$C,A243,Pedidos!$K:$K,Parametros!$B$4))</f>
        <v/>
      </c>
      <c r="L243" s="20">
        <f>IF(A243="","",IF(COUNTIFS(Pedidos!$C:$C,A243,Pedidos!$B:$B,"&lt;="&amp;EOMONTH(Parametros!$B$2,0))=0,"",_xlfn.MAXIFS(Pedidos!$B:$B,Pedidos!$C:$C,A243,Pedidos!$B:$B,"&lt;="&amp;EOMONTH(Parametros!$B$2,0))))</f>
        <v/>
      </c>
      <c r="M243" s="20">
        <f>IF(OR(L243="",F243=""),"",EDATE(L243,F243))</f>
        <v/>
      </c>
      <c r="N243" s="21">
        <f>IF(A243="","",IF(L243="","Sem histórico",IF(AND(L243&gt;=Parametros!$B$2,L243&lt;=EOMONTH(Parametros!$B$2,0)),"Comprou no mês",IF(M243="","Sem periodicidade",IF(M243&lt;Parametros!$B$2,"Atrasado",IF(M243&lt;=EOMONTH(Parametros!$B$2,0),"Previsto no mês","Em dia"))))))</f>
        <v/>
      </c>
    </row>
    <row r="244">
      <c r="I244" s="18">
        <f>IF(A244="","",COUNTIFS(Pedidos!$C:$C,A244,Pedidos!$K:$K,Parametros!$B$3))</f>
        <v/>
      </c>
      <c r="J244" s="19">
        <f>IF(A244="","",SUMIFS(Pedidos!$E:$E,Pedidos!$C:$C,A244,Pedidos!$K:$K,Parametros!$B$3))</f>
        <v/>
      </c>
      <c r="K244" s="18">
        <f>IF(A244="","",COUNTIFS(Pedidos!$C:$C,A244,Pedidos!$K:$K,Parametros!$B$4))</f>
        <v/>
      </c>
      <c r="L244" s="20">
        <f>IF(A244="","",IF(COUNTIFS(Pedidos!$C:$C,A244,Pedidos!$B:$B,"&lt;="&amp;EOMONTH(Parametros!$B$2,0))=0,"",_xlfn.MAXIFS(Pedidos!$B:$B,Pedidos!$C:$C,A244,Pedidos!$B:$B,"&lt;="&amp;EOMONTH(Parametros!$B$2,0))))</f>
        <v/>
      </c>
      <c r="M244" s="20">
        <f>IF(OR(L244="",F244=""),"",EDATE(L244,F244))</f>
        <v/>
      </c>
      <c r="N244" s="21">
        <f>IF(A244="","",IF(L244="","Sem histórico",IF(AND(L244&gt;=Parametros!$B$2,L244&lt;=EOMONTH(Parametros!$B$2,0)),"Comprou no mês",IF(M244="","Sem periodicidade",IF(M244&lt;Parametros!$B$2,"Atrasado",IF(M244&lt;=EOMONTH(Parametros!$B$2,0),"Previsto no mês","Em dia"))))))</f>
        <v/>
      </c>
    </row>
    <row r="245">
      <c r="I245" s="18">
        <f>IF(A245="","",COUNTIFS(Pedidos!$C:$C,A245,Pedidos!$K:$K,Parametros!$B$3))</f>
        <v/>
      </c>
      <c r="J245" s="19">
        <f>IF(A245="","",SUMIFS(Pedidos!$E:$E,Pedidos!$C:$C,A245,Pedidos!$K:$K,Parametros!$B$3))</f>
        <v/>
      </c>
      <c r="K245" s="18">
        <f>IF(A245="","",COUNTIFS(Pedidos!$C:$C,A245,Pedidos!$K:$K,Parametros!$B$4))</f>
        <v/>
      </c>
      <c r="L245" s="20">
        <f>IF(A245="","",IF(COUNTIFS(Pedidos!$C:$C,A245,Pedidos!$B:$B,"&lt;="&amp;EOMONTH(Parametros!$B$2,0))=0,"",_xlfn.MAXIFS(Pedidos!$B:$B,Pedidos!$C:$C,A245,Pedidos!$B:$B,"&lt;="&amp;EOMONTH(Parametros!$B$2,0))))</f>
        <v/>
      </c>
      <c r="M245" s="20">
        <f>IF(OR(L245="",F245=""),"",EDATE(L245,F245))</f>
        <v/>
      </c>
      <c r="N245" s="21">
        <f>IF(A245="","",IF(L245="","Sem histórico",IF(AND(L245&gt;=Parametros!$B$2,L245&lt;=EOMONTH(Parametros!$B$2,0)),"Comprou no mês",IF(M245="","Sem periodicidade",IF(M245&lt;Parametros!$B$2,"Atrasado",IF(M245&lt;=EOMONTH(Parametros!$B$2,0),"Previsto no mês","Em dia"))))))</f>
        <v/>
      </c>
    </row>
    <row r="246">
      <c r="I246" s="18">
        <f>IF(A246="","",COUNTIFS(Pedidos!$C:$C,A246,Pedidos!$K:$K,Parametros!$B$3))</f>
        <v/>
      </c>
      <c r="J246" s="19">
        <f>IF(A246="","",SUMIFS(Pedidos!$E:$E,Pedidos!$C:$C,A246,Pedidos!$K:$K,Parametros!$B$3))</f>
        <v/>
      </c>
      <c r="K246" s="18">
        <f>IF(A246="","",COUNTIFS(Pedidos!$C:$C,A246,Pedidos!$K:$K,Parametros!$B$4))</f>
        <v/>
      </c>
      <c r="L246" s="20">
        <f>IF(A246="","",IF(COUNTIFS(Pedidos!$C:$C,A246,Pedidos!$B:$B,"&lt;="&amp;EOMONTH(Parametros!$B$2,0))=0,"",_xlfn.MAXIFS(Pedidos!$B:$B,Pedidos!$C:$C,A246,Pedidos!$B:$B,"&lt;="&amp;EOMONTH(Parametros!$B$2,0))))</f>
        <v/>
      </c>
      <c r="M246" s="20">
        <f>IF(OR(L246="",F246=""),"",EDATE(L246,F246))</f>
        <v/>
      </c>
      <c r="N246" s="21">
        <f>IF(A246="","",IF(L246="","Sem histórico",IF(AND(L246&gt;=Parametros!$B$2,L246&lt;=EOMONTH(Parametros!$B$2,0)),"Comprou no mês",IF(M246="","Sem periodicidade",IF(M246&lt;Parametros!$B$2,"Atrasado",IF(M246&lt;=EOMONTH(Parametros!$B$2,0),"Previsto no mês","Em dia"))))))</f>
        <v/>
      </c>
    </row>
    <row r="247">
      <c r="I247" s="18">
        <f>IF(A247="","",COUNTIFS(Pedidos!$C:$C,A247,Pedidos!$K:$K,Parametros!$B$3))</f>
        <v/>
      </c>
      <c r="J247" s="19">
        <f>IF(A247="","",SUMIFS(Pedidos!$E:$E,Pedidos!$C:$C,A247,Pedidos!$K:$K,Parametros!$B$3))</f>
        <v/>
      </c>
      <c r="K247" s="18">
        <f>IF(A247="","",COUNTIFS(Pedidos!$C:$C,A247,Pedidos!$K:$K,Parametros!$B$4))</f>
        <v/>
      </c>
      <c r="L247" s="20">
        <f>IF(A247="","",IF(COUNTIFS(Pedidos!$C:$C,A247,Pedidos!$B:$B,"&lt;="&amp;EOMONTH(Parametros!$B$2,0))=0,"",_xlfn.MAXIFS(Pedidos!$B:$B,Pedidos!$C:$C,A247,Pedidos!$B:$B,"&lt;="&amp;EOMONTH(Parametros!$B$2,0))))</f>
        <v/>
      </c>
      <c r="M247" s="20">
        <f>IF(OR(L247="",F247=""),"",EDATE(L247,F247))</f>
        <v/>
      </c>
      <c r="N247" s="21">
        <f>IF(A247="","",IF(L247="","Sem histórico",IF(AND(L247&gt;=Parametros!$B$2,L247&lt;=EOMONTH(Parametros!$B$2,0)),"Comprou no mês",IF(M247="","Sem periodicidade",IF(M247&lt;Parametros!$B$2,"Atrasado",IF(M247&lt;=EOMONTH(Parametros!$B$2,0),"Previsto no mês","Em dia"))))))</f>
        <v/>
      </c>
    </row>
    <row r="248">
      <c r="I248" s="18">
        <f>IF(A248="","",COUNTIFS(Pedidos!$C:$C,A248,Pedidos!$K:$K,Parametros!$B$3))</f>
        <v/>
      </c>
      <c r="J248" s="19">
        <f>IF(A248="","",SUMIFS(Pedidos!$E:$E,Pedidos!$C:$C,A248,Pedidos!$K:$K,Parametros!$B$3))</f>
        <v/>
      </c>
      <c r="K248" s="18">
        <f>IF(A248="","",COUNTIFS(Pedidos!$C:$C,A248,Pedidos!$K:$K,Parametros!$B$4))</f>
        <v/>
      </c>
      <c r="L248" s="20">
        <f>IF(A248="","",IF(COUNTIFS(Pedidos!$C:$C,A248,Pedidos!$B:$B,"&lt;="&amp;EOMONTH(Parametros!$B$2,0))=0,"",_xlfn.MAXIFS(Pedidos!$B:$B,Pedidos!$C:$C,A248,Pedidos!$B:$B,"&lt;="&amp;EOMONTH(Parametros!$B$2,0))))</f>
        <v/>
      </c>
      <c r="M248" s="20">
        <f>IF(OR(L248="",F248=""),"",EDATE(L248,F248))</f>
        <v/>
      </c>
      <c r="N248" s="21">
        <f>IF(A248="","",IF(L248="","Sem histórico",IF(AND(L248&gt;=Parametros!$B$2,L248&lt;=EOMONTH(Parametros!$B$2,0)),"Comprou no mês",IF(M248="","Sem periodicidade",IF(M248&lt;Parametros!$B$2,"Atrasado",IF(M248&lt;=EOMONTH(Parametros!$B$2,0),"Previsto no mês","Em dia"))))))</f>
        <v/>
      </c>
    </row>
    <row r="249">
      <c r="I249" s="18">
        <f>IF(A249="","",COUNTIFS(Pedidos!$C:$C,A249,Pedidos!$K:$K,Parametros!$B$3))</f>
        <v/>
      </c>
      <c r="J249" s="19">
        <f>IF(A249="","",SUMIFS(Pedidos!$E:$E,Pedidos!$C:$C,A249,Pedidos!$K:$K,Parametros!$B$3))</f>
        <v/>
      </c>
      <c r="K249" s="18">
        <f>IF(A249="","",COUNTIFS(Pedidos!$C:$C,A249,Pedidos!$K:$K,Parametros!$B$4))</f>
        <v/>
      </c>
      <c r="L249" s="20">
        <f>IF(A249="","",IF(COUNTIFS(Pedidos!$C:$C,A249,Pedidos!$B:$B,"&lt;="&amp;EOMONTH(Parametros!$B$2,0))=0,"",_xlfn.MAXIFS(Pedidos!$B:$B,Pedidos!$C:$C,A249,Pedidos!$B:$B,"&lt;="&amp;EOMONTH(Parametros!$B$2,0))))</f>
        <v/>
      </c>
      <c r="M249" s="20">
        <f>IF(OR(L249="",F249=""),"",EDATE(L249,F249))</f>
        <v/>
      </c>
      <c r="N249" s="21">
        <f>IF(A249="","",IF(L249="","Sem histórico",IF(AND(L249&gt;=Parametros!$B$2,L249&lt;=EOMONTH(Parametros!$B$2,0)),"Comprou no mês",IF(M249="","Sem periodicidade",IF(M249&lt;Parametros!$B$2,"Atrasado",IF(M249&lt;=EOMONTH(Parametros!$B$2,0),"Previsto no mês","Em dia"))))))</f>
        <v/>
      </c>
    </row>
    <row r="250">
      <c r="I250" s="18">
        <f>IF(A250="","",COUNTIFS(Pedidos!$C:$C,A250,Pedidos!$K:$K,Parametros!$B$3))</f>
        <v/>
      </c>
      <c r="J250" s="19">
        <f>IF(A250="","",SUMIFS(Pedidos!$E:$E,Pedidos!$C:$C,A250,Pedidos!$K:$K,Parametros!$B$3))</f>
        <v/>
      </c>
      <c r="K250" s="18">
        <f>IF(A250="","",COUNTIFS(Pedidos!$C:$C,A250,Pedidos!$K:$K,Parametros!$B$4))</f>
        <v/>
      </c>
      <c r="L250" s="20">
        <f>IF(A250="","",IF(COUNTIFS(Pedidos!$C:$C,A250,Pedidos!$B:$B,"&lt;="&amp;EOMONTH(Parametros!$B$2,0))=0,"",_xlfn.MAXIFS(Pedidos!$B:$B,Pedidos!$C:$C,A250,Pedidos!$B:$B,"&lt;="&amp;EOMONTH(Parametros!$B$2,0))))</f>
        <v/>
      </c>
      <c r="M250" s="20">
        <f>IF(OR(L250="",F250=""),"",EDATE(L250,F250))</f>
        <v/>
      </c>
      <c r="N250" s="21">
        <f>IF(A250="","",IF(L250="","Sem histórico",IF(AND(L250&gt;=Parametros!$B$2,L250&lt;=EOMONTH(Parametros!$B$2,0)),"Comprou no mês",IF(M250="","Sem periodicidade",IF(M250&lt;Parametros!$B$2,"Atrasado",IF(M250&lt;=EOMONTH(Parametros!$B$2,0),"Previsto no mês","Em dia"))))))</f>
        <v/>
      </c>
    </row>
    <row r="251">
      <c r="I251" s="18">
        <f>IF(A251="","",COUNTIFS(Pedidos!$C:$C,A251,Pedidos!$K:$K,Parametros!$B$3))</f>
        <v/>
      </c>
      <c r="J251" s="19">
        <f>IF(A251="","",SUMIFS(Pedidos!$E:$E,Pedidos!$C:$C,A251,Pedidos!$K:$K,Parametros!$B$3))</f>
        <v/>
      </c>
      <c r="K251" s="18">
        <f>IF(A251="","",COUNTIFS(Pedidos!$C:$C,A251,Pedidos!$K:$K,Parametros!$B$4))</f>
        <v/>
      </c>
      <c r="L251" s="20">
        <f>IF(A251="","",IF(COUNTIFS(Pedidos!$C:$C,A251,Pedidos!$B:$B,"&lt;="&amp;EOMONTH(Parametros!$B$2,0))=0,"",_xlfn.MAXIFS(Pedidos!$B:$B,Pedidos!$C:$C,A251,Pedidos!$B:$B,"&lt;="&amp;EOMONTH(Parametros!$B$2,0))))</f>
        <v/>
      </c>
      <c r="M251" s="20">
        <f>IF(OR(L251="",F251=""),"",EDATE(L251,F251))</f>
        <v/>
      </c>
      <c r="N251" s="21">
        <f>IF(A251="","",IF(L251="","Sem histórico",IF(AND(L251&gt;=Parametros!$B$2,L251&lt;=EOMONTH(Parametros!$B$2,0)),"Comprou no mês",IF(M251="","Sem periodicidade",IF(M251&lt;Parametros!$B$2,"Atrasado",IF(M251&lt;=EOMONTH(Parametros!$B$2,0),"Previsto no mês","Em dia"))))))</f>
        <v/>
      </c>
    </row>
    <row r="252">
      <c r="I252" s="18">
        <f>IF(A252="","",COUNTIFS(Pedidos!$C:$C,A252,Pedidos!$K:$K,Parametros!$B$3))</f>
        <v/>
      </c>
      <c r="J252" s="19">
        <f>IF(A252="","",SUMIFS(Pedidos!$E:$E,Pedidos!$C:$C,A252,Pedidos!$K:$K,Parametros!$B$3))</f>
        <v/>
      </c>
      <c r="K252" s="18">
        <f>IF(A252="","",COUNTIFS(Pedidos!$C:$C,A252,Pedidos!$K:$K,Parametros!$B$4))</f>
        <v/>
      </c>
      <c r="L252" s="20">
        <f>IF(A252="","",IF(COUNTIFS(Pedidos!$C:$C,A252,Pedidos!$B:$B,"&lt;="&amp;EOMONTH(Parametros!$B$2,0))=0,"",_xlfn.MAXIFS(Pedidos!$B:$B,Pedidos!$C:$C,A252,Pedidos!$B:$B,"&lt;="&amp;EOMONTH(Parametros!$B$2,0))))</f>
        <v/>
      </c>
      <c r="M252" s="20">
        <f>IF(OR(L252="",F252=""),"",EDATE(L252,F252))</f>
        <v/>
      </c>
      <c r="N252" s="21">
        <f>IF(A252="","",IF(L252="","Sem histórico",IF(AND(L252&gt;=Parametros!$B$2,L252&lt;=EOMONTH(Parametros!$B$2,0)),"Comprou no mês",IF(M252="","Sem periodicidade",IF(M252&lt;Parametros!$B$2,"Atrasado",IF(M252&lt;=EOMONTH(Parametros!$B$2,0),"Previsto no mês","Em dia"))))))</f>
        <v/>
      </c>
    </row>
    <row r="253">
      <c r="I253" s="18">
        <f>IF(A253="","",COUNTIFS(Pedidos!$C:$C,A253,Pedidos!$K:$K,Parametros!$B$3))</f>
        <v/>
      </c>
      <c r="J253" s="19">
        <f>IF(A253="","",SUMIFS(Pedidos!$E:$E,Pedidos!$C:$C,A253,Pedidos!$K:$K,Parametros!$B$3))</f>
        <v/>
      </c>
      <c r="K253" s="18">
        <f>IF(A253="","",COUNTIFS(Pedidos!$C:$C,A253,Pedidos!$K:$K,Parametros!$B$4))</f>
        <v/>
      </c>
      <c r="L253" s="20">
        <f>IF(A253="","",IF(COUNTIFS(Pedidos!$C:$C,A253,Pedidos!$B:$B,"&lt;="&amp;EOMONTH(Parametros!$B$2,0))=0,"",_xlfn.MAXIFS(Pedidos!$B:$B,Pedidos!$C:$C,A253,Pedidos!$B:$B,"&lt;="&amp;EOMONTH(Parametros!$B$2,0))))</f>
        <v/>
      </c>
      <c r="M253" s="20">
        <f>IF(OR(L253="",F253=""),"",EDATE(L253,F253))</f>
        <v/>
      </c>
      <c r="N253" s="21">
        <f>IF(A253="","",IF(L253="","Sem histórico",IF(AND(L253&gt;=Parametros!$B$2,L253&lt;=EOMONTH(Parametros!$B$2,0)),"Comprou no mês",IF(M253="","Sem periodicidade",IF(M253&lt;Parametros!$B$2,"Atrasado",IF(M253&lt;=EOMONTH(Parametros!$B$2,0),"Previsto no mês","Em dia"))))))</f>
        <v/>
      </c>
    </row>
    <row r="254">
      <c r="I254" s="18">
        <f>IF(A254="","",COUNTIFS(Pedidos!$C:$C,A254,Pedidos!$K:$K,Parametros!$B$3))</f>
        <v/>
      </c>
      <c r="J254" s="19">
        <f>IF(A254="","",SUMIFS(Pedidos!$E:$E,Pedidos!$C:$C,A254,Pedidos!$K:$K,Parametros!$B$3))</f>
        <v/>
      </c>
      <c r="K254" s="18">
        <f>IF(A254="","",COUNTIFS(Pedidos!$C:$C,A254,Pedidos!$K:$K,Parametros!$B$4))</f>
        <v/>
      </c>
      <c r="L254" s="20">
        <f>IF(A254="","",IF(COUNTIFS(Pedidos!$C:$C,A254,Pedidos!$B:$B,"&lt;="&amp;EOMONTH(Parametros!$B$2,0))=0,"",_xlfn.MAXIFS(Pedidos!$B:$B,Pedidos!$C:$C,A254,Pedidos!$B:$B,"&lt;="&amp;EOMONTH(Parametros!$B$2,0))))</f>
        <v/>
      </c>
      <c r="M254" s="20">
        <f>IF(OR(L254="",F254=""),"",EDATE(L254,F254))</f>
        <v/>
      </c>
      <c r="N254" s="21">
        <f>IF(A254="","",IF(L254="","Sem histórico",IF(AND(L254&gt;=Parametros!$B$2,L254&lt;=EOMONTH(Parametros!$B$2,0)),"Comprou no mês",IF(M254="","Sem periodicidade",IF(M254&lt;Parametros!$B$2,"Atrasado",IF(M254&lt;=EOMONTH(Parametros!$B$2,0),"Previsto no mês","Em dia"))))))</f>
        <v/>
      </c>
    </row>
    <row r="255">
      <c r="I255" s="18">
        <f>IF(A255="","",COUNTIFS(Pedidos!$C:$C,A255,Pedidos!$K:$K,Parametros!$B$3))</f>
        <v/>
      </c>
      <c r="J255" s="19">
        <f>IF(A255="","",SUMIFS(Pedidos!$E:$E,Pedidos!$C:$C,A255,Pedidos!$K:$K,Parametros!$B$3))</f>
        <v/>
      </c>
      <c r="K255" s="18">
        <f>IF(A255="","",COUNTIFS(Pedidos!$C:$C,A255,Pedidos!$K:$K,Parametros!$B$4))</f>
        <v/>
      </c>
      <c r="L255" s="20">
        <f>IF(A255="","",IF(COUNTIFS(Pedidos!$C:$C,A255,Pedidos!$B:$B,"&lt;="&amp;EOMONTH(Parametros!$B$2,0))=0,"",_xlfn.MAXIFS(Pedidos!$B:$B,Pedidos!$C:$C,A255,Pedidos!$B:$B,"&lt;="&amp;EOMONTH(Parametros!$B$2,0))))</f>
        <v/>
      </c>
      <c r="M255" s="20">
        <f>IF(OR(L255="",F255=""),"",EDATE(L255,F255))</f>
        <v/>
      </c>
      <c r="N255" s="21">
        <f>IF(A255="","",IF(L255="","Sem histórico",IF(AND(L255&gt;=Parametros!$B$2,L255&lt;=EOMONTH(Parametros!$B$2,0)),"Comprou no mês",IF(M255="","Sem periodicidade",IF(M255&lt;Parametros!$B$2,"Atrasado",IF(M255&lt;=EOMONTH(Parametros!$B$2,0),"Previsto no mês","Em dia"))))))</f>
        <v/>
      </c>
    </row>
    <row r="256">
      <c r="I256" s="18">
        <f>IF(A256="","",COUNTIFS(Pedidos!$C:$C,A256,Pedidos!$K:$K,Parametros!$B$3))</f>
        <v/>
      </c>
      <c r="J256" s="19">
        <f>IF(A256="","",SUMIFS(Pedidos!$E:$E,Pedidos!$C:$C,A256,Pedidos!$K:$K,Parametros!$B$3))</f>
        <v/>
      </c>
      <c r="K256" s="18">
        <f>IF(A256="","",COUNTIFS(Pedidos!$C:$C,A256,Pedidos!$K:$K,Parametros!$B$4))</f>
        <v/>
      </c>
      <c r="L256" s="20">
        <f>IF(A256="","",IF(COUNTIFS(Pedidos!$C:$C,A256,Pedidos!$B:$B,"&lt;="&amp;EOMONTH(Parametros!$B$2,0))=0,"",_xlfn.MAXIFS(Pedidos!$B:$B,Pedidos!$C:$C,A256,Pedidos!$B:$B,"&lt;="&amp;EOMONTH(Parametros!$B$2,0))))</f>
        <v/>
      </c>
      <c r="M256" s="20">
        <f>IF(OR(L256="",F256=""),"",EDATE(L256,F256))</f>
        <v/>
      </c>
      <c r="N256" s="21">
        <f>IF(A256="","",IF(L256="","Sem histórico",IF(AND(L256&gt;=Parametros!$B$2,L256&lt;=EOMONTH(Parametros!$B$2,0)),"Comprou no mês",IF(M256="","Sem periodicidade",IF(M256&lt;Parametros!$B$2,"Atrasado",IF(M256&lt;=EOMONTH(Parametros!$B$2,0),"Previsto no mês","Em dia"))))))</f>
        <v/>
      </c>
    </row>
    <row r="257">
      <c r="I257" s="18">
        <f>IF(A257="","",COUNTIFS(Pedidos!$C:$C,A257,Pedidos!$K:$K,Parametros!$B$3))</f>
        <v/>
      </c>
      <c r="J257" s="19">
        <f>IF(A257="","",SUMIFS(Pedidos!$E:$E,Pedidos!$C:$C,A257,Pedidos!$K:$K,Parametros!$B$3))</f>
        <v/>
      </c>
      <c r="K257" s="18">
        <f>IF(A257="","",COUNTIFS(Pedidos!$C:$C,A257,Pedidos!$K:$K,Parametros!$B$4))</f>
        <v/>
      </c>
      <c r="L257" s="20">
        <f>IF(A257="","",IF(COUNTIFS(Pedidos!$C:$C,A257,Pedidos!$B:$B,"&lt;="&amp;EOMONTH(Parametros!$B$2,0))=0,"",_xlfn.MAXIFS(Pedidos!$B:$B,Pedidos!$C:$C,A257,Pedidos!$B:$B,"&lt;="&amp;EOMONTH(Parametros!$B$2,0))))</f>
        <v/>
      </c>
      <c r="M257" s="20">
        <f>IF(OR(L257="",F257=""),"",EDATE(L257,F257))</f>
        <v/>
      </c>
      <c r="N257" s="21">
        <f>IF(A257="","",IF(L257="","Sem histórico",IF(AND(L257&gt;=Parametros!$B$2,L257&lt;=EOMONTH(Parametros!$B$2,0)),"Comprou no mês",IF(M257="","Sem periodicidade",IF(M257&lt;Parametros!$B$2,"Atrasado",IF(M257&lt;=EOMONTH(Parametros!$B$2,0),"Previsto no mês","Em dia"))))))</f>
        <v/>
      </c>
    </row>
    <row r="258">
      <c r="I258" s="18">
        <f>IF(A258="","",COUNTIFS(Pedidos!$C:$C,A258,Pedidos!$K:$K,Parametros!$B$3))</f>
        <v/>
      </c>
      <c r="J258" s="19">
        <f>IF(A258="","",SUMIFS(Pedidos!$E:$E,Pedidos!$C:$C,A258,Pedidos!$K:$K,Parametros!$B$3))</f>
        <v/>
      </c>
      <c r="K258" s="18">
        <f>IF(A258="","",COUNTIFS(Pedidos!$C:$C,A258,Pedidos!$K:$K,Parametros!$B$4))</f>
        <v/>
      </c>
      <c r="L258" s="20">
        <f>IF(A258="","",IF(COUNTIFS(Pedidos!$C:$C,A258,Pedidos!$B:$B,"&lt;="&amp;EOMONTH(Parametros!$B$2,0))=0,"",_xlfn.MAXIFS(Pedidos!$B:$B,Pedidos!$C:$C,A258,Pedidos!$B:$B,"&lt;="&amp;EOMONTH(Parametros!$B$2,0))))</f>
        <v/>
      </c>
      <c r="M258" s="20">
        <f>IF(OR(L258="",F258=""),"",EDATE(L258,F258))</f>
        <v/>
      </c>
      <c r="N258" s="21">
        <f>IF(A258="","",IF(L258="","Sem histórico",IF(AND(L258&gt;=Parametros!$B$2,L258&lt;=EOMONTH(Parametros!$B$2,0)),"Comprou no mês",IF(M258="","Sem periodicidade",IF(M258&lt;Parametros!$B$2,"Atrasado",IF(M258&lt;=EOMONTH(Parametros!$B$2,0),"Previsto no mês","Em dia"))))))</f>
        <v/>
      </c>
    </row>
    <row r="259">
      <c r="I259" s="18">
        <f>IF(A259="","",COUNTIFS(Pedidos!$C:$C,A259,Pedidos!$K:$K,Parametros!$B$3))</f>
        <v/>
      </c>
      <c r="J259" s="19">
        <f>IF(A259="","",SUMIFS(Pedidos!$E:$E,Pedidos!$C:$C,A259,Pedidos!$K:$K,Parametros!$B$3))</f>
        <v/>
      </c>
      <c r="K259" s="18">
        <f>IF(A259="","",COUNTIFS(Pedidos!$C:$C,A259,Pedidos!$K:$K,Parametros!$B$4))</f>
        <v/>
      </c>
      <c r="L259" s="20">
        <f>IF(A259="","",IF(COUNTIFS(Pedidos!$C:$C,A259,Pedidos!$B:$B,"&lt;="&amp;EOMONTH(Parametros!$B$2,0))=0,"",_xlfn.MAXIFS(Pedidos!$B:$B,Pedidos!$C:$C,A259,Pedidos!$B:$B,"&lt;="&amp;EOMONTH(Parametros!$B$2,0))))</f>
        <v/>
      </c>
      <c r="M259" s="20">
        <f>IF(OR(L259="",F259=""),"",EDATE(L259,F259))</f>
        <v/>
      </c>
      <c r="N259" s="21">
        <f>IF(A259="","",IF(L259="","Sem histórico",IF(AND(L259&gt;=Parametros!$B$2,L259&lt;=EOMONTH(Parametros!$B$2,0)),"Comprou no mês",IF(M259="","Sem periodicidade",IF(M259&lt;Parametros!$B$2,"Atrasado",IF(M259&lt;=EOMONTH(Parametros!$B$2,0),"Previsto no mês","Em dia"))))))</f>
        <v/>
      </c>
    </row>
    <row r="260">
      <c r="I260" s="18">
        <f>IF(A260="","",COUNTIFS(Pedidos!$C:$C,A260,Pedidos!$K:$K,Parametros!$B$3))</f>
        <v/>
      </c>
      <c r="J260" s="19">
        <f>IF(A260="","",SUMIFS(Pedidos!$E:$E,Pedidos!$C:$C,A260,Pedidos!$K:$K,Parametros!$B$3))</f>
        <v/>
      </c>
      <c r="K260" s="18">
        <f>IF(A260="","",COUNTIFS(Pedidos!$C:$C,A260,Pedidos!$K:$K,Parametros!$B$4))</f>
        <v/>
      </c>
      <c r="L260" s="20">
        <f>IF(A260="","",IF(COUNTIFS(Pedidos!$C:$C,A260,Pedidos!$B:$B,"&lt;="&amp;EOMONTH(Parametros!$B$2,0))=0,"",_xlfn.MAXIFS(Pedidos!$B:$B,Pedidos!$C:$C,A260,Pedidos!$B:$B,"&lt;="&amp;EOMONTH(Parametros!$B$2,0))))</f>
        <v/>
      </c>
      <c r="M260" s="20">
        <f>IF(OR(L260="",F260=""),"",EDATE(L260,F260))</f>
        <v/>
      </c>
      <c r="N260" s="21">
        <f>IF(A260="","",IF(L260="","Sem histórico",IF(AND(L260&gt;=Parametros!$B$2,L260&lt;=EOMONTH(Parametros!$B$2,0)),"Comprou no mês",IF(M260="","Sem periodicidade",IF(M260&lt;Parametros!$B$2,"Atrasado",IF(M260&lt;=EOMONTH(Parametros!$B$2,0),"Previsto no mês","Em dia"))))))</f>
        <v/>
      </c>
    </row>
    <row r="261">
      <c r="I261" s="18">
        <f>IF(A261="","",COUNTIFS(Pedidos!$C:$C,A261,Pedidos!$K:$K,Parametros!$B$3))</f>
        <v/>
      </c>
      <c r="J261" s="19">
        <f>IF(A261="","",SUMIFS(Pedidos!$E:$E,Pedidos!$C:$C,A261,Pedidos!$K:$K,Parametros!$B$3))</f>
        <v/>
      </c>
      <c r="K261" s="18">
        <f>IF(A261="","",COUNTIFS(Pedidos!$C:$C,A261,Pedidos!$K:$K,Parametros!$B$4))</f>
        <v/>
      </c>
      <c r="L261" s="20">
        <f>IF(A261="","",IF(COUNTIFS(Pedidos!$C:$C,A261,Pedidos!$B:$B,"&lt;="&amp;EOMONTH(Parametros!$B$2,0))=0,"",_xlfn.MAXIFS(Pedidos!$B:$B,Pedidos!$C:$C,A261,Pedidos!$B:$B,"&lt;="&amp;EOMONTH(Parametros!$B$2,0))))</f>
        <v/>
      </c>
      <c r="M261" s="20">
        <f>IF(OR(L261="",F261=""),"",EDATE(L261,F261))</f>
        <v/>
      </c>
      <c r="N261" s="21">
        <f>IF(A261="","",IF(L261="","Sem histórico",IF(AND(L261&gt;=Parametros!$B$2,L261&lt;=EOMONTH(Parametros!$B$2,0)),"Comprou no mês",IF(M261="","Sem periodicidade",IF(M261&lt;Parametros!$B$2,"Atrasado",IF(M261&lt;=EOMONTH(Parametros!$B$2,0),"Previsto no mês","Em dia"))))))</f>
        <v/>
      </c>
    </row>
    <row r="262">
      <c r="I262" s="18">
        <f>IF(A262="","",COUNTIFS(Pedidos!$C:$C,A262,Pedidos!$K:$K,Parametros!$B$3))</f>
        <v/>
      </c>
      <c r="J262" s="19">
        <f>IF(A262="","",SUMIFS(Pedidos!$E:$E,Pedidos!$C:$C,A262,Pedidos!$K:$K,Parametros!$B$3))</f>
        <v/>
      </c>
      <c r="K262" s="18">
        <f>IF(A262="","",COUNTIFS(Pedidos!$C:$C,A262,Pedidos!$K:$K,Parametros!$B$4))</f>
        <v/>
      </c>
      <c r="L262" s="20">
        <f>IF(A262="","",IF(COUNTIFS(Pedidos!$C:$C,A262,Pedidos!$B:$B,"&lt;="&amp;EOMONTH(Parametros!$B$2,0))=0,"",_xlfn.MAXIFS(Pedidos!$B:$B,Pedidos!$C:$C,A262,Pedidos!$B:$B,"&lt;="&amp;EOMONTH(Parametros!$B$2,0))))</f>
        <v/>
      </c>
      <c r="M262" s="20">
        <f>IF(OR(L262="",F262=""),"",EDATE(L262,F262))</f>
        <v/>
      </c>
      <c r="N262" s="21">
        <f>IF(A262="","",IF(L262="","Sem histórico",IF(AND(L262&gt;=Parametros!$B$2,L262&lt;=EOMONTH(Parametros!$B$2,0)),"Comprou no mês",IF(M262="","Sem periodicidade",IF(M262&lt;Parametros!$B$2,"Atrasado",IF(M262&lt;=EOMONTH(Parametros!$B$2,0),"Previsto no mês","Em dia"))))))</f>
        <v/>
      </c>
    </row>
    <row r="263">
      <c r="I263" s="18">
        <f>IF(A263="","",COUNTIFS(Pedidos!$C:$C,A263,Pedidos!$K:$K,Parametros!$B$3))</f>
        <v/>
      </c>
      <c r="J263" s="19">
        <f>IF(A263="","",SUMIFS(Pedidos!$E:$E,Pedidos!$C:$C,A263,Pedidos!$K:$K,Parametros!$B$3))</f>
        <v/>
      </c>
      <c r="K263" s="18">
        <f>IF(A263="","",COUNTIFS(Pedidos!$C:$C,A263,Pedidos!$K:$K,Parametros!$B$4))</f>
        <v/>
      </c>
      <c r="L263" s="20">
        <f>IF(A263="","",IF(COUNTIFS(Pedidos!$C:$C,A263,Pedidos!$B:$B,"&lt;="&amp;EOMONTH(Parametros!$B$2,0))=0,"",_xlfn.MAXIFS(Pedidos!$B:$B,Pedidos!$C:$C,A263,Pedidos!$B:$B,"&lt;="&amp;EOMONTH(Parametros!$B$2,0))))</f>
        <v/>
      </c>
      <c r="M263" s="20">
        <f>IF(OR(L263="",F263=""),"",EDATE(L263,F263))</f>
        <v/>
      </c>
      <c r="N263" s="21">
        <f>IF(A263="","",IF(L263="","Sem histórico",IF(AND(L263&gt;=Parametros!$B$2,L263&lt;=EOMONTH(Parametros!$B$2,0)),"Comprou no mês",IF(M263="","Sem periodicidade",IF(M263&lt;Parametros!$B$2,"Atrasado",IF(M263&lt;=EOMONTH(Parametros!$B$2,0),"Previsto no mês","Em dia"))))))</f>
        <v/>
      </c>
    </row>
    <row r="264">
      <c r="I264" s="18">
        <f>IF(A264="","",COUNTIFS(Pedidos!$C:$C,A264,Pedidos!$K:$K,Parametros!$B$3))</f>
        <v/>
      </c>
      <c r="J264" s="19">
        <f>IF(A264="","",SUMIFS(Pedidos!$E:$E,Pedidos!$C:$C,A264,Pedidos!$K:$K,Parametros!$B$3))</f>
        <v/>
      </c>
      <c r="K264" s="18">
        <f>IF(A264="","",COUNTIFS(Pedidos!$C:$C,A264,Pedidos!$K:$K,Parametros!$B$4))</f>
        <v/>
      </c>
      <c r="L264" s="20">
        <f>IF(A264="","",IF(COUNTIFS(Pedidos!$C:$C,A264,Pedidos!$B:$B,"&lt;="&amp;EOMONTH(Parametros!$B$2,0))=0,"",_xlfn.MAXIFS(Pedidos!$B:$B,Pedidos!$C:$C,A264,Pedidos!$B:$B,"&lt;="&amp;EOMONTH(Parametros!$B$2,0))))</f>
        <v/>
      </c>
      <c r="M264" s="20">
        <f>IF(OR(L264="",F264=""),"",EDATE(L264,F264))</f>
        <v/>
      </c>
      <c r="N264" s="21">
        <f>IF(A264="","",IF(L264="","Sem histórico",IF(AND(L264&gt;=Parametros!$B$2,L264&lt;=EOMONTH(Parametros!$B$2,0)),"Comprou no mês",IF(M264="","Sem periodicidade",IF(M264&lt;Parametros!$B$2,"Atrasado",IF(M264&lt;=EOMONTH(Parametros!$B$2,0),"Previsto no mês","Em dia"))))))</f>
        <v/>
      </c>
    </row>
    <row r="265">
      <c r="I265" s="18">
        <f>IF(A265="","",COUNTIFS(Pedidos!$C:$C,A265,Pedidos!$K:$K,Parametros!$B$3))</f>
        <v/>
      </c>
      <c r="J265" s="19">
        <f>IF(A265="","",SUMIFS(Pedidos!$E:$E,Pedidos!$C:$C,A265,Pedidos!$K:$K,Parametros!$B$3))</f>
        <v/>
      </c>
      <c r="K265" s="18">
        <f>IF(A265="","",COUNTIFS(Pedidos!$C:$C,A265,Pedidos!$K:$K,Parametros!$B$4))</f>
        <v/>
      </c>
      <c r="L265" s="20">
        <f>IF(A265="","",IF(COUNTIFS(Pedidos!$C:$C,A265,Pedidos!$B:$B,"&lt;="&amp;EOMONTH(Parametros!$B$2,0))=0,"",_xlfn.MAXIFS(Pedidos!$B:$B,Pedidos!$C:$C,A265,Pedidos!$B:$B,"&lt;="&amp;EOMONTH(Parametros!$B$2,0))))</f>
        <v/>
      </c>
      <c r="M265" s="20">
        <f>IF(OR(L265="",F265=""),"",EDATE(L265,F265))</f>
        <v/>
      </c>
      <c r="N265" s="21">
        <f>IF(A265="","",IF(L265="","Sem histórico",IF(AND(L265&gt;=Parametros!$B$2,L265&lt;=EOMONTH(Parametros!$B$2,0)),"Comprou no mês",IF(M265="","Sem periodicidade",IF(M265&lt;Parametros!$B$2,"Atrasado",IF(M265&lt;=EOMONTH(Parametros!$B$2,0),"Previsto no mês","Em dia"))))))</f>
        <v/>
      </c>
    </row>
    <row r="266">
      <c r="I266" s="18">
        <f>IF(A266="","",COUNTIFS(Pedidos!$C:$C,A266,Pedidos!$K:$K,Parametros!$B$3))</f>
        <v/>
      </c>
      <c r="J266" s="19">
        <f>IF(A266="","",SUMIFS(Pedidos!$E:$E,Pedidos!$C:$C,A266,Pedidos!$K:$K,Parametros!$B$3))</f>
        <v/>
      </c>
      <c r="K266" s="18">
        <f>IF(A266="","",COUNTIFS(Pedidos!$C:$C,A266,Pedidos!$K:$K,Parametros!$B$4))</f>
        <v/>
      </c>
      <c r="L266" s="20">
        <f>IF(A266="","",IF(COUNTIFS(Pedidos!$C:$C,A266,Pedidos!$B:$B,"&lt;="&amp;EOMONTH(Parametros!$B$2,0))=0,"",_xlfn.MAXIFS(Pedidos!$B:$B,Pedidos!$C:$C,A266,Pedidos!$B:$B,"&lt;="&amp;EOMONTH(Parametros!$B$2,0))))</f>
        <v/>
      </c>
      <c r="M266" s="20">
        <f>IF(OR(L266="",F266=""),"",EDATE(L266,F266))</f>
        <v/>
      </c>
      <c r="N266" s="21">
        <f>IF(A266="","",IF(L266="","Sem histórico",IF(AND(L266&gt;=Parametros!$B$2,L266&lt;=EOMONTH(Parametros!$B$2,0)),"Comprou no mês",IF(M266="","Sem periodicidade",IF(M266&lt;Parametros!$B$2,"Atrasado",IF(M266&lt;=EOMONTH(Parametros!$B$2,0),"Previsto no mês","Em dia"))))))</f>
        <v/>
      </c>
    </row>
    <row r="267">
      <c r="I267" s="18">
        <f>IF(A267="","",COUNTIFS(Pedidos!$C:$C,A267,Pedidos!$K:$K,Parametros!$B$3))</f>
        <v/>
      </c>
      <c r="J267" s="19">
        <f>IF(A267="","",SUMIFS(Pedidos!$E:$E,Pedidos!$C:$C,A267,Pedidos!$K:$K,Parametros!$B$3))</f>
        <v/>
      </c>
      <c r="K267" s="18">
        <f>IF(A267="","",COUNTIFS(Pedidos!$C:$C,A267,Pedidos!$K:$K,Parametros!$B$4))</f>
        <v/>
      </c>
      <c r="L267" s="20">
        <f>IF(A267="","",IF(COUNTIFS(Pedidos!$C:$C,A267,Pedidos!$B:$B,"&lt;="&amp;EOMONTH(Parametros!$B$2,0))=0,"",_xlfn.MAXIFS(Pedidos!$B:$B,Pedidos!$C:$C,A267,Pedidos!$B:$B,"&lt;="&amp;EOMONTH(Parametros!$B$2,0))))</f>
        <v/>
      </c>
      <c r="M267" s="20">
        <f>IF(OR(L267="",F267=""),"",EDATE(L267,F267))</f>
        <v/>
      </c>
      <c r="N267" s="21">
        <f>IF(A267="","",IF(L267="","Sem histórico",IF(AND(L267&gt;=Parametros!$B$2,L267&lt;=EOMONTH(Parametros!$B$2,0)),"Comprou no mês",IF(M267="","Sem periodicidade",IF(M267&lt;Parametros!$B$2,"Atrasado",IF(M267&lt;=EOMONTH(Parametros!$B$2,0),"Previsto no mês","Em dia"))))))</f>
        <v/>
      </c>
    </row>
    <row r="268">
      <c r="I268" s="18">
        <f>IF(A268="","",COUNTIFS(Pedidos!$C:$C,A268,Pedidos!$K:$K,Parametros!$B$3))</f>
        <v/>
      </c>
      <c r="J268" s="19">
        <f>IF(A268="","",SUMIFS(Pedidos!$E:$E,Pedidos!$C:$C,A268,Pedidos!$K:$K,Parametros!$B$3))</f>
        <v/>
      </c>
      <c r="K268" s="18">
        <f>IF(A268="","",COUNTIFS(Pedidos!$C:$C,A268,Pedidos!$K:$K,Parametros!$B$4))</f>
        <v/>
      </c>
      <c r="L268" s="20">
        <f>IF(A268="","",IF(COUNTIFS(Pedidos!$C:$C,A268,Pedidos!$B:$B,"&lt;="&amp;EOMONTH(Parametros!$B$2,0))=0,"",_xlfn.MAXIFS(Pedidos!$B:$B,Pedidos!$C:$C,A268,Pedidos!$B:$B,"&lt;="&amp;EOMONTH(Parametros!$B$2,0))))</f>
        <v/>
      </c>
      <c r="M268" s="20">
        <f>IF(OR(L268="",F268=""),"",EDATE(L268,F268))</f>
        <v/>
      </c>
      <c r="N268" s="21">
        <f>IF(A268="","",IF(L268="","Sem histórico",IF(AND(L268&gt;=Parametros!$B$2,L268&lt;=EOMONTH(Parametros!$B$2,0)),"Comprou no mês",IF(M268="","Sem periodicidade",IF(M268&lt;Parametros!$B$2,"Atrasado",IF(M268&lt;=EOMONTH(Parametros!$B$2,0),"Previsto no mês","Em dia"))))))</f>
        <v/>
      </c>
    </row>
    <row r="269">
      <c r="I269" s="18">
        <f>IF(A269="","",COUNTIFS(Pedidos!$C:$C,A269,Pedidos!$K:$K,Parametros!$B$3))</f>
        <v/>
      </c>
      <c r="J269" s="19">
        <f>IF(A269="","",SUMIFS(Pedidos!$E:$E,Pedidos!$C:$C,A269,Pedidos!$K:$K,Parametros!$B$3))</f>
        <v/>
      </c>
      <c r="K269" s="18">
        <f>IF(A269="","",COUNTIFS(Pedidos!$C:$C,A269,Pedidos!$K:$K,Parametros!$B$4))</f>
        <v/>
      </c>
      <c r="L269" s="20">
        <f>IF(A269="","",IF(COUNTIFS(Pedidos!$C:$C,A269,Pedidos!$B:$B,"&lt;="&amp;EOMONTH(Parametros!$B$2,0))=0,"",_xlfn.MAXIFS(Pedidos!$B:$B,Pedidos!$C:$C,A269,Pedidos!$B:$B,"&lt;="&amp;EOMONTH(Parametros!$B$2,0))))</f>
        <v/>
      </c>
      <c r="M269" s="20">
        <f>IF(OR(L269="",F269=""),"",EDATE(L269,F269))</f>
        <v/>
      </c>
      <c r="N269" s="21">
        <f>IF(A269="","",IF(L269="","Sem histórico",IF(AND(L269&gt;=Parametros!$B$2,L269&lt;=EOMONTH(Parametros!$B$2,0)),"Comprou no mês",IF(M269="","Sem periodicidade",IF(M269&lt;Parametros!$B$2,"Atrasado",IF(M269&lt;=EOMONTH(Parametros!$B$2,0),"Previsto no mês","Em dia"))))))</f>
        <v/>
      </c>
    </row>
    <row r="270">
      <c r="I270" s="18">
        <f>IF(A270="","",COUNTIFS(Pedidos!$C:$C,A270,Pedidos!$K:$K,Parametros!$B$3))</f>
        <v/>
      </c>
      <c r="J270" s="19">
        <f>IF(A270="","",SUMIFS(Pedidos!$E:$E,Pedidos!$C:$C,A270,Pedidos!$K:$K,Parametros!$B$3))</f>
        <v/>
      </c>
      <c r="K270" s="18">
        <f>IF(A270="","",COUNTIFS(Pedidos!$C:$C,A270,Pedidos!$K:$K,Parametros!$B$4))</f>
        <v/>
      </c>
      <c r="L270" s="20">
        <f>IF(A270="","",IF(COUNTIFS(Pedidos!$C:$C,A270,Pedidos!$B:$B,"&lt;="&amp;EOMONTH(Parametros!$B$2,0))=0,"",_xlfn.MAXIFS(Pedidos!$B:$B,Pedidos!$C:$C,A270,Pedidos!$B:$B,"&lt;="&amp;EOMONTH(Parametros!$B$2,0))))</f>
        <v/>
      </c>
      <c r="M270" s="20">
        <f>IF(OR(L270="",F270=""),"",EDATE(L270,F270))</f>
        <v/>
      </c>
      <c r="N270" s="21">
        <f>IF(A270="","",IF(L270="","Sem histórico",IF(AND(L270&gt;=Parametros!$B$2,L270&lt;=EOMONTH(Parametros!$B$2,0)),"Comprou no mês",IF(M270="","Sem periodicidade",IF(M270&lt;Parametros!$B$2,"Atrasado",IF(M270&lt;=EOMONTH(Parametros!$B$2,0),"Previsto no mês","Em dia"))))))</f>
        <v/>
      </c>
    </row>
    <row r="271">
      <c r="I271" s="18">
        <f>IF(A271="","",COUNTIFS(Pedidos!$C:$C,A271,Pedidos!$K:$K,Parametros!$B$3))</f>
        <v/>
      </c>
      <c r="J271" s="19">
        <f>IF(A271="","",SUMIFS(Pedidos!$E:$E,Pedidos!$C:$C,A271,Pedidos!$K:$K,Parametros!$B$3))</f>
        <v/>
      </c>
      <c r="K271" s="18">
        <f>IF(A271="","",COUNTIFS(Pedidos!$C:$C,A271,Pedidos!$K:$K,Parametros!$B$4))</f>
        <v/>
      </c>
      <c r="L271" s="20">
        <f>IF(A271="","",IF(COUNTIFS(Pedidos!$C:$C,A271,Pedidos!$B:$B,"&lt;="&amp;EOMONTH(Parametros!$B$2,0))=0,"",_xlfn.MAXIFS(Pedidos!$B:$B,Pedidos!$C:$C,A271,Pedidos!$B:$B,"&lt;="&amp;EOMONTH(Parametros!$B$2,0))))</f>
        <v/>
      </c>
      <c r="M271" s="20">
        <f>IF(OR(L271="",F271=""),"",EDATE(L271,F271))</f>
        <v/>
      </c>
      <c r="N271" s="21">
        <f>IF(A271="","",IF(L271="","Sem histórico",IF(AND(L271&gt;=Parametros!$B$2,L271&lt;=EOMONTH(Parametros!$B$2,0)),"Comprou no mês",IF(M271="","Sem periodicidade",IF(M271&lt;Parametros!$B$2,"Atrasado",IF(M271&lt;=EOMONTH(Parametros!$B$2,0),"Previsto no mês","Em dia"))))))</f>
        <v/>
      </c>
    </row>
    <row r="272">
      <c r="I272" s="18">
        <f>IF(A272="","",COUNTIFS(Pedidos!$C:$C,A272,Pedidos!$K:$K,Parametros!$B$3))</f>
        <v/>
      </c>
      <c r="J272" s="19">
        <f>IF(A272="","",SUMIFS(Pedidos!$E:$E,Pedidos!$C:$C,A272,Pedidos!$K:$K,Parametros!$B$3))</f>
        <v/>
      </c>
      <c r="K272" s="18">
        <f>IF(A272="","",COUNTIFS(Pedidos!$C:$C,A272,Pedidos!$K:$K,Parametros!$B$4))</f>
        <v/>
      </c>
      <c r="L272" s="20">
        <f>IF(A272="","",IF(COUNTIFS(Pedidos!$C:$C,A272,Pedidos!$B:$B,"&lt;="&amp;EOMONTH(Parametros!$B$2,0))=0,"",_xlfn.MAXIFS(Pedidos!$B:$B,Pedidos!$C:$C,A272,Pedidos!$B:$B,"&lt;="&amp;EOMONTH(Parametros!$B$2,0))))</f>
        <v/>
      </c>
      <c r="M272" s="20">
        <f>IF(OR(L272="",F272=""),"",EDATE(L272,F272))</f>
        <v/>
      </c>
      <c r="N272" s="21">
        <f>IF(A272="","",IF(L272="","Sem histórico",IF(AND(L272&gt;=Parametros!$B$2,L272&lt;=EOMONTH(Parametros!$B$2,0)),"Comprou no mês",IF(M272="","Sem periodicidade",IF(M272&lt;Parametros!$B$2,"Atrasado",IF(M272&lt;=EOMONTH(Parametros!$B$2,0),"Previsto no mês","Em dia"))))))</f>
        <v/>
      </c>
    </row>
    <row r="273">
      <c r="I273" s="18">
        <f>IF(A273="","",COUNTIFS(Pedidos!$C:$C,A273,Pedidos!$K:$K,Parametros!$B$3))</f>
        <v/>
      </c>
      <c r="J273" s="19">
        <f>IF(A273="","",SUMIFS(Pedidos!$E:$E,Pedidos!$C:$C,A273,Pedidos!$K:$K,Parametros!$B$3))</f>
        <v/>
      </c>
      <c r="K273" s="18">
        <f>IF(A273="","",COUNTIFS(Pedidos!$C:$C,A273,Pedidos!$K:$K,Parametros!$B$4))</f>
        <v/>
      </c>
      <c r="L273" s="20">
        <f>IF(A273="","",IF(COUNTIFS(Pedidos!$C:$C,A273,Pedidos!$B:$B,"&lt;="&amp;EOMONTH(Parametros!$B$2,0))=0,"",_xlfn.MAXIFS(Pedidos!$B:$B,Pedidos!$C:$C,A273,Pedidos!$B:$B,"&lt;="&amp;EOMONTH(Parametros!$B$2,0))))</f>
        <v/>
      </c>
      <c r="M273" s="20">
        <f>IF(OR(L273="",F273=""),"",EDATE(L273,F273))</f>
        <v/>
      </c>
      <c r="N273" s="21">
        <f>IF(A273="","",IF(L273="","Sem histórico",IF(AND(L273&gt;=Parametros!$B$2,L273&lt;=EOMONTH(Parametros!$B$2,0)),"Comprou no mês",IF(M273="","Sem periodicidade",IF(M273&lt;Parametros!$B$2,"Atrasado",IF(M273&lt;=EOMONTH(Parametros!$B$2,0),"Previsto no mês","Em dia"))))))</f>
        <v/>
      </c>
    </row>
    <row r="274">
      <c r="I274" s="18">
        <f>IF(A274="","",COUNTIFS(Pedidos!$C:$C,A274,Pedidos!$K:$K,Parametros!$B$3))</f>
        <v/>
      </c>
      <c r="J274" s="19">
        <f>IF(A274="","",SUMIFS(Pedidos!$E:$E,Pedidos!$C:$C,A274,Pedidos!$K:$K,Parametros!$B$3))</f>
        <v/>
      </c>
      <c r="K274" s="18">
        <f>IF(A274="","",COUNTIFS(Pedidos!$C:$C,A274,Pedidos!$K:$K,Parametros!$B$4))</f>
        <v/>
      </c>
      <c r="L274" s="20">
        <f>IF(A274="","",IF(COUNTIFS(Pedidos!$C:$C,A274,Pedidos!$B:$B,"&lt;="&amp;EOMONTH(Parametros!$B$2,0))=0,"",_xlfn.MAXIFS(Pedidos!$B:$B,Pedidos!$C:$C,A274,Pedidos!$B:$B,"&lt;="&amp;EOMONTH(Parametros!$B$2,0))))</f>
        <v/>
      </c>
      <c r="M274" s="20">
        <f>IF(OR(L274="",F274=""),"",EDATE(L274,F274))</f>
        <v/>
      </c>
      <c r="N274" s="21">
        <f>IF(A274="","",IF(L274="","Sem histórico",IF(AND(L274&gt;=Parametros!$B$2,L274&lt;=EOMONTH(Parametros!$B$2,0)),"Comprou no mês",IF(M274="","Sem periodicidade",IF(M274&lt;Parametros!$B$2,"Atrasado",IF(M274&lt;=EOMONTH(Parametros!$B$2,0),"Previsto no mês","Em dia"))))))</f>
        <v/>
      </c>
    </row>
    <row r="275">
      <c r="I275" s="18">
        <f>IF(A275="","",COUNTIFS(Pedidos!$C:$C,A275,Pedidos!$K:$K,Parametros!$B$3))</f>
        <v/>
      </c>
      <c r="J275" s="19">
        <f>IF(A275="","",SUMIFS(Pedidos!$E:$E,Pedidos!$C:$C,A275,Pedidos!$K:$K,Parametros!$B$3))</f>
        <v/>
      </c>
      <c r="K275" s="18">
        <f>IF(A275="","",COUNTIFS(Pedidos!$C:$C,A275,Pedidos!$K:$K,Parametros!$B$4))</f>
        <v/>
      </c>
      <c r="L275" s="20">
        <f>IF(A275="","",IF(COUNTIFS(Pedidos!$C:$C,A275,Pedidos!$B:$B,"&lt;="&amp;EOMONTH(Parametros!$B$2,0))=0,"",_xlfn.MAXIFS(Pedidos!$B:$B,Pedidos!$C:$C,A275,Pedidos!$B:$B,"&lt;="&amp;EOMONTH(Parametros!$B$2,0))))</f>
        <v/>
      </c>
      <c r="M275" s="20">
        <f>IF(OR(L275="",F275=""),"",EDATE(L275,F275))</f>
        <v/>
      </c>
      <c r="N275" s="21">
        <f>IF(A275="","",IF(L275="","Sem histórico",IF(AND(L275&gt;=Parametros!$B$2,L275&lt;=EOMONTH(Parametros!$B$2,0)),"Comprou no mês",IF(M275="","Sem periodicidade",IF(M275&lt;Parametros!$B$2,"Atrasado",IF(M275&lt;=EOMONTH(Parametros!$B$2,0),"Previsto no mês","Em dia"))))))</f>
        <v/>
      </c>
    </row>
    <row r="276">
      <c r="I276" s="18">
        <f>IF(A276="","",COUNTIFS(Pedidos!$C:$C,A276,Pedidos!$K:$K,Parametros!$B$3))</f>
        <v/>
      </c>
      <c r="J276" s="19">
        <f>IF(A276="","",SUMIFS(Pedidos!$E:$E,Pedidos!$C:$C,A276,Pedidos!$K:$K,Parametros!$B$3))</f>
        <v/>
      </c>
      <c r="K276" s="18">
        <f>IF(A276="","",COUNTIFS(Pedidos!$C:$C,A276,Pedidos!$K:$K,Parametros!$B$4))</f>
        <v/>
      </c>
      <c r="L276" s="20">
        <f>IF(A276="","",IF(COUNTIFS(Pedidos!$C:$C,A276,Pedidos!$B:$B,"&lt;="&amp;EOMONTH(Parametros!$B$2,0))=0,"",_xlfn.MAXIFS(Pedidos!$B:$B,Pedidos!$C:$C,A276,Pedidos!$B:$B,"&lt;="&amp;EOMONTH(Parametros!$B$2,0))))</f>
        <v/>
      </c>
      <c r="M276" s="20">
        <f>IF(OR(L276="",F276=""),"",EDATE(L276,F276))</f>
        <v/>
      </c>
      <c r="N276" s="21">
        <f>IF(A276="","",IF(L276="","Sem histórico",IF(AND(L276&gt;=Parametros!$B$2,L276&lt;=EOMONTH(Parametros!$B$2,0)),"Comprou no mês",IF(M276="","Sem periodicidade",IF(M276&lt;Parametros!$B$2,"Atrasado",IF(M276&lt;=EOMONTH(Parametros!$B$2,0),"Previsto no mês","Em dia"))))))</f>
        <v/>
      </c>
    </row>
    <row r="277">
      <c r="I277" s="18">
        <f>IF(A277="","",COUNTIFS(Pedidos!$C:$C,A277,Pedidos!$K:$K,Parametros!$B$3))</f>
        <v/>
      </c>
      <c r="J277" s="19">
        <f>IF(A277="","",SUMIFS(Pedidos!$E:$E,Pedidos!$C:$C,A277,Pedidos!$K:$K,Parametros!$B$3))</f>
        <v/>
      </c>
      <c r="K277" s="18">
        <f>IF(A277="","",COUNTIFS(Pedidos!$C:$C,A277,Pedidos!$K:$K,Parametros!$B$4))</f>
        <v/>
      </c>
      <c r="L277" s="20">
        <f>IF(A277="","",IF(COUNTIFS(Pedidos!$C:$C,A277,Pedidos!$B:$B,"&lt;="&amp;EOMONTH(Parametros!$B$2,0))=0,"",_xlfn.MAXIFS(Pedidos!$B:$B,Pedidos!$C:$C,A277,Pedidos!$B:$B,"&lt;="&amp;EOMONTH(Parametros!$B$2,0))))</f>
        <v/>
      </c>
      <c r="M277" s="20">
        <f>IF(OR(L277="",F277=""),"",EDATE(L277,F277))</f>
        <v/>
      </c>
      <c r="N277" s="21">
        <f>IF(A277="","",IF(L277="","Sem histórico",IF(AND(L277&gt;=Parametros!$B$2,L277&lt;=EOMONTH(Parametros!$B$2,0)),"Comprou no mês",IF(M277="","Sem periodicidade",IF(M277&lt;Parametros!$B$2,"Atrasado",IF(M277&lt;=EOMONTH(Parametros!$B$2,0),"Previsto no mês","Em dia"))))))</f>
        <v/>
      </c>
    </row>
    <row r="278">
      <c r="I278" s="18">
        <f>IF(A278="","",COUNTIFS(Pedidos!$C:$C,A278,Pedidos!$K:$K,Parametros!$B$3))</f>
        <v/>
      </c>
      <c r="J278" s="19">
        <f>IF(A278="","",SUMIFS(Pedidos!$E:$E,Pedidos!$C:$C,A278,Pedidos!$K:$K,Parametros!$B$3))</f>
        <v/>
      </c>
      <c r="K278" s="18">
        <f>IF(A278="","",COUNTIFS(Pedidos!$C:$C,A278,Pedidos!$K:$K,Parametros!$B$4))</f>
        <v/>
      </c>
      <c r="L278" s="20">
        <f>IF(A278="","",IF(COUNTIFS(Pedidos!$C:$C,A278,Pedidos!$B:$B,"&lt;="&amp;EOMONTH(Parametros!$B$2,0))=0,"",_xlfn.MAXIFS(Pedidos!$B:$B,Pedidos!$C:$C,A278,Pedidos!$B:$B,"&lt;="&amp;EOMONTH(Parametros!$B$2,0))))</f>
        <v/>
      </c>
      <c r="M278" s="20">
        <f>IF(OR(L278="",F278=""),"",EDATE(L278,F278))</f>
        <v/>
      </c>
      <c r="N278" s="21">
        <f>IF(A278="","",IF(L278="","Sem histórico",IF(AND(L278&gt;=Parametros!$B$2,L278&lt;=EOMONTH(Parametros!$B$2,0)),"Comprou no mês",IF(M278="","Sem periodicidade",IF(M278&lt;Parametros!$B$2,"Atrasado",IF(M278&lt;=EOMONTH(Parametros!$B$2,0),"Previsto no mês","Em dia"))))))</f>
        <v/>
      </c>
    </row>
    <row r="279">
      <c r="I279" s="18">
        <f>IF(A279="","",COUNTIFS(Pedidos!$C:$C,A279,Pedidos!$K:$K,Parametros!$B$3))</f>
        <v/>
      </c>
      <c r="J279" s="19">
        <f>IF(A279="","",SUMIFS(Pedidos!$E:$E,Pedidos!$C:$C,A279,Pedidos!$K:$K,Parametros!$B$3))</f>
        <v/>
      </c>
      <c r="K279" s="18">
        <f>IF(A279="","",COUNTIFS(Pedidos!$C:$C,A279,Pedidos!$K:$K,Parametros!$B$4))</f>
        <v/>
      </c>
      <c r="L279" s="20">
        <f>IF(A279="","",IF(COUNTIFS(Pedidos!$C:$C,A279,Pedidos!$B:$B,"&lt;="&amp;EOMONTH(Parametros!$B$2,0))=0,"",_xlfn.MAXIFS(Pedidos!$B:$B,Pedidos!$C:$C,A279,Pedidos!$B:$B,"&lt;="&amp;EOMONTH(Parametros!$B$2,0))))</f>
        <v/>
      </c>
      <c r="M279" s="20">
        <f>IF(OR(L279="",F279=""),"",EDATE(L279,F279))</f>
        <v/>
      </c>
      <c r="N279" s="21">
        <f>IF(A279="","",IF(L279="","Sem histórico",IF(AND(L279&gt;=Parametros!$B$2,L279&lt;=EOMONTH(Parametros!$B$2,0)),"Comprou no mês",IF(M279="","Sem periodicidade",IF(M279&lt;Parametros!$B$2,"Atrasado",IF(M279&lt;=EOMONTH(Parametros!$B$2,0),"Previsto no mês","Em dia"))))))</f>
        <v/>
      </c>
    </row>
    <row r="280">
      <c r="I280" s="18">
        <f>IF(A280="","",COUNTIFS(Pedidos!$C:$C,A280,Pedidos!$K:$K,Parametros!$B$3))</f>
        <v/>
      </c>
      <c r="J280" s="19">
        <f>IF(A280="","",SUMIFS(Pedidos!$E:$E,Pedidos!$C:$C,A280,Pedidos!$K:$K,Parametros!$B$3))</f>
        <v/>
      </c>
      <c r="K280" s="18">
        <f>IF(A280="","",COUNTIFS(Pedidos!$C:$C,A280,Pedidos!$K:$K,Parametros!$B$4))</f>
        <v/>
      </c>
      <c r="L280" s="20">
        <f>IF(A280="","",IF(COUNTIFS(Pedidos!$C:$C,A280,Pedidos!$B:$B,"&lt;="&amp;EOMONTH(Parametros!$B$2,0))=0,"",_xlfn.MAXIFS(Pedidos!$B:$B,Pedidos!$C:$C,A280,Pedidos!$B:$B,"&lt;="&amp;EOMONTH(Parametros!$B$2,0))))</f>
        <v/>
      </c>
      <c r="M280" s="20">
        <f>IF(OR(L280="",F280=""),"",EDATE(L280,F280))</f>
        <v/>
      </c>
      <c r="N280" s="21">
        <f>IF(A280="","",IF(L280="","Sem histórico",IF(AND(L280&gt;=Parametros!$B$2,L280&lt;=EOMONTH(Parametros!$B$2,0)),"Comprou no mês",IF(M280="","Sem periodicidade",IF(M280&lt;Parametros!$B$2,"Atrasado",IF(M280&lt;=EOMONTH(Parametros!$B$2,0),"Previsto no mês","Em dia"))))))</f>
        <v/>
      </c>
    </row>
    <row r="281">
      <c r="I281" s="18">
        <f>IF(A281="","",COUNTIFS(Pedidos!$C:$C,A281,Pedidos!$K:$K,Parametros!$B$3))</f>
        <v/>
      </c>
      <c r="J281" s="19">
        <f>IF(A281="","",SUMIFS(Pedidos!$E:$E,Pedidos!$C:$C,A281,Pedidos!$K:$K,Parametros!$B$3))</f>
        <v/>
      </c>
      <c r="K281" s="18">
        <f>IF(A281="","",COUNTIFS(Pedidos!$C:$C,A281,Pedidos!$K:$K,Parametros!$B$4))</f>
        <v/>
      </c>
      <c r="L281" s="20">
        <f>IF(A281="","",IF(COUNTIFS(Pedidos!$C:$C,A281,Pedidos!$B:$B,"&lt;="&amp;EOMONTH(Parametros!$B$2,0))=0,"",_xlfn.MAXIFS(Pedidos!$B:$B,Pedidos!$C:$C,A281,Pedidos!$B:$B,"&lt;="&amp;EOMONTH(Parametros!$B$2,0))))</f>
        <v/>
      </c>
      <c r="M281" s="20">
        <f>IF(OR(L281="",F281=""),"",EDATE(L281,F281))</f>
        <v/>
      </c>
      <c r="N281" s="21">
        <f>IF(A281="","",IF(L281="","Sem histórico",IF(AND(L281&gt;=Parametros!$B$2,L281&lt;=EOMONTH(Parametros!$B$2,0)),"Comprou no mês",IF(M281="","Sem periodicidade",IF(M281&lt;Parametros!$B$2,"Atrasado",IF(M281&lt;=EOMONTH(Parametros!$B$2,0),"Previsto no mês","Em dia"))))))</f>
        <v/>
      </c>
    </row>
    <row r="282">
      <c r="I282" s="18">
        <f>IF(A282="","",COUNTIFS(Pedidos!$C:$C,A282,Pedidos!$K:$K,Parametros!$B$3))</f>
        <v/>
      </c>
      <c r="J282" s="19">
        <f>IF(A282="","",SUMIFS(Pedidos!$E:$E,Pedidos!$C:$C,A282,Pedidos!$K:$K,Parametros!$B$3))</f>
        <v/>
      </c>
      <c r="K282" s="18">
        <f>IF(A282="","",COUNTIFS(Pedidos!$C:$C,A282,Pedidos!$K:$K,Parametros!$B$4))</f>
        <v/>
      </c>
      <c r="L282" s="20">
        <f>IF(A282="","",IF(COUNTIFS(Pedidos!$C:$C,A282,Pedidos!$B:$B,"&lt;="&amp;EOMONTH(Parametros!$B$2,0))=0,"",_xlfn.MAXIFS(Pedidos!$B:$B,Pedidos!$C:$C,A282,Pedidos!$B:$B,"&lt;="&amp;EOMONTH(Parametros!$B$2,0))))</f>
        <v/>
      </c>
      <c r="M282" s="20">
        <f>IF(OR(L282="",F282=""),"",EDATE(L282,F282))</f>
        <v/>
      </c>
      <c r="N282" s="21">
        <f>IF(A282="","",IF(L282="","Sem histórico",IF(AND(L282&gt;=Parametros!$B$2,L282&lt;=EOMONTH(Parametros!$B$2,0)),"Comprou no mês",IF(M282="","Sem periodicidade",IF(M282&lt;Parametros!$B$2,"Atrasado",IF(M282&lt;=EOMONTH(Parametros!$B$2,0),"Previsto no mês","Em dia"))))))</f>
        <v/>
      </c>
    </row>
    <row r="283">
      <c r="I283" s="18">
        <f>IF(A283="","",COUNTIFS(Pedidos!$C:$C,A283,Pedidos!$K:$K,Parametros!$B$3))</f>
        <v/>
      </c>
      <c r="J283" s="19">
        <f>IF(A283="","",SUMIFS(Pedidos!$E:$E,Pedidos!$C:$C,A283,Pedidos!$K:$K,Parametros!$B$3))</f>
        <v/>
      </c>
      <c r="K283" s="18">
        <f>IF(A283="","",COUNTIFS(Pedidos!$C:$C,A283,Pedidos!$K:$K,Parametros!$B$4))</f>
        <v/>
      </c>
      <c r="L283" s="20">
        <f>IF(A283="","",IF(COUNTIFS(Pedidos!$C:$C,A283,Pedidos!$B:$B,"&lt;="&amp;EOMONTH(Parametros!$B$2,0))=0,"",_xlfn.MAXIFS(Pedidos!$B:$B,Pedidos!$C:$C,A283,Pedidos!$B:$B,"&lt;="&amp;EOMONTH(Parametros!$B$2,0))))</f>
        <v/>
      </c>
      <c r="M283" s="20">
        <f>IF(OR(L283="",F283=""),"",EDATE(L283,F283))</f>
        <v/>
      </c>
      <c r="N283" s="21">
        <f>IF(A283="","",IF(L283="","Sem histórico",IF(AND(L283&gt;=Parametros!$B$2,L283&lt;=EOMONTH(Parametros!$B$2,0)),"Comprou no mês",IF(M283="","Sem periodicidade",IF(M283&lt;Parametros!$B$2,"Atrasado",IF(M283&lt;=EOMONTH(Parametros!$B$2,0),"Previsto no mês","Em dia"))))))</f>
        <v/>
      </c>
    </row>
    <row r="284">
      <c r="I284" s="18">
        <f>IF(A284="","",COUNTIFS(Pedidos!$C:$C,A284,Pedidos!$K:$K,Parametros!$B$3))</f>
        <v/>
      </c>
      <c r="J284" s="19">
        <f>IF(A284="","",SUMIFS(Pedidos!$E:$E,Pedidos!$C:$C,A284,Pedidos!$K:$K,Parametros!$B$3))</f>
        <v/>
      </c>
      <c r="K284" s="18">
        <f>IF(A284="","",COUNTIFS(Pedidos!$C:$C,A284,Pedidos!$K:$K,Parametros!$B$4))</f>
        <v/>
      </c>
      <c r="L284" s="20">
        <f>IF(A284="","",IF(COUNTIFS(Pedidos!$C:$C,A284,Pedidos!$B:$B,"&lt;="&amp;EOMONTH(Parametros!$B$2,0))=0,"",_xlfn.MAXIFS(Pedidos!$B:$B,Pedidos!$C:$C,A284,Pedidos!$B:$B,"&lt;="&amp;EOMONTH(Parametros!$B$2,0))))</f>
        <v/>
      </c>
      <c r="M284" s="20">
        <f>IF(OR(L284="",F284=""),"",EDATE(L284,F284))</f>
        <v/>
      </c>
      <c r="N284" s="21">
        <f>IF(A284="","",IF(L284="","Sem histórico",IF(AND(L284&gt;=Parametros!$B$2,L284&lt;=EOMONTH(Parametros!$B$2,0)),"Comprou no mês",IF(M284="","Sem periodicidade",IF(M284&lt;Parametros!$B$2,"Atrasado",IF(M284&lt;=EOMONTH(Parametros!$B$2,0),"Previsto no mês","Em dia"))))))</f>
        <v/>
      </c>
    </row>
    <row r="285">
      <c r="I285" s="18">
        <f>IF(A285="","",COUNTIFS(Pedidos!$C:$C,A285,Pedidos!$K:$K,Parametros!$B$3))</f>
        <v/>
      </c>
      <c r="J285" s="19">
        <f>IF(A285="","",SUMIFS(Pedidos!$E:$E,Pedidos!$C:$C,A285,Pedidos!$K:$K,Parametros!$B$3))</f>
        <v/>
      </c>
      <c r="K285" s="18">
        <f>IF(A285="","",COUNTIFS(Pedidos!$C:$C,A285,Pedidos!$K:$K,Parametros!$B$4))</f>
        <v/>
      </c>
      <c r="L285" s="20">
        <f>IF(A285="","",IF(COUNTIFS(Pedidos!$C:$C,A285,Pedidos!$B:$B,"&lt;="&amp;EOMONTH(Parametros!$B$2,0))=0,"",_xlfn.MAXIFS(Pedidos!$B:$B,Pedidos!$C:$C,A285,Pedidos!$B:$B,"&lt;="&amp;EOMONTH(Parametros!$B$2,0))))</f>
        <v/>
      </c>
      <c r="M285" s="20">
        <f>IF(OR(L285="",F285=""),"",EDATE(L285,F285))</f>
        <v/>
      </c>
      <c r="N285" s="21">
        <f>IF(A285="","",IF(L285="","Sem histórico",IF(AND(L285&gt;=Parametros!$B$2,L285&lt;=EOMONTH(Parametros!$B$2,0)),"Comprou no mês",IF(M285="","Sem periodicidade",IF(M285&lt;Parametros!$B$2,"Atrasado",IF(M285&lt;=EOMONTH(Parametros!$B$2,0),"Previsto no mês","Em dia"))))))</f>
        <v/>
      </c>
    </row>
    <row r="286">
      <c r="I286" s="18">
        <f>IF(A286="","",COUNTIFS(Pedidos!$C:$C,A286,Pedidos!$K:$K,Parametros!$B$3))</f>
        <v/>
      </c>
      <c r="J286" s="19">
        <f>IF(A286="","",SUMIFS(Pedidos!$E:$E,Pedidos!$C:$C,A286,Pedidos!$K:$K,Parametros!$B$3))</f>
        <v/>
      </c>
      <c r="K286" s="18">
        <f>IF(A286="","",COUNTIFS(Pedidos!$C:$C,A286,Pedidos!$K:$K,Parametros!$B$4))</f>
        <v/>
      </c>
      <c r="L286" s="20">
        <f>IF(A286="","",IF(COUNTIFS(Pedidos!$C:$C,A286,Pedidos!$B:$B,"&lt;="&amp;EOMONTH(Parametros!$B$2,0))=0,"",_xlfn.MAXIFS(Pedidos!$B:$B,Pedidos!$C:$C,A286,Pedidos!$B:$B,"&lt;="&amp;EOMONTH(Parametros!$B$2,0))))</f>
        <v/>
      </c>
      <c r="M286" s="20">
        <f>IF(OR(L286="",F286=""),"",EDATE(L286,F286))</f>
        <v/>
      </c>
      <c r="N286" s="21">
        <f>IF(A286="","",IF(L286="","Sem histórico",IF(AND(L286&gt;=Parametros!$B$2,L286&lt;=EOMONTH(Parametros!$B$2,0)),"Comprou no mês",IF(M286="","Sem periodicidade",IF(M286&lt;Parametros!$B$2,"Atrasado",IF(M286&lt;=EOMONTH(Parametros!$B$2,0),"Previsto no mês","Em dia"))))))</f>
        <v/>
      </c>
    </row>
    <row r="287">
      <c r="I287" s="18">
        <f>IF(A287="","",COUNTIFS(Pedidos!$C:$C,A287,Pedidos!$K:$K,Parametros!$B$3))</f>
        <v/>
      </c>
      <c r="J287" s="19">
        <f>IF(A287="","",SUMIFS(Pedidos!$E:$E,Pedidos!$C:$C,A287,Pedidos!$K:$K,Parametros!$B$3))</f>
        <v/>
      </c>
      <c r="K287" s="18">
        <f>IF(A287="","",COUNTIFS(Pedidos!$C:$C,A287,Pedidos!$K:$K,Parametros!$B$4))</f>
        <v/>
      </c>
      <c r="L287" s="20">
        <f>IF(A287="","",IF(COUNTIFS(Pedidos!$C:$C,A287,Pedidos!$B:$B,"&lt;="&amp;EOMONTH(Parametros!$B$2,0))=0,"",_xlfn.MAXIFS(Pedidos!$B:$B,Pedidos!$C:$C,A287,Pedidos!$B:$B,"&lt;="&amp;EOMONTH(Parametros!$B$2,0))))</f>
        <v/>
      </c>
      <c r="M287" s="20">
        <f>IF(OR(L287="",F287=""),"",EDATE(L287,F287))</f>
        <v/>
      </c>
      <c r="N287" s="21">
        <f>IF(A287="","",IF(L287="","Sem histórico",IF(AND(L287&gt;=Parametros!$B$2,L287&lt;=EOMONTH(Parametros!$B$2,0)),"Comprou no mês",IF(M287="","Sem periodicidade",IF(M287&lt;Parametros!$B$2,"Atrasado",IF(M287&lt;=EOMONTH(Parametros!$B$2,0),"Previsto no mês","Em dia"))))))</f>
        <v/>
      </c>
    </row>
    <row r="288">
      <c r="I288" s="18">
        <f>IF(A288="","",COUNTIFS(Pedidos!$C:$C,A288,Pedidos!$K:$K,Parametros!$B$3))</f>
        <v/>
      </c>
      <c r="J288" s="19">
        <f>IF(A288="","",SUMIFS(Pedidos!$E:$E,Pedidos!$C:$C,A288,Pedidos!$K:$K,Parametros!$B$3))</f>
        <v/>
      </c>
      <c r="K288" s="18">
        <f>IF(A288="","",COUNTIFS(Pedidos!$C:$C,A288,Pedidos!$K:$K,Parametros!$B$4))</f>
        <v/>
      </c>
      <c r="L288" s="20">
        <f>IF(A288="","",IF(COUNTIFS(Pedidos!$C:$C,A288,Pedidos!$B:$B,"&lt;="&amp;EOMONTH(Parametros!$B$2,0))=0,"",_xlfn.MAXIFS(Pedidos!$B:$B,Pedidos!$C:$C,A288,Pedidos!$B:$B,"&lt;="&amp;EOMONTH(Parametros!$B$2,0))))</f>
        <v/>
      </c>
      <c r="M288" s="20">
        <f>IF(OR(L288="",F288=""),"",EDATE(L288,F288))</f>
        <v/>
      </c>
      <c r="N288" s="21">
        <f>IF(A288="","",IF(L288="","Sem histórico",IF(AND(L288&gt;=Parametros!$B$2,L288&lt;=EOMONTH(Parametros!$B$2,0)),"Comprou no mês",IF(M288="","Sem periodicidade",IF(M288&lt;Parametros!$B$2,"Atrasado",IF(M288&lt;=EOMONTH(Parametros!$B$2,0),"Previsto no mês","Em dia"))))))</f>
        <v/>
      </c>
    </row>
    <row r="289">
      <c r="I289" s="18">
        <f>IF(A289="","",COUNTIFS(Pedidos!$C:$C,A289,Pedidos!$K:$K,Parametros!$B$3))</f>
        <v/>
      </c>
      <c r="J289" s="19">
        <f>IF(A289="","",SUMIFS(Pedidos!$E:$E,Pedidos!$C:$C,A289,Pedidos!$K:$K,Parametros!$B$3))</f>
        <v/>
      </c>
      <c r="K289" s="18">
        <f>IF(A289="","",COUNTIFS(Pedidos!$C:$C,A289,Pedidos!$K:$K,Parametros!$B$4))</f>
        <v/>
      </c>
      <c r="L289" s="20">
        <f>IF(A289="","",IF(COUNTIFS(Pedidos!$C:$C,A289,Pedidos!$B:$B,"&lt;="&amp;EOMONTH(Parametros!$B$2,0))=0,"",_xlfn.MAXIFS(Pedidos!$B:$B,Pedidos!$C:$C,A289,Pedidos!$B:$B,"&lt;="&amp;EOMONTH(Parametros!$B$2,0))))</f>
        <v/>
      </c>
      <c r="M289" s="20">
        <f>IF(OR(L289="",F289=""),"",EDATE(L289,F289))</f>
        <v/>
      </c>
      <c r="N289" s="21">
        <f>IF(A289="","",IF(L289="","Sem histórico",IF(AND(L289&gt;=Parametros!$B$2,L289&lt;=EOMONTH(Parametros!$B$2,0)),"Comprou no mês",IF(M289="","Sem periodicidade",IF(M289&lt;Parametros!$B$2,"Atrasado",IF(M289&lt;=EOMONTH(Parametros!$B$2,0),"Previsto no mês","Em dia"))))))</f>
        <v/>
      </c>
    </row>
    <row r="290">
      <c r="I290" s="18">
        <f>IF(A290="","",COUNTIFS(Pedidos!$C:$C,A290,Pedidos!$K:$K,Parametros!$B$3))</f>
        <v/>
      </c>
      <c r="J290" s="19">
        <f>IF(A290="","",SUMIFS(Pedidos!$E:$E,Pedidos!$C:$C,A290,Pedidos!$K:$K,Parametros!$B$3))</f>
        <v/>
      </c>
      <c r="K290" s="18">
        <f>IF(A290="","",COUNTIFS(Pedidos!$C:$C,A290,Pedidos!$K:$K,Parametros!$B$4))</f>
        <v/>
      </c>
      <c r="L290" s="20">
        <f>IF(A290="","",IF(COUNTIFS(Pedidos!$C:$C,A290,Pedidos!$B:$B,"&lt;="&amp;EOMONTH(Parametros!$B$2,0))=0,"",_xlfn.MAXIFS(Pedidos!$B:$B,Pedidos!$C:$C,A290,Pedidos!$B:$B,"&lt;="&amp;EOMONTH(Parametros!$B$2,0))))</f>
        <v/>
      </c>
      <c r="M290" s="20">
        <f>IF(OR(L290="",F290=""),"",EDATE(L290,F290))</f>
        <v/>
      </c>
      <c r="N290" s="21">
        <f>IF(A290="","",IF(L290="","Sem histórico",IF(AND(L290&gt;=Parametros!$B$2,L290&lt;=EOMONTH(Parametros!$B$2,0)),"Comprou no mês",IF(M290="","Sem periodicidade",IF(M290&lt;Parametros!$B$2,"Atrasado",IF(M290&lt;=EOMONTH(Parametros!$B$2,0),"Previsto no mês","Em dia"))))))</f>
        <v/>
      </c>
    </row>
    <row r="291">
      <c r="I291" s="18">
        <f>IF(A291="","",COUNTIFS(Pedidos!$C:$C,A291,Pedidos!$K:$K,Parametros!$B$3))</f>
        <v/>
      </c>
      <c r="J291" s="19">
        <f>IF(A291="","",SUMIFS(Pedidos!$E:$E,Pedidos!$C:$C,A291,Pedidos!$K:$K,Parametros!$B$3))</f>
        <v/>
      </c>
      <c r="K291" s="18">
        <f>IF(A291="","",COUNTIFS(Pedidos!$C:$C,A291,Pedidos!$K:$K,Parametros!$B$4))</f>
        <v/>
      </c>
      <c r="L291" s="20">
        <f>IF(A291="","",IF(COUNTIFS(Pedidos!$C:$C,A291,Pedidos!$B:$B,"&lt;="&amp;EOMONTH(Parametros!$B$2,0))=0,"",_xlfn.MAXIFS(Pedidos!$B:$B,Pedidos!$C:$C,A291,Pedidos!$B:$B,"&lt;="&amp;EOMONTH(Parametros!$B$2,0))))</f>
        <v/>
      </c>
      <c r="M291" s="20">
        <f>IF(OR(L291="",F291=""),"",EDATE(L291,F291))</f>
        <v/>
      </c>
      <c r="N291" s="21">
        <f>IF(A291="","",IF(L291="","Sem histórico",IF(AND(L291&gt;=Parametros!$B$2,L291&lt;=EOMONTH(Parametros!$B$2,0)),"Comprou no mês",IF(M291="","Sem periodicidade",IF(M291&lt;Parametros!$B$2,"Atrasado",IF(M291&lt;=EOMONTH(Parametros!$B$2,0),"Previsto no mês","Em dia"))))))</f>
        <v/>
      </c>
    </row>
    <row r="292">
      <c r="I292" s="18">
        <f>IF(A292="","",COUNTIFS(Pedidos!$C:$C,A292,Pedidos!$K:$K,Parametros!$B$3))</f>
        <v/>
      </c>
      <c r="J292" s="19">
        <f>IF(A292="","",SUMIFS(Pedidos!$E:$E,Pedidos!$C:$C,A292,Pedidos!$K:$K,Parametros!$B$3))</f>
        <v/>
      </c>
      <c r="K292" s="18">
        <f>IF(A292="","",COUNTIFS(Pedidos!$C:$C,A292,Pedidos!$K:$K,Parametros!$B$4))</f>
        <v/>
      </c>
      <c r="L292" s="20">
        <f>IF(A292="","",IF(COUNTIFS(Pedidos!$C:$C,A292,Pedidos!$B:$B,"&lt;="&amp;EOMONTH(Parametros!$B$2,0))=0,"",_xlfn.MAXIFS(Pedidos!$B:$B,Pedidos!$C:$C,A292,Pedidos!$B:$B,"&lt;="&amp;EOMONTH(Parametros!$B$2,0))))</f>
        <v/>
      </c>
      <c r="M292" s="20">
        <f>IF(OR(L292="",F292=""),"",EDATE(L292,F292))</f>
        <v/>
      </c>
      <c r="N292" s="21">
        <f>IF(A292="","",IF(L292="","Sem histórico",IF(AND(L292&gt;=Parametros!$B$2,L292&lt;=EOMONTH(Parametros!$B$2,0)),"Comprou no mês",IF(M292="","Sem periodicidade",IF(M292&lt;Parametros!$B$2,"Atrasado",IF(M292&lt;=EOMONTH(Parametros!$B$2,0),"Previsto no mês","Em dia"))))))</f>
        <v/>
      </c>
    </row>
    <row r="293">
      <c r="I293" s="18">
        <f>IF(A293="","",COUNTIFS(Pedidos!$C:$C,A293,Pedidos!$K:$K,Parametros!$B$3))</f>
        <v/>
      </c>
      <c r="J293" s="19">
        <f>IF(A293="","",SUMIFS(Pedidos!$E:$E,Pedidos!$C:$C,A293,Pedidos!$K:$K,Parametros!$B$3))</f>
        <v/>
      </c>
      <c r="K293" s="18">
        <f>IF(A293="","",COUNTIFS(Pedidos!$C:$C,A293,Pedidos!$K:$K,Parametros!$B$4))</f>
        <v/>
      </c>
      <c r="L293" s="20">
        <f>IF(A293="","",IF(COUNTIFS(Pedidos!$C:$C,A293,Pedidos!$B:$B,"&lt;="&amp;EOMONTH(Parametros!$B$2,0))=0,"",_xlfn.MAXIFS(Pedidos!$B:$B,Pedidos!$C:$C,A293,Pedidos!$B:$B,"&lt;="&amp;EOMONTH(Parametros!$B$2,0))))</f>
        <v/>
      </c>
      <c r="M293" s="20">
        <f>IF(OR(L293="",F293=""),"",EDATE(L293,F293))</f>
        <v/>
      </c>
      <c r="N293" s="21">
        <f>IF(A293="","",IF(L293="","Sem histórico",IF(AND(L293&gt;=Parametros!$B$2,L293&lt;=EOMONTH(Parametros!$B$2,0)),"Comprou no mês",IF(M293="","Sem periodicidade",IF(M293&lt;Parametros!$B$2,"Atrasado",IF(M293&lt;=EOMONTH(Parametros!$B$2,0),"Previsto no mês","Em dia"))))))</f>
        <v/>
      </c>
    </row>
    <row r="294">
      <c r="I294" s="18">
        <f>IF(A294="","",COUNTIFS(Pedidos!$C:$C,A294,Pedidos!$K:$K,Parametros!$B$3))</f>
        <v/>
      </c>
      <c r="J294" s="19">
        <f>IF(A294="","",SUMIFS(Pedidos!$E:$E,Pedidos!$C:$C,A294,Pedidos!$K:$K,Parametros!$B$3))</f>
        <v/>
      </c>
      <c r="K294" s="18">
        <f>IF(A294="","",COUNTIFS(Pedidos!$C:$C,A294,Pedidos!$K:$K,Parametros!$B$4))</f>
        <v/>
      </c>
      <c r="L294" s="20">
        <f>IF(A294="","",IF(COUNTIFS(Pedidos!$C:$C,A294,Pedidos!$B:$B,"&lt;="&amp;EOMONTH(Parametros!$B$2,0))=0,"",_xlfn.MAXIFS(Pedidos!$B:$B,Pedidos!$C:$C,A294,Pedidos!$B:$B,"&lt;="&amp;EOMONTH(Parametros!$B$2,0))))</f>
        <v/>
      </c>
      <c r="M294" s="20">
        <f>IF(OR(L294="",F294=""),"",EDATE(L294,F294))</f>
        <v/>
      </c>
      <c r="N294" s="21">
        <f>IF(A294="","",IF(L294="","Sem histórico",IF(AND(L294&gt;=Parametros!$B$2,L294&lt;=EOMONTH(Parametros!$B$2,0)),"Comprou no mês",IF(M294="","Sem periodicidade",IF(M294&lt;Parametros!$B$2,"Atrasado",IF(M294&lt;=EOMONTH(Parametros!$B$2,0),"Previsto no mês","Em dia"))))))</f>
        <v/>
      </c>
    </row>
    <row r="295">
      <c r="I295" s="18">
        <f>IF(A295="","",COUNTIFS(Pedidos!$C:$C,A295,Pedidos!$K:$K,Parametros!$B$3))</f>
        <v/>
      </c>
      <c r="J295" s="19">
        <f>IF(A295="","",SUMIFS(Pedidos!$E:$E,Pedidos!$C:$C,A295,Pedidos!$K:$K,Parametros!$B$3))</f>
        <v/>
      </c>
      <c r="K295" s="18">
        <f>IF(A295="","",COUNTIFS(Pedidos!$C:$C,A295,Pedidos!$K:$K,Parametros!$B$4))</f>
        <v/>
      </c>
      <c r="L295" s="20">
        <f>IF(A295="","",IF(COUNTIFS(Pedidos!$C:$C,A295,Pedidos!$B:$B,"&lt;="&amp;EOMONTH(Parametros!$B$2,0))=0,"",_xlfn.MAXIFS(Pedidos!$B:$B,Pedidos!$C:$C,A295,Pedidos!$B:$B,"&lt;="&amp;EOMONTH(Parametros!$B$2,0))))</f>
        <v/>
      </c>
      <c r="M295" s="20">
        <f>IF(OR(L295="",F295=""),"",EDATE(L295,F295))</f>
        <v/>
      </c>
      <c r="N295" s="21">
        <f>IF(A295="","",IF(L295="","Sem histórico",IF(AND(L295&gt;=Parametros!$B$2,L295&lt;=EOMONTH(Parametros!$B$2,0)),"Comprou no mês",IF(M295="","Sem periodicidade",IF(M295&lt;Parametros!$B$2,"Atrasado",IF(M295&lt;=EOMONTH(Parametros!$B$2,0),"Previsto no mês","Em dia"))))))</f>
        <v/>
      </c>
    </row>
    <row r="296">
      <c r="I296" s="18">
        <f>IF(A296="","",COUNTIFS(Pedidos!$C:$C,A296,Pedidos!$K:$K,Parametros!$B$3))</f>
        <v/>
      </c>
      <c r="J296" s="19">
        <f>IF(A296="","",SUMIFS(Pedidos!$E:$E,Pedidos!$C:$C,A296,Pedidos!$K:$K,Parametros!$B$3))</f>
        <v/>
      </c>
      <c r="K296" s="18">
        <f>IF(A296="","",COUNTIFS(Pedidos!$C:$C,A296,Pedidos!$K:$K,Parametros!$B$4))</f>
        <v/>
      </c>
      <c r="L296" s="20">
        <f>IF(A296="","",IF(COUNTIFS(Pedidos!$C:$C,A296,Pedidos!$B:$B,"&lt;="&amp;EOMONTH(Parametros!$B$2,0))=0,"",_xlfn.MAXIFS(Pedidos!$B:$B,Pedidos!$C:$C,A296,Pedidos!$B:$B,"&lt;="&amp;EOMONTH(Parametros!$B$2,0))))</f>
        <v/>
      </c>
      <c r="M296" s="20">
        <f>IF(OR(L296="",F296=""),"",EDATE(L296,F296))</f>
        <v/>
      </c>
      <c r="N296" s="21">
        <f>IF(A296="","",IF(L296="","Sem histórico",IF(AND(L296&gt;=Parametros!$B$2,L296&lt;=EOMONTH(Parametros!$B$2,0)),"Comprou no mês",IF(M296="","Sem periodicidade",IF(M296&lt;Parametros!$B$2,"Atrasado",IF(M296&lt;=EOMONTH(Parametros!$B$2,0),"Previsto no mês","Em dia"))))))</f>
        <v/>
      </c>
    </row>
    <row r="297">
      <c r="I297" s="18">
        <f>IF(A297="","",COUNTIFS(Pedidos!$C:$C,A297,Pedidos!$K:$K,Parametros!$B$3))</f>
        <v/>
      </c>
      <c r="J297" s="19">
        <f>IF(A297="","",SUMIFS(Pedidos!$E:$E,Pedidos!$C:$C,A297,Pedidos!$K:$K,Parametros!$B$3))</f>
        <v/>
      </c>
      <c r="K297" s="18">
        <f>IF(A297="","",COUNTIFS(Pedidos!$C:$C,A297,Pedidos!$K:$K,Parametros!$B$4))</f>
        <v/>
      </c>
      <c r="L297" s="20">
        <f>IF(A297="","",IF(COUNTIFS(Pedidos!$C:$C,A297,Pedidos!$B:$B,"&lt;="&amp;EOMONTH(Parametros!$B$2,0))=0,"",_xlfn.MAXIFS(Pedidos!$B:$B,Pedidos!$C:$C,A297,Pedidos!$B:$B,"&lt;="&amp;EOMONTH(Parametros!$B$2,0))))</f>
        <v/>
      </c>
      <c r="M297" s="20">
        <f>IF(OR(L297="",F297=""),"",EDATE(L297,F297))</f>
        <v/>
      </c>
      <c r="N297" s="21">
        <f>IF(A297="","",IF(L297="","Sem histórico",IF(AND(L297&gt;=Parametros!$B$2,L297&lt;=EOMONTH(Parametros!$B$2,0)),"Comprou no mês",IF(M297="","Sem periodicidade",IF(M297&lt;Parametros!$B$2,"Atrasado",IF(M297&lt;=EOMONTH(Parametros!$B$2,0),"Previsto no mês","Em dia"))))))</f>
        <v/>
      </c>
    </row>
    <row r="298">
      <c r="I298" s="18">
        <f>IF(A298="","",COUNTIFS(Pedidos!$C:$C,A298,Pedidos!$K:$K,Parametros!$B$3))</f>
        <v/>
      </c>
      <c r="J298" s="19">
        <f>IF(A298="","",SUMIFS(Pedidos!$E:$E,Pedidos!$C:$C,A298,Pedidos!$K:$K,Parametros!$B$3))</f>
        <v/>
      </c>
      <c r="K298" s="18">
        <f>IF(A298="","",COUNTIFS(Pedidos!$C:$C,A298,Pedidos!$K:$K,Parametros!$B$4))</f>
        <v/>
      </c>
      <c r="L298" s="20">
        <f>IF(A298="","",IF(COUNTIFS(Pedidos!$C:$C,A298,Pedidos!$B:$B,"&lt;="&amp;EOMONTH(Parametros!$B$2,0))=0,"",_xlfn.MAXIFS(Pedidos!$B:$B,Pedidos!$C:$C,A298,Pedidos!$B:$B,"&lt;="&amp;EOMONTH(Parametros!$B$2,0))))</f>
        <v/>
      </c>
      <c r="M298" s="20">
        <f>IF(OR(L298="",F298=""),"",EDATE(L298,F298))</f>
        <v/>
      </c>
      <c r="N298" s="21">
        <f>IF(A298="","",IF(L298="","Sem histórico",IF(AND(L298&gt;=Parametros!$B$2,L298&lt;=EOMONTH(Parametros!$B$2,0)),"Comprou no mês",IF(M298="","Sem periodicidade",IF(M298&lt;Parametros!$B$2,"Atrasado",IF(M298&lt;=EOMONTH(Parametros!$B$2,0),"Previsto no mês","Em dia"))))))</f>
        <v/>
      </c>
    </row>
    <row r="299">
      <c r="I299" s="18">
        <f>IF(A299="","",COUNTIFS(Pedidos!$C:$C,A299,Pedidos!$K:$K,Parametros!$B$3))</f>
        <v/>
      </c>
      <c r="J299" s="19">
        <f>IF(A299="","",SUMIFS(Pedidos!$E:$E,Pedidos!$C:$C,A299,Pedidos!$K:$K,Parametros!$B$3))</f>
        <v/>
      </c>
      <c r="K299" s="18">
        <f>IF(A299="","",COUNTIFS(Pedidos!$C:$C,A299,Pedidos!$K:$K,Parametros!$B$4))</f>
        <v/>
      </c>
      <c r="L299" s="20">
        <f>IF(A299="","",IF(COUNTIFS(Pedidos!$C:$C,A299,Pedidos!$B:$B,"&lt;="&amp;EOMONTH(Parametros!$B$2,0))=0,"",_xlfn.MAXIFS(Pedidos!$B:$B,Pedidos!$C:$C,A299,Pedidos!$B:$B,"&lt;="&amp;EOMONTH(Parametros!$B$2,0))))</f>
        <v/>
      </c>
      <c r="M299" s="20">
        <f>IF(OR(L299="",F299=""),"",EDATE(L299,F299))</f>
        <v/>
      </c>
      <c r="N299" s="21">
        <f>IF(A299="","",IF(L299="","Sem histórico",IF(AND(L299&gt;=Parametros!$B$2,L299&lt;=EOMONTH(Parametros!$B$2,0)),"Comprou no mês",IF(M299="","Sem periodicidade",IF(M299&lt;Parametros!$B$2,"Atrasado",IF(M299&lt;=EOMONTH(Parametros!$B$2,0),"Previsto no mês","Em dia"))))))</f>
        <v/>
      </c>
    </row>
    <row r="300">
      <c r="I300" s="18">
        <f>IF(A300="","",COUNTIFS(Pedidos!$C:$C,A300,Pedidos!$K:$K,Parametros!$B$3))</f>
        <v/>
      </c>
      <c r="J300" s="19">
        <f>IF(A300="","",SUMIFS(Pedidos!$E:$E,Pedidos!$C:$C,A300,Pedidos!$K:$K,Parametros!$B$3))</f>
        <v/>
      </c>
      <c r="K300" s="18">
        <f>IF(A300="","",COUNTIFS(Pedidos!$C:$C,A300,Pedidos!$K:$K,Parametros!$B$4))</f>
        <v/>
      </c>
      <c r="L300" s="20">
        <f>IF(A300="","",IF(COUNTIFS(Pedidos!$C:$C,A300,Pedidos!$B:$B,"&lt;="&amp;EOMONTH(Parametros!$B$2,0))=0,"",_xlfn.MAXIFS(Pedidos!$B:$B,Pedidos!$C:$C,A300,Pedidos!$B:$B,"&lt;="&amp;EOMONTH(Parametros!$B$2,0))))</f>
        <v/>
      </c>
      <c r="M300" s="20">
        <f>IF(OR(L300="",F300=""),"",EDATE(L300,F300))</f>
        <v/>
      </c>
      <c r="N300" s="21">
        <f>IF(A300="","",IF(L300="","Sem histórico",IF(AND(L300&gt;=Parametros!$B$2,L300&lt;=EOMONTH(Parametros!$B$2,0)),"Comprou no mês",IF(M300="","Sem periodicidade",IF(M300&lt;Parametros!$B$2,"Atrasado",IF(M300&lt;=EOMONTH(Parametros!$B$2,0),"Previsto no mês","Em dia"))))))</f>
        <v/>
      </c>
    </row>
    <row r="301">
      <c r="I301" s="18">
        <f>IF(A301="","",COUNTIFS(Pedidos!$C:$C,A301,Pedidos!$K:$K,Parametros!$B$3))</f>
        <v/>
      </c>
      <c r="J301" s="19">
        <f>IF(A301="","",SUMIFS(Pedidos!$E:$E,Pedidos!$C:$C,A301,Pedidos!$K:$K,Parametros!$B$3))</f>
        <v/>
      </c>
      <c r="K301" s="18">
        <f>IF(A301="","",COUNTIFS(Pedidos!$C:$C,A301,Pedidos!$K:$K,Parametros!$B$4))</f>
        <v/>
      </c>
      <c r="L301" s="20">
        <f>IF(A301="","",IF(COUNTIFS(Pedidos!$C:$C,A301,Pedidos!$B:$B,"&lt;="&amp;EOMONTH(Parametros!$B$2,0))=0,"",_xlfn.MAXIFS(Pedidos!$B:$B,Pedidos!$C:$C,A301,Pedidos!$B:$B,"&lt;="&amp;EOMONTH(Parametros!$B$2,0))))</f>
        <v/>
      </c>
      <c r="M301" s="20">
        <f>IF(OR(L301="",F301=""),"",EDATE(L301,F301))</f>
        <v/>
      </c>
      <c r="N301" s="21">
        <f>IF(A301="","",IF(L301="","Sem histórico",IF(AND(L301&gt;=Parametros!$B$2,L301&lt;=EOMONTH(Parametros!$B$2,0)),"Comprou no mês",IF(M301="","Sem periodicidade",IF(M301&lt;Parametros!$B$2,"Atrasado",IF(M301&lt;=EOMONTH(Parametros!$B$2,0),"Previsto no mês","Em dia"))))))</f>
        <v/>
      </c>
    </row>
    <row r="302">
      <c r="I302" s="18">
        <f>IF(A302="","",COUNTIFS(Pedidos!$C:$C,A302,Pedidos!$K:$K,Parametros!$B$3))</f>
        <v/>
      </c>
      <c r="J302" s="19">
        <f>IF(A302="","",SUMIFS(Pedidos!$E:$E,Pedidos!$C:$C,A302,Pedidos!$K:$K,Parametros!$B$3))</f>
        <v/>
      </c>
      <c r="K302" s="18">
        <f>IF(A302="","",COUNTIFS(Pedidos!$C:$C,A302,Pedidos!$K:$K,Parametros!$B$4))</f>
        <v/>
      </c>
      <c r="L302" s="20">
        <f>IF(A302="","",IF(COUNTIFS(Pedidos!$C:$C,A302,Pedidos!$B:$B,"&lt;="&amp;EOMONTH(Parametros!$B$2,0))=0,"",_xlfn.MAXIFS(Pedidos!$B:$B,Pedidos!$C:$C,A302,Pedidos!$B:$B,"&lt;="&amp;EOMONTH(Parametros!$B$2,0))))</f>
        <v/>
      </c>
      <c r="M302" s="20">
        <f>IF(OR(L302="",F302=""),"",EDATE(L302,F302))</f>
        <v/>
      </c>
      <c r="N302" s="21">
        <f>IF(A302="","",IF(L302="","Sem histórico",IF(AND(L302&gt;=Parametros!$B$2,L302&lt;=EOMONTH(Parametros!$B$2,0)),"Comprou no mês",IF(M302="","Sem periodicidade",IF(M302&lt;Parametros!$B$2,"Atrasado",IF(M302&lt;=EOMONTH(Parametros!$B$2,0),"Previsto no mês","Em dia"))))))</f>
        <v/>
      </c>
    </row>
    <row r="303">
      <c r="I303" s="18">
        <f>IF(A303="","",COUNTIFS(Pedidos!$C:$C,A303,Pedidos!$K:$K,Parametros!$B$3))</f>
        <v/>
      </c>
      <c r="J303" s="19">
        <f>IF(A303="","",SUMIFS(Pedidos!$E:$E,Pedidos!$C:$C,A303,Pedidos!$K:$K,Parametros!$B$3))</f>
        <v/>
      </c>
      <c r="K303" s="18">
        <f>IF(A303="","",COUNTIFS(Pedidos!$C:$C,A303,Pedidos!$K:$K,Parametros!$B$4))</f>
        <v/>
      </c>
      <c r="L303" s="20">
        <f>IF(A303="","",IF(COUNTIFS(Pedidos!$C:$C,A303,Pedidos!$B:$B,"&lt;="&amp;EOMONTH(Parametros!$B$2,0))=0,"",_xlfn.MAXIFS(Pedidos!$B:$B,Pedidos!$C:$C,A303,Pedidos!$B:$B,"&lt;="&amp;EOMONTH(Parametros!$B$2,0))))</f>
        <v/>
      </c>
      <c r="M303" s="20">
        <f>IF(OR(L303="",F303=""),"",EDATE(L303,F303))</f>
        <v/>
      </c>
      <c r="N303" s="21">
        <f>IF(A303="","",IF(L303="","Sem histórico",IF(AND(L303&gt;=Parametros!$B$2,L303&lt;=EOMONTH(Parametros!$B$2,0)),"Comprou no mês",IF(M303="","Sem periodicidade",IF(M303&lt;Parametros!$B$2,"Atrasado",IF(M303&lt;=EOMONTH(Parametros!$B$2,0),"Previsto no mês","Em dia"))))))</f>
        <v/>
      </c>
    </row>
    <row r="304">
      <c r="I304" s="18">
        <f>IF(A304="","",COUNTIFS(Pedidos!$C:$C,A304,Pedidos!$K:$K,Parametros!$B$3))</f>
        <v/>
      </c>
      <c r="J304" s="19">
        <f>IF(A304="","",SUMIFS(Pedidos!$E:$E,Pedidos!$C:$C,A304,Pedidos!$K:$K,Parametros!$B$3))</f>
        <v/>
      </c>
      <c r="K304" s="18">
        <f>IF(A304="","",COUNTIFS(Pedidos!$C:$C,A304,Pedidos!$K:$K,Parametros!$B$4))</f>
        <v/>
      </c>
      <c r="L304" s="20">
        <f>IF(A304="","",IF(COUNTIFS(Pedidos!$C:$C,A304,Pedidos!$B:$B,"&lt;="&amp;EOMONTH(Parametros!$B$2,0))=0,"",_xlfn.MAXIFS(Pedidos!$B:$B,Pedidos!$C:$C,A304,Pedidos!$B:$B,"&lt;="&amp;EOMONTH(Parametros!$B$2,0))))</f>
        <v/>
      </c>
      <c r="M304" s="20">
        <f>IF(OR(L304="",F304=""),"",EDATE(L304,F304))</f>
        <v/>
      </c>
      <c r="N304" s="21">
        <f>IF(A304="","",IF(L304="","Sem histórico",IF(AND(L304&gt;=Parametros!$B$2,L304&lt;=EOMONTH(Parametros!$B$2,0)),"Comprou no mês",IF(M304="","Sem periodicidade",IF(M304&lt;Parametros!$B$2,"Atrasado",IF(M304&lt;=EOMONTH(Parametros!$B$2,0),"Previsto no mês","Em dia"))))))</f>
        <v/>
      </c>
    </row>
    <row r="305">
      <c r="I305" s="18">
        <f>IF(A305="","",COUNTIFS(Pedidos!$C:$C,A305,Pedidos!$K:$K,Parametros!$B$3))</f>
        <v/>
      </c>
      <c r="J305" s="19">
        <f>IF(A305="","",SUMIFS(Pedidos!$E:$E,Pedidos!$C:$C,A305,Pedidos!$K:$K,Parametros!$B$3))</f>
        <v/>
      </c>
      <c r="K305" s="18">
        <f>IF(A305="","",COUNTIFS(Pedidos!$C:$C,A305,Pedidos!$K:$K,Parametros!$B$4))</f>
        <v/>
      </c>
      <c r="L305" s="20">
        <f>IF(A305="","",IF(COUNTIFS(Pedidos!$C:$C,A305,Pedidos!$B:$B,"&lt;="&amp;EOMONTH(Parametros!$B$2,0))=0,"",_xlfn.MAXIFS(Pedidos!$B:$B,Pedidos!$C:$C,A305,Pedidos!$B:$B,"&lt;="&amp;EOMONTH(Parametros!$B$2,0))))</f>
        <v/>
      </c>
      <c r="M305" s="20">
        <f>IF(OR(L305="",F305=""),"",EDATE(L305,F305))</f>
        <v/>
      </c>
      <c r="N305" s="21">
        <f>IF(A305="","",IF(L305="","Sem histórico",IF(AND(L305&gt;=Parametros!$B$2,L305&lt;=EOMONTH(Parametros!$B$2,0)),"Comprou no mês",IF(M305="","Sem periodicidade",IF(M305&lt;Parametros!$B$2,"Atrasado",IF(M305&lt;=EOMONTH(Parametros!$B$2,0),"Previsto no mês","Em dia"))))))</f>
        <v/>
      </c>
    </row>
    <row r="306">
      <c r="I306" s="18">
        <f>IF(A306="","",COUNTIFS(Pedidos!$C:$C,A306,Pedidos!$K:$K,Parametros!$B$3))</f>
        <v/>
      </c>
      <c r="J306" s="19">
        <f>IF(A306="","",SUMIFS(Pedidos!$E:$E,Pedidos!$C:$C,A306,Pedidos!$K:$K,Parametros!$B$3))</f>
        <v/>
      </c>
      <c r="K306" s="18">
        <f>IF(A306="","",COUNTIFS(Pedidos!$C:$C,A306,Pedidos!$K:$K,Parametros!$B$4))</f>
        <v/>
      </c>
      <c r="L306" s="20">
        <f>IF(A306="","",IF(COUNTIFS(Pedidos!$C:$C,A306,Pedidos!$B:$B,"&lt;="&amp;EOMONTH(Parametros!$B$2,0))=0,"",_xlfn.MAXIFS(Pedidos!$B:$B,Pedidos!$C:$C,A306,Pedidos!$B:$B,"&lt;="&amp;EOMONTH(Parametros!$B$2,0))))</f>
        <v/>
      </c>
      <c r="M306" s="20">
        <f>IF(OR(L306="",F306=""),"",EDATE(L306,F306))</f>
        <v/>
      </c>
      <c r="N306" s="21">
        <f>IF(A306="","",IF(L306="","Sem histórico",IF(AND(L306&gt;=Parametros!$B$2,L306&lt;=EOMONTH(Parametros!$B$2,0)),"Comprou no mês",IF(M306="","Sem periodicidade",IF(M306&lt;Parametros!$B$2,"Atrasado",IF(M306&lt;=EOMONTH(Parametros!$B$2,0),"Previsto no mês","Em dia"))))))</f>
        <v/>
      </c>
    </row>
    <row r="307">
      <c r="I307" s="18">
        <f>IF(A307="","",COUNTIFS(Pedidos!$C:$C,A307,Pedidos!$K:$K,Parametros!$B$3))</f>
        <v/>
      </c>
      <c r="J307" s="19">
        <f>IF(A307="","",SUMIFS(Pedidos!$E:$E,Pedidos!$C:$C,A307,Pedidos!$K:$K,Parametros!$B$3))</f>
        <v/>
      </c>
      <c r="K307" s="18">
        <f>IF(A307="","",COUNTIFS(Pedidos!$C:$C,A307,Pedidos!$K:$K,Parametros!$B$4))</f>
        <v/>
      </c>
      <c r="L307" s="20">
        <f>IF(A307="","",IF(COUNTIFS(Pedidos!$C:$C,A307,Pedidos!$B:$B,"&lt;="&amp;EOMONTH(Parametros!$B$2,0))=0,"",_xlfn.MAXIFS(Pedidos!$B:$B,Pedidos!$C:$C,A307,Pedidos!$B:$B,"&lt;="&amp;EOMONTH(Parametros!$B$2,0))))</f>
        <v/>
      </c>
      <c r="M307" s="20">
        <f>IF(OR(L307="",F307=""),"",EDATE(L307,F307))</f>
        <v/>
      </c>
      <c r="N307" s="21">
        <f>IF(A307="","",IF(L307="","Sem histórico",IF(AND(L307&gt;=Parametros!$B$2,L307&lt;=EOMONTH(Parametros!$B$2,0)),"Comprou no mês",IF(M307="","Sem periodicidade",IF(M307&lt;Parametros!$B$2,"Atrasado",IF(M307&lt;=EOMONTH(Parametros!$B$2,0),"Previsto no mês","Em dia"))))))</f>
        <v/>
      </c>
    </row>
    <row r="308">
      <c r="I308" s="18">
        <f>IF(A308="","",COUNTIFS(Pedidos!$C:$C,A308,Pedidos!$K:$K,Parametros!$B$3))</f>
        <v/>
      </c>
      <c r="J308" s="19">
        <f>IF(A308="","",SUMIFS(Pedidos!$E:$E,Pedidos!$C:$C,A308,Pedidos!$K:$K,Parametros!$B$3))</f>
        <v/>
      </c>
      <c r="K308" s="18">
        <f>IF(A308="","",COUNTIFS(Pedidos!$C:$C,A308,Pedidos!$K:$K,Parametros!$B$4))</f>
        <v/>
      </c>
      <c r="L308" s="20">
        <f>IF(A308="","",IF(COUNTIFS(Pedidos!$C:$C,A308,Pedidos!$B:$B,"&lt;="&amp;EOMONTH(Parametros!$B$2,0))=0,"",_xlfn.MAXIFS(Pedidos!$B:$B,Pedidos!$C:$C,A308,Pedidos!$B:$B,"&lt;="&amp;EOMONTH(Parametros!$B$2,0))))</f>
        <v/>
      </c>
      <c r="M308" s="20">
        <f>IF(OR(L308="",F308=""),"",EDATE(L308,F308))</f>
        <v/>
      </c>
      <c r="N308" s="21">
        <f>IF(A308="","",IF(L308="","Sem histórico",IF(AND(L308&gt;=Parametros!$B$2,L308&lt;=EOMONTH(Parametros!$B$2,0)),"Comprou no mês",IF(M308="","Sem periodicidade",IF(M308&lt;Parametros!$B$2,"Atrasado",IF(M308&lt;=EOMONTH(Parametros!$B$2,0),"Previsto no mês","Em dia"))))))</f>
        <v/>
      </c>
    </row>
    <row r="309">
      <c r="I309" s="18">
        <f>IF(A309="","",COUNTIFS(Pedidos!$C:$C,A309,Pedidos!$K:$K,Parametros!$B$3))</f>
        <v/>
      </c>
      <c r="J309" s="19">
        <f>IF(A309="","",SUMIFS(Pedidos!$E:$E,Pedidos!$C:$C,A309,Pedidos!$K:$K,Parametros!$B$3))</f>
        <v/>
      </c>
      <c r="K309" s="18">
        <f>IF(A309="","",COUNTIFS(Pedidos!$C:$C,A309,Pedidos!$K:$K,Parametros!$B$4))</f>
        <v/>
      </c>
      <c r="L309" s="20">
        <f>IF(A309="","",IF(COUNTIFS(Pedidos!$C:$C,A309,Pedidos!$B:$B,"&lt;="&amp;EOMONTH(Parametros!$B$2,0))=0,"",_xlfn.MAXIFS(Pedidos!$B:$B,Pedidos!$C:$C,A309,Pedidos!$B:$B,"&lt;="&amp;EOMONTH(Parametros!$B$2,0))))</f>
        <v/>
      </c>
      <c r="M309" s="20">
        <f>IF(OR(L309="",F309=""),"",EDATE(L309,F309))</f>
        <v/>
      </c>
      <c r="N309" s="21">
        <f>IF(A309="","",IF(L309="","Sem histórico",IF(AND(L309&gt;=Parametros!$B$2,L309&lt;=EOMONTH(Parametros!$B$2,0)),"Comprou no mês",IF(M309="","Sem periodicidade",IF(M309&lt;Parametros!$B$2,"Atrasado",IF(M309&lt;=EOMONTH(Parametros!$B$2,0),"Previsto no mês","Em dia"))))))</f>
        <v/>
      </c>
    </row>
    <row r="310">
      <c r="I310" s="18">
        <f>IF(A310="","",COUNTIFS(Pedidos!$C:$C,A310,Pedidos!$K:$K,Parametros!$B$3))</f>
        <v/>
      </c>
      <c r="J310" s="19">
        <f>IF(A310="","",SUMIFS(Pedidos!$E:$E,Pedidos!$C:$C,A310,Pedidos!$K:$K,Parametros!$B$3))</f>
        <v/>
      </c>
      <c r="K310" s="18">
        <f>IF(A310="","",COUNTIFS(Pedidos!$C:$C,A310,Pedidos!$K:$K,Parametros!$B$4))</f>
        <v/>
      </c>
      <c r="L310" s="20">
        <f>IF(A310="","",IF(COUNTIFS(Pedidos!$C:$C,A310,Pedidos!$B:$B,"&lt;="&amp;EOMONTH(Parametros!$B$2,0))=0,"",_xlfn.MAXIFS(Pedidos!$B:$B,Pedidos!$C:$C,A310,Pedidos!$B:$B,"&lt;="&amp;EOMONTH(Parametros!$B$2,0))))</f>
        <v/>
      </c>
      <c r="M310" s="20">
        <f>IF(OR(L310="",F310=""),"",EDATE(L310,F310))</f>
        <v/>
      </c>
      <c r="N310" s="21">
        <f>IF(A310="","",IF(L310="","Sem histórico",IF(AND(L310&gt;=Parametros!$B$2,L310&lt;=EOMONTH(Parametros!$B$2,0)),"Comprou no mês",IF(M310="","Sem periodicidade",IF(M310&lt;Parametros!$B$2,"Atrasado",IF(M310&lt;=EOMONTH(Parametros!$B$2,0),"Previsto no mês","Em dia"))))))</f>
        <v/>
      </c>
    </row>
    <row r="311">
      <c r="I311" s="18">
        <f>IF(A311="","",COUNTIFS(Pedidos!$C:$C,A311,Pedidos!$K:$K,Parametros!$B$3))</f>
        <v/>
      </c>
      <c r="J311" s="19">
        <f>IF(A311="","",SUMIFS(Pedidos!$E:$E,Pedidos!$C:$C,A311,Pedidos!$K:$K,Parametros!$B$3))</f>
        <v/>
      </c>
      <c r="K311" s="18">
        <f>IF(A311="","",COUNTIFS(Pedidos!$C:$C,A311,Pedidos!$K:$K,Parametros!$B$4))</f>
        <v/>
      </c>
      <c r="L311" s="20">
        <f>IF(A311="","",IF(COUNTIFS(Pedidos!$C:$C,A311,Pedidos!$B:$B,"&lt;="&amp;EOMONTH(Parametros!$B$2,0))=0,"",_xlfn.MAXIFS(Pedidos!$B:$B,Pedidos!$C:$C,A311,Pedidos!$B:$B,"&lt;="&amp;EOMONTH(Parametros!$B$2,0))))</f>
        <v/>
      </c>
      <c r="M311" s="20">
        <f>IF(OR(L311="",F311=""),"",EDATE(L311,F311))</f>
        <v/>
      </c>
      <c r="N311" s="21">
        <f>IF(A311="","",IF(L311="","Sem histórico",IF(AND(L311&gt;=Parametros!$B$2,L311&lt;=EOMONTH(Parametros!$B$2,0)),"Comprou no mês",IF(M311="","Sem periodicidade",IF(M311&lt;Parametros!$B$2,"Atrasado",IF(M311&lt;=EOMONTH(Parametros!$B$2,0),"Previsto no mês","Em dia"))))))</f>
        <v/>
      </c>
    </row>
    <row r="312">
      <c r="I312" s="18">
        <f>IF(A312="","",COUNTIFS(Pedidos!$C:$C,A312,Pedidos!$K:$K,Parametros!$B$3))</f>
        <v/>
      </c>
      <c r="J312" s="19">
        <f>IF(A312="","",SUMIFS(Pedidos!$E:$E,Pedidos!$C:$C,A312,Pedidos!$K:$K,Parametros!$B$3))</f>
        <v/>
      </c>
      <c r="K312" s="18">
        <f>IF(A312="","",COUNTIFS(Pedidos!$C:$C,A312,Pedidos!$K:$K,Parametros!$B$4))</f>
        <v/>
      </c>
      <c r="L312" s="20">
        <f>IF(A312="","",IF(COUNTIFS(Pedidos!$C:$C,A312,Pedidos!$B:$B,"&lt;="&amp;EOMONTH(Parametros!$B$2,0))=0,"",_xlfn.MAXIFS(Pedidos!$B:$B,Pedidos!$C:$C,A312,Pedidos!$B:$B,"&lt;="&amp;EOMONTH(Parametros!$B$2,0))))</f>
        <v/>
      </c>
      <c r="M312" s="20">
        <f>IF(OR(L312="",F312=""),"",EDATE(L312,F312))</f>
        <v/>
      </c>
      <c r="N312" s="21">
        <f>IF(A312="","",IF(L312="","Sem histórico",IF(AND(L312&gt;=Parametros!$B$2,L312&lt;=EOMONTH(Parametros!$B$2,0)),"Comprou no mês",IF(M312="","Sem periodicidade",IF(M312&lt;Parametros!$B$2,"Atrasado",IF(M312&lt;=EOMONTH(Parametros!$B$2,0),"Previsto no mês","Em dia"))))))</f>
        <v/>
      </c>
    </row>
    <row r="313">
      <c r="I313" s="18">
        <f>IF(A313="","",COUNTIFS(Pedidos!$C:$C,A313,Pedidos!$K:$K,Parametros!$B$3))</f>
        <v/>
      </c>
      <c r="J313" s="19">
        <f>IF(A313="","",SUMIFS(Pedidos!$E:$E,Pedidos!$C:$C,A313,Pedidos!$K:$K,Parametros!$B$3))</f>
        <v/>
      </c>
      <c r="K313" s="18">
        <f>IF(A313="","",COUNTIFS(Pedidos!$C:$C,A313,Pedidos!$K:$K,Parametros!$B$4))</f>
        <v/>
      </c>
      <c r="L313" s="20">
        <f>IF(A313="","",IF(COUNTIFS(Pedidos!$C:$C,A313,Pedidos!$B:$B,"&lt;="&amp;EOMONTH(Parametros!$B$2,0))=0,"",_xlfn.MAXIFS(Pedidos!$B:$B,Pedidos!$C:$C,A313,Pedidos!$B:$B,"&lt;="&amp;EOMONTH(Parametros!$B$2,0))))</f>
        <v/>
      </c>
      <c r="M313" s="20">
        <f>IF(OR(L313="",F313=""),"",EDATE(L313,F313))</f>
        <v/>
      </c>
      <c r="N313" s="21">
        <f>IF(A313="","",IF(L313="","Sem histórico",IF(AND(L313&gt;=Parametros!$B$2,L313&lt;=EOMONTH(Parametros!$B$2,0)),"Comprou no mês",IF(M313="","Sem periodicidade",IF(M313&lt;Parametros!$B$2,"Atrasado",IF(M313&lt;=EOMONTH(Parametros!$B$2,0),"Previsto no mês","Em dia"))))))</f>
        <v/>
      </c>
    </row>
    <row r="314">
      <c r="I314" s="18">
        <f>IF(A314="","",COUNTIFS(Pedidos!$C:$C,A314,Pedidos!$K:$K,Parametros!$B$3))</f>
        <v/>
      </c>
      <c r="J314" s="19">
        <f>IF(A314="","",SUMIFS(Pedidos!$E:$E,Pedidos!$C:$C,A314,Pedidos!$K:$K,Parametros!$B$3))</f>
        <v/>
      </c>
      <c r="K314" s="18">
        <f>IF(A314="","",COUNTIFS(Pedidos!$C:$C,A314,Pedidos!$K:$K,Parametros!$B$4))</f>
        <v/>
      </c>
      <c r="L314" s="20">
        <f>IF(A314="","",IF(COUNTIFS(Pedidos!$C:$C,A314,Pedidos!$B:$B,"&lt;="&amp;EOMONTH(Parametros!$B$2,0))=0,"",_xlfn.MAXIFS(Pedidos!$B:$B,Pedidos!$C:$C,A314,Pedidos!$B:$B,"&lt;="&amp;EOMONTH(Parametros!$B$2,0))))</f>
        <v/>
      </c>
      <c r="M314" s="20">
        <f>IF(OR(L314="",F314=""),"",EDATE(L314,F314))</f>
        <v/>
      </c>
      <c r="N314" s="21">
        <f>IF(A314="","",IF(L314="","Sem histórico",IF(AND(L314&gt;=Parametros!$B$2,L314&lt;=EOMONTH(Parametros!$B$2,0)),"Comprou no mês",IF(M314="","Sem periodicidade",IF(M314&lt;Parametros!$B$2,"Atrasado",IF(M314&lt;=EOMONTH(Parametros!$B$2,0),"Previsto no mês","Em dia"))))))</f>
        <v/>
      </c>
    </row>
    <row r="315">
      <c r="I315" s="18">
        <f>IF(A315="","",COUNTIFS(Pedidos!$C:$C,A315,Pedidos!$K:$K,Parametros!$B$3))</f>
        <v/>
      </c>
      <c r="J315" s="19">
        <f>IF(A315="","",SUMIFS(Pedidos!$E:$E,Pedidos!$C:$C,A315,Pedidos!$K:$K,Parametros!$B$3))</f>
        <v/>
      </c>
      <c r="K315" s="18">
        <f>IF(A315="","",COUNTIFS(Pedidos!$C:$C,A315,Pedidos!$K:$K,Parametros!$B$4))</f>
        <v/>
      </c>
      <c r="L315" s="20">
        <f>IF(A315="","",IF(COUNTIFS(Pedidos!$C:$C,A315,Pedidos!$B:$B,"&lt;="&amp;EOMONTH(Parametros!$B$2,0))=0,"",_xlfn.MAXIFS(Pedidos!$B:$B,Pedidos!$C:$C,A315,Pedidos!$B:$B,"&lt;="&amp;EOMONTH(Parametros!$B$2,0))))</f>
        <v/>
      </c>
      <c r="M315" s="20">
        <f>IF(OR(L315="",F315=""),"",EDATE(L315,F315))</f>
        <v/>
      </c>
      <c r="N315" s="21">
        <f>IF(A315="","",IF(L315="","Sem histórico",IF(AND(L315&gt;=Parametros!$B$2,L315&lt;=EOMONTH(Parametros!$B$2,0)),"Comprou no mês",IF(M315="","Sem periodicidade",IF(M315&lt;Parametros!$B$2,"Atrasado",IF(M315&lt;=EOMONTH(Parametros!$B$2,0),"Previsto no mês","Em dia"))))))</f>
        <v/>
      </c>
    </row>
    <row r="316">
      <c r="I316" s="18">
        <f>IF(A316="","",COUNTIFS(Pedidos!$C:$C,A316,Pedidos!$K:$K,Parametros!$B$3))</f>
        <v/>
      </c>
      <c r="J316" s="19">
        <f>IF(A316="","",SUMIFS(Pedidos!$E:$E,Pedidos!$C:$C,A316,Pedidos!$K:$K,Parametros!$B$3))</f>
        <v/>
      </c>
      <c r="K316" s="18">
        <f>IF(A316="","",COUNTIFS(Pedidos!$C:$C,A316,Pedidos!$K:$K,Parametros!$B$4))</f>
        <v/>
      </c>
      <c r="L316" s="20">
        <f>IF(A316="","",IF(COUNTIFS(Pedidos!$C:$C,A316,Pedidos!$B:$B,"&lt;="&amp;EOMONTH(Parametros!$B$2,0))=0,"",_xlfn.MAXIFS(Pedidos!$B:$B,Pedidos!$C:$C,A316,Pedidos!$B:$B,"&lt;="&amp;EOMONTH(Parametros!$B$2,0))))</f>
        <v/>
      </c>
      <c r="M316" s="20">
        <f>IF(OR(L316="",F316=""),"",EDATE(L316,F316))</f>
        <v/>
      </c>
      <c r="N316" s="21">
        <f>IF(A316="","",IF(L316="","Sem histórico",IF(AND(L316&gt;=Parametros!$B$2,L316&lt;=EOMONTH(Parametros!$B$2,0)),"Comprou no mês",IF(M316="","Sem periodicidade",IF(M316&lt;Parametros!$B$2,"Atrasado",IF(M316&lt;=EOMONTH(Parametros!$B$2,0),"Previsto no mês","Em dia"))))))</f>
        <v/>
      </c>
    </row>
    <row r="317">
      <c r="I317" s="18">
        <f>IF(A317="","",COUNTIFS(Pedidos!$C:$C,A317,Pedidos!$K:$K,Parametros!$B$3))</f>
        <v/>
      </c>
      <c r="J317" s="19">
        <f>IF(A317="","",SUMIFS(Pedidos!$E:$E,Pedidos!$C:$C,A317,Pedidos!$K:$K,Parametros!$B$3))</f>
        <v/>
      </c>
      <c r="K317" s="18">
        <f>IF(A317="","",COUNTIFS(Pedidos!$C:$C,A317,Pedidos!$K:$K,Parametros!$B$4))</f>
        <v/>
      </c>
      <c r="L317" s="20">
        <f>IF(A317="","",IF(COUNTIFS(Pedidos!$C:$C,A317,Pedidos!$B:$B,"&lt;="&amp;EOMONTH(Parametros!$B$2,0))=0,"",_xlfn.MAXIFS(Pedidos!$B:$B,Pedidos!$C:$C,A317,Pedidos!$B:$B,"&lt;="&amp;EOMONTH(Parametros!$B$2,0))))</f>
        <v/>
      </c>
      <c r="M317" s="20">
        <f>IF(OR(L317="",F317=""),"",EDATE(L317,F317))</f>
        <v/>
      </c>
      <c r="N317" s="21">
        <f>IF(A317="","",IF(L317="","Sem histórico",IF(AND(L317&gt;=Parametros!$B$2,L317&lt;=EOMONTH(Parametros!$B$2,0)),"Comprou no mês",IF(M317="","Sem periodicidade",IF(M317&lt;Parametros!$B$2,"Atrasado",IF(M317&lt;=EOMONTH(Parametros!$B$2,0),"Previsto no mês","Em dia"))))))</f>
        <v/>
      </c>
    </row>
    <row r="318">
      <c r="I318" s="18">
        <f>IF(A318="","",COUNTIFS(Pedidos!$C:$C,A318,Pedidos!$K:$K,Parametros!$B$3))</f>
        <v/>
      </c>
      <c r="J318" s="19">
        <f>IF(A318="","",SUMIFS(Pedidos!$E:$E,Pedidos!$C:$C,A318,Pedidos!$K:$K,Parametros!$B$3))</f>
        <v/>
      </c>
      <c r="K318" s="18">
        <f>IF(A318="","",COUNTIFS(Pedidos!$C:$C,A318,Pedidos!$K:$K,Parametros!$B$4))</f>
        <v/>
      </c>
      <c r="L318" s="20">
        <f>IF(A318="","",IF(COUNTIFS(Pedidos!$C:$C,A318,Pedidos!$B:$B,"&lt;="&amp;EOMONTH(Parametros!$B$2,0))=0,"",_xlfn.MAXIFS(Pedidos!$B:$B,Pedidos!$C:$C,A318,Pedidos!$B:$B,"&lt;="&amp;EOMONTH(Parametros!$B$2,0))))</f>
        <v/>
      </c>
      <c r="M318" s="20">
        <f>IF(OR(L318="",F318=""),"",EDATE(L318,F318))</f>
        <v/>
      </c>
      <c r="N318" s="21">
        <f>IF(A318="","",IF(L318="","Sem histórico",IF(AND(L318&gt;=Parametros!$B$2,L318&lt;=EOMONTH(Parametros!$B$2,0)),"Comprou no mês",IF(M318="","Sem periodicidade",IF(M318&lt;Parametros!$B$2,"Atrasado",IF(M318&lt;=EOMONTH(Parametros!$B$2,0),"Previsto no mês","Em dia"))))))</f>
        <v/>
      </c>
    </row>
    <row r="319">
      <c r="I319" s="18">
        <f>IF(A319="","",COUNTIFS(Pedidos!$C:$C,A319,Pedidos!$K:$K,Parametros!$B$3))</f>
        <v/>
      </c>
      <c r="J319" s="19">
        <f>IF(A319="","",SUMIFS(Pedidos!$E:$E,Pedidos!$C:$C,A319,Pedidos!$K:$K,Parametros!$B$3))</f>
        <v/>
      </c>
      <c r="K319" s="18">
        <f>IF(A319="","",COUNTIFS(Pedidos!$C:$C,A319,Pedidos!$K:$K,Parametros!$B$4))</f>
        <v/>
      </c>
      <c r="L319" s="20">
        <f>IF(A319="","",IF(COUNTIFS(Pedidos!$C:$C,A319,Pedidos!$B:$B,"&lt;="&amp;EOMONTH(Parametros!$B$2,0))=0,"",_xlfn.MAXIFS(Pedidos!$B:$B,Pedidos!$C:$C,A319,Pedidos!$B:$B,"&lt;="&amp;EOMONTH(Parametros!$B$2,0))))</f>
        <v/>
      </c>
      <c r="M319" s="20">
        <f>IF(OR(L319="",F319=""),"",EDATE(L319,F319))</f>
        <v/>
      </c>
      <c r="N319" s="21">
        <f>IF(A319="","",IF(L319="","Sem histórico",IF(AND(L319&gt;=Parametros!$B$2,L319&lt;=EOMONTH(Parametros!$B$2,0)),"Comprou no mês",IF(M319="","Sem periodicidade",IF(M319&lt;Parametros!$B$2,"Atrasado",IF(M319&lt;=EOMONTH(Parametros!$B$2,0),"Previsto no mês","Em dia"))))))</f>
        <v/>
      </c>
    </row>
    <row r="320">
      <c r="I320" s="18">
        <f>IF(A320="","",COUNTIFS(Pedidos!$C:$C,A320,Pedidos!$K:$K,Parametros!$B$3))</f>
        <v/>
      </c>
      <c r="J320" s="19">
        <f>IF(A320="","",SUMIFS(Pedidos!$E:$E,Pedidos!$C:$C,A320,Pedidos!$K:$K,Parametros!$B$3))</f>
        <v/>
      </c>
      <c r="K320" s="18">
        <f>IF(A320="","",COUNTIFS(Pedidos!$C:$C,A320,Pedidos!$K:$K,Parametros!$B$4))</f>
        <v/>
      </c>
      <c r="L320" s="20">
        <f>IF(A320="","",IF(COUNTIFS(Pedidos!$C:$C,A320,Pedidos!$B:$B,"&lt;="&amp;EOMONTH(Parametros!$B$2,0))=0,"",_xlfn.MAXIFS(Pedidos!$B:$B,Pedidos!$C:$C,A320,Pedidos!$B:$B,"&lt;="&amp;EOMONTH(Parametros!$B$2,0))))</f>
        <v/>
      </c>
      <c r="M320" s="20">
        <f>IF(OR(L320="",F320=""),"",EDATE(L320,F320))</f>
        <v/>
      </c>
      <c r="N320" s="21">
        <f>IF(A320="","",IF(L320="","Sem histórico",IF(AND(L320&gt;=Parametros!$B$2,L320&lt;=EOMONTH(Parametros!$B$2,0)),"Comprou no mês",IF(M320="","Sem periodicidade",IF(M320&lt;Parametros!$B$2,"Atrasado",IF(M320&lt;=EOMONTH(Parametros!$B$2,0),"Previsto no mês","Em dia"))))))</f>
        <v/>
      </c>
    </row>
    <row r="321">
      <c r="I321" s="18">
        <f>IF(A321="","",COUNTIFS(Pedidos!$C:$C,A321,Pedidos!$K:$K,Parametros!$B$3))</f>
        <v/>
      </c>
      <c r="J321" s="19">
        <f>IF(A321="","",SUMIFS(Pedidos!$E:$E,Pedidos!$C:$C,A321,Pedidos!$K:$K,Parametros!$B$3))</f>
        <v/>
      </c>
      <c r="K321" s="18">
        <f>IF(A321="","",COUNTIFS(Pedidos!$C:$C,A321,Pedidos!$K:$K,Parametros!$B$4))</f>
        <v/>
      </c>
      <c r="L321" s="20">
        <f>IF(A321="","",IF(COUNTIFS(Pedidos!$C:$C,A321,Pedidos!$B:$B,"&lt;="&amp;EOMONTH(Parametros!$B$2,0))=0,"",_xlfn.MAXIFS(Pedidos!$B:$B,Pedidos!$C:$C,A321,Pedidos!$B:$B,"&lt;="&amp;EOMONTH(Parametros!$B$2,0))))</f>
        <v/>
      </c>
      <c r="M321" s="20">
        <f>IF(OR(L321="",F321=""),"",EDATE(L321,F321))</f>
        <v/>
      </c>
      <c r="N321" s="21">
        <f>IF(A321="","",IF(L321="","Sem histórico",IF(AND(L321&gt;=Parametros!$B$2,L321&lt;=EOMONTH(Parametros!$B$2,0)),"Comprou no mês",IF(M321="","Sem periodicidade",IF(M321&lt;Parametros!$B$2,"Atrasado",IF(M321&lt;=EOMONTH(Parametros!$B$2,0),"Previsto no mês","Em dia"))))))</f>
        <v/>
      </c>
    </row>
    <row r="322">
      <c r="I322" s="18">
        <f>IF(A322="","",COUNTIFS(Pedidos!$C:$C,A322,Pedidos!$K:$K,Parametros!$B$3))</f>
        <v/>
      </c>
      <c r="J322" s="19">
        <f>IF(A322="","",SUMIFS(Pedidos!$E:$E,Pedidos!$C:$C,A322,Pedidos!$K:$K,Parametros!$B$3))</f>
        <v/>
      </c>
      <c r="K322" s="18">
        <f>IF(A322="","",COUNTIFS(Pedidos!$C:$C,A322,Pedidos!$K:$K,Parametros!$B$4))</f>
        <v/>
      </c>
      <c r="L322" s="20">
        <f>IF(A322="","",IF(COUNTIFS(Pedidos!$C:$C,A322,Pedidos!$B:$B,"&lt;="&amp;EOMONTH(Parametros!$B$2,0))=0,"",_xlfn.MAXIFS(Pedidos!$B:$B,Pedidos!$C:$C,A322,Pedidos!$B:$B,"&lt;="&amp;EOMONTH(Parametros!$B$2,0))))</f>
        <v/>
      </c>
      <c r="M322" s="20">
        <f>IF(OR(L322="",F322=""),"",EDATE(L322,F322))</f>
        <v/>
      </c>
      <c r="N322" s="21">
        <f>IF(A322="","",IF(L322="","Sem histórico",IF(AND(L322&gt;=Parametros!$B$2,L322&lt;=EOMONTH(Parametros!$B$2,0)),"Comprou no mês",IF(M322="","Sem periodicidade",IF(M322&lt;Parametros!$B$2,"Atrasado",IF(M322&lt;=EOMONTH(Parametros!$B$2,0),"Previsto no mês","Em dia"))))))</f>
        <v/>
      </c>
    </row>
    <row r="323">
      <c r="I323" s="18">
        <f>IF(A323="","",COUNTIFS(Pedidos!$C:$C,A323,Pedidos!$K:$K,Parametros!$B$3))</f>
        <v/>
      </c>
      <c r="J323" s="19">
        <f>IF(A323="","",SUMIFS(Pedidos!$E:$E,Pedidos!$C:$C,A323,Pedidos!$K:$K,Parametros!$B$3))</f>
        <v/>
      </c>
      <c r="K323" s="18">
        <f>IF(A323="","",COUNTIFS(Pedidos!$C:$C,A323,Pedidos!$K:$K,Parametros!$B$4))</f>
        <v/>
      </c>
      <c r="L323" s="20">
        <f>IF(A323="","",IF(COUNTIFS(Pedidos!$C:$C,A323,Pedidos!$B:$B,"&lt;="&amp;EOMONTH(Parametros!$B$2,0))=0,"",_xlfn.MAXIFS(Pedidos!$B:$B,Pedidos!$C:$C,A323,Pedidos!$B:$B,"&lt;="&amp;EOMONTH(Parametros!$B$2,0))))</f>
        <v/>
      </c>
      <c r="M323" s="20">
        <f>IF(OR(L323="",F323=""),"",EDATE(L323,F323))</f>
        <v/>
      </c>
      <c r="N323" s="21">
        <f>IF(A323="","",IF(L323="","Sem histórico",IF(AND(L323&gt;=Parametros!$B$2,L323&lt;=EOMONTH(Parametros!$B$2,0)),"Comprou no mês",IF(M323="","Sem periodicidade",IF(M323&lt;Parametros!$B$2,"Atrasado",IF(M323&lt;=EOMONTH(Parametros!$B$2,0),"Previsto no mês","Em dia"))))))</f>
        <v/>
      </c>
    </row>
    <row r="324">
      <c r="I324" s="18">
        <f>IF(A324="","",COUNTIFS(Pedidos!$C:$C,A324,Pedidos!$K:$K,Parametros!$B$3))</f>
        <v/>
      </c>
      <c r="J324" s="19">
        <f>IF(A324="","",SUMIFS(Pedidos!$E:$E,Pedidos!$C:$C,A324,Pedidos!$K:$K,Parametros!$B$3))</f>
        <v/>
      </c>
      <c r="K324" s="18">
        <f>IF(A324="","",COUNTIFS(Pedidos!$C:$C,A324,Pedidos!$K:$K,Parametros!$B$4))</f>
        <v/>
      </c>
      <c r="L324" s="20">
        <f>IF(A324="","",IF(COUNTIFS(Pedidos!$C:$C,A324,Pedidos!$B:$B,"&lt;="&amp;EOMONTH(Parametros!$B$2,0))=0,"",_xlfn.MAXIFS(Pedidos!$B:$B,Pedidos!$C:$C,A324,Pedidos!$B:$B,"&lt;="&amp;EOMONTH(Parametros!$B$2,0))))</f>
        <v/>
      </c>
      <c r="M324" s="20">
        <f>IF(OR(L324="",F324=""),"",EDATE(L324,F324))</f>
        <v/>
      </c>
      <c r="N324" s="21">
        <f>IF(A324="","",IF(L324="","Sem histórico",IF(AND(L324&gt;=Parametros!$B$2,L324&lt;=EOMONTH(Parametros!$B$2,0)),"Comprou no mês",IF(M324="","Sem periodicidade",IF(M324&lt;Parametros!$B$2,"Atrasado",IF(M324&lt;=EOMONTH(Parametros!$B$2,0),"Previsto no mês","Em dia"))))))</f>
        <v/>
      </c>
    </row>
    <row r="325">
      <c r="I325" s="18">
        <f>IF(A325="","",COUNTIFS(Pedidos!$C:$C,A325,Pedidos!$K:$K,Parametros!$B$3))</f>
        <v/>
      </c>
      <c r="J325" s="19">
        <f>IF(A325="","",SUMIFS(Pedidos!$E:$E,Pedidos!$C:$C,A325,Pedidos!$K:$K,Parametros!$B$3))</f>
        <v/>
      </c>
      <c r="K325" s="18">
        <f>IF(A325="","",COUNTIFS(Pedidos!$C:$C,A325,Pedidos!$K:$K,Parametros!$B$4))</f>
        <v/>
      </c>
      <c r="L325" s="20">
        <f>IF(A325="","",IF(COUNTIFS(Pedidos!$C:$C,A325,Pedidos!$B:$B,"&lt;="&amp;EOMONTH(Parametros!$B$2,0))=0,"",_xlfn.MAXIFS(Pedidos!$B:$B,Pedidos!$C:$C,A325,Pedidos!$B:$B,"&lt;="&amp;EOMONTH(Parametros!$B$2,0))))</f>
        <v/>
      </c>
      <c r="M325" s="20">
        <f>IF(OR(L325="",F325=""),"",EDATE(L325,F325))</f>
        <v/>
      </c>
      <c r="N325" s="21">
        <f>IF(A325="","",IF(L325="","Sem histórico",IF(AND(L325&gt;=Parametros!$B$2,L325&lt;=EOMONTH(Parametros!$B$2,0)),"Comprou no mês",IF(M325="","Sem periodicidade",IF(M325&lt;Parametros!$B$2,"Atrasado",IF(M325&lt;=EOMONTH(Parametros!$B$2,0),"Previsto no mês","Em dia"))))))</f>
        <v/>
      </c>
    </row>
    <row r="326">
      <c r="I326" s="18">
        <f>IF(A326="","",COUNTIFS(Pedidos!$C:$C,A326,Pedidos!$K:$K,Parametros!$B$3))</f>
        <v/>
      </c>
      <c r="J326" s="19">
        <f>IF(A326="","",SUMIFS(Pedidos!$E:$E,Pedidos!$C:$C,A326,Pedidos!$K:$K,Parametros!$B$3))</f>
        <v/>
      </c>
      <c r="K326" s="18">
        <f>IF(A326="","",COUNTIFS(Pedidos!$C:$C,A326,Pedidos!$K:$K,Parametros!$B$4))</f>
        <v/>
      </c>
      <c r="L326" s="20">
        <f>IF(A326="","",IF(COUNTIFS(Pedidos!$C:$C,A326,Pedidos!$B:$B,"&lt;="&amp;EOMONTH(Parametros!$B$2,0))=0,"",_xlfn.MAXIFS(Pedidos!$B:$B,Pedidos!$C:$C,A326,Pedidos!$B:$B,"&lt;="&amp;EOMONTH(Parametros!$B$2,0))))</f>
        <v/>
      </c>
      <c r="M326" s="20">
        <f>IF(OR(L326="",F326=""),"",EDATE(L326,F326))</f>
        <v/>
      </c>
      <c r="N326" s="21">
        <f>IF(A326="","",IF(L326="","Sem histórico",IF(AND(L326&gt;=Parametros!$B$2,L326&lt;=EOMONTH(Parametros!$B$2,0)),"Comprou no mês",IF(M326="","Sem periodicidade",IF(M326&lt;Parametros!$B$2,"Atrasado",IF(M326&lt;=EOMONTH(Parametros!$B$2,0),"Previsto no mês","Em dia"))))))</f>
        <v/>
      </c>
    </row>
    <row r="327">
      <c r="I327" s="18">
        <f>IF(A327="","",COUNTIFS(Pedidos!$C:$C,A327,Pedidos!$K:$K,Parametros!$B$3))</f>
        <v/>
      </c>
      <c r="J327" s="19">
        <f>IF(A327="","",SUMIFS(Pedidos!$E:$E,Pedidos!$C:$C,A327,Pedidos!$K:$K,Parametros!$B$3))</f>
        <v/>
      </c>
      <c r="K327" s="18">
        <f>IF(A327="","",COUNTIFS(Pedidos!$C:$C,A327,Pedidos!$K:$K,Parametros!$B$4))</f>
        <v/>
      </c>
      <c r="L327" s="20">
        <f>IF(A327="","",IF(COUNTIFS(Pedidos!$C:$C,A327,Pedidos!$B:$B,"&lt;="&amp;EOMONTH(Parametros!$B$2,0))=0,"",_xlfn.MAXIFS(Pedidos!$B:$B,Pedidos!$C:$C,A327,Pedidos!$B:$B,"&lt;="&amp;EOMONTH(Parametros!$B$2,0))))</f>
        <v/>
      </c>
      <c r="M327" s="20">
        <f>IF(OR(L327="",F327=""),"",EDATE(L327,F327))</f>
        <v/>
      </c>
      <c r="N327" s="21">
        <f>IF(A327="","",IF(L327="","Sem histórico",IF(AND(L327&gt;=Parametros!$B$2,L327&lt;=EOMONTH(Parametros!$B$2,0)),"Comprou no mês",IF(M327="","Sem periodicidade",IF(M327&lt;Parametros!$B$2,"Atrasado",IF(M327&lt;=EOMONTH(Parametros!$B$2,0),"Previsto no mês","Em dia"))))))</f>
        <v/>
      </c>
    </row>
    <row r="328">
      <c r="I328" s="18">
        <f>IF(A328="","",COUNTIFS(Pedidos!$C:$C,A328,Pedidos!$K:$K,Parametros!$B$3))</f>
        <v/>
      </c>
      <c r="J328" s="19">
        <f>IF(A328="","",SUMIFS(Pedidos!$E:$E,Pedidos!$C:$C,A328,Pedidos!$K:$K,Parametros!$B$3))</f>
        <v/>
      </c>
      <c r="K328" s="18">
        <f>IF(A328="","",COUNTIFS(Pedidos!$C:$C,A328,Pedidos!$K:$K,Parametros!$B$4))</f>
        <v/>
      </c>
      <c r="L328" s="20">
        <f>IF(A328="","",IF(COUNTIFS(Pedidos!$C:$C,A328,Pedidos!$B:$B,"&lt;="&amp;EOMONTH(Parametros!$B$2,0))=0,"",_xlfn.MAXIFS(Pedidos!$B:$B,Pedidos!$C:$C,A328,Pedidos!$B:$B,"&lt;="&amp;EOMONTH(Parametros!$B$2,0))))</f>
        <v/>
      </c>
      <c r="M328" s="20">
        <f>IF(OR(L328="",F328=""),"",EDATE(L328,F328))</f>
        <v/>
      </c>
      <c r="N328" s="21">
        <f>IF(A328="","",IF(L328="","Sem histórico",IF(AND(L328&gt;=Parametros!$B$2,L328&lt;=EOMONTH(Parametros!$B$2,0)),"Comprou no mês",IF(M328="","Sem periodicidade",IF(M328&lt;Parametros!$B$2,"Atrasado",IF(M328&lt;=EOMONTH(Parametros!$B$2,0),"Previsto no mês","Em dia"))))))</f>
        <v/>
      </c>
    </row>
    <row r="329">
      <c r="I329" s="18">
        <f>IF(A329="","",COUNTIFS(Pedidos!$C:$C,A329,Pedidos!$K:$K,Parametros!$B$3))</f>
        <v/>
      </c>
      <c r="J329" s="19">
        <f>IF(A329="","",SUMIFS(Pedidos!$E:$E,Pedidos!$C:$C,A329,Pedidos!$K:$K,Parametros!$B$3))</f>
        <v/>
      </c>
      <c r="K329" s="18">
        <f>IF(A329="","",COUNTIFS(Pedidos!$C:$C,A329,Pedidos!$K:$K,Parametros!$B$4))</f>
        <v/>
      </c>
      <c r="L329" s="20">
        <f>IF(A329="","",IF(COUNTIFS(Pedidos!$C:$C,A329,Pedidos!$B:$B,"&lt;="&amp;EOMONTH(Parametros!$B$2,0))=0,"",_xlfn.MAXIFS(Pedidos!$B:$B,Pedidos!$C:$C,A329,Pedidos!$B:$B,"&lt;="&amp;EOMONTH(Parametros!$B$2,0))))</f>
        <v/>
      </c>
      <c r="M329" s="20">
        <f>IF(OR(L329="",F329=""),"",EDATE(L329,F329))</f>
        <v/>
      </c>
      <c r="N329" s="21">
        <f>IF(A329="","",IF(L329="","Sem histórico",IF(AND(L329&gt;=Parametros!$B$2,L329&lt;=EOMONTH(Parametros!$B$2,0)),"Comprou no mês",IF(M329="","Sem periodicidade",IF(M329&lt;Parametros!$B$2,"Atrasado",IF(M329&lt;=EOMONTH(Parametros!$B$2,0),"Previsto no mês","Em dia"))))))</f>
        <v/>
      </c>
    </row>
    <row r="330">
      <c r="I330" s="18">
        <f>IF(A330="","",COUNTIFS(Pedidos!$C:$C,A330,Pedidos!$K:$K,Parametros!$B$3))</f>
        <v/>
      </c>
      <c r="J330" s="19">
        <f>IF(A330="","",SUMIFS(Pedidos!$E:$E,Pedidos!$C:$C,A330,Pedidos!$K:$K,Parametros!$B$3))</f>
        <v/>
      </c>
      <c r="K330" s="18">
        <f>IF(A330="","",COUNTIFS(Pedidos!$C:$C,A330,Pedidos!$K:$K,Parametros!$B$4))</f>
        <v/>
      </c>
      <c r="L330" s="20">
        <f>IF(A330="","",IF(COUNTIFS(Pedidos!$C:$C,A330,Pedidos!$B:$B,"&lt;="&amp;EOMONTH(Parametros!$B$2,0))=0,"",_xlfn.MAXIFS(Pedidos!$B:$B,Pedidos!$C:$C,A330,Pedidos!$B:$B,"&lt;="&amp;EOMONTH(Parametros!$B$2,0))))</f>
        <v/>
      </c>
      <c r="M330" s="20">
        <f>IF(OR(L330="",F330=""),"",EDATE(L330,F330))</f>
        <v/>
      </c>
      <c r="N330" s="21">
        <f>IF(A330="","",IF(L330="","Sem histórico",IF(AND(L330&gt;=Parametros!$B$2,L330&lt;=EOMONTH(Parametros!$B$2,0)),"Comprou no mês",IF(M330="","Sem periodicidade",IF(M330&lt;Parametros!$B$2,"Atrasado",IF(M330&lt;=EOMONTH(Parametros!$B$2,0),"Previsto no mês","Em dia"))))))</f>
        <v/>
      </c>
    </row>
    <row r="331">
      <c r="I331" s="18">
        <f>IF(A331="","",COUNTIFS(Pedidos!$C:$C,A331,Pedidos!$K:$K,Parametros!$B$3))</f>
        <v/>
      </c>
      <c r="J331" s="19">
        <f>IF(A331="","",SUMIFS(Pedidos!$E:$E,Pedidos!$C:$C,A331,Pedidos!$K:$K,Parametros!$B$3))</f>
        <v/>
      </c>
      <c r="K331" s="18">
        <f>IF(A331="","",COUNTIFS(Pedidos!$C:$C,A331,Pedidos!$K:$K,Parametros!$B$4))</f>
        <v/>
      </c>
      <c r="L331" s="20">
        <f>IF(A331="","",IF(COUNTIFS(Pedidos!$C:$C,A331,Pedidos!$B:$B,"&lt;="&amp;EOMONTH(Parametros!$B$2,0))=0,"",_xlfn.MAXIFS(Pedidos!$B:$B,Pedidos!$C:$C,A331,Pedidos!$B:$B,"&lt;="&amp;EOMONTH(Parametros!$B$2,0))))</f>
        <v/>
      </c>
      <c r="M331" s="20">
        <f>IF(OR(L331="",F331=""),"",EDATE(L331,F331))</f>
        <v/>
      </c>
      <c r="N331" s="21">
        <f>IF(A331="","",IF(L331="","Sem histórico",IF(AND(L331&gt;=Parametros!$B$2,L331&lt;=EOMONTH(Parametros!$B$2,0)),"Comprou no mês",IF(M331="","Sem periodicidade",IF(M331&lt;Parametros!$B$2,"Atrasado",IF(M331&lt;=EOMONTH(Parametros!$B$2,0),"Previsto no mês","Em dia"))))))</f>
        <v/>
      </c>
    </row>
    <row r="332">
      <c r="I332" s="18">
        <f>IF(A332="","",COUNTIFS(Pedidos!$C:$C,A332,Pedidos!$K:$K,Parametros!$B$3))</f>
        <v/>
      </c>
      <c r="J332" s="19">
        <f>IF(A332="","",SUMIFS(Pedidos!$E:$E,Pedidos!$C:$C,A332,Pedidos!$K:$K,Parametros!$B$3))</f>
        <v/>
      </c>
      <c r="K332" s="18">
        <f>IF(A332="","",COUNTIFS(Pedidos!$C:$C,A332,Pedidos!$K:$K,Parametros!$B$4))</f>
        <v/>
      </c>
      <c r="L332" s="20">
        <f>IF(A332="","",IF(COUNTIFS(Pedidos!$C:$C,A332,Pedidos!$B:$B,"&lt;="&amp;EOMONTH(Parametros!$B$2,0))=0,"",_xlfn.MAXIFS(Pedidos!$B:$B,Pedidos!$C:$C,A332,Pedidos!$B:$B,"&lt;="&amp;EOMONTH(Parametros!$B$2,0))))</f>
        <v/>
      </c>
      <c r="M332" s="20">
        <f>IF(OR(L332="",F332=""),"",EDATE(L332,F332))</f>
        <v/>
      </c>
      <c r="N332" s="21">
        <f>IF(A332="","",IF(L332="","Sem histórico",IF(AND(L332&gt;=Parametros!$B$2,L332&lt;=EOMONTH(Parametros!$B$2,0)),"Comprou no mês",IF(M332="","Sem periodicidade",IF(M332&lt;Parametros!$B$2,"Atrasado",IF(M332&lt;=EOMONTH(Parametros!$B$2,0),"Previsto no mês","Em dia"))))))</f>
        <v/>
      </c>
    </row>
    <row r="333">
      <c r="I333" s="18">
        <f>IF(A333="","",COUNTIFS(Pedidos!$C:$C,A333,Pedidos!$K:$K,Parametros!$B$3))</f>
        <v/>
      </c>
      <c r="J333" s="19">
        <f>IF(A333="","",SUMIFS(Pedidos!$E:$E,Pedidos!$C:$C,A333,Pedidos!$K:$K,Parametros!$B$3))</f>
        <v/>
      </c>
      <c r="K333" s="18">
        <f>IF(A333="","",COUNTIFS(Pedidos!$C:$C,A333,Pedidos!$K:$K,Parametros!$B$4))</f>
        <v/>
      </c>
      <c r="L333" s="20">
        <f>IF(A333="","",IF(COUNTIFS(Pedidos!$C:$C,A333,Pedidos!$B:$B,"&lt;="&amp;EOMONTH(Parametros!$B$2,0))=0,"",_xlfn.MAXIFS(Pedidos!$B:$B,Pedidos!$C:$C,A333,Pedidos!$B:$B,"&lt;="&amp;EOMONTH(Parametros!$B$2,0))))</f>
        <v/>
      </c>
      <c r="M333" s="20">
        <f>IF(OR(L333="",F333=""),"",EDATE(L333,F333))</f>
        <v/>
      </c>
      <c r="N333" s="21">
        <f>IF(A333="","",IF(L333="","Sem histórico",IF(AND(L333&gt;=Parametros!$B$2,L333&lt;=EOMONTH(Parametros!$B$2,0)),"Comprou no mês",IF(M333="","Sem periodicidade",IF(M333&lt;Parametros!$B$2,"Atrasado",IF(M333&lt;=EOMONTH(Parametros!$B$2,0),"Previsto no mês","Em dia"))))))</f>
        <v/>
      </c>
    </row>
    <row r="334">
      <c r="I334" s="18">
        <f>IF(A334="","",COUNTIFS(Pedidos!$C:$C,A334,Pedidos!$K:$K,Parametros!$B$3))</f>
        <v/>
      </c>
      <c r="J334" s="19">
        <f>IF(A334="","",SUMIFS(Pedidos!$E:$E,Pedidos!$C:$C,A334,Pedidos!$K:$K,Parametros!$B$3))</f>
        <v/>
      </c>
      <c r="K334" s="18">
        <f>IF(A334="","",COUNTIFS(Pedidos!$C:$C,A334,Pedidos!$K:$K,Parametros!$B$4))</f>
        <v/>
      </c>
      <c r="L334" s="20">
        <f>IF(A334="","",IF(COUNTIFS(Pedidos!$C:$C,A334,Pedidos!$B:$B,"&lt;="&amp;EOMONTH(Parametros!$B$2,0))=0,"",_xlfn.MAXIFS(Pedidos!$B:$B,Pedidos!$C:$C,A334,Pedidos!$B:$B,"&lt;="&amp;EOMONTH(Parametros!$B$2,0))))</f>
        <v/>
      </c>
      <c r="M334" s="20">
        <f>IF(OR(L334="",F334=""),"",EDATE(L334,F334))</f>
        <v/>
      </c>
      <c r="N334" s="21">
        <f>IF(A334="","",IF(L334="","Sem histórico",IF(AND(L334&gt;=Parametros!$B$2,L334&lt;=EOMONTH(Parametros!$B$2,0)),"Comprou no mês",IF(M334="","Sem periodicidade",IF(M334&lt;Parametros!$B$2,"Atrasado",IF(M334&lt;=EOMONTH(Parametros!$B$2,0),"Previsto no mês","Em dia"))))))</f>
        <v/>
      </c>
    </row>
    <row r="335">
      <c r="I335" s="18">
        <f>IF(A335="","",COUNTIFS(Pedidos!$C:$C,A335,Pedidos!$K:$K,Parametros!$B$3))</f>
        <v/>
      </c>
      <c r="J335" s="19">
        <f>IF(A335="","",SUMIFS(Pedidos!$E:$E,Pedidos!$C:$C,A335,Pedidos!$K:$K,Parametros!$B$3))</f>
        <v/>
      </c>
      <c r="K335" s="18">
        <f>IF(A335="","",COUNTIFS(Pedidos!$C:$C,A335,Pedidos!$K:$K,Parametros!$B$4))</f>
        <v/>
      </c>
      <c r="L335" s="20">
        <f>IF(A335="","",IF(COUNTIFS(Pedidos!$C:$C,A335,Pedidos!$B:$B,"&lt;="&amp;EOMONTH(Parametros!$B$2,0))=0,"",_xlfn.MAXIFS(Pedidos!$B:$B,Pedidos!$C:$C,A335,Pedidos!$B:$B,"&lt;="&amp;EOMONTH(Parametros!$B$2,0))))</f>
        <v/>
      </c>
      <c r="M335" s="20">
        <f>IF(OR(L335="",F335=""),"",EDATE(L335,F335))</f>
        <v/>
      </c>
      <c r="N335" s="21">
        <f>IF(A335="","",IF(L335="","Sem histórico",IF(AND(L335&gt;=Parametros!$B$2,L335&lt;=EOMONTH(Parametros!$B$2,0)),"Comprou no mês",IF(M335="","Sem periodicidade",IF(M335&lt;Parametros!$B$2,"Atrasado",IF(M335&lt;=EOMONTH(Parametros!$B$2,0),"Previsto no mês","Em dia"))))))</f>
        <v/>
      </c>
    </row>
    <row r="336">
      <c r="I336" s="18">
        <f>IF(A336="","",COUNTIFS(Pedidos!$C:$C,A336,Pedidos!$K:$K,Parametros!$B$3))</f>
        <v/>
      </c>
      <c r="J336" s="19">
        <f>IF(A336="","",SUMIFS(Pedidos!$E:$E,Pedidos!$C:$C,A336,Pedidos!$K:$K,Parametros!$B$3))</f>
        <v/>
      </c>
      <c r="K336" s="18">
        <f>IF(A336="","",COUNTIFS(Pedidos!$C:$C,A336,Pedidos!$K:$K,Parametros!$B$4))</f>
        <v/>
      </c>
      <c r="L336" s="20">
        <f>IF(A336="","",IF(COUNTIFS(Pedidos!$C:$C,A336,Pedidos!$B:$B,"&lt;="&amp;EOMONTH(Parametros!$B$2,0))=0,"",_xlfn.MAXIFS(Pedidos!$B:$B,Pedidos!$C:$C,A336,Pedidos!$B:$B,"&lt;="&amp;EOMONTH(Parametros!$B$2,0))))</f>
        <v/>
      </c>
      <c r="M336" s="20">
        <f>IF(OR(L336="",F336=""),"",EDATE(L336,F336))</f>
        <v/>
      </c>
      <c r="N336" s="21">
        <f>IF(A336="","",IF(L336="","Sem histórico",IF(AND(L336&gt;=Parametros!$B$2,L336&lt;=EOMONTH(Parametros!$B$2,0)),"Comprou no mês",IF(M336="","Sem periodicidade",IF(M336&lt;Parametros!$B$2,"Atrasado",IF(M336&lt;=EOMONTH(Parametros!$B$2,0),"Previsto no mês","Em dia"))))))</f>
        <v/>
      </c>
    </row>
    <row r="337">
      <c r="I337" s="18">
        <f>IF(A337="","",COUNTIFS(Pedidos!$C:$C,A337,Pedidos!$K:$K,Parametros!$B$3))</f>
        <v/>
      </c>
      <c r="J337" s="19">
        <f>IF(A337="","",SUMIFS(Pedidos!$E:$E,Pedidos!$C:$C,A337,Pedidos!$K:$K,Parametros!$B$3))</f>
        <v/>
      </c>
      <c r="K337" s="18">
        <f>IF(A337="","",COUNTIFS(Pedidos!$C:$C,A337,Pedidos!$K:$K,Parametros!$B$4))</f>
        <v/>
      </c>
      <c r="L337" s="20">
        <f>IF(A337="","",IF(COUNTIFS(Pedidos!$C:$C,A337,Pedidos!$B:$B,"&lt;="&amp;EOMONTH(Parametros!$B$2,0))=0,"",_xlfn.MAXIFS(Pedidos!$B:$B,Pedidos!$C:$C,A337,Pedidos!$B:$B,"&lt;="&amp;EOMONTH(Parametros!$B$2,0))))</f>
        <v/>
      </c>
      <c r="M337" s="20">
        <f>IF(OR(L337="",F337=""),"",EDATE(L337,F337))</f>
        <v/>
      </c>
      <c r="N337" s="21">
        <f>IF(A337="","",IF(L337="","Sem histórico",IF(AND(L337&gt;=Parametros!$B$2,L337&lt;=EOMONTH(Parametros!$B$2,0)),"Comprou no mês",IF(M337="","Sem periodicidade",IF(M337&lt;Parametros!$B$2,"Atrasado",IF(M337&lt;=EOMONTH(Parametros!$B$2,0),"Previsto no mês","Em dia"))))))</f>
        <v/>
      </c>
    </row>
    <row r="338">
      <c r="I338" s="18">
        <f>IF(A338="","",COUNTIFS(Pedidos!$C:$C,A338,Pedidos!$K:$K,Parametros!$B$3))</f>
        <v/>
      </c>
      <c r="J338" s="19">
        <f>IF(A338="","",SUMIFS(Pedidos!$E:$E,Pedidos!$C:$C,A338,Pedidos!$K:$K,Parametros!$B$3))</f>
        <v/>
      </c>
      <c r="K338" s="18">
        <f>IF(A338="","",COUNTIFS(Pedidos!$C:$C,A338,Pedidos!$K:$K,Parametros!$B$4))</f>
        <v/>
      </c>
      <c r="L338" s="20">
        <f>IF(A338="","",IF(COUNTIFS(Pedidos!$C:$C,A338,Pedidos!$B:$B,"&lt;="&amp;EOMONTH(Parametros!$B$2,0))=0,"",_xlfn.MAXIFS(Pedidos!$B:$B,Pedidos!$C:$C,A338,Pedidos!$B:$B,"&lt;="&amp;EOMONTH(Parametros!$B$2,0))))</f>
        <v/>
      </c>
      <c r="M338" s="20">
        <f>IF(OR(L338="",F338=""),"",EDATE(L338,F338))</f>
        <v/>
      </c>
      <c r="N338" s="21">
        <f>IF(A338="","",IF(L338="","Sem histórico",IF(AND(L338&gt;=Parametros!$B$2,L338&lt;=EOMONTH(Parametros!$B$2,0)),"Comprou no mês",IF(M338="","Sem periodicidade",IF(M338&lt;Parametros!$B$2,"Atrasado",IF(M338&lt;=EOMONTH(Parametros!$B$2,0),"Previsto no mês","Em dia"))))))</f>
        <v/>
      </c>
    </row>
    <row r="339">
      <c r="I339" s="18">
        <f>IF(A339="","",COUNTIFS(Pedidos!$C:$C,A339,Pedidos!$K:$K,Parametros!$B$3))</f>
        <v/>
      </c>
      <c r="J339" s="19">
        <f>IF(A339="","",SUMIFS(Pedidos!$E:$E,Pedidos!$C:$C,A339,Pedidos!$K:$K,Parametros!$B$3))</f>
        <v/>
      </c>
      <c r="K339" s="18">
        <f>IF(A339="","",COUNTIFS(Pedidos!$C:$C,A339,Pedidos!$K:$K,Parametros!$B$4))</f>
        <v/>
      </c>
      <c r="L339" s="20">
        <f>IF(A339="","",IF(COUNTIFS(Pedidos!$C:$C,A339,Pedidos!$B:$B,"&lt;="&amp;EOMONTH(Parametros!$B$2,0))=0,"",_xlfn.MAXIFS(Pedidos!$B:$B,Pedidos!$C:$C,A339,Pedidos!$B:$B,"&lt;="&amp;EOMONTH(Parametros!$B$2,0))))</f>
        <v/>
      </c>
      <c r="M339" s="20">
        <f>IF(OR(L339="",F339=""),"",EDATE(L339,F339))</f>
        <v/>
      </c>
      <c r="N339" s="21">
        <f>IF(A339="","",IF(L339="","Sem histórico",IF(AND(L339&gt;=Parametros!$B$2,L339&lt;=EOMONTH(Parametros!$B$2,0)),"Comprou no mês",IF(M339="","Sem periodicidade",IF(M339&lt;Parametros!$B$2,"Atrasado",IF(M339&lt;=EOMONTH(Parametros!$B$2,0),"Previsto no mês","Em dia"))))))</f>
        <v/>
      </c>
    </row>
    <row r="340">
      <c r="I340" s="18">
        <f>IF(A340="","",COUNTIFS(Pedidos!$C:$C,A340,Pedidos!$K:$K,Parametros!$B$3))</f>
        <v/>
      </c>
      <c r="J340" s="19">
        <f>IF(A340="","",SUMIFS(Pedidos!$E:$E,Pedidos!$C:$C,A340,Pedidos!$K:$K,Parametros!$B$3))</f>
        <v/>
      </c>
      <c r="K340" s="18">
        <f>IF(A340="","",COUNTIFS(Pedidos!$C:$C,A340,Pedidos!$K:$K,Parametros!$B$4))</f>
        <v/>
      </c>
      <c r="L340" s="20">
        <f>IF(A340="","",IF(COUNTIFS(Pedidos!$C:$C,A340,Pedidos!$B:$B,"&lt;="&amp;EOMONTH(Parametros!$B$2,0))=0,"",_xlfn.MAXIFS(Pedidos!$B:$B,Pedidos!$C:$C,A340,Pedidos!$B:$B,"&lt;="&amp;EOMONTH(Parametros!$B$2,0))))</f>
        <v/>
      </c>
      <c r="M340" s="20">
        <f>IF(OR(L340="",F340=""),"",EDATE(L340,F340))</f>
        <v/>
      </c>
      <c r="N340" s="21">
        <f>IF(A340="","",IF(L340="","Sem histórico",IF(AND(L340&gt;=Parametros!$B$2,L340&lt;=EOMONTH(Parametros!$B$2,0)),"Comprou no mês",IF(M340="","Sem periodicidade",IF(M340&lt;Parametros!$B$2,"Atrasado",IF(M340&lt;=EOMONTH(Parametros!$B$2,0),"Previsto no mês","Em dia"))))))</f>
        <v/>
      </c>
    </row>
    <row r="341">
      <c r="I341" s="18">
        <f>IF(A341="","",COUNTIFS(Pedidos!$C:$C,A341,Pedidos!$K:$K,Parametros!$B$3))</f>
        <v/>
      </c>
      <c r="J341" s="19">
        <f>IF(A341="","",SUMIFS(Pedidos!$E:$E,Pedidos!$C:$C,A341,Pedidos!$K:$K,Parametros!$B$3))</f>
        <v/>
      </c>
      <c r="K341" s="18">
        <f>IF(A341="","",COUNTIFS(Pedidos!$C:$C,A341,Pedidos!$K:$K,Parametros!$B$4))</f>
        <v/>
      </c>
      <c r="L341" s="20">
        <f>IF(A341="","",IF(COUNTIFS(Pedidos!$C:$C,A341,Pedidos!$B:$B,"&lt;="&amp;EOMONTH(Parametros!$B$2,0))=0,"",_xlfn.MAXIFS(Pedidos!$B:$B,Pedidos!$C:$C,A341,Pedidos!$B:$B,"&lt;="&amp;EOMONTH(Parametros!$B$2,0))))</f>
        <v/>
      </c>
      <c r="M341" s="20">
        <f>IF(OR(L341="",F341=""),"",EDATE(L341,F341))</f>
        <v/>
      </c>
      <c r="N341" s="21">
        <f>IF(A341="","",IF(L341="","Sem histórico",IF(AND(L341&gt;=Parametros!$B$2,L341&lt;=EOMONTH(Parametros!$B$2,0)),"Comprou no mês",IF(M341="","Sem periodicidade",IF(M341&lt;Parametros!$B$2,"Atrasado",IF(M341&lt;=EOMONTH(Parametros!$B$2,0),"Previsto no mês","Em dia"))))))</f>
        <v/>
      </c>
    </row>
    <row r="342">
      <c r="I342" s="18">
        <f>IF(A342="","",COUNTIFS(Pedidos!$C:$C,A342,Pedidos!$K:$K,Parametros!$B$3))</f>
        <v/>
      </c>
      <c r="J342" s="19">
        <f>IF(A342="","",SUMIFS(Pedidos!$E:$E,Pedidos!$C:$C,A342,Pedidos!$K:$K,Parametros!$B$3))</f>
        <v/>
      </c>
      <c r="K342" s="18">
        <f>IF(A342="","",COUNTIFS(Pedidos!$C:$C,A342,Pedidos!$K:$K,Parametros!$B$4))</f>
        <v/>
      </c>
      <c r="L342" s="20">
        <f>IF(A342="","",IF(COUNTIFS(Pedidos!$C:$C,A342,Pedidos!$B:$B,"&lt;="&amp;EOMONTH(Parametros!$B$2,0))=0,"",_xlfn.MAXIFS(Pedidos!$B:$B,Pedidos!$C:$C,A342,Pedidos!$B:$B,"&lt;="&amp;EOMONTH(Parametros!$B$2,0))))</f>
        <v/>
      </c>
      <c r="M342" s="20">
        <f>IF(OR(L342="",F342=""),"",EDATE(L342,F342))</f>
        <v/>
      </c>
      <c r="N342" s="21">
        <f>IF(A342="","",IF(L342="","Sem histórico",IF(AND(L342&gt;=Parametros!$B$2,L342&lt;=EOMONTH(Parametros!$B$2,0)),"Comprou no mês",IF(M342="","Sem periodicidade",IF(M342&lt;Parametros!$B$2,"Atrasado",IF(M342&lt;=EOMONTH(Parametros!$B$2,0),"Previsto no mês","Em dia"))))))</f>
        <v/>
      </c>
    </row>
    <row r="343">
      <c r="I343" s="18">
        <f>IF(A343="","",COUNTIFS(Pedidos!$C:$C,A343,Pedidos!$K:$K,Parametros!$B$3))</f>
        <v/>
      </c>
      <c r="J343" s="19">
        <f>IF(A343="","",SUMIFS(Pedidos!$E:$E,Pedidos!$C:$C,A343,Pedidos!$K:$K,Parametros!$B$3))</f>
        <v/>
      </c>
      <c r="K343" s="18">
        <f>IF(A343="","",COUNTIFS(Pedidos!$C:$C,A343,Pedidos!$K:$K,Parametros!$B$4))</f>
        <v/>
      </c>
      <c r="L343" s="20">
        <f>IF(A343="","",IF(COUNTIFS(Pedidos!$C:$C,A343,Pedidos!$B:$B,"&lt;="&amp;EOMONTH(Parametros!$B$2,0))=0,"",_xlfn.MAXIFS(Pedidos!$B:$B,Pedidos!$C:$C,A343,Pedidos!$B:$B,"&lt;="&amp;EOMONTH(Parametros!$B$2,0))))</f>
        <v/>
      </c>
      <c r="M343" s="20">
        <f>IF(OR(L343="",F343=""),"",EDATE(L343,F343))</f>
        <v/>
      </c>
      <c r="N343" s="21">
        <f>IF(A343="","",IF(L343="","Sem histórico",IF(AND(L343&gt;=Parametros!$B$2,L343&lt;=EOMONTH(Parametros!$B$2,0)),"Comprou no mês",IF(M343="","Sem periodicidade",IF(M343&lt;Parametros!$B$2,"Atrasado",IF(M343&lt;=EOMONTH(Parametros!$B$2,0),"Previsto no mês","Em dia"))))))</f>
        <v/>
      </c>
    </row>
    <row r="344">
      <c r="I344" s="18">
        <f>IF(A344="","",COUNTIFS(Pedidos!$C:$C,A344,Pedidos!$K:$K,Parametros!$B$3))</f>
        <v/>
      </c>
      <c r="J344" s="19">
        <f>IF(A344="","",SUMIFS(Pedidos!$E:$E,Pedidos!$C:$C,A344,Pedidos!$K:$K,Parametros!$B$3))</f>
        <v/>
      </c>
      <c r="K344" s="18">
        <f>IF(A344="","",COUNTIFS(Pedidos!$C:$C,A344,Pedidos!$K:$K,Parametros!$B$4))</f>
        <v/>
      </c>
      <c r="L344" s="20">
        <f>IF(A344="","",IF(COUNTIFS(Pedidos!$C:$C,A344,Pedidos!$B:$B,"&lt;="&amp;EOMONTH(Parametros!$B$2,0))=0,"",_xlfn.MAXIFS(Pedidos!$B:$B,Pedidos!$C:$C,A344,Pedidos!$B:$B,"&lt;="&amp;EOMONTH(Parametros!$B$2,0))))</f>
        <v/>
      </c>
      <c r="M344" s="20">
        <f>IF(OR(L344="",F344=""),"",EDATE(L344,F344))</f>
        <v/>
      </c>
      <c r="N344" s="21">
        <f>IF(A344="","",IF(L344="","Sem histórico",IF(AND(L344&gt;=Parametros!$B$2,L344&lt;=EOMONTH(Parametros!$B$2,0)),"Comprou no mês",IF(M344="","Sem periodicidade",IF(M344&lt;Parametros!$B$2,"Atrasado",IF(M344&lt;=EOMONTH(Parametros!$B$2,0),"Previsto no mês","Em dia"))))))</f>
        <v/>
      </c>
    </row>
    <row r="345">
      <c r="I345" s="18">
        <f>IF(A345="","",COUNTIFS(Pedidos!$C:$C,A345,Pedidos!$K:$K,Parametros!$B$3))</f>
        <v/>
      </c>
      <c r="J345" s="19">
        <f>IF(A345="","",SUMIFS(Pedidos!$E:$E,Pedidos!$C:$C,A345,Pedidos!$K:$K,Parametros!$B$3))</f>
        <v/>
      </c>
      <c r="K345" s="18">
        <f>IF(A345="","",COUNTIFS(Pedidos!$C:$C,A345,Pedidos!$K:$K,Parametros!$B$4))</f>
        <v/>
      </c>
      <c r="L345" s="20">
        <f>IF(A345="","",IF(COUNTIFS(Pedidos!$C:$C,A345,Pedidos!$B:$B,"&lt;="&amp;EOMONTH(Parametros!$B$2,0))=0,"",_xlfn.MAXIFS(Pedidos!$B:$B,Pedidos!$C:$C,A345,Pedidos!$B:$B,"&lt;="&amp;EOMONTH(Parametros!$B$2,0))))</f>
        <v/>
      </c>
      <c r="M345" s="20">
        <f>IF(OR(L345="",F345=""),"",EDATE(L345,F345))</f>
        <v/>
      </c>
      <c r="N345" s="21">
        <f>IF(A345="","",IF(L345="","Sem histórico",IF(AND(L345&gt;=Parametros!$B$2,L345&lt;=EOMONTH(Parametros!$B$2,0)),"Comprou no mês",IF(M345="","Sem periodicidade",IF(M345&lt;Parametros!$B$2,"Atrasado",IF(M345&lt;=EOMONTH(Parametros!$B$2,0),"Previsto no mês","Em dia"))))))</f>
        <v/>
      </c>
    </row>
    <row r="346">
      <c r="I346" s="18">
        <f>IF(A346="","",COUNTIFS(Pedidos!$C:$C,A346,Pedidos!$K:$K,Parametros!$B$3))</f>
        <v/>
      </c>
      <c r="J346" s="19">
        <f>IF(A346="","",SUMIFS(Pedidos!$E:$E,Pedidos!$C:$C,A346,Pedidos!$K:$K,Parametros!$B$3))</f>
        <v/>
      </c>
      <c r="K346" s="18">
        <f>IF(A346="","",COUNTIFS(Pedidos!$C:$C,A346,Pedidos!$K:$K,Parametros!$B$4))</f>
        <v/>
      </c>
      <c r="L346" s="20">
        <f>IF(A346="","",IF(COUNTIFS(Pedidos!$C:$C,A346,Pedidos!$B:$B,"&lt;="&amp;EOMONTH(Parametros!$B$2,0))=0,"",_xlfn.MAXIFS(Pedidos!$B:$B,Pedidos!$C:$C,A346,Pedidos!$B:$B,"&lt;="&amp;EOMONTH(Parametros!$B$2,0))))</f>
        <v/>
      </c>
      <c r="M346" s="20">
        <f>IF(OR(L346="",F346=""),"",EDATE(L346,F346))</f>
        <v/>
      </c>
      <c r="N346" s="21">
        <f>IF(A346="","",IF(L346="","Sem histórico",IF(AND(L346&gt;=Parametros!$B$2,L346&lt;=EOMONTH(Parametros!$B$2,0)),"Comprou no mês",IF(M346="","Sem periodicidade",IF(M346&lt;Parametros!$B$2,"Atrasado",IF(M346&lt;=EOMONTH(Parametros!$B$2,0),"Previsto no mês","Em dia"))))))</f>
        <v/>
      </c>
    </row>
    <row r="347">
      <c r="I347" s="18">
        <f>IF(A347="","",COUNTIFS(Pedidos!$C:$C,A347,Pedidos!$K:$K,Parametros!$B$3))</f>
        <v/>
      </c>
      <c r="J347" s="19">
        <f>IF(A347="","",SUMIFS(Pedidos!$E:$E,Pedidos!$C:$C,A347,Pedidos!$K:$K,Parametros!$B$3))</f>
        <v/>
      </c>
      <c r="K347" s="18">
        <f>IF(A347="","",COUNTIFS(Pedidos!$C:$C,A347,Pedidos!$K:$K,Parametros!$B$4))</f>
        <v/>
      </c>
      <c r="L347" s="20">
        <f>IF(A347="","",IF(COUNTIFS(Pedidos!$C:$C,A347,Pedidos!$B:$B,"&lt;="&amp;EOMONTH(Parametros!$B$2,0))=0,"",_xlfn.MAXIFS(Pedidos!$B:$B,Pedidos!$C:$C,A347,Pedidos!$B:$B,"&lt;="&amp;EOMONTH(Parametros!$B$2,0))))</f>
        <v/>
      </c>
      <c r="M347" s="20">
        <f>IF(OR(L347="",F347=""),"",EDATE(L347,F347))</f>
        <v/>
      </c>
      <c r="N347" s="21">
        <f>IF(A347="","",IF(L347="","Sem histórico",IF(AND(L347&gt;=Parametros!$B$2,L347&lt;=EOMONTH(Parametros!$B$2,0)),"Comprou no mês",IF(M347="","Sem periodicidade",IF(M347&lt;Parametros!$B$2,"Atrasado",IF(M347&lt;=EOMONTH(Parametros!$B$2,0),"Previsto no mês","Em dia"))))))</f>
        <v/>
      </c>
    </row>
    <row r="348">
      <c r="I348" s="18">
        <f>IF(A348="","",COUNTIFS(Pedidos!$C:$C,A348,Pedidos!$K:$K,Parametros!$B$3))</f>
        <v/>
      </c>
      <c r="J348" s="19">
        <f>IF(A348="","",SUMIFS(Pedidos!$E:$E,Pedidos!$C:$C,A348,Pedidos!$K:$K,Parametros!$B$3))</f>
        <v/>
      </c>
      <c r="K348" s="18">
        <f>IF(A348="","",COUNTIFS(Pedidos!$C:$C,A348,Pedidos!$K:$K,Parametros!$B$4))</f>
        <v/>
      </c>
      <c r="L348" s="20">
        <f>IF(A348="","",IF(COUNTIFS(Pedidos!$C:$C,A348,Pedidos!$B:$B,"&lt;="&amp;EOMONTH(Parametros!$B$2,0))=0,"",_xlfn.MAXIFS(Pedidos!$B:$B,Pedidos!$C:$C,A348,Pedidos!$B:$B,"&lt;="&amp;EOMONTH(Parametros!$B$2,0))))</f>
        <v/>
      </c>
      <c r="M348" s="20">
        <f>IF(OR(L348="",F348=""),"",EDATE(L348,F348))</f>
        <v/>
      </c>
      <c r="N348" s="21">
        <f>IF(A348="","",IF(L348="","Sem histórico",IF(AND(L348&gt;=Parametros!$B$2,L348&lt;=EOMONTH(Parametros!$B$2,0)),"Comprou no mês",IF(M348="","Sem periodicidade",IF(M348&lt;Parametros!$B$2,"Atrasado",IF(M348&lt;=EOMONTH(Parametros!$B$2,0),"Previsto no mês","Em dia"))))))</f>
        <v/>
      </c>
    </row>
    <row r="349">
      <c r="I349" s="18">
        <f>IF(A349="","",COUNTIFS(Pedidos!$C:$C,A349,Pedidos!$K:$K,Parametros!$B$3))</f>
        <v/>
      </c>
      <c r="J349" s="19">
        <f>IF(A349="","",SUMIFS(Pedidos!$E:$E,Pedidos!$C:$C,A349,Pedidos!$K:$K,Parametros!$B$3))</f>
        <v/>
      </c>
      <c r="K349" s="18">
        <f>IF(A349="","",COUNTIFS(Pedidos!$C:$C,A349,Pedidos!$K:$K,Parametros!$B$4))</f>
        <v/>
      </c>
      <c r="L349" s="20">
        <f>IF(A349="","",IF(COUNTIFS(Pedidos!$C:$C,A349,Pedidos!$B:$B,"&lt;="&amp;EOMONTH(Parametros!$B$2,0))=0,"",_xlfn.MAXIFS(Pedidos!$B:$B,Pedidos!$C:$C,A349,Pedidos!$B:$B,"&lt;="&amp;EOMONTH(Parametros!$B$2,0))))</f>
        <v/>
      </c>
      <c r="M349" s="20">
        <f>IF(OR(L349="",F349=""),"",EDATE(L349,F349))</f>
        <v/>
      </c>
      <c r="N349" s="21">
        <f>IF(A349="","",IF(L349="","Sem histórico",IF(AND(L349&gt;=Parametros!$B$2,L349&lt;=EOMONTH(Parametros!$B$2,0)),"Comprou no mês",IF(M349="","Sem periodicidade",IF(M349&lt;Parametros!$B$2,"Atrasado",IF(M349&lt;=EOMONTH(Parametros!$B$2,0),"Previsto no mês","Em dia"))))))</f>
        <v/>
      </c>
    </row>
    <row r="350">
      <c r="I350" s="18">
        <f>IF(A350="","",COUNTIFS(Pedidos!$C:$C,A350,Pedidos!$K:$K,Parametros!$B$3))</f>
        <v/>
      </c>
      <c r="J350" s="19">
        <f>IF(A350="","",SUMIFS(Pedidos!$E:$E,Pedidos!$C:$C,A350,Pedidos!$K:$K,Parametros!$B$3))</f>
        <v/>
      </c>
      <c r="K350" s="18">
        <f>IF(A350="","",COUNTIFS(Pedidos!$C:$C,A350,Pedidos!$K:$K,Parametros!$B$4))</f>
        <v/>
      </c>
      <c r="L350" s="20">
        <f>IF(A350="","",IF(COUNTIFS(Pedidos!$C:$C,A350,Pedidos!$B:$B,"&lt;="&amp;EOMONTH(Parametros!$B$2,0))=0,"",_xlfn.MAXIFS(Pedidos!$B:$B,Pedidos!$C:$C,A350,Pedidos!$B:$B,"&lt;="&amp;EOMONTH(Parametros!$B$2,0))))</f>
        <v/>
      </c>
      <c r="M350" s="20">
        <f>IF(OR(L350="",F350=""),"",EDATE(L350,F350))</f>
        <v/>
      </c>
      <c r="N350" s="21">
        <f>IF(A350="","",IF(L350="","Sem histórico",IF(AND(L350&gt;=Parametros!$B$2,L350&lt;=EOMONTH(Parametros!$B$2,0)),"Comprou no mês",IF(M350="","Sem periodicidade",IF(M350&lt;Parametros!$B$2,"Atrasado",IF(M350&lt;=EOMONTH(Parametros!$B$2,0),"Previsto no mês","Em dia"))))))</f>
        <v/>
      </c>
    </row>
    <row r="351">
      <c r="I351" s="18">
        <f>IF(A351="","",COUNTIFS(Pedidos!$C:$C,A351,Pedidos!$K:$K,Parametros!$B$3))</f>
        <v/>
      </c>
      <c r="J351" s="19">
        <f>IF(A351="","",SUMIFS(Pedidos!$E:$E,Pedidos!$C:$C,A351,Pedidos!$K:$K,Parametros!$B$3))</f>
        <v/>
      </c>
      <c r="K351" s="18">
        <f>IF(A351="","",COUNTIFS(Pedidos!$C:$C,A351,Pedidos!$K:$K,Parametros!$B$4))</f>
        <v/>
      </c>
      <c r="L351" s="20">
        <f>IF(A351="","",IF(COUNTIFS(Pedidos!$C:$C,A351,Pedidos!$B:$B,"&lt;="&amp;EOMONTH(Parametros!$B$2,0))=0,"",_xlfn.MAXIFS(Pedidos!$B:$B,Pedidos!$C:$C,A351,Pedidos!$B:$B,"&lt;="&amp;EOMONTH(Parametros!$B$2,0))))</f>
        <v/>
      </c>
      <c r="M351" s="20">
        <f>IF(OR(L351="",F351=""),"",EDATE(L351,F351))</f>
        <v/>
      </c>
      <c r="N351" s="21">
        <f>IF(A351="","",IF(L351="","Sem histórico",IF(AND(L351&gt;=Parametros!$B$2,L351&lt;=EOMONTH(Parametros!$B$2,0)),"Comprou no mês",IF(M351="","Sem periodicidade",IF(M351&lt;Parametros!$B$2,"Atrasado",IF(M351&lt;=EOMONTH(Parametros!$B$2,0),"Previsto no mês","Em dia"))))))</f>
        <v/>
      </c>
    </row>
    <row r="352">
      <c r="I352" s="18">
        <f>IF(A352="","",COUNTIFS(Pedidos!$C:$C,A352,Pedidos!$K:$K,Parametros!$B$3))</f>
        <v/>
      </c>
      <c r="J352" s="19">
        <f>IF(A352="","",SUMIFS(Pedidos!$E:$E,Pedidos!$C:$C,A352,Pedidos!$K:$K,Parametros!$B$3))</f>
        <v/>
      </c>
      <c r="K352" s="18">
        <f>IF(A352="","",COUNTIFS(Pedidos!$C:$C,A352,Pedidos!$K:$K,Parametros!$B$4))</f>
        <v/>
      </c>
      <c r="L352" s="20">
        <f>IF(A352="","",IF(COUNTIFS(Pedidos!$C:$C,A352,Pedidos!$B:$B,"&lt;="&amp;EOMONTH(Parametros!$B$2,0))=0,"",_xlfn.MAXIFS(Pedidos!$B:$B,Pedidos!$C:$C,A352,Pedidos!$B:$B,"&lt;="&amp;EOMONTH(Parametros!$B$2,0))))</f>
        <v/>
      </c>
      <c r="M352" s="20">
        <f>IF(OR(L352="",F352=""),"",EDATE(L352,F352))</f>
        <v/>
      </c>
      <c r="N352" s="21">
        <f>IF(A352="","",IF(L352="","Sem histórico",IF(AND(L352&gt;=Parametros!$B$2,L352&lt;=EOMONTH(Parametros!$B$2,0)),"Comprou no mês",IF(M352="","Sem periodicidade",IF(M352&lt;Parametros!$B$2,"Atrasado",IF(M352&lt;=EOMONTH(Parametros!$B$2,0),"Previsto no mês","Em dia"))))))</f>
        <v/>
      </c>
    </row>
    <row r="353">
      <c r="I353" s="18">
        <f>IF(A353="","",COUNTIFS(Pedidos!$C:$C,A353,Pedidos!$K:$K,Parametros!$B$3))</f>
        <v/>
      </c>
      <c r="J353" s="19">
        <f>IF(A353="","",SUMIFS(Pedidos!$E:$E,Pedidos!$C:$C,A353,Pedidos!$K:$K,Parametros!$B$3))</f>
        <v/>
      </c>
      <c r="K353" s="18">
        <f>IF(A353="","",COUNTIFS(Pedidos!$C:$C,A353,Pedidos!$K:$K,Parametros!$B$4))</f>
        <v/>
      </c>
      <c r="L353" s="20">
        <f>IF(A353="","",IF(COUNTIFS(Pedidos!$C:$C,A353,Pedidos!$B:$B,"&lt;="&amp;EOMONTH(Parametros!$B$2,0))=0,"",_xlfn.MAXIFS(Pedidos!$B:$B,Pedidos!$C:$C,A353,Pedidos!$B:$B,"&lt;="&amp;EOMONTH(Parametros!$B$2,0))))</f>
        <v/>
      </c>
      <c r="M353" s="20">
        <f>IF(OR(L353="",F353=""),"",EDATE(L353,F353))</f>
        <v/>
      </c>
      <c r="N353" s="21">
        <f>IF(A353="","",IF(L353="","Sem histórico",IF(AND(L353&gt;=Parametros!$B$2,L353&lt;=EOMONTH(Parametros!$B$2,0)),"Comprou no mês",IF(M353="","Sem periodicidade",IF(M353&lt;Parametros!$B$2,"Atrasado",IF(M353&lt;=EOMONTH(Parametros!$B$2,0),"Previsto no mês","Em dia"))))))</f>
        <v/>
      </c>
    </row>
    <row r="354">
      <c r="I354" s="18">
        <f>IF(A354="","",COUNTIFS(Pedidos!$C:$C,A354,Pedidos!$K:$K,Parametros!$B$3))</f>
        <v/>
      </c>
      <c r="J354" s="19">
        <f>IF(A354="","",SUMIFS(Pedidos!$E:$E,Pedidos!$C:$C,A354,Pedidos!$K:$K,Parametros!$B$3))</f>
        <v/>
      </c>
      <c r="K354" s="18">
        <f>IF(A354="","",COUNTIFS(Pedidos!$C:$C,A354,Pedidos!$K:$K,Parametros!$B$4))</f>
        <v/>
      </c>
      <c r="L354" s="20">
        <f>IF(A354="","",IF(COUNTIFS(Pedidos!$C:$C,A354,Pedidos!$B:$B,"&lt;="&amp;EOMONTH(Parametros!$B$2,0))=0,"",_xlfn.MAXIFS(Pedidos!$B:$B,Pedidos!$C:$C,A354,Pedidos!$B:$B,"&lt;="&amp;EOMONTH(Parametros!$B$2,0))))</f>
        <v/>
      </c>
      <c r="M354" s="20">
        <f>IF(OR(L354="",F354=""),"",EDATE(L354,F354))</f>
        <v/>
      </c>
      <c r="N354" s="21">
        <f>IF(A354="","",IF(L354="","Sem histórico",IF(AND(L354&gt;=Parametros!$B$2,L354&lt;=EOMONTH(Parametros!$B$2,0)),"Comprou no mês",IF(M354="","Sem periodicidade",IF(M354&lt;Parametros!$B$2,"Atrasado",IF(M354&lt;=EOMONTH(Parametros!$B$2,0),"Previsto no mês","Em dia"))))))</f>
        <v/>
      </c>
    </row>
    <row r="355">
      <c r="I355" s="18">
        <f>IF(A355="","",COUNTIFS(Pedidos!$C:$C,A355,Pedidos!$K:$K,Parametros!$B$3))</f>
        <v/>
      </c>
      <c r="J355" s="19">
        <f>IF(A355="","",SUMIFS(Pedidos!$E:$E,Pedidos!$C:$C,A355,Pedidos!$K:$K,Parametros!$B$3))</f>
        <v/>
      </c>
      <c r="K355" s="18">
        <f>IF(A355="","",COUNTIFS(Pedidos!$C:$C,A355,Pedidos!$K:$K,Parametros!$B$4))</f>
        <v/>
      </c>
      <c r="L355" s="20">
        <f>IF(A355="","",IF(COUNTIFS(Pedidos!$C:$C,A355,Pedidos!$B:$B,"&lt;="&amp;EOMONTH(Parametros!$B$2,0))=0,"",_xlfn.MAXIFS(Pedidos!$B:$B,Pedidos!$C:$C,A355,Pedidos!$B:$B,"&lt;="&amp;EOMONTH(Parametros!$B$2,0))))</f>
        <v/>
      </c>
      <c r="M355" s="20">
        <f>IF(OR(L355="",F355=""),"",EDATE(L355,F355))</f>
        <v/>
      </c>
      <c r="N355" s="21">
        <f>IF(A355="","",IF(L355="","Sem histórico",IF(AND(L355&gt;=Parametros!$B$2,L355&lt;=EOMONTH(Parametros!$B$2,0)),"Comprou no mês",IF(M355="","Sem periodicidade",IF(M355&lt;Parametros!$B$2,"Atrasado",IF(M355&lt;=EOMONTH(Parametros!$B$2,0),"Previsto no mês","Em dia"))))))</f>
        <v/>
      </c>
    </row>
    <row r="356">
      <c r="I356" s="18">
        <f>IF(A356="","",COUNTIFS(Pedidos!$C:$C,A356,Pedidos!$K:$K,Parametros!$B$3))</f>
        <v/>
      </c>
      <c r="J356" s="19">
        <f>IF(A356="","",SUMIFS(Pedidos!$E:$E,Pedidos!$C:$C,A356,Pedidos!$K:$K,Parametros!$B$3))</f>
        <v/>
      </c>
      <c r="K356" s="18">
        <f>IF(A356="","",COUNTIFS(Pedidos!$C:$C,A356,Pedidos!$K:$K,Parametros!$B$4))</f>
        <v/>
      </c>
      <c r="L356" s="20">
        <f>IF(A356="","",IF(COUNTIFS(Pedidos!$C:$C,A356,Pedidos!$B:$B,"&lt;="&amp;EOMONTH(Parametros!$B$2,0))=0,"",_xlfn.MAXIFS(Pedidos!$B:$B,Pedidos!$C:$C,A356,Pedidos!$B:$B,"&lt;="&amp;EOMONTH(Parametros!$B$2,0))))</f>
        <v/>
      </c>
      <c r="M356" s="20">
        <f>IF(OR(L356="",F356=""),"",EDATE(L356,F356))</f>
        <v/>
      </c>
      <c r="N356" s="21">
        <f>IF(A356="","",IF(L356="","Sem histórico",IF(AND(L356&gt;=Parametros!$B$2,L356&lt;=EOMONTH(Parametros!$B$2,0)),"Comprou no mês",IF(M356="","Sem periodicidade",IF(M356&lt;Parametros!$B$2,"Atrasado",IF(M356&lt;=EOMONTH(Parametros!$B$2,0),"Previsto no mês","Em dia"))))))</f>
        <v/>
      </c>
    </row>
    <row r="357">
      <c r="I357" s="18">
        <f>IF(A357="","",COUNTIFS(Pedidos!$C:$C,A357,Pedidos!$K:$K,Parametros!$B$3))</f>
        <v/>
      </c>
      <c r="J357" s="19">
        <f>IF(A357="","",SUMIFS(Pedidos!$E:$E,Pedidos!$C:$C,A357,Pedidos!$K:$K,Parametros!$B$3))</f>
        <v/>
      </c>
      <c r="K357" s="18">
        <f>IF(A357="","",COUNTIFS(Pedidos!$C:$C,A357,Pedidos!$K:$K,Parametros!$B$4))</f>
        <v/>
      </c>
      <c r="L357" s="20">
        <f>IF(A357="","",IF(COUNTIFS(Pedidos!$C:$C,A357,Pedidos!$B:$B,"&lt;="&amp;EOMONTH(Parametros!$B$2,0))=0,"",_xlfn.MAXIFS(Pedidos!$B:$B,Pedidos!$C:$C,A357,Pedidos!$B:$B,"&lt;="&amp;EOMONTH(Parametros!$B$2,0))))</f>
        <v/>
      </c>
      <c r="M357" s="20">
        <f>IF(OR(L357="",F357=""),"",EDATE(L357,F357))</f>
        <v/>
      </c>
      <c r="N357" s="21">
        <f>IF(A357="","",IF(L357="","Sem histórico",IF(AND(L357&gt;=Parametros!$B$2,L357&lt;=EOMONTH(Parametros!$B$2,0)),"Comprou no mês",IF(M357="","Sem periodicidade",IF(M357&lt;Parametros!$B$2,"Atrasado",IF(M357&lt;=EOMONTH(Parametros!$B$2,0),"Previsto no mês","Em dia"))))))</f>
        <v/>
      </c>
    </row>
    <row r="358">
      <c r="I358" s="18">
        <f>IF(A358="","",COUNTIFS(Pedidos!$C:$C,A358,Pedidos!$K:$K,Parametros!$B$3))</f>
        <v/>
      </c>
      <c r="J358" s="19">
        <f>IF(A358="","",SUMIFS(Pedidos!$E:$E,Pedidos!$C:$C,A358,Pedidos!$K:$K,Parametros!$B$3))</f>
        <v/>
      </c>
      <c r="K358" s="18">
        <f>IF(A358="","",COUNTIFS(Pedidos!$C:$C,A358,Pedidos!$K:$K,Parametros!$B$4))</f>
        <v/>
      </c>
      <c r="L358" s="20">
        <f>IF(A358="","",IF(COUNTIFS(Pedidos!$C:$C,A358,Pedidos!$B:$B,"&lt;="&amp;EOMONTH(Parametros!$B$2,0))=0,"",_xlfn.MAXIFS(Pedidos!$B:$B,Pedidos!$C:$C,A358,Pedidos!$B:$B,"&lt;="&amp;EOMONTH(Parametros!$B$2,0))))</f>
        <v/>
      </c>
      <c r="M358" s="20">
        <f>IF(OR(L358="",F358=""),"",EDATE(L358,F358))</f>
        <v/>
      </c>
      <c r="N358" s="21">
        <f>IF(A358="","",IF(L358="","Sem histórico",IF(AND(L358&gt;=Parametros!$B$2,L358&lt;=EOMONTH(Parametros!$B$2,0)),"Comprou no mês",IF(M358="","Sem periodicidade",IF(M358&lt;Parametros!$B$2,"Atrasado",IF(M358&lt;=EOMONTH(Parametros!$B$2,0),"Previsto no mês","Em dia"))))))</f>
        <v/>
      </c>
    </row>
    <row r="359">
      <c r="I359" s="18">
        <f>IF(A359="","",COUNTIFS(Pedidos!$C:$C,A359,Pedidos!$K:$K,Parametros!$B$3))</f>
        <v/>
      </c>
      <c r="J359" s="19">
        <f>IF(A359="","",SUMIFS(Pedidos!$E:$E,Pedidos!$C:$C,A359,Pedidos!$K:$K,Parametros!$B$3))</f>
        <v/>
      </c>
      <c r="K359" s="18">
        <f>IF(A359="","",COUNTIFS(Pedidos!$C:$C,A359,Pedidos!$K:$K,Parametros!$B$4))</f>
        <v/>
      </c>
      <c r="L359" s="20">
        <f>IF(A359="","",IF(COUNTIFS(Pedidos!$C:$C,A359,Pedidos!$B:$B,"&lt;="&amp;EOMONTH(Parametros!$B$2,0))=0,"",_xlfn.MAXIFS(Pedidos!$B:$B,Pedidos!$C:$C,A359,Pedidos!$B:$B,"&lt;="&amp;EOMONTH(Parametros!$B$2,0))))</f>
        <v/>
      </c>
      <c r="M359" s="20">
        <f>IF(OR(L359="",F359=""),"",EDATE(L359,F359))</f>
        <v/>
      </c>
      <c r="N359" s="21">
        <f>IF(A359="","",IF(L359="","Sem histórico",IF(AND(L359&gt;=Parametros!$B$2,L359&lt;=EOMONTH(Parametros!$B$2,0)),"Comprou no mês",IF(M359="","Sem periodicidade",IF(M359&lt;Parametros!$B$2,"Atrasado",IF(M359&lt;=EOMONTH(Parametros!$B$2,0),"Previsto no mês","Em dia"))))))</f>
        <v/>
      </c>
    </row>
    <row r="360">
      <c r="I360" s="18">
        <f>IF(A360="","",COUNTIFS(Pedidos!$C:$C,A360,Pedidos!$K:$K,Parametros!$B$3))</f>
        <v/>
      </c>
      <c r="J360" s="19">
        <f>IF(A360="","",SUMIFS(Pedidos!$E:$E,Pedidos!$C:$C,A360,Pedidos!$K:$K,Parametros!$B$3))</f>
        <v/>
      </c>
      <c r="K360" s="18">
        <f>IF(A360="","",COUNTIFS(Pedidos!$C:$C,A360,Pedidos!$K:$K,Parametros!$B$4))</f>
        <v/>
      </c>
      <c r="L360" s="20">
        <f>IF(A360="","",IF(COUNTIFS(Pedidos!$C:$C,A360,Pedidos!$B:$B,"&lt;="&amp;EOMONTH(Parametros!$B$2,0))=0,"",_xlfn.MAXIFS(Pedidos!$B:$B,Pedidos!$C:$C,A360,Pedidos!$B:$B,"&lt;="&amp;EOMONTH(Parametros!$B$2,0))))</f>
        <v/>
      </c>
      <c r="M360" s="20">
        <f>IF(OR(L360="",F360=""),"",EDATE(L360,F360))</f>
        <v/>
      </c>
      <c r="N360" s="21">
        <f>IF(A360="","",IF(L360="","Sem histórico",IF(AND(L360&gt;=Parametros!$B$2,L360&lt;=EOMONTH(Parametros!$B$2,0)),"Comprou no mês",IF(M360="","Sem periodicidade",IF(M360&lt;Parametros!$B$2,"Atrasado",IF(M360&lt;=EOMONTH(Parametros!$B$2,0),"Previsto no mês","Em dia"))))))</f>
        <v/>
      </c>
    </row>
    <row r="361">
      <c r="I361" s="18">
        <f>IF(A361="","",COUNTIFS(Pedidos!$C:$C,A361,Pedidos!$K:$K,Parametros!$B$3))</f>
        <v/>
      </c>
      <c r="J361" s="19">
        <f>IF(A361="","",SUMIFS(Pedidos!$E:$E,Pedidos!$C:$C,A361,Pedidos!$K:$K,Parametros!$B$3))</f>
        <v/>
      </c>
      <c r="K361" s="18">
        <f>IF(A361="","",COUNTIFS(Pedidos!$C:$C,A361,Pedidos!$K:$K,Parametros!$B$4))</f>
        <v/>
      </c>
      <c r="L361" s="20">
        <f>IF(A361="","",IF(COUNTIFS(Pedidos!$C:$C,A361,Pedidos!$B:$B,"&lt;="&amp;EOMONTH(Parametros!$B$2,0))=0,"",_xlfn.MAXIFS(Pedidos!$B:$B,Pedidos!$C:$C,A361,Pedidos!$B:$B,"&lt;="&amp;EOMONTH(Parametros!$B$2,0))))</f>
        <v/>
      </c>
      <c r="M361" s="20">
        <f>IF(OR(L361="",F361=""),"",EDATE(L361,F361))</f>
        <v/>
      </c>
      <c r="N361" s="21">
        <f>IF(A361="","",IF(L361="","Sem histórico",IF(AND(L361&gt;=Parametros!$B$2,L361&lt;=EOMONTH(Parametros!$B$2,0)),"Comprou no mês",IF(M361="","Sem periodicidade",IF(M361&lt;Parametros!$B$2,"Atrasado",IF(M361&lt;=EOMONTH(Parametros!$B$2,0),"Previsto no mês","Em dia"))))))</f>
        <v/>
      </c>
    </row>
    <row r="362">
      <c r="I362" s="18">
        <f>IF(A362="","",COUNTIFS(Pedidos!$C:$C,A362,Pedidos!$K:$K,Parametros!$B$3))</f>
        <v/>
      </c>
      <c r="J362" s="19">
        <f>IF(A362="","",SUMIFS(Pedidos!$E:$E,Pedidos!$C:$C,A362,Pedidos!$K:$K,Parametros!$B$3))</f>
        <v/>
      </c>
      <c r="K362" s="18">
        <f>IF(A362="","",COUNTIFS(Pedidos!$C:$C,A362,Pedidos!$K:$K,Parametros!$B$4))</f>
        <v/>
      </c>
      <c r="L362" s="20">
        <f>IF(A362="","",IF(COUNTIFS(Pedidos!$C:$C,A362,Pedidos!$B:$B,"&lt;="&amp;EOMONTH(Parametros!$B$2,0))=0,"",_xlfn.MAXIFS(Pedidos!$B:$B,Pedidos!$C:$C,A362,Pedidos!$B:$B,"&lt;="&amp;EOMONTH(Parametros!$B$2,0))))</f>
        <v/>
      </c>
      <c r="M362" s="20">
        <f>IF(OR(L362="",F362=""),"",EDATE(L362,F362))</f>
        <v/>
      </c>
      <c r="N362" s="21">
        <f>IF(A362="","",IF(L362="","Sem histórico",IF(AND(L362&gt;=Parametros!$B$2,L362&lt;=EOMONTH(Parametros!$B$2,0)),"Comprou no mês",IF(M362="","Sem periodicidade",IF(M362&lt;Parametros!$B$2,"Atrasado",IF(M362&lt;=EOMONTH(Parametros!$B$2,0),"Previsto no mês","Em dia"))))))</f>
        <v/>
      </c>
    </row>
    <row r="363">
      <c r="I363" s="18">
        <f>IF(A363="","",COUNTIFS(Pedidos!$C:$C,A363,Pedidos!$K:$K,Parametros!$B$3))</f>
        <v/>
      </c>
      <c r="J363" s="19">
        <f>IF(A363="","",SUMIFS(Pedidos!$E:$E,Pedidos!$C:$C,A363,Pedidos!$K:$K,Parametros!$B$3))</f>
        <v/>
      </c>
      <c r="K363" s="18">
        <f>IF(A363="","",COUNTIFS(Pedidos!$C:$C,A363,Pedidos!$K:$K,Parametros!$B$4))</f>
        <v/>
      </c>
      <c r="L363" s="20">
        <f>IF(A363="","",IF(COUNTIFS(Pedidos!$C:$C,A363,Pedidos!$B:$B,"&lt;="&amp;EOMONTH(Parametros!$B$2,0))=0,"",_xlfn.MAXIFS(Pedidos!$B:$B,Pedidos!$C:$C,A363,Pedidos!$B:$B,"&lt;="&amp;EOMONTH(Parametros!$B$2,0))))</f>
        <v/>
      </c>
      <c r="M363" s="20">
        <f>IF(OR(L363="",F363=""),"",EDATE(L363,F363))</f>
        <v/>
      </c>
      <c r="N363" s="21">
        <f>IF(A363="","",IF(L363="","Sem histórico",IF(AND(L363&gt;=Parametros!$B$2,L363&lt;=EOMONTH(Parametros!$B$2,0)),"Comprou no mês",IF(M363="","Sem periodicidade",IF(M363&lt;Parametros!$B$2,"Atrasado",IF(M363&lt;=EOMONTH(Parametros!$B$2,0),"Previsto no mês","Em dia"))))))</f>
        <v/>
      </c>
    </row>
    <row r="364">
      <c r="I364" s="18">
        <f>IF(A364="","",COUNTIFS(Pedidos!$C:$C,A364,Pedidos!$K:$K,Parametros!$B$3))</f>
        <v/>
      </c>
      <c r="J364" s="19">
        <f>IF(A364="","",SUMIFS(Pedidos!$E:$E,Pedidos!$C:$C,A364,Pedidos!$K:$K,Parametros!$B$3))</f>
        <v/>
      </c>
      <c r="K364" s="18">
        <f>IF(A364="","",COUNTIFS(Pedidos!$C:$C,A364,Pedidos!$K:$K,Parametros!$B$4))</f>
        <v/>
      </c>
      <c r="L364" s="20">
        <f>IF(A364="","",IF(COUNTIFS(Pedidos!$C:$C,A364,Pedidos!$B:$B,"&lt;="&amp;EOMONTH(Parametros!$B$2,0))=0,"",_xlfn.MAXIFS(Pedidos!$B:$B,Pedidos!$C:$C,A364,Pedidos!$B:$B,"&lt;="&amp;EOMONTH(Parametros!$B$2,0))))</f>
        <v/>
      </c>
      <c r="M364" s="20">
        <f>IF(OR(L364="",F364=""),"",EDATE(L364,F364))</f>
        <v/>
      </c>
      <c r="N364" s="21">
        <f>IF(A364="","",IF(L364="","Sem histórico",IF(AND(L364&gt;=Parametros!$B$2,L364&lt;=EOMONTH(Parametros!$B$2,0)),"Comprou no mês",IF(M364="","Sem periodicidade",IF(M364&lt;Parametros!$B$2,"Atrasado",IF(M364&lt;=EOMONTH(Parametros!$B$2,0),"Previsto no mês","Em dia"))))))</f>
        <v/>
      </c>
    </row>
    <row r="365">
      <c r="I365" s="18">
        <f>IF(A365="","",COUNTIFS(Pedidos!$C:$C,A365,Pedidos!$K:$K,Parametros!$B$3))</f>
        <v/>
      </c>
      <c r="J365" s="19">
        <f>IF(A365="","",SUMIFS(Pedidos!$E:$E,Pedidos!$C:$C,A365,Pedidos!$K:$K,Parametros!$B$3))</f>
        <v/>
      </c>
      <c r="K365" s="18">
        <f>IF(A365="","",COUNTIFS(Pedidos!$C:$C,A365,Pedidos!$K:$K,Parametros!$B$4))</f>
        <v/>
      </c>
      <c r="L365" s="20">
        <f>IF(A365="","",IF(COUNTIFS(Pedidos!$C:$C,A365,Pedidos!$B:$B,"&lt;="&amp;EOMONTH(Parametros!$B$2,0))=0,"",_xlfn.MAXIFS(Pedidos!$B:$B,Pedidos!$C:$C,A365,Pedidos!$B:$B,"&lt;="&amp;EOMONTH(Parametros!$B$2,0))))</f>
        <v/>
      </c>
      <c r="M365" s="20">
        <f>IF(OR(L365="",F365=""),"",EDATE(L365,F365))</f>
        <v/>
      </c>
      <c r="N365" s="21">
        <f>IF(A365="","",IF(L365="","Sem histórico",IF(AND(L365&gt;=Parametros!$B$2,L365&lt;=EOMONTH(Parametros!$B$2,0)),"Comprou no mês",IF(M365="","Sem periodicidade",IF(M365&lt;Parametros!$B$2,"Atrasado",IF(M365&lt;=EOMONTH(Parametros!$B$2,0),"Previsto no mês","Em dia"))))))</f>
        <v/>
      </c>
    </row>
    <row r="366">
      <c r="I366" s="18">
        <f>IF(A366="","",COUNTIFS(Pedidos!$C:$C,A366,Pedidos!$K:$K,Parametros!$B$3))</f>
        <v/>
      </c>
      <c r="J366" s="19">
        <f>IF(A366="","",SUMIFS(Pedidos!$E:$E,Pedidos!$C:$C,A366,Pedidos!$K:$K,Parametros!$B$3))</f>
        <v/>
      </c>
      <c r="K366" s="18">
        <f>IF(A366="","",COUNTIFS(Pedidos!$C:$C,A366,Pedidos!$K:$K,Parametros!$B$4))</f>
        <v/>
      </c>
      <c r="L366" s="20">
        <f>IF(A366="","",IF(COUNTIFS(Pedidos!$C:$C,A366,Pedidos!$B:$B,"&lt;="&amp;EOMONTH(Parametros!$B$2,0))=0,"",_xlfn.MAXIFS(Pedidos!$B:$B,Pedidos!$C:$C,A366,Pedidos!$B:$B,"&lt;="&amp;EOMONTH(Parametros!$B$2,0))))</f>
        <v/>
      </c>
      <c r="M366" s="20">
        <f>IF(OR(L366="",F366=""),"",EDATE(L366,F366))</f>
        <v/>
      </c>
      <c r="N366" s="21">
        <f>IF(A366="","",IF(L366="","Sem histórico",IF(AND(L366&gt;=Parametros!$B$2,L366&lt;=EOMONTH(Parametros!$B$2,0)),"Comprou no mês",IF(M366="","Sem periodicidade",IF(M366&lt;Parametros!$B$2,"Atrasado",IF(M366&lt;=EOMONTH(Parametros!$B$2,0),"Previsto no mês","Em dia"))))))</f>
        <v/>
      </c>
    </row>
    <row r="367">
      <c r="I367" s="18">
        <f>IF(A367="","",COUNTIFS(Pedidos!$C:$C,A367,Pedidos!$K:$K,Parametros!$B$3))</f>
        <v/>
      </c>
      <c r="J367" s="19">
        <f>IF(A367="","",SUMIFS(Pedidos!$E:$E,Pedidos!$C:$C,A367,Pedidos!$K:$K,Parametros!$B$3))</f>
        <v/>
      </c>
      <c r="K367" s="18">
        <f>IF(A367="","",COUNTIFS(Pedidos!$C:$C,A367,Pedidos!$K:$K,Parametros!$B$4))</f>
        <v/>
      </c>
      <c r="L367" s="20">
        <f>IF(A367="","",IF(COUNTIFS(Pedidos!$C:$C,A367,Pedidos!$B:$B,"&lt;="&amp;EOMONTH(Parametros!$B$2,0))=0,"",_xlfn.MAXIFS(Pedidos!$B:$B,Pedidos!$C:$C,A367,Pedidos!$B:$B,"&lt;="&amp;EOMONTH(Parametros!$B$2,0))))</f>
        <v/>
      </c>
      <c r="M367" s="20">
        <f>IF(OR(L367="",F367=""),"",EDATE(L367,F367))</f>
        <v/>
      </c>
      <c r="N367" s="21">
        <f>IF(A367="","",IF(L367="","Sem histórico",IF(AND(L367&gt;=Parametros!$B$2,L367&lt;=EOMONTH(Parametros!$B$2,0)),"Comprou no mês",IF(M367="","Sem periodicidade",IF(M367&lt;Parametros!$B$2,"Atrasado",IF(M367&lt;=EOMONTH(Parametros!$B$2,0),"Previsto no mês","Em dia"))))))</f>
        <v/>
      </c>
    </row>
    <row r="368">
      <c r="I368" s="18">
        <f>IF(A368="","",COUNTIFS(Pedidos!$C:$C,A368,Pedidos!$K:$K,Parametros!$B$3))</f>
        <v/>
      </c>
      <c r="J368" s="19">
        <f>IF(A368="","",SUMIFS(Pedidos!$E:$E,Pedidos!$C:$C,A368,Pedidos!$K:$K,Parametros!$B$3))</f>
        <v/>
      </c>
      <c r="K368" s="18">
        <f>IF(A368="","",COUNTIFS(Pedidos!$C:$C,A368,Pedidos!$K:$K,Parametros!$B$4))</f>
        <v/>
      </c>
      <c r="L368" s="20">
        <f>IF(A368="","",IF(COUNTIFS(Pedidos!$C:$C,A368,Pedidos!$B:$B,"&lt;="&amp;EOMONTH(Parametros!$B$2,0))=0,"",_xlfn.MAXIFS(Pedidos!$B:$B,Pedidos!$C:$C,A368,Pedidos!$B:$B,"&lt;="&amp;EOMONTH(Parametros!$B$2,0))))</f>
        <v/>
      </c>
      <c r="M368" s="20">
        <f>IF(OR(L368="",F368=""),"",EDATE(L368,F368))</f>
        <v/>
      </c>
      <c r="N368" s="21">
        <f>IF(A368="","",IF(L368="","Sem histórico",IF(AND(L368&gt;=Parametros!$B$2,L368&lt;=EOMONTH(Parametros!$B$2,0)),"Comprou no mês",IF(M368="","Sem periodicidade",IF(M368&lt;Parametros!$B$2,"Atrasado",IF(M368&lt;=EOMONTH(Parametros!$B$2,0),"Previsto no mês","Em dia"))))))</f>
        <v/>
      </c>
    </row>
    <row r="369">
      <c r="I369" s="18">
        <f>IF(A369="","",COUNTIFS(Pedidos!$C:$C,A369,Pedidos!$K:$K,Parametros!$B$3))</f>
        <v/>
      </c>
      <c r="J369" s="19">
        <f>IF(A369="","",SUMIFS(Pedidos!$E:$E,Pedidos!$C:$C,A369,Pedidos!$K:$K,Parametros!$B$3))</f>
        <v/>
      </c>
      <c r="K369" s="18">
        <f>IF(A369="","",COUNTIFS(Pedidos!$C:$C,A369,Pedidos!$K:$K,Parametros!$B$4))</f>
        <v/>
      </c>
      <c r="L369" s="20">
        <f>IF(A369="","",IF(COUNTIFS(Pedidos!$C:$C,A369,Pedidos!$B:$B,"&lt;="&amp;EOMONTH(Parametros!$B$2,0))=0,"",_xlfn.MAXIFS(Pedidos!$B:$B,Pedidos!$C:$C,A369,Pedidos!$B:$B,"&lt;="&amp;EOMONTH(Parametros!$B$2,0))))</f>
        <v/>
      </c>
      <c r="M369" s="20">
        <f>IF(OR(L369="",F369=""),"",EDATE(L369,F369))</f>
        <v/>
      </c>
      <c r="N369" s="21">
        <f>IF(A369="","",IF(L369="","Sem histórico",IF(AND(L369&gt;=Parametros!$B$2,L369&lt;=EOMONTH(Parametros!$B$2,0)),"Comprou no mês",IF(M369="","Sem periodicidade",IF(M369&lt;Parametros!$B$2,"Atrasado",IF(M369&lt;=EOMONTH(Parametros!$B$2,0),"Previsto no mês","Em dia"))))))</f>
        <v/>
      </c>
    </row>
    <row r="370">
      <c r="I370" s="18">
        <f>IF(A370="","",COUNTIFS(Pedidos!$C:$C,A370,Pedidos!$K:$K,Parametros!$B$3))</f>
        <v/>
      </c>
      <c r="J370" s="19">
        <f>IF(A370="","",SUMIFS(Pedidos!$E:$E,Pedidos!$C:$C,A370,Pedidos!$K:$K,Parametros!$B$3))</f>
        <v/>
      </c>
      <c r="K370" s="18">
        <f>IF(A370="","",COUNTIFS(Pedidos!$C:$C,A370,Pedidos!$K:$K,Parametros!$B$4))</f>
        <v/>
      </c>
      <c r="L370" s="20">
        <f>IF(A370="","",IF(COUNTIFS(Pedidos!$C:$C,A370,Pedidos!$B:$B,"&lt;="&amp;EOMONTH(Parametros!$B$2,0))=0,"",_xlfn.MAXIFS(Pedidos!$B:$B,Pedidos!$C:$C,A370,Pedidos!$B:$B,"&lt;="&amp;EOMONTH(Parametros!$B$2,0))))</f>
        <v/>
      </c>
      <c r="M370" s="20">
        <f>IF(OR(L370="",F370=""),"",EDATE(L370,F370))</f>
        <v/>
      </c>
      <c r="N370" s="21">
        <f>IF(A370="","",IF(L370="","Sem histórico",IF(AND(L370&gt;=Parametros!$B$2,L370&lt;=EOMONTH(Parametros!$B$2,0)),"Comprou no mês",IF(M370="","Sem periodicidade",IF(M370&lt;Parametros!$B$2,"Atrasado",IF(M370&lt;=EOMONTH(Parametros!$B$2,0),"Previsto no mês","Em dia"))))))</f>
        <v/>
      </c>
    </row>
    <row r="371">
      <c r="I371" s="18">
        <f>IF(A371="","",COUNTIFS(Pedidos!$C:$C,A371,Pedidos!$K:$K,Parametros!$B$3))</f>
        <v/>
      </c>
      <c r="J371" s="19">
        <f>IF(A371="","",SUMIFS(Pedidos!$E:$E,Pedidos!$C:$C,A371,Pedidos!$K:$K,Parametros!$B$3))</f>
        <v/>
      </c>
      <c r="K371" s="18">
        <f>IF(A371="","",COUNTIFS(Pedidos!$C:$C,A371,Pedidos!$K:$K,Parametros!$B$4))</f>
        <v/>
      </c>
      <c r="L371" s="20">
        <f>IF(A371="","",IF(COUNTIFS(Pedidos!$C:$C,A371,Pedidos!$B:$B,"&lt;="&amp;EOMONTH(Parametros!$B$2,0))=0,"",_xlfn.MAXIFS(Pedidos!$B:$B,Pedidos!$C:$C,A371,Pedidos!$B:$B,"&lt;="&amp;EOMONTH(Parametros!$B$2,0))))</f>
        <v/>
      </c>
      <c r="M371" s="20">
        <f>IF(OR(L371="",F371=""),"",EDATE(L371,F371))</f>
        <v/>
      </c>
      <c r="N371" s="21">
        <f>IF(A371="","",IF(L371="","Sem histórico",IF(AND(L371&gt;=Parametros!$B$2,L371&lt;=EOMONTH(Parametros!$B$2,0)),"Comprou no mês",IF(M371="","Sem periodicidade",IF(M371&lt;Parametros!$B$2,"Atrasado",IF(M371&lt;=EOMONTH(Parametros!$B$2,0),"Previsto no mês","Em dia"))))))</f>
        <v/>
      </c>
    </row>
    <row r="372">
      <c r="I372" s="18">
        <f>IF(A372="","",COUNTIFS(Pedidos!$C:$C,A372,Pedidos!$K:$K,Parametros!$B$3))</f>
        <v/>
      </c>
      <c r="J372" s="19">
        <f>IF(A372="","",SUMIFS(Pedidos!$E:$E,Pedidos!$C:$C,A372,Pedidos!$K:$K,Parametros!$B$3))</f>
        <v/>
      </c>
      <c r="K372" s="18">
        <f>IF(A372="","",COUNTIFS(Pedidos!$C:$C,A372,Pedidos!$K:$K,Parametros!$B$4))</f>
        <v/>
      </c>
      <c r="L372" s="20">
        <f>IF(A372="","",IF(COUNTIFS(Pedidos!$C:$C,A372,Pedidos!$B:$B,"&lt;="&amp;EOMONTH(Parametros!$B$2,0))=0,"",_xlfn.MAXIFS(Pedidos!$B:$B,Pedidos!$C:$C,A372,Pedidos!$B:$B,"&lt;="&amp;EOMONTH(Parametros!$B$2,0))))</f>
        <v/>
      </c>
      <c r="M372" s="20">
        <f>IF(OR(L372="",F372=""),"",EDATE(L372,F372))</f>
        <v/>
      </c>
      <c r="N372" s="21">
        <f>IF(A372="","",IF(L372="","Sem histórico",IF(AND(L372&gt;=Parametros!$B$2,L372&lt;=EOMONTH(Parametros!$B$2,0)),"Comprou no mês",IF(M372="","Sem periodicidade",IF(M372&lt;Parametros!$B$2,"Atrasado",IF(M372&lt;=EOMONTH(Parametros!$B$2,0),"Previsto no mês","Em dia"))))))</f>
        <v/>
      </c>
    </row>
    <row r="373">
      <c r="I373" s="18">
        <f>IF(A373="","",COUNTIFS(Pedidos!$C:$C,A373,Pedidos!$K:$K,Parametros!$B$3))</f>
        <v/>
      </c>
      <c r="J373" s="19">
        <f>IF(A373="","",SUMIFS(Pedidos!$E:$E,Pedidos!$C:$C,A373,Pedidos!$K:$K,Parametros!$B$3))</f>
        <v/>
      </c>
      <c r="K373" s="18">
        <f>IF(A373="","",COUNTIFS(Pedidos!$C:$C,A373,Pedidos!$K:$K,Parametros!$B$4))</f>
        <v/>
      </c>
      <c r="L373" s="20">
        <f>IF(A373="","",IF(COUNTIFS(Pedidos!$C:$C,A373,Pedidos!$B:$B,"&lt;="&amp;EOMONTH(Parametros!$B$2,0))=0,"",_xlfn.MAXIFS(Pedidos!$B:$B,Pedidos!$C:$C,A373,Pedidos!$B:$B,"&lt;="&amp;EOMONTH(Parametros!$B$2,0))))</f>
        <v/>
      </c>
      <c r="M373" s="20">
        <f>IF(OR(L373="",F373=""),"",EDATE(L373,F373))</f>
        <v/>
      </c>
      <c r="N373" s="21">
        <f>IF(A373="","",IF(L373="","Sem histórico",IF(AND(L373&gt;=Parametros!$B$2,L373&lt;=EOMONTH(Parametros!$B$2,0)),"Comprou no mês",IF(M373="","Sem periodicidade",IF(M373&lt;Parametros!$B$2,"Atrasado",IF(M373&lt;=EOMONTH(Parametros!$B$2,0),"Previsto no mês","Em dia"))))))</f>
        <v/>
      </c>
    </row>
    <row r="374">
      <c r="I374" s="18">
        <f>IF(A374="","",COUNTIFS(Pedidos!$C:$C,A374,Pedidos!$K:$K,Parametros!$B$3))</f>
        <v/>
      </c>
      <c r="J374" s="19">
        <f>IF(A374="","",SUMIFS(Pedidos!$E:$E,Pedidos!$C:$C,A374,Pedidos!$K:$K,Parametros!$B$3))</f>
        <v/>
      </c>
      <c r="K374" s="18">
        <f>IF(A374="","",COUNTIFS(Pedidos!$C:$C,A374,Pedidos!$K:$K,Parametros!$B$4))</f>
        <v/>
      </c>
      <c r="L374" s="20">
        <f>IF(A374="","",IF(COUNTIFS(Pedidos!$C:$C,A374,Pedidos!$B:$B,"&lt;="&amp;EOMONTH(Parametros!$B$2,0))=0,"",_xlfn.MAXIFS(Pedidos!$B:$B,Pedidos!$C:$C,A374,Pedidos!$B:$B,"&lt;="&amp;EOMONTH(Parametros!$B$2,0))))</f>
        <v/>
      </c>
      <c r="M374" s="20">
        <f>IF(OR(L374="",F374=""),"",EDATE(L374,F374))</f>
        <v/>
      </c>
      <c r="N374" s="21">
        <f>IF(A374="","",IF(L374="","Sem histórico",IF(AND(L374&gt;=Parametros!$B$2,L374&lt;=EOMONTH(Parametros!$B$2,0)),"Comprou no mês",IF(M374="","Sem periodicidade",IF(M374&lt;Parametros!$B$2,"Atrasado",IF(M374&lt;=EOMONTH(Parametros!$B$2,0),"Previsto no mês","Em dia"))))))</f>
        <v/>
      </c>
    </row>
    <row r="375">
      <c r="I375" s="18">
        <f>IF(A375="","",COUNTIFS(Pedidos!$C:$C,A375,Pedidos!$K:$K,Parametros!$B$3))</f>
        <v/>
      </c>
      <c r="J375" s="19">
        <f>IF(A375="","",SUMIFS(Pedidos!$E:$E,Pedidos!$C:$C,A375,Pedidos!$K:$K,Parametros!$B$3))</f>
        <v/>
      </c>
      <c r="K375" s="18">
        <f>IF(A375="","",COUNTIFS(Pedidos!$C:$C,A375,Pedidos!$K:$K,Parametros!$B$4))</f>
        <v/>
      </c>
      <c r="L375" s="20">
        <f>IF(A375="","",IF(COUNTIFS(Pedidos!$C:$C,A375,Pedidos!$B:$B,"&lt;="&amp;EOMONTH(Parametros!$B$2,0))=0,"",_xlfn.MAXIFS(Pedidos!$B:$B,Pedidos!$C:$C,A375,Pedidos!$B:$B,"&lt;="&amp;EOMONTH(Parametros!$B$2,0))))</f>
        <v/>
      </c>
      <c r="M375" s="20">
        <f>IF(OR(L375="",F375=""),"",EDATE(L375,F375))</f>
        <v/>
      </c>
      <c r="N375" s="21">
        <f>IF(A375="","",IF(L375="","Sem histórico",IF(AND(L375&gt;=Parametros!$B$2,L375&lt;=EOMONTH(Parametros!$B$2,0)),"Comprou no mês",IF(M375="","Sem periodicidade",IF(M375&lt;Parametros!$B$2,"Atrasado",IF(M375&lt;=EOMONTH(Parametros!$B$2,0),"Previsto no mês","Em dia"))))))</f>
        <v/>
      </c>
    </row>
    <row r="376">
      <c r="I376" s="18">
        <f>IF(A376="","",COUNTIFS(Pedidos!$C:$C,A376,Pedidos!$K:$K,Parametros!$B$3))</f>
        <v/>
      </c>
      <c r="J376" s="19">
        <f>IF(A376="","",SUMIFS(Pedidos!$E:$E,Pedidos!$C:$C,A376,Pedidos!$K:$K,Parametros!$B$3))</f>
        <v/>
      </c>
      <c r="K376" s="18">
        <f>IF(A376="","",COUNTIFS(Pedidos!$C:$C,A376,Pedidos!$K:$K,Parametros!$B$4))</f>
        <v/>
      </c>
      <c r="L376" s="20">
        <f>IF(A376="","",IF(COUNTIFS(Pedidos!$C:$C,A376,Pedidos!$B:$B,"&lt;="&amp;EOMONTH(Parametros!$B$2,0))=0,"",_xlfn.MAXIFS(Pedidos!$B:$B,Pedidos!$C:$C,A376,Pedidos!$B:$B,"&lt;="&amp;EOMONTH(Parametros!$B$2,0))))</f>
        <v/>
      </c>
      <c r="M376" s="20">
        <f>IF(OR(L376="",F376=""),"",EDATE(L376,F376))</f>
        <v/>
      </c>
      <c r="N376" s="21">
        <f>IF(A376="","",IF(L376="","Sem histórico",IF(AND(L376&gt;=Parametros!$B$2,L376&lt;=EOMONTH(Parametros!$B$2,0)),"Comprou no mês",IF(M376="","Sem periodicidade",IF(M376&lt;Parametros!$B$2,"Atrasado",IF(M376&lt;=EOMONTH(Parametros!$B$2,0),"Previsto no mês","Em dia"))))))</f>
        <v/>
      </c>
    </row>
    <row r="377">
      <c r="I377" s="18">
        <f>IF(A377="","",COUNTIFS(Pedidos!$C:$C,A377,Pedidos!$K:$K,Parametros!$B$3))</f>
        <v/>
      </c>
      <c r="J377" s="19">
        <f>IF(A377="","",SUMIFS(Pedidos!$E:$E,Pedidos!$C:$C,A377,Pedidos!$K:$K,Parametros!$B$3))</f>
        <v/>
      </c>
      <c r="K377" s="18">
        <f>IF(A377="","",COUNTIFS(Pedidos!$C:$C,A377,Pedidos!$K:$K,Parametros!$B$4))</f>
        <v/>
      </c>
      <c r="L377" s="20">
        <f>IF(A377="","",IF(COUNTIFS(Pedidos!$C:$C,A377,Pedidos!$B:$B,"&lt;="&amp;EOMONTH(Parametros!$B$2,0))=0,"",_xlfn.MAXIFS(Pedidos!$B:$B,Pedidos!$C:$C,A377,Pedidos!$B:$B,"&lt;="&amp;EOMONTH(Parametros!$B$2,0))))</f>
        <v/>
      </c>
      <c r="M377" s="20">
        <f>IF(OR(L377="",F377=""),"",EDATE(L377,F377))</f>
        <v/>
      </c>
      <c r="N377" s="21">
        <f>IF(A377="","",IF(L377="","Sem histórico",IF(AND(L377&gt;=Parametros!$B$2,L377&lt;=EOMONTH(Parametros!$B$2,0)),"Comprou no mês",IF(M377="","Sem periodicidade",IF(M377&lt;Parametros!$B$2,"Atrasado",IF(M377&lt;=EOMONTH(Parametros!$B$2,0),"Previsto no mês","Em dia"))))))</f>
        <v/>
      </c>
    </row>
    <row r="378">
      <c r="I378" s="18">
        <f>IF(A378="","",COUNTIFS(Pedidos!$C:$C,A378,Pedidos!$K:$K,Parametros!$B$3))</f>
        <v/>
      </c>
      <c r="J378" s="19">
        <f>IF(A378="","",SUMIFS(Pedidos!$E:$E,Pedidos!$C:$C,A378,Pedidos!$K:$K,Parametros!$B$3))</f>
        <v/>
      </c>
      <c r="K378" s="18">
        <f>IF(A378="","",COUNTIFS(Pedidos!$C:$C,A378,Pedidos!$K:$K,Parametros!$B$4))</f>
        <v/>
      </c>
      <c r="L378" s="20">
        <f>IF(A378="","",IF(COUNTIFS(Pedidos!$C:$C,A378,Pedidos!$B:$B,"&lt;="&amp;EOMONTH(Parametros!$B$2,0))=0,"",_xlfn.MAXIFS(Pedidos!$B:$B,Pedidos!$C:$C,A378,Pedidos!$B:$B,"&lt;="&amp;EOMONTH(Parametros!$B$2,0))))</f>
        <v/>
      </c>
      <c r="M378" s="20">
        <f>IF(OR(L378="",F378=""),"",EDATE(L378,F378))</f>
        <v/>
      </c>
      <c r="N378" s="21">
        <f>IF(A378="","",IF(L378="","Sem histórico",IF(AND(L378&gt;=Parametros!$B$2,L378&lt;=EOMONTH(Parametros!$B$2,0)),"Comprou no mês",IF(M378="","Sem periodicidade",IF(M378&lt;Parametros!$B$2,"Atrasado",IF(M378&lt;=EOMONTH(Parametros!$B$2,0),"Previsto no mês","Em dia"))))))</f>
        <v/>
      </c>
    </row>
    <row r="379">
      <c r="I379" s="18">
        <f>IF(A379="","",COUNTIFS(Pedidos!$C:$C,A379,Pedidos!$K:$K,Parametros!$B$3))</f>
        <v/>
      </c>
      <c r="J379" s="19">
        <f>IF(A379="","",SUMIFS(Pedidos!$E:$E,Pedidos!$C:$C,A379,Pedidos!$K:$K,Parametros!$B$3))</f>
        <v/>
      </c>
      <c r="K379" s="18">
        <f>IF(A379="","",COUNTIFS(Pedidos!$C:$C,A379,Pedidos!$K:$K,Parametros!$B$4))</f>
        <v/>
      </c>
      <c r="L379" s="20">
        <f>IF(A379="","",IF(COUNTIFS(Pedidos!$C:$C,A379,Pedidos!$B:$B,"&lt;="&amp;EOMONTH(Parametros!$B$2,0))=0,"",_xlfn.MAXIFS(Pedidos!$B:$B,Pedidos!$C:$C,A379,Pedidos!$B:$B,"&lt;="&amp;EOMONTH(Parametros!$B$2,0))))</f>
        <v/>
      </c>
      <c r="M379" s="20">
        <f>IF(OR(L379="",F379=""),"",EDATE(L379,F379))</f>
        <v/>
      </c>
      <c r="N379" s="21">
        <f>IF(A379="","",IF(L379="","Sem histórico",IF(AND(L379&gt;=Parametros!$B$2,L379&lt;=EOMONTH(Parametros!$B$2,0)),"Comprou no mês",IF(M379="","Sem periodicidade",IF(M379&lt;Parametros!$B$2,"Atrasado",IF(M379&lt;=EOMONTH(Parametros!$B$2,0),"Previsto no mês","Em dia"))))))</f>
        <v/>
      </c>
    </row>
    <row r="380">
      <c r="I380" s="18">
        <f>IF(A380="","",COUNTIFS(Pedidos!$C:$C,A380,Pedidos!$K:$K,Parametros!$B$3))</f>
        <v/>
      </c>
      <c r="J380" s="19">
        <f>IF(A380="","",SUMIFS(Pedidos!$E:$E,Pedidos!$C:$C,A380,Pedidos!$K:$K,Parametros!$B$3))</f>
        <v/>
      </c>
      <c r="K380" s="18">
        <f>IF(A380="","",COUNTIFS(Pedidos!$C:$C,A380,Pedidos!$K:$K,Parametros!$B$4))</f>
        <v/>
      </c>
      <c r="L380" s="20">
        <f>IF(A380="","",IF(COUNTIFS(Pedidos!$C:$C,A380,Pedidos!$B:$B,"&lt;="&amp;EOMONTH(Parametros!$B$2,0))=0,"",_xlfn.MAXIFS(Pedidos!$B:$B,Pedidos!$C:$C,A380,Pedidos!$B:$B,"&lt;="&amp;EOMONTH(Parametros!$B$2,0))))</f>
        <v/>
      </c>
      <c r="M380" s="20">
        <f>IF(OR(L380="",F380=""),"",EDATE(L380,F380))</f>
        <v/>
      </c>
      <c r="N380" s="21">
        <f>IF(A380="","",IF(L380="","Sem histórico",IF(AND(L380&gt;=Parametros!$B$2,L380&lt;=EOMONTH(Parametros!$B$2,0)),"Comprou no mês",IF(M380="","Sem periodicidade",IF(M380&lt;Parametros!$B$2,"Atrasado",IF(M380&lt;=EOMONTH(Parametros!$B$2,0),"Previsto no mês","Em dia"))))))</f>
        <v/>
      </c>
    </row>
    <row r="381">
      <c r="I381" s="18">
        <f>IF(A381="","",COUNTIFS(Pedidos!$C:$C,A381,Pedidos!$K:$K,Parametros!$B$3))</f>
        <v/>
      </c>
      <c r="J381" s="19">
        <f>IF(A381="","",SUMIFS(Pedidos!$E:$E,Pedidos!$C:$C,A381,Pedidos!$K:$K,Parametros!$B$3))</f>
        <v/>
      </c>
      <c r="K381" s="18">
        <f>IF(A381="","",COUNTIFS(Pedidos!$C:$C,A381,Pedidos!$K:$K,Parametros!$B$4))</f>
        <v/>
      </c>
      <c r="L381" s="20">
        <f>IF(A381="","",IF(COUNTIFS(Pedidos!$C:$C,A381,Pedidos!$B:$B,"&lt;="&amp;EOMONTH(Parametros!$B$2,0))=0,"",_xlfn.MAXIFS(Pedidos!$B:$B,Pedidos!$C:$C,A381,Pedidos!$B:$B,"&lt;="&amp;EOMONTH(Parametros!$B$2,0))))</f>
        <v/>
      </c>
      <c r="M381" s="20">
        <f>IF(OR(L381="",F381=""),"",EDATE(L381,F381))</f>
        <v/>
      </c>
      <c r="N381" s="21">
        <f>IF(A381="","",IF(L381="","Sem histórico",IF(AND(L381&gt;=Parametros!$B$2,L381&lt;=EOMONTH(Parametros!$B$2,0)),"Comprou no mês",IF(M381="","Sem periodicidade",IF(M381&lt;Parametros!$B$2,"Atrasado",IF(M381&lt;=EOMONTH(Parametros!$B$2,0),"Previsto no mês","Em dia"))))))</f>
        <v/>
      </c>
    </row>
    <row r="382">
      <c r="I382" s="18">
        <f>IF(A382="","",COUNTIFS(Pedidos!$C:$C,A382,Pedidos!$K:$K,Parametros!$B$3))</f>
        <v/>
      </c>
      <c r="J382" s="19">
        <f>IF(A382="","",SUMIFS(Pedidos!$E:$E,Pedidos!$C:$C,A382,Pedidos!$K:$K,Parametros!$B$3))</f>
        <v/>
      </c>
      <c r="K382" s="18">
        <f>IF(A382="","",COUNTIFS(Pedidos!$C:$C,A382,Pedidos!$K:$K,Parametros!$B$4))</f>
        <v/>
      </c>
      <c r="L382" s="20">
        <f>IF(A382="","",IF(COUNTIFS(Pedidos!$C:$C,A382,Pedidos!$B:$B,"&lt;="&amp;EOMONTH(Parametros!$B$2,0))=0,"",_xlfn.MAXIFS(Pedidos!$B:$B,Pedidos!$C:$C,A382,Pedidos!$B:$B,"&lt;="&amp;EOMONTH(Parametros!$B$2,0))))</f>
        <v/>
      </c>
      <c r="M382" s="20">
        <f>IF(OR(L382="",F382=""),"",EDATE(L382,F382))</f>
        <v/>
      </c>
      <c r="N382" s="21">
        <f>IF(A382="","",IF(L382="","Sem histórico",IF(AND(L382&gt;=Parametros!$B$2,L382&lt;=EOMONTH(Parametros!$B$2,0)),"Comprou no mês",IF(M382="","Sem periodicidade",IF(M382&lt;Parametros!$B$2,"Atrasado",IF(M382&lt;=EOMONTH(Parametros!$B$2,0),"Previsto no mês","Em dia"))))))</f>
        <v/>
      </c>
    </row>
    <row r="383">
      <c r="I383" s="18">
        <f>IF(A383="","",COUNTIFS(Pedidos!$C:$C,A383,Pedidos!$K:$K,Parametros!$B$3))</f>
        <v/>
      </c>
      <c r="J383" s="19">
        <f>IF(A383="","",SUMIFS(Pedidos!$E:$E,Pedidos!$C:$C,A383,Pedidos!$K:$K,Parametros!$B$3))</f>
        <v/>
      </c>
      <c r="K383" s="18">
        <f>IF(A383="","",COUNTIFS(Pedidos!$C:$C,A383,Pedidos!$K:$K,Parametros!$B$4))</f>
        <v/>
      </c>
      <c r="L383" s="20">
        <f>IF(A383="","",IF(COUNTIFS(Pedidos!$C:$C,A383,Pedidos!$B:$B,"&lt;="&amp;EOMONTH(Parametros!$B$2,0))=0,"",_xlfn.MAXIFS(Pedidos!$B:$B,Pedidos!$C:$C,A383,Pedidos!$B:$B,"&lt;="&amp;EOMONTH(Parametros!$B$2,0))))</f>
        <v/>
      </c>
      <c r="M383" s="20">
        <f>IF(OR(L383="",F383=""),"",EDATE(L383,F383))</f>
        <v/>
      </c>
      <c r="N383" s="21">
        <f>IF(A383="","",IF(L383="","Sem histórico",IF(AND(L383&gt;=Parametros!$B$2,L383&lt;=EOMONTH(Parametros!$B$2,0)),"Comprou no mês",IF(M383="","Sem periodicidade",IF(M383&lt;Parametros!$B$2,"Atrasado",IF(M383&lt;=EOMONTH(Parametros!$B$2,0),"Previsto no mês","Em dia"))))))</f>
        <v/>
      </c>
    </row>
    <row r="384">
      <c r="I384" s="18">
        <f>IF(A384="","",COUNTIFS(Pedidos!$C:$C,A384,Pedidos!$K:$K,Parametros!$B$3))</f>
        <v/>
      </c>
      <c r="J384" s="19">
        <f>IF(A384="","",SUMIFS(Pedidos!$E:$E,Pedidos!$C:$C,A384,Pedidos!$K:$K,Parametros!$B$3))</f>
        <v/>
      </c>
      <c r="K384" s="18">
        <f>IF(A384="","",COUNTIFS(Pedidos!$C:$C,A384,Pedidos!$K:$K,Parametros!$B$4))</f>
        <v/>
      </c>
      <c r="L384" s="20">
        <f>IF(A384="","",IF(COUNTIFS(Pedidos!$C:$C,A384,Pedidos!$B:$B,"&lt;="&amp;EOMONTH(Parametros!$B$2,0))=0,"",_xlfn.MAXIFS(Pedidos!$B:$B,Pedidos!$C:$C,A384,Pedidos!$B:$B,"&lt;="&amp;EOMONTH(Parametros!$B$2,0))))</f>
        <v/>
      </c>
      <c r="M384" s="20">
        <f>IF(OR(L384="",F384=""),"",EDATE(L384,F384))</f>
        <v/>
      </c>
      <c r="N384" s="21">
        <f>IF(A384="","",IF(L384="","Sem histórico",IF(AND(L384&gt;=Parametros!$B$2,L384&lt;=EOMONTH(Parametros!$B$2,0)),"Comprou no mês",IF(M384="","Sem periodicidade",IF(M384&lt;Parametros!$B$2,"Atrasado",IF(M384&lt;=EOMONTH(Parametros!$B$2,0),"Previsto no mês","Em dia"))))))</f>
        <v/>
      </c>
    </row>
    <row r="385">
      <c r="I385" s="18">
        <f>IF(A385="","",COUNTIFS(Pedidos!$C:$C,A385,Pedidos!$K:$K,Parametros!$B$3))</f>
        <v/>
      </c>
      <c r="J385" s="19">
        <f>IF(A385="","",SUMIFS(Pedidos!$E:$E,Pedidos!$C:$C,A385,Pedidos!$K:$K,Parametros!$B$3))</f>
        <v/>
      </c>
      <c r="K385" s="18">
        <f>IF(A385="","",COUNTIFS(Pedidos!$C:$C,A385,Pedidos!$K:$K,Parametros!$B$4))</f>
        <v/>
      </c>
      <c r="L385" s="20">
        <f>IF(A385="","",IF(COUNTIFS(Pedidos!$C:$C,A385,Pedidos!$B:$B,"&lt;="&amp;EOMONTH(Parametros!$B$2,0))=0,"",_xlfn.MAXIFS(Pedidos!$B:$B,Pedidos!$C:$C,A385,Pedidos!$B:$B,"&lt;="&amp;EOMONTH(Parametros!$B$2,0))))</f>
        <v/>
      </c>
      <c r="M385" s="20">
        <f>IF(OR(L385="",F385=""),"",EDATE(L385,F385))</f>
        <v/>
      </c>
      <c r="N385" s="21">
        <f>IF(A385="","",IF(L385="","Sem histórico",IF(AND(L385&gt;=Parametros!$B$2,L385&lt;=EOMONTH(Parametros!$B$2,0)),"Comprou no mês",IF(M385="","Sem periodicidade",IF(M385&lt;Parametros!$B$2,"Atrasado",IF(M385&lt;=EOMONTH(Parametros!$B$2,0),"Previsto no mês","Em dia"))))))</f>
        <v/>
      </c>
    </row>
    <row r="386">
      <c r="I386" s="18">
        <f>IF(A386="","",COUNTIFS(Pedidos!$C:$C,A386,Pedidos!$K:$K,Parametros!$B$3))</f>
        <v/>
      </c>
      <c r="J386" s="19">
        <f>IF(A386="","",SUMIFS(Pedidos!$E:$E,Pedidos!$C:$C,A386,Pedidos!$K:$K,Parametros!$B$3))</f>
        <v/>
      </c>
      <c r="K386" s="18">
        <f>IF(A386="","",COUNTIFS(Pedidos!$C:$C,A386,Pedidos!$K:$K,Parametros!$B$4))</f>
        <v/>
      </c>
      <c r="L386" s="20">
        <f>IF(A386="","",IF(COUNTIFS(Pedidos!$C:$C,A386,Pedidos!$B:$B,"&lt;="&amp;EOMONTH(Parametros!$B$2,0))=0,"",_xlfn.MAXIFS(Pedidos!$B:$B,Pedidos!$C:$C,A386,Pedidos!$B:$B,"&lt;="&amp;EOMONTH(Parametros!$B$2,0))))</f>
        <v/>
      </c>
      <c r="M386" s="20">
        <f>IF(OR(L386="",F386=""),"",EDATE(L386,F386))</f>
        <v/>
      </c>
      <c r="N386" s="21">
        <f>IF(A386="","",IF(L386="","Sem histórico",IF(AND(L386&gt;=Parametros!$B$2,L386&lt;=EOMONTH(Parametros!$B$2,0)),"Comprou no mês",IF(M386="","Sem periodicidade",IF(M386&lt;Parametros!$B$2,"Atrasado",IF(M386&lt;=EOMONTH(Parametros!$B$2,0),"Previsto no mês","Em dia"))))))</f>
        <v/>
      </c>
    </row>
    <row r="387">
      <c r="I387" s="18">
        <f>IF(A387="","",COUNTIFS(Pedidos!$C:$C,A387,Pedidos!$K:$K,Parametros!$B$3))</f>
        <v/>
      </c>
      <c r="J387" s="19">
        <f>IF(A387="","",SUMIFS(Pedidos!$E:$E,Pedidos!$C:$C,A387,Pedidos!$K:$K,Parametros!$B$3))</f>
        <v/>
      </c>
      <c r="K387" s="18">
        <f>IF(A387="","",COUNTIFS(Pedidos!$C:$C,A387,Pedidos!$K:$K,Parametros!$B$4))</f>
        <v/>
      </c>
      <c r="L387" s="20">
        <f>IF(A387="","",IF(COUNTIFS(Pedidos!$C:$C,A387,Pedidos!$B:$B,"&lt;="&amp;EOMONTH(Parametros!$B$2,0))=0,"",_xlfn.MAXIFS(Pedidos!$B:$B,Pedidos!$C:$C,A387,Pedidos!$B:$B,"&lt;="&amp;EOMONTH(Parametros!$B$2,0))))</f>
        <v/>
      </c>
      <c r="M387" s="20">
        <f>IF(OR(L387="",F387=""),"",EDATE(L387,F387))</f>
        <v/>
      </c>
      <c r="N387" s="21">
        <f>IF(A387="","",IF(L387="","Sem histórico",IF(AND(L387&gt;=Parametros!$B$2,L387&lt;=EOMONTH(Parametros!$B$2,0)),"Comprou no mês",IF(M387="","Sem periodicidade",IF(M387&lt;Parametros!$B$2,"Atrasado",IF(M387&lt;=EOMONTH(Parametros!$B$2,0),"Previsto no mês","Em dia"))))))</f>
        <v/>
      </c>
    </row>
    <row r="388">
      <c r="I388" s="18">
        <f>IF(A388="","",COUNTIFS(Pedidos!$C:$C,A388,Pedidos!$K:$K,Parametros!$B$3))</f>
        <v/>
      </c>
      <c r="J388" s="19">
        <f>IF(A388="","",SUMIFS(Pedidos!$E:$E,Pedidos!$C:$C,A388,Pedidos!$K:$K,Parametros!$B$3))</f>
        <v/>
      </c>
      <c r="K388" s="18">
        <f>IF(A388="","",COUNTIFS(Pedidos!$C:$C,A388,Pedidos!$K:$K,Parametros!$B$4))</f>
        <v/>
      </c>
      <c r="L388" s="20">
        <f>IF(A388="","",IF(COUNTIFS(Pedidos!$C:$C,A388,Pedidos!$B:$B,"&lt;="&amp;EOMONTH(Parametros!$B$2,0))=0,"",_xlfn.MAXIFS(Pedidos!$B:$B,Pedidos!$C:$C,A388,Pedidos!$B:$B,"&lt;="&amp;EOMONTH(Parametros!$B$2,0))))</f>
        <v/>
      </c>
      <c r="M388" s="20">
        <f>IF(OR(L388="",F388=""),"",EDATE(L388,F388))</f>
        <v/>
      </c>
      <c r="N388" s="21">
        <f>IF(A388="","",IF(L388="","Sem histórico",IF(AND(L388&gt;=Parametros!$B$2,L388&lt;=EOMONTH(Parametros!$B$2,0)),"Comprou no mês",IF(M388="","Sem periodicidade",IF(M388&lt;Parametros!$B$2,"Atrasado",IF(M388&lt;=EOMONTH(Parametros!$B$2,0),"Previsto no mês","Em dia"))))))</f>
        <v/>
      </c>
    </row>
    <row r="389">
      <c r="I389" s="18">
        <f>IF(A389="","",COUNTIFS(Pedidos!$C:$C,A389,Pedidos!$K:$K,Parametros!$B$3))</f>
        <v/>
      </c>
      <c r="J389" s="19">
        <f>IF(A389="","",SUMIFS(Pedidos!$E:$E,Pedidos!$C:$C,A389,Pedidos!$K:$K,Parametros!$B$3))</f>
        <v/>
      </c>
      <c r="K389" s="18">
        <f>IF(A389="","",COUNTIFS(Pedidos!$C:$C,A389,Pedidos!$K:$K,Parametros!$B$4))</f>
        <v/>
      </c>
      <c r="L389" s="20">
        <f>IF(A389="","",IF(COUNTIFS(Pedidos!$C:$C,A389,Pedidos!$B:$B,"&lt;="&amp;EOMONTH(Parametros!$B$2,0))=0,"",_xlfn.MAXIFS(Pedidos!$B:$B,Pedidos!$C:$C,A389,Pedidos!$B:$B,"&lt;="&amp;EOMONTH(Parametros!$B$2,0))))</f>
        <v/>
      </c>
      <c r="M389" s="20">
        <f>IF(OR(L389="",F389=""),"",EDATE(L389,F389))</f>
        <v/>
      </c>
      <c r="N389" s="21">
        <f>IF(A389="","",IF(L389="","Sem histórico",IF(AND(L389&gt;=Parametros!$B$2,L389&lt;=EOMONTH(Parametros!$B$2,0)),"Comprou no mês",IF(M389="","Sem periodicidade",IF(M389&lt;Parametros!$B$2,"Atrasado",IF(M389&lt;=EOMONTH(Parametros!$B$2,0),"Previsto no mês","Em dia"))))))</f>
        <v/>
      </c>
    </row>
    <row r="390">
      <c r="I390" s="18">
        <f>IF(A390="","",COUNTIFS(Pedidos!$C:$C,A390,Pedidos!$K:$K,Parametros!$B$3))</f>
        <v/>
      </c>
      <c r="J390" s="19">
        <f>IF(A390="","",SUMIFS(Pedidos!$E:$E,Pedidos!$C:$C,A390,Pedidos!$K:$K,Parametros!$B$3))</f>
        <v/>
      </c>
      <c r="K390" s="18">
        <f>IF(A390="","",COUNTIFS(Pedidos!$C:$C,A390,Pedidos!$K:$K,Parametros!$B$4))</f>
        <v/>
      </c>
      <c r="L390" s="20">
        <f>IF(A390="","",IF(COUNTIFS(Pedidos!$C:$C,A390,Pedidos!$B:$B,"&lt;="&amp;EOMONTH(Parametros!$B$2,0))=0,"",_xlfn.MAXIFS(Pedidos!$B:$B,Pedidos!$C:$C,A390,Pedidos!$B:$B,"&lt;="&amp;EOMONTH(Parametros!$B$2,0))))</f>
        <v/>
      </c>
      <c r="M390" s="20">
        <f>IF(OR(L390="",F390=""),"",EDATE(L390,F390))</f>
        <v/>
      </c>
      <c r="N390" s="21">
        <f>IF(A390="","",IF(L390="","Sem histórico",IF(AND(L390&gt;=Parametros!$B$2,L390&lt;=EOMONTH(Parametros!$B$2,0)),"Comprou no mês",IF(M390="","Sem periodicidade",IF(M390&lt;Parametros!$B$2,"Atrasado",IF(M390&lt;=EOMONTH(Parametros!$B$2,0),"Previsto no mês","Em dia"))))))</f>
        <v/>
      </c>
    </row>
    <row r="391">
      <c r="I391" s="18">
        <f>IF(A391="","",COUNTIFS(Pedidos!$C:$C,A391,Pedidos!$K:$K,Parametros!$B$3))</f>
        <v/>
      </c>
      <c r="J391" s="19">
        <f>IF(A391="","",SUMIFS(Pedidos!$E:$E,Pedidos!$C:$C,A391,Pedidos!$K:$K,Parametros!$B$3))</f>
        <v/>
      </c>
      <c r="K391" s="18">
        <f>IF(A391="","",COUNTIFS(Pedidos!$C:$C,A391,Pedidos!$K:$K,Parametros!$B$4))</f>
        <v/>
      </c>
      <c r="L391" s="20">
        <f>IF(A391="","",IF(COUNTIFS(Pedidos!$C:$C,A391,Pedidos!$B:$B,"&lt;="&amp;EOMONTH(Parametros!$B$2,0))=0,"",_xlfn.MAXIFS(Pedidos!$B:$B,Pedidos!$C:$C,A391,Pedidos!$B:$B,"&lt;="&amp;EOMONTH(Parametros!$B$2,0))))</f>
        <v/>
      </c>
      <c r="M391" s="20">
        <f>IF(OR(L391="",F391=""),"",EDATE(L391,F391))</f>
        <v/>
      </c>
      <c r="N391" s="21">
        <f>IF(A391="","",IF(L391="","Sem histórico",IF(AND(L391&gt;=Parametros!$B$2,L391&lt;=EOMONTH(Parametros!$B$2,0)),"Comprou no mês",IF(M391="","Sem periodicidade",IF(M391&lt;Parametros!$B$2,"Atrasado",IF(M391&lt;=EOMONTH(Parametros!$B$2,0),"Previsto no mês","Em dia"))))))</f>
        <v/>
      </c>
    </row>
    <row r="392">
      <c r="I392" s="18">
        <f>IF(A392="","",COUNTIFS(Pedidos!$C:$C,A392,Pedidos!$K:$K,Parametros!$B$3))</f>
        <v/>
      </c>
      <c r="J392" s="19">
        <f>IF(A392="","",SUMIFS(Pedidos!$E:$E,Pedidos!$C:$C,A392,Pedidos!$K:$K,Parametros!$B$3))</f>
        <v/>
      </c>
      <c r="K392" s="18">
        <f>IF(A392="","",COUNTIFS(Pedidos!$C:$C,A392,Pedidos!$K:$K,Parametros!$B$4))</f>
        <v/>
      </c>
      <c r="L392" s="20">
        <f>IF(A392="","",IF(COUNTIFS(Pedidos!$C:$C,A392,Pedidos!$B:$B,"&lt;="&amp;EOMONTH(Parametros!$B$2,0))=0,"",_xlfn.MAXIFS(Pedidos!$B:$B,Pedidos!$C:$C,A392,Pedidos!$B:$B,"&lt;="&amp;EOMONTH(Parametros!$B$2,0))))</f>
        <v/>
      </c>
      <c r="M392" s="20">
        <f>IF(OR(L392="",F392=""),"",EDATE(L392,F392))</f>
        <v/>
      </c>
      <c r="N392" s="21">
        <f>IF(A392="","",IF(L392="","Sem histórico",IF(AND(L392&gt;=Parametros!$B$2,L392&lt;=EOMONTH(Parametros!$B$2,0)),"Comprou no mês",IF(M392="","Sem periodicidade",IF(M392&lt;Parametros!$B$2,"Atrasado",IF(M392&lt;=EOMONTH(Parametros!$B$2,0),"Previsto no mês","Em dia"))))))</f>
        <v/>
      </c>
    </row>
    <row r="393">
      <c r="I393" s="18">
        <f>IF(A393="","",COUNTIFS(Pedidos!$C:$C,A393,Pedidos!$K:$K,Parametros!$B$3))</f>
        <v/>
      </c>
      <c r="J393" s="19">
        <f>IF(A393="","",SUMIFS(Pedidos!$E:$E,Pedidos!$C:$C,A393,Pedidos!$K:$K,Parametros!$B$3))</f>
        <v/>
      </c>
      <c r="K393" s="18">
        <f>IF(A393="","",COUNTIFS(Pedidos!$C:$C,A393,Pedidos!$K:$K,Parametros!$B$4))</f>
        <v/>
      </c>
      <c r="L393" s="20">
        <f>IF(A393="","",IF(COUNTIFS(Pedidos!$C:$C,A393,Pedidos!$B:$B,"&lt;="&amp;EOMONTH(Parametros!$B$2,0))=0,"",_xlfn.MAXIFS(Pedidos!$B:$B,Pedidos!$C:$C,A393,Pedidos!$B:$B,"&lt;="&amp;EOMONTH(Parametros!$B$2,0))))</f>
        <v/>
      </c>
      <c r="M393" s="20">
        <f>IF(OR(L393="",F393=""),"",EDATE(L393,F393))</f>
        <v/>
      </c>
      <c r="N393" s="21">
        <f>IF(A393="","",IF(L393="","Sem histórico",IF(AND(L393&gt;=Parametros!$B$2,L393&lt;=EOMONTH(Parametros!$B$2,0)),"Comprou no mês",IF(M393="","Sem periodicidade",IF(M393&lt;Parametros!$B$2,"Atrasado",IF(M393&lt;=EOMONTH(Parametros!$B$2,0),"Previsto no mês","Em dia"))))))</f>
        <v/>
      </c>
    </row>
    <row r="394">
      <c r="I394" s="18">
        <f>IF(A394="","",COUNTIFS(Pedidos!$C:$C,A394,Pedidos!$K:$K,Parametros!$B$3))</f>
        <v/>
      </c>
      <c r="J394" s="19">
        <f>IF(A394="","",SUMIFS(Pedidos!$E:$E,Pedidos!$C:$C,A394,Pedidos!$K:$K,Parametros!$B$3))</f>
        <v/>
      </c>
      <c r="K394" s="18">
        <f>IF(A394="","",COUNTIFS(Pedidos!$C:$C,A394,Pedidos!$K:$K,Parametros!$B$4))</f>
        <v/>
      </c>
      <c r="L394" s="20">
        <f>IF(A394="","",IF(COUNTIFS(Pedidos!$C:$C,A394,Pedidos!$B:$B,"&lt;="&amp;EOMONTH(Parametros!$B$2,0))=0,"",_xlfn.MAXIFS(Pedidos!$B:$B,Pedidos!$C:$C,A394,Pedidos!$B:$B,"&lt;="&amp;EOMONTH(Parametros!$B$2,0))))</f>
        <v/>
      </c>
      <c r="M394" s="20">
        <f>IF(OR(L394="",F394=""),"",EDATE(L394,F394))</f>
        <v/>
      </c>
      <c r="N394" s="21">
        <f>IF(A394="","",IF(L394="","Sem histórico",IF(AND(L394&gt;=Parametros!$B$2,L394&lt;=EOMONTH(Parametros!$B$2,0)),"Comprou no mês",IF(M394="","Sem periodicidade",IF(M394&lt;Parametros!$B$2,"Atrasado",IF(M394&lt;=EOMONTH(Parametros!$B$2,0),"Previsto no mês","Em dia"))))))</f>
        <v/>
      </c>
    </row>
    <row r="395">
      <c r="I395" s="18">
        <f>IF(A395="","",COUNTIFS(Pedidos!$C:$C,A395,Pedidos!$K:$K,Parametros!$B$3))</f>
        <v/>
      </c>
      <c r="J395" s="19">
        <f>IF(A395="","",SUMIFS(Pedidos!$E:$E,Pedidos!$C:$C,A395,Pedidos!$K:$K,Parametros!$B$3))</f>
        <v/>
      </c>
      <c r="K395" s="18">
        <f>IF(A395="","",COUNTIFS(Pedidos!$C:$C,A395,Pedidos!$K:$K,Parametros!$B$4))</f>
        <v/>
      </c>
      <c r="L395" s="20">
        <f>IF(A395="","",IF(COUNTIFS(Pedidos!$C:$C,A395,Pedidos!$B:$B,"&lt;="&amp;EOMONTH(Parametros!$B$2,0))=0,"",_xlfn.MAXIFS(Pedidos!$B:$B,Pedidos!$C:$C,A395,Pedidos!$B:$B,"&lt;="&amp;EOMONTH(Parametros!$B$2,0))))</f>
        <v/>
      </c>
      <c r="M395" s="20">
        <f>IF(OR(L395="",F395=""),"",EDATE(L395,F395))</f>
        <v/>
      </c>
      <c r="N395" s="21">
        <f>IF(A395="","",IF(L395="","Sem histórico",IF(AND(L395&gt;=Parametros!$B$2,L395&lt;=EOMONTH(Parametros!$B$2,0)),"Comprou no mês",IF(M395="","Sem periodicidade",IF(M395&lt;Parametros!$B$2,"Atrasado",IF(M395&lt;=EOMONTH(Parametros!$B$2,0),"Previsto no mês","Em dia"))))))</f>
        <v/>
      </c>
    </row>
    <row r="396">
      <c r="I396" s="18">
        <f>IF(A396="","",COUNTIFS(Pedidos!$C:$C,A396,Pedidos!$K:$K,Parametros!$B$3))</f>
        <v/>
      </c>
      <c r="J396" s="19">
        <f>IF(A396="","",SUMIFS(Pedidos!$E:$E,Pedidos!$C:$C,A396,Pedidos!$K:$K,Parametros!$B$3))</f>
        <v/>
      </c>
      <c r="K396" s="18">
        <f>IF(A396="","",COUNTIFS(Pedidos!$C:$C,A396,Pedidos!$K:$K,Parametros!$B$4))</f>
        <v/>
      </c>
      <c r="L396" s="20">
        <f>IF(A396="","",IF(COUNTIFS(Pedidos!$C:$C,A396,Pedidos!$B:$B,"&lt;="&amp;EOMONTH(Parametros!$B$2,0))=0,"",_xlfn.MAXIFS(Pedidos!$B:$B,Pedidos!$C:$C,A396,Pedidos!$B:$B,"&lt;="&amp;EOMONTH(Parametros!$B$2,0))))</f>
        <v/>
      </c>
      <c r="M396" s="20">
        <f>IF(OR(L396="",F396=""),"",EDATE(L396,F396))</f>
        <v/>
      </c>
      <c r="N396" s="21">
        <f>IF(A396="","",IF(L396="","Sem histórico",IF(AND(L396&gt;=Parametros!$B$2,L396&lt;=EOMONTH(Parametros!$B$2,0)),"Comprou no mês",IF(M396="","Sem periodicidade",IF(M396&lt;Parametros!$B$2,"Atrasado",IF(M396&lt;=EOMONTH(Parametros!$B$2,0),"Previsto no mês","Em dia"))))))</f>
        <v/>
      </c>
    </row>
    <row r="397">
      <c r="I397" s="18">
        <f>IF(A397="","",COUNTIFS(Pedidos!$C:$C,A397,Pedidos!$K:$K,Parametros!$B$3))</f>
        <v/>
      </c>
      <c r="J397" s="19">
        <f>IF(A397="","",SUMIFS(Pedidos!$E:$E,Pedidos!$C:$C,A397,Pedidos!$K:$K,Parametros!$B$3))</f>
        <v/>
      </c>
      <c r="K397" s="18">
        <f>IF(A397="","",COUNTIFS(Pedidos!$C:$C,A397,Pedidos!$K:$K,Parametros!$B$4))</f>
        <v/>
      </c>
      <c r="L397" s="20">
        <f>IF(A397="","",IF(COUNTIFS(Pedidos!$C:$C,A397,Pedidos!$B:$B,"&lt;="&amp;EOMONTH(Parametros!$B$2,0))=0,"",_xlfn.MAXIFS(Pedidos!$B:$B,Pedidos!$C:$C,A397,Pedidos!$B:$B,"&lt;="&amp;EOMONTH(Parametros!$B$2,0))))</f>
        <v/>
      </c>
      <c r="M397" s="20">
        <f>IF(OR(L397="",F397=""),"",EDATE(L397,F397))</f>
        <v/>
      </c>
      <c r="N397" s="21">
        <f>IF(A397="","",IF(L397="","Sem histórico",IF(AND(L397&gt;=Parametros!$B$2,L397&lt;=EOMONTH(Parametros!$B$2,0)),"Comprou no mês",IF(M397="","Sem periodicidade",IF(M397&lt;Parametros!$B$2,"Atrasado",IF(M397&lt;=EOMONTH(Parametros!$B$2,0),"Previsto no mês","Em dia"))))))</f>
        <v/>
      </c>
    </row>
    <row r="398">
      <c r="I398" s="18">
        <f>IF(A398="","",COUNTIFS(Pedidos!$C:$C,A398,Pedidos!$K:$K,Parametros!$B$3))</f>
        <v/>
      </c>
      <c r="J398" s="19">
        <f>IF(A398="","",SUMIFS(Pedidos!$E:$E,Pedidos!$C:$C,A398,Pedidos!$K:$K,Parametros!$B$3))</f>
        <v/>
      </c>
      <c r="K398" s="18">
        <f>IF(A398="","",COUNTIFS(Pedidos!$C:$C,A398,Pedidos!$K:$K,Parametros!$B$4))</f>
        <v/>
      </c>
      <c r="L398" s="20">
        <f>IF(A398="","",IF(COUNTIFS(Pedidos!$C:$C,A398,Pedidos!$B:$B,"&lt;="&amp;EOMONTH(Parametros!$B$2,0))=0,"",_xlfn.MAXIFS(Pedidos!$B:$B,Pedidos!$C:$C,A398,Pedidos!$B:$B,"&lt;="&amp;EOMONTH(Parametros!$B$2,0))))</f>
        <v/>
      </c>
      <c r="M398" s="20">
        <f>IF(OR(L398="",F398=""),"",EDATE(L398,F398))</f>
        <v/>
      </c>
      <c r="N398" s="21">
        <f>IF(A398="","",IF(L398="","Sem histórico",IF(AND(L398&gt;=Parametros!$B$2,L398&lt;=EOMONTH(Parametros!$B$2,0)),"Comprou no mês",IF(M398="","Sem periodicidade",IF(M398&lt;Parametros!$B$2,"Atrasado",IF(M398&lt;=EOMONTH(Parametros!$B$2,0),"Previsto no mês","Em dia"))))))</f>
        <v/>
      </c>
    </row>
    <row r="399">
      <c r="I399" s="18">
        <f>IF(A399="","",COUNTIFS(Pedidos!$C:$C,A399,Pedidos!$K:$K,Parametros!$B$3))</f>
        <v/>
      </c>
      <c r="J399" s="19">
        <f>IF(A399="","",SUMIFS(Pedidos!$E:$E,Pedidos!$C:$C,A399,Pedidos!$K:$K,Parametros!$B$3))</f>
        <v/>
      </c>
      <c r="K399" s="18">
        <f>IF(A399="","",COUNTIFS(Pedidos!$C:$C,A399,Pedidos!$K:$K,Parametros!$B$4))</f>
        <v/>
      </c>
      <c r="L399" s="20">
        <f>IF(A399="","",IF(COUNTIFS(Pedidos!$C:$C,A399,Pedidos!$B:$B,"&lt;="&amp;EOMONTH(Parametros!$B$2,0))=0,"",_xlfn.MAXIFS(Pedidos!$B:$B,Pedidos!$C:$C,A399,Pedidos!$B:$B,"&lt;="&amp;EOMONTH(Parametros!$B$2,0))))</f>
        <v/>
      </c>
      <c r="M399" s="20">
        <f>IF(OR(L399="",F399=""),"",EDATE(L399,F399))</f>
        <v/>
      </c>
      <c r="N399" s="21">
        <f>IF(A399="","",IF(L399="","Sem histórico",IF(AND(L399&gt;=Parametros!$B$2,L399&lt;=EOMONTH(Parametros!$B$2,0)),"Comprou no mês",IF(M399="","Sem periodicidade",IF(M399&lt;Parametros!$B$2,"Atrasado",IF(M399&lt;=EOMONTH(Parametros!$B$2,0),"Previsto no mês","Em dia"))))))</f>
        <v/>
      </c>
    </row>
    <row r="400">
      <c r="I400" s="18">
        <f>IF(A400="","",COUNTIFS(Pedidos!$C:$C,A400,Pedidos!$K:$K,Parametros!$B$3))</f>
        <v/>
      </c>
      <c r="J400" s="19">
        <f>IF(A400="","",SUMIFS(Pedidos!$E:$E,Pedidos!$C:$C,A400,Pedidos!$K:$K,Parametros!$B$3))</f>
        <v/>
      </c>
      <c r="K400" s="18">
        <f>IF(A400="","",COUNTIFS(Pedidos!$C:$C,A400,Pedidos!$K:$K,Parametros!$B$4))</f>
        <v/>
      </c>
      <c r="L400" s="20">
        <f>IF(A400="","",IF(COUNTIFS(Pedidos!$C:$C,A400,Pedidos!$B:$B,"&lt;="&amp;EOMONTH(Parametros!$B$2,0))=0,"",_xlfn.MAXIFS(Pedidos!$B:$B,Pedidos!$C:$C,A400,Pedidos!$B:$B,"&lt;="&amp;EOMONTH(Parametros!$B$2,0))))</f>
        <v/>
      </c>
      <c r="M400" s="20">
        <f>IF(OR(L400="",F400=""),"",EDATE(L400,F400))</f>
        <v/>
      </c>
      <c r="N400" s="21">
        <f>IF(A400="","",IF(L400="","Sem histórico",IF(AND(L400&gt;=Parametros!$B$2,L400&lt;=EOMONTH(Parametros!$B$2,0)),"Comprou no mês",IF(M400="","Sem periodicidade",IF(M400&lt;Parametros!$B$2,"Atrasado",IF(M400&lt;=EOMONTH(Parametros!$B$2,0),"Previsto no mês","Em dia"))))))</f>
        <v/>
      </c>
    </row>
    <row r="401">
      <c r="I401" s="18">
        <f>IF(A401="","",COUNTIFS(Pedidos!$C:$C,A401,Pedidos!$K:$K,Parametros!$B$3))</f>
        <v/>
      </c>
      <c r="J401" s="19">
        <f>IF(A401="","",SUMIFS(Pedidos!$E:$E,Pedidos!$C:$C,A401,Pedidos!$K:$K,Parametros!$B$3))</f>
        <v/>
      </c>
      <c r="K401" s="18">
        <f>IF(A401="","",COUNTIFS(Pedidos!$C:$C,A401,Pedidos!$K:$K,Parametros!$B$4))</f>
        <v/>
      </c>
      <c r="L401" s="20">
        <f>IF(A401="","",IF(COUNTIFS(Pedidos!$C:$C,A401,Pedidos!$B:$B,"&lt;="&amp;EOMONTH(Parametros!$B$2,0))=0,"",_xlfn.MAXIFS(Pedidos!$B:$B,Pedidos!$C:$C,A401,Pedidos!$B:$B,"&lt;="&amp;EOMONTH(Parametros!$B$2,0))))</f>
        <v/>
      </c>
      <c r="M401" s="20">
        <f>IF(OR(L401="",F401=""),"",EDATE(L401,F401))</f>
        <v/>
      </c>
      <c r="N401" s="21">
        <f>IF(A401="","",IF(L401="","Sem histórico",IF(AND(L401&gt;=Parametros!$B$2,L401&lt;=EOMONTH(Parametros!$B$2,0)),"Comprou no mês",IF(M401="","Sem periodicidade",IF(M401&lt;Parametros!$B$2,"Atrasado",IF(M401&lt;=EOMONTH(Parametros!$B$2,0),"Previsto no mês","Em dia"))))))</f>
        <v/>
      </c>
    </row>
    <row r="402">
      <c r="I402" s="18">
        <f>IF(A402="","",COUNTIFS(Pedidos!$C:$C,A402,Pedidos!$K:$K,Parametros!$B$3))</f>
        <v/>
      </c>
      <c r="J402" s="19">
        <f>IF(A402="","",SUMIFS(Pedidos!$E:$E,Pedidos!$C:$C,A402,Pedidos!$K:$K,Parametros!$B$3))</f>
        <v/>
      </c>
      <c r="K402" s="18">
        <f>IF(A402="","",COUNTIFS(Pedidos!$C:$C,A402,Pedidos!$K:$K,Parametros!$B$4))</f>
        <v/>
      </c>
      <c r="L402" s="20">
        <f>IF(A402="","",IF(COUNTIFS(Pedidos!$C:$C,A402,Pedidos!$B:$B,"&lt;="&amp;EOMONTH(Parametros!$B$2,0))=0,"",_xlfn.MAXIFS(Pedidos!$B:$B,Pedidos!$C:$C,A402,Pedidos!$B:$B,"&lt;="&amp;EOMONTH(Parametros!$B$2,0))))</f>
        <v/>
      </c>
      <c r="M402" s="20">
        <f>IF(OR(L402="",F402=""),"",EDATE(L402,F402))</f>
        <v/>
      </c>
      <c r="N402" s="21">
        <f>IF(A402="","",IF(L402="","Sem histórico",IF(AND(L402&gt;=Parametros!$B$2,L402&lt;=EOMONTH(Parametros!$B$2,0)),"Comprou no mês",IF(M402="","Sem periodicidade",IF(M402&lt;Parametros!$B$2,"Atrasado",IF(M402&lt;=EOMONTH(Parametros!$B$2,0),"Previsto no mês","Em dia"))))))</f>
        <v/>
      </c>
    </row>
    <row r="403">
      <c r="I403" s="18">
        <f>IF(A403="","",COUNTIFS(Pedidos!$C:$C,A403,Pedidos!$K:$K,Parametros!$B$3))</f>
        <v/>
      </c>
      <c r="J403" s="19">
        <f>IF(A403="","",SUMIFS(Pedidos!$E:$E,Pedidos!$C:$C,A403,Pedidos!$K:$K,Parametros!$B$3))</f>
        <v/>
      </c>
      <c r="K403" s="18">
        <f>IF(A403="","",COUNTIFS(Pedidos!$C:$C,A403,Pedidos!$K:$K,Parametros!$B$4))</f>
        <v/>
      </c>
      <c r="L403" s="20">
        <f>IF(A403="","",IF(COUNTIFS(Pedidos!$C:$C,A403,Pedidos!$B:$B,"&lt;="&amp;EOMONTH(Parametros!$B$2,0))=0,"",_xlfn.MAXIFS(Pedidos!$B:$B,Pedidos!$C:$C,A403,Pedidos!$B:$B,"&lt;="&amp;EOMONTH(Parametros!$B$2,0))))</f>
        <v/>
      </c>
      <c r="M403" s="20">
        <f>IF(OR(L403="",F403=""),"",EDATE(L403,F403))</f>
        <v/>
      </c>
      <c r="N403" s="21">
        <f>IF(A403="","",IF(L403="","Sem histórico",IF(AND(L403&gt;=Parametros!$B$2,L403&lt;=EOMONTH(Parametros!$B$2,0)),"Comprou no mês",IF(M403="","Sem periodicidade",IF(M403&lt;Parametros!$B$2,"Atrasado",IF(M403&lt;=EOMONTH(Parametros!$B$2,0),"Previsto no mês","Em dia"))))))</f>
        <v/>
      </c>
    </row>
    <row r="404">
      <c r="I404" s="18">
        <f>IF(A404="","",COUNTIFS(Pedidos!$C:$C,A404,Pedidos!$K:$K,Parametros!$B$3))</f>
        <v/>
      </c>
      <c r="J404" s="19">
        <f>IF(A404="","",SUMIFS(Pedidos!$E:$E,Pedidos!$C:$C,A404,Pedidos!$K:$K,Parametros!$B$3))</f>
        <v/>
      </c>
      <c r="K404" s="18">
        <f>IF(A404="","",COUNTIFS(Pedidos!$C:$C,A404,Pedidos!$K:$K,Parametros!$B$4))</f>
        <v/>
      </c>
      <c r="L404" s="20">
        <f>IF(A404="","",IF(COUNTIFS(Pedidos!$C:$C,A404,Pedidos!$B:$B,"&lt;="&amp;EOMONTH(Parametros!$B$2,0))=0,"",_xlfn.MAXIFS(Pedidos!$B:$B,Pedidos!$C:$C,A404,Pedidos!$B:$B,"&lt;="&amp;EOMONTH(Parametros!$B$2,0))))</f>
        <v/>
      </c>
      <c r="M404" s="20">
        <f>IF(OR(L404="",F404=""),"",EDATE(L404,F404))</f>
        <v/>
      </c>
      <c r="N404" s="21">
        <f>IF(A404="","",IF(L404="","Sem histórico",IF(AND(L404&gt;=Parametros!$B$2,L404&lt;=EOMONTH(Parametros!$B$2,0)),"Comprou no mês",IF(M404="","Sem periodicidade",IF(M404&lt;Parametros!$B$2,"Atrasado",IF(M404&lt;=EOMONTH(Parametros!$B$2,0),"Previsto no mês","Em dia"))))))</f>
        <v/>
      </c>
    </row>
    <row r="405">
      <c r="I405" s="18">
        <f>IF(A405="","",COUNTIFS(Pedidos!$C:$C,A405,Pedidos!$K:$K,Parametros!$B$3))</f>
        <v/>
      </c>
      <c r="J405" s="19">
        <f>IF(A405="","",SUMIFS(Pedidos!$E:$E,Pedidos!$C:$C,A405,Pedidos!$K:$K,Parametros!$B$3))</f>
        <v/>
      </c>
      <c r="K405" s="18">
        <f>IF(A405="","",COUNTIFS(Pedidos!$C:$C,A405,Pedidos!$K:$K,Parametros!$B$4))</f>
        <v/>
      </c>
      <c r="L405" s="20">
        <f>IF(A405="","",IF(COUNTIFS(Pedidos!$C:$C,A405,Pedidos!$B:$B,"&lt;="&amp;EOMONTH(Parametros!$B$2,0))=0,"",_xlfn.MAXIFS(Pedidos!$B:$B,Pedidos!$C:$C,A405,Pedidos!$B:$B,"&lt;="&amp;EOMONTH(Parametros!$B$2,0))))</f>
        <v/>
      </c>
      <c r="M405" s="20">
        <f>IF(OR(L405="",F405=""),"",EDATE(L405,F405))</f>
        <v/>
      </c>
      <c r="N405" s="21">
        <f>IF(A405="","",IF(L405="","Sem histórico",IF(AND(L405&gt;=Parametros!$B$2,L405&lt;=EOMONTH(Parametros!$B$2,0)),"Comprou no mês",IF(M405="","Sem periodicidade",IF(M405&lt;Parametros!$B$2,"Atrasado",IF(M405&lt;=EOMONTH(Parametros!$B$2,0),"Previsto no mês","Em dia"))))))</f>
        <v/>
      </c>
    </row>
    <row r="406">
      <c r="I406" s="18">
        <f>IF(A406="","",COUNTIFS(Pedidos!$C:$C,A406,Pedidos!$K:$K,Parametros!$B$3))</f>
        <v/>
      </c>
      <c r="J406" s="19">
        <f>IF(A406="","",SUMIFS(Pedidos!$E:$E,Pedidos!$C:$C,A406,Pedidos!$K:$K,Parametros!$B$3))</f>
        <v/>
      </c>
      <c r="K406" s="18">
        <f>IF(A406="","",COUNTIFS(Pedidos!$C:$C,A406,Pedidos!$K:$K,Parametros!$B$4))</f>
        <v/>
      </c>
      <c r="L406" s="20">
        <f>IF(A406="","",IF(COUNTIFS(Pedidos!$C:$C,A406,Pedidos!$B:$B,"&lt;="&amp;EOMONTH(Parametros!$B$2,0))=0,"",_xlfn.MAXIFS(Pedidos!$B:$B,Pedidos!$C:$C,A406,Pedidos!$B:$B,"&lt;="&amp;EOMONTH(Parametros!$B$2,0))))</f>
        <v/>
      </c>
      <c r="M406" s="20">
        <f>IF(OR(L406="",F406=""),"",EDATE(L406,F406))</f>
        <v/>
      </c>
      <c r="N406" s="21">
        <f>IF(A406="","",IF(L406="","Sem histórico",IF(AND(L406&gt;=Parametros!$B$2,L406&lt;=EOMONTH(Parametros!$B$2,0)),"Comprou no mês",IF(M406="","Sem periodicidade",IF(M406&lt;Parametros!$B$2,"Atrasado",IF(M406&lt;=EOMONTH(Parametros!$B$2,0),"Previsto no mês","Em dia"))))))</f>
        <v/>
      </c>
    </row>
    <row r="407">
      <c r="I407" s="18">
        <f>IF(A407="","",COUNTIFS(Pedidos!$C:$C,A407,Pedidos!$K:$K,Parametros!$B$3))</f>
        <v/>
      </c>
      <c r="J407" s="19">
        <f>IF(A407="","",SUMIFS(Pedidos!$E:$E,Pedidos!$C:$C,A407,Pedidos!$K:$K,Parametros!$B$3))</f>
        <v/>
      </c>
      <c r="K407" s="18">
        <f>IF(A407="","",COUNTIFS(Pedidos!$C:$C,A407,Pedidos!$K:$K,Parametros!$B$4))</f>
        <v/>
      </c>
      <c r="L407" s="20">
        <f>IF(A407="","",IF(COUNTIFS(Pedidos!$C:$C,A407,Pedidos!$B:$B,"&lt;="&amp;EOMONTH(Parametros!$B$2,0))=0,"",_xlfn.MAXIFS(Pedidos!$B:$B,Pedidos!$C:$C,A407,Pedidos!$B:$B,"&lt;="&amp;EOMONTH(Parametros!$B$2,0))))</f>
        <v/>
      </c>
      <c r="M407" s="20">
        <f>IF(OR(L407="",F407=""),"",EDATE(L407,F407))</f>
        <v/>
      </c>
      <c r="N407" s="21">
        <f>IF(A407="","",IF(L407="","Sem histórico",IF(AND(L407&gt;=Parametros!$B$2,L407&lt;=EOMONTH(Parametros!$B$2,0)),"Comprou no mês",IF(M407="","Sem periodicidade",IF(M407&lt;Parametros!$B$2,"Atrasado",IF(M407&lt;=EOMONTH(Parametros!$B$2,0),"Previsto no mês","Em dia"))))))</f>
        <v/>
      </c>
    </row>
    <row r="408">
      <c r="I408" s="18">
        <f>IF(A408="","",COUNTIFS(Pedidos!$C:$C,A408,Pedidos!$K:$K,Parametros!$B$3))</f>
        <v/>
      </c>
      <c r="J408" s="19">
        <f>IF(A408="","",SUMIFS(Pedidos!$E:$E,Pedidos!$C:$C,A408,Pedidos!$K:$K,Parametros!$B$3))</f>
        <v/>
      </c>
      <c r="K408" s="18">
        <f>IF(A408="","",COUNTIFS(Pedidos!$C:$C,A408,Pedidos!$K:$K,Parametros!$B$4))</f>
        <v/>
      </c>
      <c r="L408" s="20">
        <f>IF(A408="","",IF(COUNTIFS(Pedidos!$C:$C,A408,Pedidos!$B:$B,"&lt;="&amp;EOMONTH(Parametros!$B$2,0))=0,"",_xlfn.MAXIFS(Pedidos!$B:$B,Pedidos!$C:$C,A408,Pedidos!$B:$B,"&lt;="&amp;EOMONTH(Parametros!$B$2,0))))</f>
        <v/>
      </c>
      <c r="M408" s="20">
        <f>IF(OR(L408="",F408=""),"",EDATE(L408,F408))</f>
        <v/>
      </c>
      <c r="N408" s="21">
        <f>IF(A408="","",IF(L408="","Sem histórico",IF(AND(L408&gt;=Parametros!$B$2,L408&lt;=EOMONTH(Parametros!$B$2,0)),"Comprou no mês",IF(M408="","Sem periodicidade",IF(M408&lt;Parametros!$B$2,"Atrasado",IF(M408&lt;=EOMONTH(Parametros!$B$2,0),"Previsto no mês","Em dia"))))))</f>
        <v/>
      </c>
    </row>
    <row r="409">
      <c r="I409" s="18">
        <f>IF(A409="","",COUNTIFS(Pedidos!$C:$C,A409,Pedidos!$K:$K,Parametros!$B$3))</f>
        <v/>
      </c>
      <c r="J409" s="19">
        <f>IF(A409="","",SUMIFS(Pedidos!$E:$E,Pedidos!$C:$C,A409,Pedidos!$K:$K,Parametros!$B$3))</f>
        <v/>
      </c>
      <c r="K409" s="18">
        <f>IF(A409="","",COUNTIFS(Pedidos!$C:$C,A409,Pedidos!$K:$K,Parametros!$B$4))</f>
        <v/>
      </c>
      <c r="L409" s="20">
        <f>IF(A409="","",IF(COUNTIFS(Pedidos!$C:$C,A409,Pedidos!$B:$B,"&lt;="&amp;EOMONTH(Parametros!$B$2,0))=0,"",_xlfn.MAXIFS(Pedidos!$B:$B,Pedidos!$C:$C,A409,Pedidos!$B:$B,"&lt;="&amp;EOMONTH(Parametros!$B$2,0))))</f>
        <v/>
      </c>
      <c r="M409" s="20">
        <f>IF(OR(L409="",F409=""),"",EDATE(L409,F409))</f>
        <v/>
      </c>
      <c r="N409" s="21">
        <f>IF(A409="","",IF(L409="","Sem histórico",IF(AND(L409&gt;=Parametros!$B$2,L409&lt;=EOMONTH(Parametros!$B$2,0)),"Comprou no mês",IF(M409="","Sem periodicidade",IF(M409&lt;Parametros!$B$2,"Atrasado",IF(M409&lt;=EOMONTH(Parametros!$B$2,0),"Previsto no mês","Em dia"))))))</f>
        <v/>
      </c>
    </row>
    <row r="410">
      <c r="I410" s="18">
        <f>IF(A410="","",COUNTIFS(Pedidos!$C:$C,A410,Pedidos!$K:$K,Parametros!$B$3))</f>
        <v/>
      </c>
      <c r="J410" s="19">
        <f>IF(A410="","",SUMIFS(Pedidos!$E:$E,Pedidos!$C:$C,A410,Pedidos!$K:$K,Parametros!$B$3))</f>
        <v/>
      </c>
      <c r="K410" s="18">
        <f>IF(A410="","",COUNTIFS(Pedidos!$C:$C,A410,Pedidos!$K:$K,Parametros!$B$4))</f>
        <v/>
      </c>
      <c r="L410" s="20">
        <f>IF(A410="","",IF(COUNTIFS(Pedidos!$C:$C,A410,Pedidos!$B:$B,"&lt;="&amp;EOMONTH(Parametros!$B$2,0))=0,"",_xlfn.MAXIFS(Pedidos!$B:$B,Pedidos!$C:$C,A410,Pedidos!$B:$B,"&lt;="&amp;EOMONTH(Parametros!$B$2,0))))</f>
        <v/>
      </c>
      <c r="M410" s="20">
        <f>IF(OR(L410="",F410=""),"",EDATE(L410,F410))</f>
        <v/>
      </c>
      <c r="N410" s="21">
        <f>IF(A410="","",IF(L410="","Sem histórico",IF(AND(L410&gt;=Parametros!$B$2,L410&lt;=EOMONTH(Parametros!$B$2,0)),"Comprou no mês",IF(M410="","Sem periodicidade",IF(M410&lt;Parametros!$B$2,"Atrasado",IF(M410&lt;=EOMONTH(Parametros!$B$2,0),"Previsto no mês","Em dia"))))))</f>
        <v/>
      </c>
    </row>
    <row r="411">
      <c r="I411" s="18">
        <f>IF(A411="","",COUNTIFS(Pedidos!$C:$C,A411,Pedidos!$K:$K,Parametros!$B$3))</f>
        <v/>
      </c>
      <c r="J411" s="19">
        <f>IF(A411="","",SUMIFS(Pedidos!$E:$E,Pedidos!$C:$C,A411,Pedidos!$K:$K,Parametros!$B$3))</f>
        <v/>
      </c>
      <c r="K411" s="18">
        <f>IF(A411="","",COUNTIFS(Pedidos!$C:$C,A411,Pedidos!$K:$K,Parametros!$B$4))</f>
        <v/>
      </c>
      <c r="L411" s="20">
        <f>IF(A411="","",IF(COUNTIFS(Pedidos!$C:$C,A411,Pedidos!$B:$B,"&lt;="&amp;EOMONTH(Parametros!$B$2,0))=0,"",_xlfn.MAXIFS(Pedidos!$B:$B,Pedidos!$C:$C,A411,Pedidos!$B:$B,"&lt;="&amp;EOMONTH(Parametros!$B$2,0))))</f>
        <v/>
      </c>
      <c r="M411" s="20">
        <f>IF(OR(L411="",F411=""),"",EDATE(L411,F411))</f>
        <v/>
      </c>
      <c r="N411" s="21">
        <f>IF(A411="","",IF(L411="","Sem histórico",IF(AND(L411&gt;=Parametros!$B$2,L411&lt;=EOMONTH(Parametros!$B$2,0)),"Comprou no mês",IF(M411="","Sem periodicidade",IF(M411&lt;Parametros!$B$2,"Atrasado",IF(M411&lt;=EOMONTH(Parametros!$B$2,0),"Previsto no mês","Em dia"))))))</f>
        <v/>
      </c>
    </row>
    <row r="412">
      <c r="I412" s="18">
        <f>IF(A412="","",COUNTIFS(Pedidos!$C:$C,A412,Pedidos!$K:$K,Parametros!$B$3))</f>
        <v/>
      </c>
      <c r="J412" s="19">
        <f>IF(A412="","",SUMIFS(Pedidos!$E:$E,Pedidos!$C:$C,A412,Pedidos!$K:$K,Parametros!$B$3))</f>
        <v/>
      </c>
      <c r="K412" s="18">
        <f>IF(A412="","",COUNTIFS(Pedidos!$C:$C,A412,Pedidos!$K:$K,Parametros!$B$4))</f>
        <v/>
      </c>
      <c r="L412" s="20">
        <f>IF(A412="","",IF(COUNTIFS(Pedidos!$C:$C,A412,Pedidos!$B:$B,"&lt;="&amp;EOMONTH(Parametros!$B$2,0))=0,"",_xlfn.MAXIFS(Pedidos!$B:$B,Pedidos!$C:$C,A412,Pedidos!$B:$B,"&lt;="&amp;EOMONTH(Parametros!$B$2,0))))</f>
        <v/>
      </c>
      <c r="M412" s="20">
        <f>IF(OR(L412="",F412=""),"",EDATE(L412,F412))</f>
        <v/>
      </c>
      <c r="N412" s="21">
        <f>IF(A412="","",IF(L412="","Sem histórico",IF(AND(L412&gt;=Parametros!$B$2,L412&lt;=EOMONTH(Parametros!$B$2,0)),"Comprou no mês",IF(M412="","Sem periodicidade",IF(M412&lt;Parametros!$B$2,"Atrasado",IF(M412&lt;=EOMONTH(Parametros!$B$2,0),"Previsto no mês","Em dia"))))))</f>
        <v/>
      </c>
    </row>
    <row r="413">
      <c r="I413" s="18">
        <f>IF(A413="","",COUNTIFS(Pedidos!$C:$C,A413,Pedidos!$K:$K,Parametros!$B$3))</f>
        <v/>
      </c>
      <c r="J413" s="19">
        <f>IF(A413="","",SUMIFS(Pedidos!$E:$E,Pedidos!$C:$C,A413,Pedidos!$K:$K,Parametros!$B$3))</f>
        <v/>
      </c>
      <c r="K413" s="18">
        <f>IF(A413="","",COUNTIFS(Pedidos!$C:$C,A413,Pedidos!$K:$K,Parametros!$B$4))</f>
        <v/>
      </c>
      <c r="L413" s="20">
        <f>IF(A413="","",IF(COUNTIFS(Pedidos!$C:$C,A413,Pedidos!$B:$B,"&lt;="&amp;EOMONTH(Parametros!$B$2,0))=0,"",_xlfn.MAXIFS(Pedidos!$B:$B,Pedidos!$C:$C,A413,Pedidos!$B:$B,"&lt;="&amp;EOMONTH(Parametros!$B$2,0))))</f>
        <v/>
      </c>
      <c r="M413" s="20">
        <f>IF(OR(L413="",F413=""),"",EDATE(L413,F413))</f>
        <v/>
      </c>
      <c r="N413" s="21">
        <f>IF(A413="","",IF(L413="","Sem histórico",IF(AND(L413&gt;=Parametros!$B$2,L413&lt;=EOMONTH(Parametros!$B$2,0)),"Comprou no mês",IF(M413="","Sem periodicidade",IF(M413&lt;Parametros!$B$2,"Atrasado",IF(M413&lt;=EOMONTH(Parametros!$B$2,0),"Previsto no mês","Em dia"))))))</f>
        <v/>
      </c>
    </row>
    <row r="414">
      <c r="I414" s="18">
        <f>IF(A414="","",COUNTIFS(Pedidos!$C:$C,A414,Pedidos!$K:$K,Parametros!$B$3))</f>
        <v/>
      </c>
      <c r="J414" s="19">
        <f>IF(A414="","",SUMIFS(Pedidos!$E:$E,Pedidos!$C:$C,A414,Pedidos!$K:$K,Parametros!$B$3))</f>
        <v/>
      </c>
      <c r="K414" s="18">
        <f>IF(A414="","",COUNTIFS(Pedidos!$C:$C,A414,Pedidos!$K:$K,Parametros!$B$4))</f>
        <v/>
      </c>
      <c r="L414" s="20">
        <f>IF(A414="","",IF(COUNTIFS(Pedidos!$C:$C,A414,Pedidos!$B:$B,"&lt;="&amp;EOMONTH(Parametros!$B$2,0))=0,"",_xlfn.MAXIFS(Pedidos!$B:$B,Pedidos!$C:$C,A414,Pedidos!$B:$B,"&lt;="&amp;EOMONTH(Parametros!$B$2,0))))</f>
        <v/>
      </c>
      <c r="M414" s="20">
        <f>IF(OR(L414="",F414=""),"",EDATE(L414,F414))</f>
        <v/>
      </c>
      <c r="N414" s="21">
        <f>IF(A414="","",IF(L414="","Sem histórico",IF(AND(L414&gt;=Parametros!$B$2,L414&lt;=EOMONTH(Parametros!$B$2,0)),"Comprou no mês",IF(M414="","Sem periodicidade",IF(M414&lt;Parametros!$B$2,"Atrasado",IF(M414&lt;=EOMONTH(Parametros!$B$2,0),"Previsto no mês","Em dia"))))))</f>
        <v/>
      </c>
    </row>
    <row r="415">
      <c r="I415" s="18">
        <f>IF(A415="","",COUNTIFS(Pedidos!$C:$C,A415,Pedidos!$K:$K,Parametros!$B$3))</f>
        <v/>
      </c>
      <c r="J415" s="19">
        <f>IF(A415="","",SUMIFS(Pedidos!$E:$E,Pedidos!$C:$C,A415,Pedidos!$K:$K,Parametros!$B$3))</f>
        <v/>
      </c>
      <c r="K415" s="18">
        <f>IF(A415="","",COUNTIFS(Pedidos!$C:$C,A415,Pedidos!$K:$K,Parametros!$B$4))</f>
        <v/>
      </c>
      <c r="L415" s="20">
        <f>IF(A415="","",IF(COUNTIFS(Pedidos!$C:$C,A415,Pedidos!$B:$B,"&lt;="&amp;EOMONTH(Parametros!$B$2,0))=0,"",_xlfn.MAXIFS(Pedidos!$B:$B,Pedidos!$C:$C,A415,Pedidos!$B:$B,"&lt;="&amp;EOMONTH(Parametros!$B$2,0))))</f>
        <v/>
      </c>
      <c r="M415" s="20">
        <f>IF(OR(L415="",F415=""),"",EDATE(L415,F415))</f>
        <v/>
      </c>
      <c r="N415" s="21">
        <f>IF(A415="","",IF(L415="","Sem histórico",IF(AND(L415&gt;=Parametros!$B$2,L415&lt;=EOMONTH(Parametros!$B$2,0)),"Comprou no mês",IF(M415="","Sem periodicidade",IF(M415&lt;Parametros!$B$2,"Atrasado",IF(M415&lt;=EOMONTH(Parametros!$B$2,0),"Previsto no mês","Em dia"))))))</f>
        <v/>
      </c>
    </row>
    <row r="416">
      <c r="I416" s="18">
        <f>IF(A416="","",COUNTIFS(Pedidos!$C:$C,A416,Pedidos!$K:$K,Parametros!$B$3))</f>
        <v/>
      </c>
      <c r="J416" s="19">
        <f>IF(A416="","",SUMIFS(Pedidos!$E:$E,Pedidos!$C:$C,A416,Pedidos!$K:$K,Parametros!$B$3))</f>
        <v/>
      </c>
      <c r="K416" s="18">
        <f>IF(A416="","",COUNTIFS(Pedidos!$C:$C,A416,Pedidos!$K:$K,Parametros!$B$4))</f>
        <v/>
      </c>
      <c r="L416" s="20">
        <f>IF(A416="","",IF(COUNTIFS(Pedidos!$C:$C,A416,Pedidos!$B:$B,"&lt;="&amp;EOMONTH(Parametros!$B$2,0))=0,"",_xlfn.MAXIFS(Pedidos!$B:$B,Pedidos!$C:$C,A416,Pedidos!$B:$B,"&lt;="&amp;EOMONTH(Parametros!$B$2,0))))</f>
        <v/>
      </c>
      <c r="M416" s="20">
        <f>IF(OR(L416="",F416=""),"",EDATE(L416,F416))</f>
        <v/>
      </c>
      <c r="N416" s="21">
        <f>IF(A416="","",IF(L416="","Sem histórico",IF(AND(L416&gt;=Parametros!$B$2,L416&lt;=EOMONTH(Parametros!$B$2,0)),"Comprou no mês",IF(M416="","Sem periodicidade",IF(M416&lt;Parametros!$B$2,"Atrasado",IF(M416&lt;=EOMONTH(Parametros!$B$2,0),"Previsto no mês","Em dia"))))))</f>
        <v/>
      </c>
    </row>
    <row r="417">
      <c r="I417" s="18">
        <f>IF(A417="","",COUNTIFS(Pedidos!$C:$C,A417,Pedidos!$K:$K,Parametros!$B$3))</f>
        <v/>
      </c>
      <c r="J417" s="19">
        <f>IF(A417="","",SUMIFS(Pedidos!$E:$E,Pedidos!$C:$C,A417,Pedidos!$K:$K,Parametros!$B$3))</f>
        <v/>
      </c>
      <c r="K417" s="18">
        <f>IF(A417="","",COUNTIFS(Pedidos!$C:$C,A417,Pedidos!$K:$K,Parametros!$B$4))</f>
        <v/>
      </c>
      <c r="L417" s="20">
        <f>IF(A417="","",IF(COUNTIFS(Pedidos!$C:$C,A417,Pedidos!$B:$B,"&lt;="&amp;EOMONTH(Parametros!$B$2,0))=0,"",_xlfn.MAXIFS(Pedidos!$B:$B,Pedidos!$C:$C,A417,Pedidos!$B:$B,"&lt;="&amp;EOMONTH(Parametros!$B$2,0))))</f>
        <v/>
      </c>
      <c r="M417" s="20">
        <f>IF(OR(L417="",F417=""),"",EDATE(L417,F417))</f>
        <v/>
      </c>
      <c r="N417" s="21">
        <f>IF(A417="","",IF(L417="","Sem histórico",IF(AND(L417&gt;=Parametros!$B$2,L417&lt;=EOMONTH(Parametros!$B$2,0)),"Comprou no mês",IF(M417="","Sem periodicidade",IF(M417&lt;Parametros!$B$2,"Atrasado",IF(M417&lt;=EOMONTH(Parametros!$B$2,0),"Previsto no mês","Em dia"))))))</f>
        <v/>
      </c>
    </row>
    <row r="418">
      <c r="I418" s="18">
        <f>IF(A418="","",COUNTIFS(Pedidos!$C:$C,A418,Pedidos!$K:$K,Parametros!$B$3))</f>
        <v/>
      </c>
      <c r="J418" s="19">
        <f>IF(A418="","",SUMIFS(Pedidos!$E:$E,Pedidos!$C:$C,A418,Pedidos!$K:$K,Parametros!$B$3))</f>
        <v/>
      </c>
      <c r="K418" s="18">
        <f>IF(A418="","",COUNTIFS(Pedidos!$C:$C,A418,Pedidos!$K:$K,Parametros!$B$4))</f>
        <v/>
      </c>
      <c r="L418" s="20">
        <f>IF(A418="","",IF(COUNTIFS(Pedidos!$C:$C,A418,Pedidos!$B:$B,"&lt;="&amp;EOMONTH(Parametros!$B$2,0))=0,"",_xlfn.MAXIFS(Pedidos!$B:$B,Pedidos!$C:$C,A418,Pedidos!$B:$B,"&lt;="&amp;EOMONTH(Parametros!$B$2,0))))</f>
        <v/>
      </c>
      <c r="M418" s="20">
        <f>IF(OR(L418="",F418=""),"",EDATE(L418,F418))</f>
        <v/>
      </c>
      <c r="N418" s="21">
        <f>IF(A418="","",IF(L418="","Sem histórico",IF(AND(L418&gt;=Parametros!$B$2,L418&lt;=EOMONTH(Parametros!$B$2,0)),"Comprou no mês",IF(M418="","Sem periodicidade",IF(M418&lt;Parametros!$B$2,"Atrasado",IF(M418&lt;=EOMONTH(Parametros!$B$2,0),"Previsto no mês","Em dia"))))))</f>
        <v/>
      </c>
    </row>
    <row r="419">
      <c r="I419" s="18">
        <f>IF(A419="","",COUNTIFS(Pedidos!$C:$C,A419,Pedidos!$K:$K,Parametros!$B$3))</f>
        <v/>
      </c>
      <c r="J419" s="19">
        <f>IF(A419="","",SUMIFS(Pedidos!$E:$E,Pedidos!$C:$C,A419,Pedidos!$K:$K,Parametros!$B$3))</f>
        <v/>
      </c>
      <c r="K419" s="18">
        <f>IF(A419="","",COUNTIFS(Pedidos!$C:$C,A419,Pedidos!$K:$K,Parametros!$B$4))</f>
        <v/>
      </c>
      <c r="L419" s="20">
        <f>IF(A419="","",IF(COUNTIFS(Pedidos!$C:$C,A419,Pedidos!$B:$B,"&lt;="&amp;EOMONTH(Parametros!$B$2,0))=0,"",_xlfn.MAXIFS(Pedidos!$B:$B,Pedidos!$C:$C,A419,Pedidos!$B:$B,"&lt;="&amp;EOMONTH(Parametros!$B$2,0))))</f>
        <v/>
      </c>
      <c r="M419" s="20">
        <f>IF(OR(L419="",F419=""),"",EDATE(L419,F419))</f>
        <v/>
      </c>
      <c r="N419" s="21">
        <f>IF(A419="","",IF(L419="","Sem histórico",IF(AND(L419&gt;=Parametros!$B$2,L419&lt;=EOMONTH(Parametros!$B$2,0)),"Comprou no mês",IF(M419="","Sem periodicidade",IF(M419&lt;Parametros!$B$2,"Atrasado",IF(M419&lt;=EOMONTH(Parametros!$B$2,0),"Previsto no mês","Em dia"))))))</f>
        <v/>
      </c>
    </row>
    <row r="420">
      <c r="I420" s="18">
        <f>IF(A420="","",COUNTIFS(Pedidos!$C:$C,A420,Pedidos!$K:$K,Parametros!$B$3))</f>
        <v/>
      </c>
      <c r="J420" s="19">
        <f>IF(A420="","",SUMIFS(Pedidos!$E:$E,Pedidos!$C:$C,A420,Pedidos!$K:$K,Parametros!$B$3))</f>
        <v/>
      </c>
      <c r="K420" s="18">
        <f>IF(A420="","",COUNTIFS(Pedidos!$C:$C,A420,Pedidos!$K:$K,Parametros!$B$4))</f>
        <v/>
      </c>
      <c r="L420" s="20">
        <f>IF(A420="","",IF(COUNTIFS(Pedidos!$C:$C,A420,Pedidos!$B:$B,"&lt;="&amp;EOMONTH(Parametros!$B$2,0))=0,"",_xlfn.MAXIFS(Pedidos!$B:$B,Pedidos!$C:$C,A420,Pedidos!$B:$B,"&lt;="&amp;EOMONTH(Parametros!$B$2,0))))</f>
        <v/>
      </c>
      <c r="M420" s="20">
        <f>IF(OR(L420="",F420=""),"",EDATE(L420,F420))</f>
        <v/>
      </c>
      <c r="N420" s="21">
        <f>IF(A420="","",IF(L420="","Sem histórico",IF(AND(L420&gt;=Parametros!$B$2,L420&lt;=EOMONTH(Parametros!$B$2,0)),"Comprou no mês",IF(M420="","Sem periodicidade",IF(M420&lt;Parametros!$B$2,"Atrasado",IF(M420&lt;=EOMONTH(Parametros!$B$2,0),"Previsto no mês","Em dia"))))))</f>
        <v/>
      </c>
    </row>
    <row r="421">
      <c r="I421" s="18">
        <f>IF(A421="","",COUNTIFS(Pedidos!$C:$C,A421,Pedidos!$K:$K,Parametros!$B$3))</f>
        <v/>
      </c>
      <c r="J421" s="19">
        <f>IF(A421="","",SUMIFS(Pedidos!$E:$E,Pedidos!$C:$C,A421,Pedidos!$K:$K,Parametros!$B$3))</f>
        <v/>
      </c>
      <c r="K421" s="18">
        <f>IF(A421="","",COUNTIFS(Pedidos!$C:$C,A421,Pedidos!$K:$K,Parametros!$B$4))</f>
        <v/>
      </c>
      <c r="L421" s="20">
        <f>IF(A421="","",IF(COUNTIFS(Pedidos!$C:$C,A421,Pedidos!$B:$B,"&lt;="&amp;EOMONTH(Parametros!$B$2,0))=0,"",_xlfn.MAXIFS(Pedidos!$B:$B,Pedidos!$C:$C,A421,Pedidos!$B:$B,"&lt;="&amp;EOMONTH(Parametros!$B$2,0))))</f>
        <v/>
      </c>
      <c r="M421" s="20">
        <f>IF(OR(L421="",F421=""),"",EDATE(L421,F421))</f>
        <v/>
      </c>
      <c r="N421" s="21">
        <f>IF(A421="","",IF(L421="","Sem histórico",IF(AND(L421&gt;=Parametros!$B$2,L421&lt;=EOMONTH(Parametros!$B$2,0)),"Comprou no mês",IF(M421="","Sem periodicidade",IF(M421&lt;Parametros!$B$2,"Atrasado",IF(M421&lt;=EOMONTH(Parametros!$B$2,0),"Previsto no mês","Em dia"))))))</f>
        <v/>
      </c>
    </row>
    <row r="422">
      <c r="I422" s="18">
        <f>IF(A422="","",COUNTIFS(Pedidos!$C:$C,A422,Pedidos!$K:$K,Parametros!$B$3))</f>
        <v/>
      </c>
      <c r="J422" s="19">
        <f>IF(A422="","",SUMIFS(Pedidos!$E:$E,Pedidos!$C:$C,A422,Pedidos!$K:$K,Parametros!$B$3))</f>
        <v/>
      </c>
      <c r="K422" s="18">
        <f>IF(A422="","",COUNTIFS(Pedidos!$C:$C,A422,Pedidos!$K:$K,Parametros!$B$4))</f>
        <v/>
      </c>
      <c r="L422" s="20">
        <f>IF(A422="","",IF(COUNTIFS(Pedidos!$C:$C,A422,Pedidos!$B:$B,"&lt;="&amp;EOMONTH(Parametros!$B$2,0))=0,"",_xlfn.MAXIFS(Pedidos!$B:$B,Pedidos!$C:$C,A422,Pedidos!$B:$B,"&lt;="&amp;EOMONTH(Parametros!$B$2,0))))</f>
        <v/>
      </c>
      <c r="M422" s="20">
        <f>IF(OR(L422="",F422=""),"",EDATE(L422,F422))</f>
        <v/>
      </c>
      <c r="N422" s="21">
        <f>IF(A422="","",IF(L422="","Sem histórico",IF(AND(L422&gt;=Parametros!$B$2,L422&lt;=EOMONTH(Parametros!$B$2,0)),"Comprou no mês",IF(M422="","Sem periodicidade",IF(M422&lt;Parametros!$B$2,"Atrasado",IF(M422&lt;=EOMONTH(Parametros!$B$2,0),"Previsto no mês","Em dia"))))))</f>
        <v/>
      </c>
    </row>
    <row r="423">
      <c r="I423" s="18">
        <f>IF(A423="","",COUNTIFS(Pedidos!$C:$C,A423,Pedidos!$K:$K,Parametros!$B$3))</f>
        <v/>
      </c>
      <c r="J423" s="19">
        <f>IF(A423="","",SUMIFS(Pedidos!$E:$E,Pedidos!$C:$C,A423,Pedidos!$K:$K,Parametros!$B$3))</f>
        <v/>
      </c>
      <c r="K423" s="18">
        <f>IF(A423="","",COUNTIFS(Pedidos!$C:$C,A423,Pedidos!$K:$K,Parametros!$B$4))</f>
        <v/>
      </c>
      <c r="L423" s="20">
        <f>IF(A423="","",IF(COUNTIFS(Pedidos!$C:$C,A423,Pedidos!$B:$B,"&lt;="&amp;EOMONTH(Parametros!$B$2,0))=0,"",_xlfn.MAXIFS(Pedidos!$B:$B,Pedidos!$C:$C,A423,Pedidos!$B:$B,"&lt;="&amp;EOMONTH(Parametros!$B$2,0))))</f>
        <v/>
      </c>
      <c r="M423" s="20">
        <f>IF(OR(L423="",F423=""),"",EDATE(L423,F423))</f>
        <v/>
      </c>
      <c r="N423" s="21">
        <f>IF(A423="","",IF(L423="","Sem histórico",IF(AND(L423&gt;=Parametros!$B$2,L423&lt;=EOMONTH(Parametros!$B$2,0)),"Comprou no mês",IF(M423="","Sem periodicidade",IF(M423&lt;Parametros!$B$2,"Atrasado",IF(M423&lt;=EOMONTH(Parametros!$B$2,0),"Previsto no mês","Em dia"))))))</f>
        <v/>
      </c>
    </row>
    <row r="424">
      <c r="I424" s="18">
        <f>IF(A424="","",COUNTIFS(Pedidos!$C:$C,A424,Pedidos!$K:$K,Parametros!$B$3))</f>
        <v/>
      </c>
      <c r="J424" s="19">
        <f>IF(A424="","",SUMIFS(Pedidos!$E:$E,Pedidos!$C:$C,A424,Pedidos!$K:$K,Parametros!$B$3))</f>
        <v/>
      </c>
      <c r="K424" s="18">
        <f>IF(A424="","",COUNTIFS(Pedidos!$C:$C,A424,Pedidos!$K:$K,Parametros!$B$4))</f>
        <v/>
      </c>
      <c r="L424" s="20">
        <f>IF(A424="","",IF(COUNTIFS(Pedidos!$C:$C,A424,Pedidos!$B:$B,"&lt;="&amp;EOMONTH(Parametros!$B$2,0))=0,"",_xlfn.MAXIFS(Pedidos!$B:$B,Pedidos!$C:$C,A424,Pedidos!$B:$B,"&lt;="&amp;EOMONTH(Parametros!$B$2,0))))</f>
        <v/>
      </c>
      <c r="M424" s="20">
        <f>IF(OR(L424="",F424=""),"",EDATE(L424,F424))</f>
        <v/>
      </c>
      <c r="N424" s="21">
        <f>IF(A424="","",IF(L424="","Sem histórico",IF(AND(L424&gt;=Parametros!$B$2,L424&lt;=EOMONTH(Parametros!$B$2,0)),"Comprou no mês",IF(M424="","Sem periodicidade",IF(M424&lt;Parametros!$B$2,"Atrasado",IF(M424&lt;=EOMONTH(Parametros!$B$2,0),"Previsto no mês","Em dia"))))))</f>
        <v/>
      </c>
    </row>
    <row r="425">
      <c r="I425" s="18">
        <f>IF(A425="","",COUNTIFS(Pedidos!$C:$C,A425,Pedidos!$K:$K,Parametros!$B$3))</f>
        <v/>
      </c>
      <c r="J425" s="19">
        <f>IF(A425="","",SUMIFS(Pedidos!$E:$E,Pedidos!$C:$C,A425,Pedidos!$K:$K,Parametros!$B$3))</f>
        <v/>
      </c>
      <c r="K425" s="18">
        <f>IF(A425="","",COUNTIFS(Pedidos!$C:$C,A425,Pedidos!$K:$K,Parametros!$B$4))</f>
        <v/>
      </c>
      <c r="L425" s="20">
        <f>IF(A425="","",IF(COUNTIFS(Pedidos!$C:$C,A425,Pedidos!$B:$B,"&lt;="&amp;EOMONTH(Parametros!$B$2,0))=0,"",_xlfn.MAXIFS(Pedidos!$B:$B,Pedidos!$C:$C,A425,Pedidos!$B:$B,"&lt;="&amp;EOMONTH(Parametros!$B$2,0))))</f>
        <v/>
      </c>
      <c r="M425" s="20">
        <f>IF(OR(L425="",F425=""),"",EDATE(L425,F425))</f>
        <v/>
      </c>
      <c r="N425" s="21">
        <f>IF(A425="","",IF(L425="","Sem histórico",IF(AND(L425&gt;=Parametros!$B$2,L425&lt;=EOMONTH(Parametros!$B$2,0)),"Comprou no mês",IF(M425="","Sem periodicidade",IF(M425&lt;Parametros!$B$2,"Atrasado",IF(M425&lt;=EOMONTH(Parametros!$B$2,0),"Previsto no mês","Em dia"))))))</f>
        <v/>
      </c>
    </row>
    <row r="426">
      <c r="I426" s="18">
        <f>IF(A426="","",COUNTIFS(Pedidos!$C:$C,A426,Pedidos!$K:$K,Parametros!$B$3))</f>
        <v/>
      </c>
      <c r="J426" s="19">
        <f>IF(A426="","",SUMIFS(Pedidos!$E:$E,Pedidos!$C:$C,A426,Pedidos!$K:$K,Parametros!$B$3))</f>
        <v/>
      </c>
      <c r="K426" s="18">
        <f>IF(A426="","",COUNTIFS(Pedidos!$C:$C,A426,Pedidos!$K:$K,Parametros!$B$4))</f>
        <v/>
      </c>
      <c r="L426" s="20">
        <f>IF(A426="","",IF(COUNTIFS(Pedidos!$C:$C,A426,Pedidos!$B:$B,"&lt;="&amp;EOMONTH(Parametros!$B$2,0))=0,"",_xlfn.MAXIFS(Pedidos!$B:$B,Pedidos!$C:$C,A426,Pedidos!$B:$B,"&lt;="&amp;EOMONTH(Parametros!$B$2,0))))</f>
        <v/>
      </c>
      <c r="M426" s="20">
        <f>IF(OR(L426="",F426=""),"",EDATE(L426,F426))</f>
        <v/>
      </c>
      <c r="N426" s="21">
        <f>IF(A426="","",IF(L426="","Sem histórico",IF(AND(L426&gt;=Parametros!$B$2,L426&lt;=EOMONTH(Parametros!$B$2,0)),"Comprou no mês",IF(M426="","Sem periodicidade",IF(M426&lt;Parametros!$B$2,"Atrasado",IF(M426&lt;=EOMONTH(Parametros!$B$2,0),"Previsto no mês","Em dia"))))))</f>
        <v/>
      </c>
    </row>
    <row r="427">
      <c r="I427" s="18">
        <f>IF(A427="","",COUNTIFS(Pedidos!$C:$C,A427,Pedidos!$K:$K,Parametros!$B$3))</f>
        <v/>
      </c>
      <c r="J427" s="19">
        <f>IF(A427="","",SUMIFS(Pedidos!$E:$E,Pedidos!$C:$C,A427,Pedidos!$K:$K,Parametros!$B$3))</f>
        <v/>
      </c>
      <c r="K427" s="18">
        <f>IF(A427="","",COUNTIFS(Pedidos!$C:$C,A427,Pedidos!$K:$K,Parametros!$B$4))</f>
        <v/>
      </c>
      <c r="L427" s="20">
        <f>IF(A427="","",IF(COUNTIFS(Pedidos!$C:$C,A427,Pedidos!$B:$B,"&lt;="&amp;EOMONTH(Parametros!$B$2,0))=0,"",_xlfn.MAXIFS(Pedidos!$B:$B,Pedidos!$C:$C,A427,Pedidos!$B:$B,"&lt;="&amp;EOMONTH(Parametros!$B$2,0))))</f>
        <v/>
      </c>
      <c r="M427" s="20">
        <f>IF(OR(L427="",F427=""),"",EDATE(L427,F427))</f>
        <v/>
      </c>
      <c r="N427" s="21">
        <f>IF(A427="","",IF(L427="","Sem histórico",IF(AND(L427&gt;=Parametros!$B$2,L427&lt;=EOMONTH(Parametros!$B$2,0)),"Comprou no mês",IF(M427="","Sem periodicidade",IF(M427&lt;Parametros!$B$2,"Atrasado",IF(M427&lt;=EOMONTH(Parametros!$B$2,0),"Previsto no mês","Em dia"))))))</f>
        <v/>
      </c>
    </row>
    <row r="428">
      <c r="I428" s="18">
        <f>IF(A428="","",COUNTIFS(Pedidos!$C:$C,A428,Pedidos!$K:$K,Parametros!$B$3))</f>
        <v/>
      </c>
      <c r="J428" s="19">
        <f>IF(A428="","",SUMIFS(Pedidos!$E:$E,Pedidos!$C:$C,A428,Pedidos!$K:$K,Parametros!$B$3))</f>
        <v/>
      </c>
      <c r="K428" s="18">
        <f>IF(A428="","",COUNTIFS(Pedidos!$C:$C,A428,Pedidos!$K:$K,Parametros!$B$4))</f>
        <v/>
      </c>
      <c r="L428" s="20">
        <f>IF(A428="","",IF(COUNTIFS(Pedidos!$C:$C,A428,Pedidos!$B:$B,"&lt;="&amp;EOMONTH(Parametros!$B$2,0))=0,"",_xlfn.MAXIFS(Pedidos!$B:$B,Pedidos!$C:$C,A428,Pedidos!$B:$B,"&lt;="&amp;EOMONTH(Parametros!$B$2,0))))</f>
        <v/>
      </c>
      <c r="M428" s="20">
        <f>IF(OR(L428="",F428=""),"",EDATE(L428,F428))</f>
        <v/>
      </c>
      <c r="N428" s="21">
        <f>IF(A428="","",IF(L428="","Sem histórico",IF(AND(L428&gt;=Parametros!$B$2,L428&lt;=EOMONTH(Parametros!$B$2,0)),"Comprou no mês",IF(M428="","Sem periodicidade",IF(M428&lt;Parametros!$B$2,"Atrasado",IF(M428&lt;=EOMONTH(Parametros!$B$2,0),"Previsto no mês","Em dia"))))))</f>
        <v/>
      </c>
    </row>
    <row r="429">
      <c r="I429" s="18">
        <f>IF(A429="","",COUNTIFS(Pedidos!$C:$C,A429,Pedidos!$K:$K,Parametros!$B$3))</f>
        <v/>
      </c>
      <c r="J429" s="19">
        <f>IF(A429="","",SUMIFS(Pedidos!$E:$E,Pedidos!$C:$C,A429,Pedidos!$K:$K,Parametros!$B$3))</f>
        <v/>
      </c>
      <c r="K429" s="18">
        <f>IF(A429="","",COUNTIFS(Pedidos!$C:$C,A429,Pedidos!$K:$K,Parametros!$B$4))</f>
        <v/>
      </c>
      <c r="L429" s="20">
        <f>IF(A429="","",IF(COUNTIFS(Pedidos!$C:$C,A429,Pedidos!$B:$B,"&lt;="&amp;EOMONTH(Parametros!$B$2,0))=0,"",_xlfn.MAXIFS(Pedidos!$B:$B,Pedidos!$C:$C,A429,Pedidos!$B:$B,"&lt;="&amp;EOMONTH(Parametros!$B$2,0))))</f>
        <v/>
      </c>
      <c r="M429" s="20">
        <f>IF(OR(L429="",F429=""),"",EDATE(L429,F429))</f>
        <v/>
      </c>
      <c r="N429" s="21">
        <f>IF(A429="","",IF(L429="","Sem histórico",IF(AND(L429&gt;=Parametros!$B$2,L429&lt;=EOMONTH(Parametros!$B$2,0)),"Comprou no mês",IF(M429="","Sem periodicidade",IF(M429&lt;Parametros!$B$2,"Atrasado",IF(M429&lt;=EOMONTH(Parametros!$B$2,0),"Previsto no mês","Em dia"))))))</f>
        <v/>
      </c>
    </row>
    <row r="430">
      <c r="I430" s="18">
        <f>IF(A430="","",COUNTIFS(Pedidos!$C:$C,A430,Pedidos!$K:$K,Parametros!$B$3))</f>
        <v/>
      </c>
      <c r="J430" s="19">
        <f>IF(A430="","",SUMIFS(Pedidos!$E:$E,Pedidos!$C:$C,A430,Pedidos!$K:$K,Parametros!$B$3))</f>
        <v/>
      </c>
      <c r="K430" s="18">
        <f>IF(A430="","",COUNTIFS(Pedidos!$C:$C,A430,Pedidos!$K:$K,Parametros!$B$4))</f>
        <v/>
      </c>
      <c r="L430" s="20">
        <f>IF(A430="","",IF(COUNTIFS(Pedidos!$C:$C,A430,Pedidos!$B:$B,"&lt;="&amp;EOMONTH(Parametros!$B$2,0))=0,"",_xlfn.MAXIFS(Pedidos!$B:$B,Pedidos!$C:$C,A430,Pedidos!$B:$B,"&lt;="&amp;EOMONTH(Parametros!$B$2,0))))</f>
        <v/>
      </c>
      <c r="M430" s="20">
        <f>IF(OR(L430="",F430=""),"",EDATE(L430,F430))</f>
        <v/>
      </c>
      <c r="N430" s="21">
        <f>IF(A430="","",IF(L430="","Sem histórico",IF(AND(L430&gt;=Parametros!$B$2,L430&lt;=EOMONTH(Parametros!$B$2,0)),"Comprou no mês",IF(M430="","Sem periodicidade",IF(M430&lt;Parametros!$B$2,"Atrasado",IF(M430&lt;=EOMONTH(Parametros!$B$2,0),"Previsto no mês","Em dia"))))))</f>
        <v/>
      </c>
    </row>
    <row r="431">
      <c r="I431" s="18">
        <f>IF(A431="","",COUNTIFS(Pedidos!$C:$C,A431,Pedidos!$K:$K,Parametros!$B$3))</f>
        <v/>
      </c>
      <c r="J431" s="19">
        <f>IF(A431="","",SUMIFS(Pedidos!$E:$E,Pedidos!$C:$C,A431,Pedidos!$K:$K,Parametros!$B$3))</f>
        <v/>
      </c>
      <c r="K431" s="18">
        <f>IF(A431="","",COUNTIFS(Pedidos!$C:$C,A431,Pedidos!$K:$K,Parametros!$B$4))</f>
        <v/>
      </c>
      <c r="L431" s="20">
        <f>IF(A431="","",IF(COUNTIFS(Pedidos!$C:$C,A431,Pedidos!$B:$B,"&lt;="&amp;EOMONTH(Parametros!$B$2,0))=0,"",_xlfn.MAXIFS(Pedidos!$B:$B,Pedidos!$C:$C,A431,Pedidos!$B:$B,"&lt;="&amp;EOMONTH(Parametros!$B$2,0))))</f>
        <v/>
      </c>
      <c r="M431" s="20">
        <f>IF(OR(L431="",F431=""),"",EDATE(L431,F431))</f>
        <v/>
      </c>
      <c r="N431" s="21">
        <f>IF(A431="","",IF(L431="","Sem histórico",IF(AND(L431&gt;=Parametros!$B$2,L431&lt;=EOMONTH(Parametros!$B$2,0)),"Comprou no mês",IF(M431="","Sem periodicidade",IF(M431&lt;Parametros!$B$2,"Atrasado",IF(M431&lt;=EOMONTH(Parametros!$B$2,0),"Previsto no mês","Em dia"))))))</f>
        <v/>
      </c>
    </row>
    <row r="432">
      <c r="I432" s="18">
        <f>IF(A432="","",COUNTIFS(Pedidos!$C:$C,A432,Pedidos!$K:$K,Parametros!$B$3))</f>
        <v/>
      </c>
      <c r="J432" s="19">
        <f>IF(A432="","",SUMIFS(Pedidos!$E:$E,Pedidos!$C:$C,A432,Pedidos!$K:$K,Parametros!$B$3))</f>
        <v/>
      </c>
      <c r="K432" s="18">
        <f>IF(A432="","",COUNTIFS(Pedidos!$C:$C,A432,Pedidos!$K:$K,Parametros!$B$4))</f>
        <v/>
      </c>
      <c r="L432" s="20">
        <f>IF(A432="","",IF(COUNTIFS(Pedidos!$C:$C,A432,Pedidos!$B:$B,"&lt;="&amp;EOMONTH(Parametros!$B$2,0))=0,"",_xlfn.MAXIFS(Pedidos!$B:$B,Pedidos!$C:$C,A432,Pedidos!$B:$B,"&lt;="&amp;EOMONTH(Parametros!$B$2,0))))</f>
        <v/>
      </c>
      <c r="M432" s="20">
        <f>IF(OR(L432="",F432=""),"",EDATE(L432,F432))</f>
        <v/>
      </c>
      <c r="N432" s="21">
        <f>IF(A432="","",IF(L432="","Sem histórico",IF(AND(L432&gt;=Parametros!$B$2,L432&lt;=EOMONTH(Parametros!$B$2,0)),"Comprou no mês",IF(M432="","Sem periodicidade",IF(M432&lt;Parametros!$B$2,"Atrasado",IF(M432&lt;=EOMONTH(Parametros!$B$2,0),"Previsto no mês","Em dia"))))))</f>
        <v/>
      </c>
    </row>
    <row r="433">
      <c r="I433" s="18">
        <f>IF(A433="","",COUNTIFS(Pedidos!$C:$C,A433,Pedidos!$K:$K,Parametros!$B$3))</f>
        <v/>
      </c>
      <c r="J433" s="19">
        <f>IF(A433="","",SUMIFS(Pedidos!$E:$E,Pedidos!$C:$C,A433,Pedidos!$K:$K,Parametros!$B$3))</f>
        <v/>
      </c>
      <c r="K433" s="18">
        <f>IF(A433="","",COUNTIFS(Pedidos!$C:$C,A433,Pedidos!$K:$K,Parametros!$B$4))</f>
        <v/>
      </c>
      <c r="L433" s="20">
        <f>IF(A433="","",IF(COUNTIFS(Pedidos!$C:$C,A433,Pedidos!$B:$B,"&lt;="&amp;EOMONTH(Parametros!$B$2,0))=0,"",_xlfn.MAXIFS(Pedidos!$B:$B,Pedidos!$C:$C,A433,Pedidos!$B:$B,"&lt;="&amp;EOMONTH(Parametros!$B$2,0))))</f>
        <v/>
      </c>
      <c r="M433" s="20">
        <f>IF(OR(L433="",F433=""),"",EDATE(L433,F433))</f>
        <v/>
      </c>
      <c r="N433" s="21">
        <f>IF(A433="","",IF(L433="","Sem histórico",IF(AND(L433&gt;=Parametros!$B$2,L433&lt;=EOMONTH(Parametros!$B$2,0)),"Comprou no mês",IF(M433="","Sem periodicidade",IF(M433&lt;Parametros!$B$2,"Atrasado",IF(M433&lt;=EOMONTH(Parametros!$B$2,0),"Previsto no mês","Em dia"))))))</f>
        <v/>
      </c>
    </row>
    <row r="434">
      <c r="I434" s="18">
        <f>IF(A434="","",COUNTIFS(Pedidos!$C:$C,A434,Pedidos!$K:$K,Parametros!$B$3))</f>
        <v/>
      </c>
      <c r="J434" s="19">
        <f>IF(A434="","",SUMIFS(Pedidos!$E:$E,Pedidos!$C:$C,A434,Pedidos!$K:$K,Parametros!$B$3))</f>
        <v/>
      </c>
      <c r="K434" s="18">
        <f>IF(A434="","",COUNTIFS(Pedidos!$C:$C,A434,Pedidos!$K:$K,Parametros!$B$4))</f>
        <v/>
      </c>
      <c r="L434" s="20">
        <f>IF(A434="","",IF(COUNTIFS(Pedidos!$C:$C,A434,Pedidos!$B:$B,"&lt;="&amp;EOMONTH(Parametros!$B$2,0))=0,"",_xlfn.MAXIFS(Pedidos!$B:$B,Pedidos!$C:$C,A434,Pedidos!$B:$B,"&lt;="&amp;EOMONTH(Parametros!$B$2,0))))</f>
        <v/>
      </c>
      <c r="M434" s="20">
        <f>IF(OR(L434="",F434=""),"",EDATE(L434,F434))</f>
        <v/>
      </c>
      <c r="N434" s="21">
        <f>IF(A434="","",IF(L434="","Sem histórico",IF(AND(L434&gt;=Parametros!$B$2,L434&lt;=EOMONTH(Parametros!$B$2,0)),"Comprou no mês",IF(M434="","Sem periodicidade",IF(M434&lt;Parametros!$B$2,"Atrasado",IF(M434&lt;=EOMONTH(Parametros!$B$2,0),"Previsto no mês","Em dia"))))))</f>
        <v/>
      </c>
    </row>
    <row r="435">
      <c r="I435" s="18">
        <f>IF(A435="","",COUNTIFS(Pedidos!$C:$C,A435,Pedidos!$K:$K,Parametros!$B$3))</f>
        <v/>
      </c>
      <c r="J435" s="19">
        <f>IF(A435="","",SUMIFS(Pedidos!$E:$E,Pedidos!$C:$C,A435,Pedidos!$K:$K,Parametros!$B$3))</f>
        <v/>
      </c>
      <c r="K435" s="18">
        <f>IF(A435="","",COUNTIFS(Pedidos!$C:$C,A435,Pedidos!$K:$K,Parametros!$B$4))</f>
        <v/>
      </c>
      <c r="L435" s="20">
        <f>IF(A435="","",IF(COUNTIFS(Pedidos!$C:$C,A435,Pedidos!$B:$B,"&lt;="&amp;EOMONTH(Parametros!$B$2,0))=0,"",_xlfn.MAXIFS(Pedidos!$B:$B,Pedidos!$C:$C,A435,Pedidos!$B:$B,"&lt;="&amp;EOMONTH(Parametros!$B$2,0))))</f>
        <v/>
      </c>
      <c r="M435" s="20">
        <f>IF(OR(L435="",F435=""),"",EDATE(L435,F435))</f>
        <v/>
      </c>
      <c r="N435" s="21">
        <f>IF(A435="","",IF(L435="","Sem histórico",IF(AND(L435&gt;=Parametros!$B$2,L435&lt;=EOMONTH(Parametros!$B$2,0)),"Comprou no mês",IF(M435="","Sem periodicidade",IF(M435&lt;Parametros!$B$2,"Atrasado",IF(M435&lt;=EOMONTH(Parametros!$B$2,0),"Previsto no mês","Em dia"))))))</f>
        <v/>
      </c>
    </row>
    <row r="436">
      <c r="I436" s="18">
        <f>IF(A436="","",COUNTIFS(Pedidos!$C:$C,A436,Pedidos!$K:$K,Parametros!$B$3))</f>
        <v/>
      </c>
      <c r="J436" s="19">
        <f>IF(A436="","",SUMIFS(Pedidos!$E:$E,Pedidos!$C:$C,A436,Pedidos!$K:$K,Parametros!$B$3))</f>
        <v/>
      </c>
      <c r="K436" s="18">
        <f>IF(A436="","",COUNTIFS(Pedidos!$C:$C,A436,Pedidos!$K:$K,Parametros!$B$4))</f>
        <v/>
      </c>
      <c r="L436" s="20">
        <f>IF(A436="","",IF(COUNTIFS(Pedidos!$C:$C,A436,Pedidos!$B:$B,"&lt;="&amp;EOMONTH(Parametros!$B$2,0))=0,"",_xlfn.MAXIFS(Pedidos!$B:$B,Pedidos!$C:$C,A436,Pedidos!$B:$B,"&lt;="&amp;EOMONTH(Parametros!$B$2,0))))</f>
        <v/>
      </c>
      <c r="M436" s="20">
        <f>IF(OR(L436="",F436=""),"",EDATE(L436,F436))</f>
        <v/>
      </c>
      <c r="N436" s="21">
        <f>IF(A436="","",IF(L436="","Sem histórico",IF(AND(L436&gt;=Parametros!$B$2,L436&lt;=EOMONTH(Parametros!$B$2,0)),"Comprou no mês",IF(M436="","Sem periodicidade",IF(M436&lt;Parametros!$B$2,"Atrasado",IF(M436&lt;=EOMONTH(Parametros!$B$2,0),"Previsto no mês","Em dia"))))))</f>
        <v/>
      </c>
    </row>
    <row r="437">
      <c r="I437" s="18">
        <f>IF(A437="","",COUNTIFS(Pedidos!$C:$C,A437,Pedidos!$K:$K,Parametros!$B$3))</f>
        <v/>
      </c>
      <c r="J437" s="19">
        <f>IF(A437="","",SUMIFS(Pedidos!$E:$E,Pedidos!$C:$C,A437,Pedidos!$K:$K,Parametros!$B$3))</f>
        <v/>
      </c>
      <c r="K437" s="18">
        <f>IF(A437="","",COUNTIFS(Pedidos!$C:$C,A437,Pedidos!$K:$K,Parametros!$B$4))</f>
        <v/>
      </c>
      <c r="L437" s="20">
        <f>IF(A437="","",IF(COUNTIFS(Pedidos!$C:$C,A437,Pedidos!$B:$B,"&lt;="&amp;EOMONTH(Parametros!$B$2,0))=0,"",_xlfn.MAXIFS(Pedidos!$B:$B,Pedidos!$C:$C,A437,Pedidos!$B:$B,"&lt;="&amp;EOMONTH(Parametros!$B$2,0))))</f>
        <v/>
      </c>
      <c r="M437" s="20">
        <f>IF(OR(L437="",F437=""),"",EDATE(L437,F437))</f>
        <v/>
      </c>
      <c r="N437" s="21">
        <f>IF(A437="","",IF(L437="","Sem histórico",IF(AND(L437&gt;=Parametros!$B$2,L437&lt;=EOMONTH(Parametros!$B$2,0)),"Comprou no mês",IF(M437="","Sem periodicidade",IF(M437&lt;Parametros!$B$2,"Atrasado",IF(M437&lt;=EOMONTH(Parametros!$B$2,0),"Previsto no mês","Em dia"))))))</f>
        <v/>
      </c>
    </row>
    <row r="438">
      <c r="I438" s="18">
        <f>IF(A438="","",COUNTIFS(Pedidos!$C:$C,A438,Pedidos!$K:$K,Parametros!$B$3))</f>
        <v/>
      </c>
      <c r="J438" s="19">
        <f>IF(A438="","",SUMIFS(Pedidos!$E:$E,Pedidos!$C:$C,A438,Pedidos!$K:$K,Parametros!$B$3))</f>
        <v/>
      </c>
      <c r="K438" s="18">
        <f>IF(A438="","",COUNTIFS(Pedidos!$C:$C,A438,Pedidos!$K:$K,Parametros!$B$4))</f>
        <v/>
      </c>
      <c r="L438" s="20">
        <f>IF(A438="","",IF(COUNTIFS(Pedidos!$C:$C,A438,Pedidos!$B:$B,"&lt;="&amp;EOMONTH(Parametros!$B$2,0))=0,"",_xlfn.MAXIFS(Pedidos!$B:$B,Pedidos!$C:$C,A438,Pedidos!$B:$B,"&lt;="&amp;EOMONTH(Parametros!$B$2,0))))</f>
        <v/>
      </c>
      <c r="M438" s="20">
        <f>IF(OR(L438="",F438=""),"",EDATE(L438,F438))</f>
        <v/>
      </c>
      <c r="N438" s="21">
        <f>IF(A438="","",IF(L438="","Sem histórico",IF(AND(L438&gt;=Parametros!$B$2,L438&lt;=EOMONTH(Parametros!$B$2,0)),"Comprou no mês",IF(M438="","Sem periodicidade",IF(M438&lt;Parametros!$B$2,"Atrasado",IF(M438&lt;=EOMONTH(Parametros!$B$2,0),"Previsto no mês","Em dia"))))))</f>
        <v/>
      </c>
    </row>
    <row r="439">
      <c r="I439" s="18">
        <f>IF(A439="","",COUNTIFS(Pedidos!$C:$C,A439,Pedidos!$K:$K,Parametros!$B$3))</f>
        <v/>
      </c>
      <c r="J439" s="19">
        <f>IF(A439="","",SUMIFS(Pedidos!$E:$E,Pedidos!$C:$C,A439,Pedidos!$K:$K,Parametros!$B$3))</f>
        <v/>
      </c>
      <c r="K439" s="18">
        <f>IF(A439="","",COUNTIFS(Pedidos!$C:$C,A439,Pedidos!$K:$K,Parametros!$B$4))</f>
        <v/>
      </c>
      <c r="L439" s="20">
        <f>IF(A439="","",IF(COUNTIFS(Pedidos!$C:$C,A439,Pedidos!$B:$B,"&lt;="&amp;EOMONTH(Parametros!$B$2,0))=0,"",_xlfn.MAXIFS(Pedidos!$B:$B,Pedidos!$C:$C,A439,Pedidos!$B:$B,"&lt;="&amp;EOMONTH(Parametros!$B$2,0))))</f>
        <v/>
      </c>
      <c r="M439" s="20">
        <f>IF(OR(L439="",F439=""),"",EDATE(L439,F439))</f>
        <v/>
      </c>
      <c r="N439" s="21">
        <f>IF(A439="","",IF(L439="","Sem histórico",IF(AND(L439&gt;=Parametros!$B$2,L439&lt;=EOMONTH(Parametros!$B$2,0)),"Comprou no mês",IF(M439="","Sem periodicidade",IF(M439&lt;Parametros!$B$2,"Atrasado",IF(M439&lt;=EOMONTH(Parametros!$B$2,0),"Previsto no mês","Em dia"))))))</f>
        <v/>
      </c>
    </row>
    <row r="440">
      <c r="I440" s="18">
        <f>IF(A440="","",COUNTIFS(Pedidos!$C:$C,A440,Pedidos!$K:$K,Parametros!$B$3))</f>
        <v/>
      </c>
      <c r="J440" s="19">
        <f>IF(A440="","",SUMIFS(Pedidos!$E:$E,Pedidos!$C:$C,A440,Pedidos!$K:$K,Parametros!$B$3))</f>
        <v/>
      </c>
      <c r="K440" s="18">
        <f>IF(A440="","",COUNTIFS(Pedidos!$C:$C,A440,Pedidos!$K:$K,Parametros!$B$4))</f>
        <v/>
      </c>
      <c r="L440" s="20">
        <f>IF(A440="","",IF(COUNTIFS(Pedidos!$C:$C,A440,Pedidos!$B:$B,"&lt;="&amp;EOMONTH(Parametros!$B$2,0))=0,"",_xlfn.MAXIFS(Pedidos!$B:$B,Pedidos!$C:$C,A440,Pedidos!$B:$B,"&lt;="&amp;EOMONTH(Parametros!$B$2,0))))</f>
        <v/>
      </c>
      <c r="M440" s="20">
        <f>IF(OR(L440="",F440=""),"",EDATE(L440,F440))</f>
        <v/>
      </c>
      <c r="N440" s="21">
        <f>IF(A440="","",IF(L440="","Sem histórico",IF(AND(L440&gt;=Parametros!$B$2,L440&lt;=EOMONTH(Parametros!$B$2,0)),"Comprou no mês",IF(M440="","Sem periodicidade",IF(M440&lt;Parametros!$B$2,"Atrasado",IF(M440&lt;=EOMONTH(Parametros!$B$2,0),"Previsto no mês","Em dia"))))))</f>
        <v/>
      </c>
    </row>
    <row r="441">
      <c r="I441" s="18">
        <f>IF(A441="","",COUNTIFS(Pedidos!$C:$C,A441,Pedidos!$K:$K,Parametros!$B$3))</f>
        <v/>
      </c>
      <c r="J441" s="19">
        <f>IF(A441="","",SUMIFS(Pedidos!$E:$E,Pedidos!$C:$C,A441,Pedidos!$K:$K,Parametros!$B$3))</f>
        <v/>
      </c>
      <c r="K441" s="18">
        <f>IF(A441="","",COUNTIFS(Pedidos!$C:$C,A441,Pedidos!$K:$K,Parametros!$B$4))</f>
        <v/>
      </c>
      <c r="L441" s="20">
        <f>IF(A441="","",IF(COUNTIFS(Pedidos!$C:$C,A441,Pedidos!$B:$B,"&lt;="&amp;EOMONTH(Parametros!$B$2,0))=0,"",_xlfn.MAXIFS(Pedidos!$B:$B,Pedidos!$C:$C,A441,Pedidos!$B:$B,"&lt;="&amp;EOMONTH(Parametros!$B$2,0))))</f>
        <v/>
      </c>
      <c r="M441" s="20">
        <f>IF(OR(L441="",F441=""),"",EDATE(L441,F441))</f>
        <v/>
      </c>
      <c r="N441" s="21">
        <f>IF(A441="","",IF(L441="","Sem histórico",IF(AND(L441&gt;=Parametros!$B$2,L441&lt;=EOMONTH(Parametros!$B$2,0)),"Comprou no mês",IF(M441="","Sem periodicidade",IF(M441&lt;Parametros!$B$2,"Atrasado",IF(M441&lt;=EOMONTH(Parametros!$B$2,0),"Previsto no mês","Em dia"))))))</f>
        <v/>
      </c>
    </row>
    <row r="442">
      <c r="I442" s="18">
        <f>IF(A442="","",COUNTIFS(Pedidos!$C:$C,A442,Pedidos!$K:$K,Parametros!$B$3))</f>
        <v/>
      </c>
      <c r="J442" s="19">
        <f>IF(A442="","",SUMIFS(Pedidos!$E:$E,Pedidos!$C:$C,A442,Pedidos!$K:$K,Parametros!$B$3))</f>
        <v/>
      </c>
      <c r="K442" s="18">
        <f>IF(A442="","",COUNTIFS(Pedidos!$C:$C,A442,Pedidos!$K:$K,Parametros!$B$4))</f>
        <v/>
      </c>
      <c r="L442" s="20">
        <f>IF(A442="","",IF(COUNTIFS(Pedidos!$C:$C,A442,Pedidos!$B:$B,"&lt;="&amp;EOMONTH(Parametros!$B$2,0))=0,"",_xlfn.MAXIFS(Pedidos!$B:$B,Pedidos!$C:$C,A442,Pedidos!$B:$B,"&lt;="&amp;EOMONTH(Parametros!$B$2,0))))</f>
        <v/>
      </c>
      <c r="M442" s="20">
        <f>IF(OR(L442="",F442=""),"",EDATE(L442,F442))</f>
        <v/>
      </c>
      <c r="N442" s="21">
        <f>IF(A442="","",IF(L442="","Sem histórico",IF(AND(L442&gt;=Parametros!$B$2,L442&lt;=EOMONTH(Parametros!$B$2,0)),"Comprou no mês",IF(M442="","Sem periodicidade",IF(M442&lt;Parametros!$B$2,"Atrasado",IF(M442&lt;=EOMONTH(Parametros!$B$2,0),"Previsto no mês","Em dia"))))))</f>
        <v/>
      </c>
    </row>
    <row r="443">
      <c r="I443" s="18">
        <f>IF(A443="","",COUNTIFS(Pedidos!$C:$C,A443,Pedidos!$K:$K,Parametros!$B$3))</f>
        <v/>
      </c>
      <c r="J443" s="19">
        <f>IF(A443="","",SUMIFS(Pedidos!$E:$E,Pedidos!$C:$C,A443,Pedidos!$K:$K,Parametros!$B$3))</f>
        <v/>
      </c>
      <c r="K443" s="18">
        <f>IF(A443="","",COUNTIFS(Pedidos!$C:$C,A443,Pedidos!$K:$K,Parametros!$B$4))</f>
        <v/>
      </c>
      <c r="L443" s="20">
        <f>IF(A443="","",IF(COUNTIFS(Pedidos!$C:$C,A443,Pedidos!$B:$B,"&lt;="&amp;EOMONTH(Parametros!$B$2,0))=0,"",_xlfn.MAXIFS(Pedidos!$B:$B,Pedidos!$C:$C,A443,Pedidos!$B:$B,"&lt;="&amp;EOMONTH(Parametros!$B$2,0))))</f>
        <v/>
      </c>
      <c r="M443" s="20">
        <f>IF(OR(L443="",F443=""),"",EDATE(L443,F443))</f>
        <v/>
      </c>
      <c r="N443" s="21">
        <f>IF(A443="","",IF(L443="","Sem histórico",IF(AND(L443&gt;=Parametros!$B$2,L443&lt;=EOMONTH(Parametros!$B$2,0)),"Comprou no mês",IF(M443="","Sem periodicidade",IF(M443&lt;Parametros!$B$2,"Atrasado",IF(M443&lt;=EOMONTH(Parametros!$B$2,0),"Previsto no mês","Em dia"))))))</f>
        <v/>
      </c>
    </row>
    <row r="444">
      <c r="I444" s="18">
        <f>IF(A444="","",COUNTIFS(Pedidos!$C:$C,A444,Pedidos!$K:$K,Parametros!$B$3))</f>
        <v/>
      </c>
      <c r="J444" s="19">
        <f>IF(A444="","",SUMIFS(Pedidos!$E:$E,Pedidos!$C:$C,A444,Pedidos!$K:$K,Parametros!$B$3))</f>
        <v/>
      </c>
      <c r="K444" s="18">
        <f>IF(A444="","",COUNTIFS(Pedidos!$C:$C,A444,Pedidos!$K:$K,Parametros!$B$4))</f>
        <v/>
      </c>
      <c r="L444" s="20">
        <f>IF(A444="","",IF(COUNTIFS(Pedidos!$C:$C,A444,Pedidos!$B:$B,"&lt;="&amp;EOMONTH(Parametros!$B$2,0))=0,"",_xlfn.MAXIFS(Pedidos!$B:$B,Pedidos!$C:$C,A444,Pedidos!$B:$B,"&lt;="&amp;EOMONTH(Parametros!$B$2,0))))</f>
        <v/>
      </c>
      <c r="M444" s="20">
        <f>IF(OR(L444="",F444=""),"",EDATE(L444,F444))</f>
        <v/>
      </c>
      <c r="N444" s="21">
        <f>IF(A444="","",IF(L444="","Sem histórico",IF(AND(L444&gt;=Parametros!$B$2,L444&lt;=EOMONTH(Parametros!$B$2,0)),"Comprou no mês",IF(M444="","Sem periodicidade",IF(M444&lt;Parametros!$B$2,"Atrasado",IF(M444&lt;=EOMONTH(Parametros!$B$2,0),"Previsto no mês","Em dia"))))))</f>
        <v/>
      </c>
    </row>
    <row r="445">
      <c r="I445" s="18">
        <f>IF(A445="","",COUNTIFS(Pedidos!$C:$C,A445,Pedidos!$K:$K,Parametros!$B$3))</f>
        <v/>
      </c>
      <c r="J445" s="19">
        <f>IF(A445="","",SUMIFS(Pedidos!$E:$E,Pedidos!$C:$C,A445,Pedidos!$K:$K,Parametros!$B$3))</f>
        <v/>
      </c>
      <c r="K445" s="18">
        <f>IF(A445="","",COUNTIFS(Pedidos!$C:$C,A445,Pedidos!$K:$K,Parametros!$B$4))</f>
        <v/>
      </c>
      <c r="L445" s="20">
        <f>IF(A445="","",IF(COUNTIFS(Pedidos!$C:$C,A445,Pedidos!$B:$B,"&lt;="&amp;EOMONTH(Parametros!$B$2,0))=0,"",_xlfn.MAXIFS(Pedidos!$B:$B,Pedidos!$C:$C,A445,Pedidos!$B:$B,"&lt;="&amp;EOMONTH(Parametros!$B$2,0))))</f>
        <v/>
      </c>
      <c r="M445" s="20">
        <f>IF(OR(L445="",F445=""),"",EDATE(L445,F445))</f>
        <v/>
      </c>
      <c r="N445" s="21">
        <f>IF(A445="","",IF(L445="","Sem histórico",IF(AND(L445&gt;=Parametros!$B$2,L445&lt;=EOMONTH(Parametros!$B$2,0)),"Comprou no mês",IF(M445="","Sem periodicidade",IF(M445&lt;Parametros!$B$2,"Atrasado",IF(M445&lt;=EOMONTH(Parametros!$B$2,0),"Previsto no mês","Em dia"))))))</f>
        <v/>
      </c>
    </row>
    <row r="446">
      <c r="I446" s="18">
        <f>IF(A446="","",COUNTIFS(Pedidos!$C:$C,A446,Pedidos!$K:$K,Parametros!$B$3))</f>
        <v/>
      </c>
      <c r="J446" s="19">
        <f>IF(A446="","",SUMIFS(Pedidos!$E:$E,Pedidos!$C:$C,A446,Pedidos!$K:$K,Parametros!$B$3))</f>
        <v/>
      </c>
      <c r="K446" s="18">
        <f>IF(A446="","",COUNTIFS(Pedidos!$C:$C,A446,Pedidos!$K:$K,Parametros!$B$4))</f>
        <v/>
      </c>
      <c r="L446" s="20">
        <f>IF(A446="","",IF(COUNTIFS(Pedidos!$C:$C,A446,Pedidos!$B:$B,"&lt;="&amp;EOMONTH(Parametros!$B$2,0))=0,"",_xlfn.MAXIFS(Pedidos!$B:$B,Pedidos!$C:$C,A446,Pedidos!$B:$B,"&lt;="&amp;EOMONTH(Parametros!$B$2,0))))</f>
        <v/>
      </c>
      <c r="M446" s="20">
        <f>IF(OR(L446="",F446=""),"",EDATE(L446,F446))</f>
        <v/>
      </c>
      <c r="N446" s="21">
        <f>IF(A446="","",IF(L446="","Sem histórico",IF(AND(L446&gt;=Parametros!$B$2,L446&lt;=EOMONTH(Parametros!$B$2,0)),"Comprou no mês",IF(M446="","Sem periodicidade",IF(M446&lt;Parametros!$B$2,"Atrasado",IF(M446&lt;=EOMONTH(Parametros!$B$2,0),"Previsto no mês","Em dia"))))))</f>
        <v/>
      </c>
    </row>
    <row r="447">
      <c r="I447" s="18">
        <f>IF(A447="","",COUNTIFS(Pedidos!$C:$C,A447,Pedidos!$K:$K,Parametros!$B$3))</f>
        <v/>
      </c>
      <c r="J447" s="19">
        <f>IF(A447="","",SUMIFS(Pedidos!$E:$E,Pedidos!$C:$C,A447,Pedidos!$K:$K,Parametros!$B$3))</f>
        <v/>
      </c>
      <c r="K447" s="18">
        <f>IF(A447="","",COUNTIFS(Pedidos!$C:$C,A447,Pedidos!$K:$K,Parametros!$B$4))</f>
        <v/>
      </c>
      <c r="L447" s="20">
        <f>IF(A447="","",IF(COUNTIFS(Pedidos!$C:$C,A447,Pedidos!$B:$B,"&lt;="&amp;EOMONTH(Parametros!$B$2,0))=0,"",_xlfn.MAXIFS(Pedidos!$B:$B,Pedidos!$C:$C,A447,Pedidos!$B:$B,"&lt;="&amp;EOMONTH(Parametros!$B$2,0))))</f>
        <v/>
      </c>
      <c r="M447" s="20">
        <f>IF(OR(L447="",F447=""),"",EDATE(L447,F447))</f>
        <v/>
      </c>
      <c r="N447" s="21">
        <f>IF(A447="","",IF(L447="","Sem histórico",IF(AND(L447&gt;=Parametros!$B$2,L447&lt;=EOMONTH(Parametros!$B$2,0)),"Comprou no mês",IF(M447="","Sem periodicidade",IF(M447&lt;Parametros!$B$2,"Atrasado",IF(M447&lt;=EOMONTH(Parametros!$B$2,0),"Previsto no mês","Em dia"))))))</f>
        <v/>
      </c>
    </row>
    <row r="448">
      <c r="I448" s="18">
        <f>IF(A448="","",COUNTIFS(Pedidos!$C:$C,A448,Pedidos!$K:$K,Parametros!$B$3))</f>
        <v/>
      </c>
      <c r="J448" s="19">
        <f>IF(A448="","",SUMIFS(Pedidos!$E:$E,Pedidos!$C:$C,A448,Pedidos!$K:$K,Parametros!$B$3))</f>
        <v/>
      </c>
      <c r="K448" s="18">
        <f>IF(A448="","",COUNTIFS(Pedidos!$C:$C,A448,Pedidos!$K:$K,Parametros!$B$4))</f>
        <v/>
      </c>
      <c r="L448" s="20">
        <f>IF(A448="","",IF(COUNTIFS(Pedidos!$C:$C,A448,Pedidos!$B:$B,"&lt;="&amp;EOMONTH(Parametros!$B$2,0))=0,"",_xlfn.MAXIFS(Pedidos!$B:$B,Pedidos!$C:$C,A448,Pedidos!$B:$B,"&lt;="&amp;EOMONTH(Parametros!$B$2,0))))</f>
        <v/>
      </c>
      <c r="M448" s="20">
        <f>IF(OR(L448="",F448=""),"",EDATE(L448,F448))</f>
        <v/>
      </c>
      <c r="N448" s="21">
        <f>IF(A448="","",IF(L448="","Sem histórico",IF(AND(L448&gt;=Parametros!$B$2,L448&lt;=EOMONTH(Parametros!$B$2,0)),"Comprou no mês",IF(M448="","Sem periodicidade",IF(M448&lt;Parametros!$B$2,"Atrasado",IF(M448&lt;=EOMONTH(Parametros!$B$2,0),"Previsto no mês","Em dia"))))))</f>
        <v/>
      </c>
    </row>
    <row r="449">
      <c r="I449" s="18">
        <f>IF(A449="","",COUNTIFS(Pedidos!$C:$C,A449,Pedidos!$K:$K,Parametros!$B$3))</f>
        <v/>
      </c>
      <c r="J449" s="19">
        <f>IF(A449="","",SUMIFS(Pedidos!$E:$E,Pedidos!$C:$C,A449,Pedidos!$K:$K,Parametros!$B$3))</f>
        <v/>
      </c>
      <c r="K449" s="18">
        <f>IF(A449="","",COUNTIFS(Pedidos!$C:$C,A449,Pedidos!$K:$K,Parametros!$B$4))</f>
        <v/>
      </c>
      <c r="L449" s="20">
        <f>IF(A449="","",IF(COUNTIFS(Pedidos!$C:$C,A449,Pedidos!$B:$B,"&lt;="&amp;EOMONTH(Parametros!$B$2,0))=0,"",_xlfn.MAXIFS(Pedidos!$B:$B,Pedidos!$C:$C,A449,Pedidos!$B:$B,"&lt;="&amp;EOMONTH(Parametros!$B$2,0))))</f>
        <v/>
      </c>
      <c r="M449" s="20">
        <f>IF(OR(L449="",F449=""),"",EDATE(L449,F449))</f>
        <v/>
      </c>
      <c r="N449" s="21">
        <f>IF(A449="","",IF(L449="","Sem histórico",IF(AND(L449&gt;=Parametros!$B$2,L449&lt;=EOMONTH(Parametros!$B$2,0)),"Comprou no mês",IF(M449="","Sem periodicidade",IF(M449&lt;Parametros!$B$2,"Atrasado",IF(M449&lt;=EOMONTH(Parametros!$B$2,0),"Previsto no mês","Em dia"))))))</f>
        <v/>
      </c>
    </row>
    <row r="450">
      <c r="I450" s="18">
        <f>IF(A450="","",COUNTIFS(Pedidos!$C:$C,A450,Pedidos!$K:$K,Parametros!$B$3))</f>
        <v/>
      </c>
      <c r="J450" s="19">
        <f>IF(A450="","",SUMIFS(Pedidos!$E:$E,Pedidos!$C:$C,A450,Pedidos!$K:$K,Parametros!$B$3))</f>
        <v/>
      </c>
      <c r="K450" s="18">
        <f>IF(A450="","",COUNTIFS(Pedidos!$C:$C,A450,Pedidos!$K:$K,Parametros!$B$4))</f>
        <v/>
      </c>
      <c r="L450" s="20">
        <f>IF(A450="","",IF(COUNTIFS(Pedidos!$C:$C,A450,Pedidos!$B:$B,"&lt;="&amp;EOMONTH(Parametros!$B$2,0))=0,"",_xlfn.MAXIFS(Pedidos!$B:$B,Pedidos!$C:$C,A450,Pedidos!$B:$B,"&lt;="&amp;EOMONTH(Parametros!$B$2,0))))</f>
        <v/>
      </c>
      <c r="M450" s="20">
        <f>IF(OR(L450="",F450=""),"",EDATE(L450,F450))</f>
        <v/>
      </c>
      <c r="N450" s="21">
        <f>IF(A450="","",IF(L450="","Sem histórico",IF(AND(L450&gt;=Parametros!$B$2,L450&lt;=EOMONTH(Parametros!$B$2,0)),"Comprou no mês",IF(M450="","Sem periodicidade",IF(M450&lt;Parametros!$B$2,"Atrasado",IF(M450&lt;=EOMONTH(Parametros!$B$2,0),"Previsto no mês","Em dia"))))))</f>
        <v/>
      </c>
    </row>
    <row r="451">
      <c r="I451" s="18">
        <f>IF(A451="","",COUNTIFS(Pedidos!$C:$C,A451,Pedidos!$K:$K,Parametros!$B$3))</f>
        <v/>
      </c>
      <c r="J451" s="19">
        <f>IF(A451="","",SUMIFS(Pedidos!$E:$E,Pedidos!$C:$C,A451,Pedidos!$K:$K,Parametros!$B$3))</f>
        <v/>
      </c>
      <c r="K451" s="18">
        <f>IF(A451="","",COUNTIFS(Pedidos!$C:$C,A451,Pedidos!$K:$K,Parametros!$B$4))</f>
        <v/>
      </c>
      <c r="L451" s="20">
        <f>IF(A451="","",IF(COUNTIFS(Pedidos!$C:$C,A451,Pedidos!$B:$B,"&lt;="&amp;EOMONTH(Parametros!$B$2,0))=0,"",_xlfn.MAXIFS(Pedidos!$B:$B,Pedidos!$C:$C,A451,Pedidos!$B:$B,"&lt;="&amp;EOMONTH(Parametros!$B$2,0))))</f>
        <v/>
      </c>
      <c r="M451" s="20">
        <f>IF(OR(L451="",F451=""),"",EDATE(L451,F451))</f>
        <v/>
      </c>
      <c r="N451" s="21">
        <f>IF(A451="","",IF(L451="","Sem histórico",IF(AND(L451&gt;=Parametros!$B$2,L451&lt;=EOMONTH(Parametros!$B$2,0)),"Comprou no mês",IF(M451="","Sem periodicidade",IF(M451&lt;Parametros!$B$2,"Atrasado",IF(M451&lt;=EOMONTH(Parametros!$B$2,0),"Previsto no mês","Em dia"))))))</f>
        <v/>
      </c>
    </row>
    <row r="452">
      <c r="I452" s="18">
        <f>IF(A452="","",COUNTIFS(Pedidos!$C:$C,A452,Pedidos!$K:$K,Parametros!$B$3))</f>
        <v/>
      </c>
      <c r="J452" s="19">
        <f>IF(A452="","",SUMIFS(Pedidos!$E:$E,Pedidos!$C:$C,A452,Pedidos!$K:$K,Parametros!$B$3))</f>
        <v/>
      </c>
      <c r="K452" s="18">
        <f>IF(A452="","",COUNTIFS(Pedidos!$C:$C,A452,Pedidos!$K:$K,Parametros!$B$4))</f>
        <v/>
      </c>
      <c r="L452" s="20">
        <f>IF(A452="","",IF(COUNTIFS(Pedidos!$C:$C,A452,Pedidos!$B:$B,"&lt;="&amp;EOMONTH(Parametros!$B$2,0))=0,"",_xlfn.MAXIFS(Pedidos!$B:$B,Pedidos!$C:$C,A452,Pedidos!$B:$B,"&lt;="&amp;EOMONTH(Parametros!$B$2,0))))</f>
        <v/>
      </c>
      <c r="M452" s="20">
        <f>IF(OR(L452="",F452=""),"",EDATE(L452,F452))</f>
        <v/>
      </c>
      <c r="N452" s="21">
        <f>IF(A452="","",IF(L452="","Sem histórico",IF(AND(L452&gt;=Parametros!$B$2,L452&lt;=EOMONTH(Parametros!$B$2,0)),"Comprou no mês",IF(M452="","Sem periodicidade",IF(M452&lt;Parametros!$B$2,"Atrasado",IF(M452&lt;=EOMONTH(Parametros!$B$2,0),"Previsto no mês","Em dia"))))))</f>
        <v/>
      </c>
    </row>
    <row r="453">
      <c r="I453" s="18">
        <f>IF(A453="","",COUNTIFS(Pedidos!$C:$C,A453,Pedidos!$K:$K,Parametros!$B$3))</f>
        <v/>
      </c>
      <c r="J453" s="19">
        <f>IF(A453="","",SUMIFS(Pedidos!$E:$E,Pedidos!$C:$C,A453,Pedidos!$K:$K,Parametros!$B$3))</f>
        <v/>
      </c>
      <c r="K453" s="18">
        <f>IF(A453="","",COUNTIFS(Pedidos!$C:$C,A453,Pedidos!$K:$K,Parametros!$B$4))</f>
        <v/>
      </c>
      <c r="L453" s="20">
        <f>IF(A453="","",IF(COUNTIFS(Pedidos!$C:$C,A453,Pedidos!$B:$B,"&lt;="&amp;EOMONTH(Parametros!$B$2,0))=0,"",_xlfn.MAXIFS(Pedidos!$B:$B,Pedidos!$C:$C,A453,Pedidos!$B:$B,"&lt;="&amp;EOMONTH(Parametros!$B$2,0))))</f>
        <v/>
      </c>
      <c r="M453" s="20">
        <f>IF(OR(L453="",F453=""),"",EDATE(L453,F453))</f>
        <v/>
      </c>
      <c r="N453" s="21">
        <f>IF(A453="","",IF(L453="","Sem histórico",IF(AND(L453&gt;=Parametros!$B$2,L453&lt;=EOMONTH(Parametros!$B$2,0)),"Comprou no mês",IF(M453="","Sem periodicidade",IF(M453&lt;Parametros!$B$2,"Atrasado",IF(M453&lt;=EOMONTH(Parametros!$B$2,0),"Previsto no mês","Em dia"))))))</f>
        <v/>
      </c>
    </row>
    <row r="454">
      <c r="I454" s="18">
        <f>IF(A454="","",COUNTIFS(Pedidos!$C:$C,A454,Pedidos!$K:$K,Parametros!$B$3))</f>
        <v/>
      </c>
      <c r="J454" s="19">
        <f>IF(A454="","",SUMIFS(Pedidos!$E:$E,Pedidos!$C:$C,A454,Pedidos!$K:$K,Parametros!$B$3))</f>
        <v/>
      </c>
      <c r="K454" s="18">
        <f>IF(A454="","",COUNTIFS(Pedidos!$C:$C,A454,Pedidos!$K:$K,Parametros!$B$4))</f>
        <v/>
      </c>
      <c r="L454" s="20">
        <f>IF(A454="","",IF(COUNTIFS(Pedidos!$C:$C,A454,Pedidos!$B:$B,"&lt;="&amp;EOMONTH(Parametros!$B$2,0))=0,"",_xlfn.MAXIFS(Pedidos!$B:$B,Pedidos!$C:$C,A454,Pedidos!$B:$B,"&lt;="&amp;EOMONTH(Parametros!$B$2,0))))</f>
        <v/>
      </c>
      <c r="M454" s="20">
        <f>IF(OR(L454="",F454=""),"",EDATE(L454,F454))</f>
        <v/>
      </c>
      <c r="N454" s="21">
        <f>IF(A454="","",IF(L454="","Sem histórico",IF(AND(L454&gt;=Parametros!$B$2,L454&lt;=EOMONTH(Parametros!$B$2,0)),"Comprou no mês",IF(M454="","Sem periodicidade",IF(M454&lt;Parametros!$B$2,"Atrasado",IF(M454&lt;=EOMONTH(Parametros!$B$2,0),"Previsto no mês","Em dia"))))))</f>
        <v/>
      </c>
    </row>
    <row r="455">
      <c r="I455" s="18">
        <f>IF(A455="","",COUNTIFS(Pedidos!$C:$C,A455,Pedidos!$K:$K,Parametros!$B$3))</f>
        <v/>
      </c>
      <c r="J455" s="19">
        <f>IF(A455="","",SUMIFS(Pedidos!$E:$E,Pedidos!$C:$C,A455,Pedidos!$K:$K,Parametros!$B$3))</f>
        <v/>
      </c>
      <c r="K455" s="18">
        <f>IF(A455="","",COUNTIFS(Pedidos!$C:$C,A455,Pedidos!$K:$K,Parametros!$B$4))</f>
        <v/>
      </c>
      <c r="L455" s="20">
        <f>IF(A455="","",IF(COUNTIFS(Pedidos!$C:$C,A455,Pedidos!$B:$B,"&lt;="&amp;EOMONTH(Parametros!$B$2,0))=0,"",_xlfn.MAXIFS(Pedidos!$B:$B,Pedidos!$C:$C,A455,Pedidos!$B:$B,"&lt;="&amp;EOMONTH(Parametros!$B$2,0))))</f>
        <v/>
      </c>
      <c r="M455" s="20">
        <f>IF(OR(L455="",F455=""),"",EDATE(L455,F455))</f>
        <v/>
      </c>
      <c r="N455" s="21">
        <f>IF(A455="","",IF(L455="","Sem histórico",IF(AND(L455&gt;=Parametros!$B$2,L455&lt;=EOMONTH(Parametros!$B$2,0)),"Comprou no mês",IF(M455="","Sem periodicidade",IF(M455&lt;Parametros!$B$2,"Atrasado",IF(M455&lt;=EOMONTH(Parametros!$B$2,0),"Previsto no mês","Em dia"))))))</f>
        <v/>
      </c>
    </row>
    <row r="456">
      <c r="I456" s="18">
        <f>IF(A456="","",COUNTIFS(Pedidos!$C:$C,A456,Pedidos!$K:$K,Parametros!$B$3))</f>
        <v/>
      </c>
      <c r="J456" s="19">
        <f>IF(A456="","",SUMIFS(Pedidos!$E:$E,Pedidos!$C:$C,A456,Pedidos!$K:$K,Parametros!$B$3))</f>
        <v/>
      </c>
      <c r="K456" s="18">
        <f>IF(A456="","",COUNTIFS(Pedidos!$C:$C,A456,Pedidos!$K:$K,Parametros!$B$4))</f>
        <v/>
      </c>
      <c r="L456" s="20">
        <f>IF(A456="","",IF(COUNTIFS(Pedidos!$C:$C,A456,Pedidos!$B:$B,"&lt;="&amp;EOMONTH(Parametros!$B$2,0))=0,"",_xlfn.MAXIFS(Pedidos!$B:$B,Pedidos!$C:$C,A456,Pedidos!$B:$B,"&lt;="&amp;EOMONTH(Parametros!$B$2,0))))</f>
        <v/>
      </c>
      <c r="M456" s="20">
        <f>IF(OR(L456="",F456=""),"",EDATE(L456,F456))</f>
        <v/>
      </c>
      <c r="N456" s="21">
        <f>IF(A456="","",IF(L456="","Sem histórico",IF(AND(L456&gt;=Parametros!$B$2,L456&lt;=EOMONTH(Parametros!$B$2,0)),"Comprou no mês",IF(M456="","Sem periodicidade",IF(M456&lt;Parametros!$B$2,"Atrasado",IF(M456&lt;=EOMONTH(Parametros!$B$2,0),"Previsto no mês","Em dia"))))))</f>
        <v/>
      </c>
    </row>
    <row r="457">
      <c r="I457" s="18">
        <f>IF(A457="","",COUNTIFS(Pedidos!$C:$C,A457,Pedidos!$K:$K,Parametros!$B$3))</f>
        <v/>
      </c>
      <c r="J457" s="19">
        <f>IF(A457="","",SUMIFS(Pedidos!$E:$E,Pedidos!$C:$C,A457,Pedidos!$K:$K,Parametros!$B$3))</f>
        <v/>
      </c>
      <c r="K457" s="18">
        <f>IF(A457="","",COUNTIFS(Pedidos!$C:$C,A457,Pedidos!$K:$K,Parametros!$B$4))</f>
        <v/>
      </c>
      <c r="L457" s="20">
        <f>IF(A457="","",IF(COUNTIFS(Pedidos!$C:$C,A457,Pedidos!$B:$B,"&lt;="&amp;EOMONTH(Parametros!$B$2,0))=0,"",_xlfn.MAXIFS(Pedidos!$B:$B,Pedidos!$C:$C,A457,Pedidos!$B:$B,"&lt;="&amp;EOMONTH(Parametros!$B$2,0))))</f>
        <v/>
      </c>
      <c r="M457" s="20">
        <f>IF(OR(L457="",F457=""),"",EDATE(L457,F457))</f>
        <v/>
      </c>
      <c r="N457" s="21">
        <f>IF(A457="","",IF(L457="","Sem histórico",IF(AND(L457&gt;=Parametros!$B$2,L457&lt;=EOMONTH(Parametros!$B$2,0)),"Comprou no mês",IF(M457="","Sem periodicidade",IF(M457&lt;Parametros!$B$2,"Atrasado",IF(M457&lt;=EOMONTH(Parametros!$B$2,0),"Previsto no mês","Em dia"))))))</f>
        <v/>
      </c>
    </row>
    <row r="458">
      <c r="I458" s="18">
        <f>IF(A458="","",COUNTIFS(Pedidos!$C:$C,A458,Pedidos!$K:$K,Parametros!$B$3))</f>
        <v/>
      </c>
      <c r="J458" s="19">
        <f>IF(A458="","",SUMIFS(Pedidos!$E:$E,Pedidos!$C:$C,A458,Pedidos!$K:$K,Parametros!$B$3))</f>
        <v/>
      </c>
      <c r="K458" s="18">
        <f>IF(A458="","",COUNTIFS(Pedidos!$C:$C,A458,Pedidos!$K:$K,Parametros!$B$4))</f>
        <v/>
      </c>
      <c r="L458" s="20">
        <f>IF(A458="","",IF(COUNTIFS(Pedidos!$C:$C,A458,Pedidos!$B:$B,"&lt;="&amp;EOMONTH(Parametros!$B$2,0))=0,"",_xlfn.MAXIFS(Pedidos!$B:$B,Pedidos!$C:$C,A458,Pedidos!$B:$B,"&lt;="&amp;EOMONTH(Parametros!$B$2,0))))</f>
        <v/>
      </c>
      <c r="M458" s="20">
        <f>IF(OR(L458="",F458=""),"",EDATE(L458,F458))</f>
        <v/>
      </c>
      <c r="N458" s="21">
        <f>IF(A458="","",IF(L458="","Sem histórico",IF(AND(L458&gt;=Parametros!$B$2,L458&lt;=EOMONTH(Parametros!$B$2,0)),"Comprou no mês",IF(M458="","Sem periodicidade",IF(M458&lt;Parametros!$B$2,"Atrasado",IF(M458&lt;=EOMONTH(Parametros!$B$2,0),"Previsto no mês","Em dia"))))))</f>
        <v/>
      </c>
    </row>
    <row r="459">
      <c r="I459" s="18">
        <f>IF(A459="","",COUNTIFS(Pedidos!$C:$C,A459,Pedidos!$K:$K,Parametros!$B$3))</f>
        <v/>
      </c>
      <c r="J459" s="19">
        <f>IF(A459="","",SUMIFS(Pedidos!$E:$E,Pedidos!$C:$C,A459,Pedidos!$K:$K,Parametros!$B$3))</f>
        <v/>
      </c>
      <c r="K459" s="18">
        <f>IF(A459="","",COUNTIFS(Pedidos!$C:$C,A459,Pedidos!$K:$K,Parametros!$B$4))</f>
        <v/>
      </c>
      <c r="L459" s="20">
        <f>IF(A459="","",IF(COUNTIFS(Pedidos!$C:$C,A459,Pedidos!$B:$B,"&lt;="&amp;EOMONTH(Parametros!$B$2,0))=0,"",_xlfn.MAXIFS(Pedidos!$B:$B,Pedidos!$C:$C,A459,Pedidos!$B:$B,"&lt;="&amp;EOMONTH(Parametros!$B$2,0))))</f>
        <v/>
      </c>
      <c r="M459" s="20">
        <f>IF(OR(L459="",F459=""),"",EDATE(L459,F459))</f>
        <v/>
      </c>
      <c r="N459" s="21">
        <f>IF(A459="","",IF(L459="","Sem histórico",IF(AND(L459&gt;=Parametros!$B$2,L459&lt;=EOMONTH(Parametros!$B$2,0)),"Comprou no mês",IF(M459="","Sem periodicidade",IF(M459&lt;Parametros!$B$2,"Atrasado",IF(M459&lt;=EOMONTH(Parametros!$B$2,0),"Previsto no mês","Em dia"))))))</f>
        <v/>
      </c>
    </row>
    <row r="460">
      <c r="I460" s="18">
        <f>IF(A460="","",COUNTIFS(Pedidos!$C:$C,A460,Pedidos!$K:$K,Parametros!$B$3))</f>
        <v/>
      </c>
      <c r="J460" s="19">
        <f>IF(A460="","",SUMIFS(Pedidos!$E:$E,Pedidos!$C:$C,A460,Pedidos!$K:$K,Parametros!$B$3))</f>
        <v/>
      </c>
      <c r="K460" s="18">
        <f>IF(A460="","",COUNTIFS(Pedidos!$C:$C,A460,Pedidos!$K:$K,Parametros!$B$4))</f>
        <v/>
      </c>
      <c r="L460" s="20">
        <f>IF(A460="","",IF(COUNTIFS(Pedidos!$C:$C,A460,Pedidos!$B:$B,"&lt;="&amp;EOMONTH(Parametros!$B$2,0))=0,"",_xlfn.MAXIFS(Pedidos!$B:$B,Pedidos!$C:$C,A460,Pedidos!$B:$B,"&lt;="&amp;EOMONTH(Parametros!$B$2,0))))</f>
        <v/>
      </c>
      <c r="M460" s="20">
        <f>IF(OR(L460="",F460=""),"",EDATE(L460,F460))</f>
        <v/>
      </c>
      <c r="N460" s="21">
        <f>IF(A460="","",IF(L460="","Sem histórico",IF(AND(L460&gt;=Parametros!$B$2,L460&lt;=EOMONTH(Parametros!$B$2,0)),"Comprou no mês",IF(M460="","Sem periodicidade",IF(M460&lt;Parametros!$B$2,"Atrasado",IF(M460&lt;=EOMONTH(Parametros!$B$2,0),"Previsto no mês","Em dia"))))))</f>
        <v/>
      </c>
    </row>
    <row r="461">
      <c r="I461" s="18">
        <f>IF(A461="","",COUNTIFS(Pedidos!$C:$C,A461,Pedidos!$K:$K,Parametros!$B$3))</f>
        <v/>
      </c>
      <c r="J461" s="19">
        <f>IF(A461="","",SUMIFS(Pedidos!$E:$E,Pedidos!$C:$C,A461,Pedidos!$K:$K,Parametros!$B$3))</f>
        <v/>
      </c>
      <c r="K461" s="18">
        <f>IF(A461="","",COUNTIFS(Pedidos!$C:$C,A461,Pedidos!$K:$K,Parametros!$B$4))</f>
        <v/>
      </c>
      <c r="L461" s="20">
        <f>IF(A461="","",IF(COUNTIFS(Pedidos!$C:$C,A461,Pedidos!$B:$B,"&lt;="&amp;EOMONTH(Parametros!$B$2,0))=0,"",_xlfn.MAXIFS(Pedidos!$B:$B,Pedidos!$C:$C,A461,Pedidos!$B:$B,"&lt;="&amp;EOMONTH(Parametros!$B$2,0))))</f>
        <v/>
      </c>
      <c r="M461" s="20">
        <f>IF(OR(L461="",F461=""),"",EDATE(L461,F461))</f>
        <v/>
      </c>
      <c r="N461" s="21">
        <f>IF(A461="","",IF(L461="","Sem histórico",IF(AND(L461&gt;=Parametros!$B$2,L461&lt;=EOMONTH(Parametros!$B$2,0)),"Comprou no mês",IF(M461="","Sem periodicidade",IF(M461&lt;Parametros!$B$2,"Atrasado",IF(M461&lt;=EOMONTH(Parametros!$B$2,0),"Previsto no mês","Em dia"))))))</f>
        <v/>
      </c>
    </row>
    <row r="462">
      <c r="I462" s="18">
        <f>IF(A462="","",COUNTIFS(Pedidos!$C:$C,A462,Pedidos!$K:$K,Parametros!$B$3))</f>
        <v/>
      </c>
      <c r="J462" s="19">
        <f>IF(A462="","",SUMIFS(Pedidos!$E:$E,Pedidos!$C:$C,A462,Pedidos!$K:$K,Parametros!$B$3))</f>
        <v/>
      </c>
      <c r="K462" s="18">
        <f>IF(A462="","",COUNTIFS(Pedidos!$C:$C,A462,Pedidos!$K:$K,Parametros!$B$4))</f>
        <v/>
      </c>
      <c r="L462" s="20">
        <f>IF(A462="","",IF(COUNTIFS(Pedidos!$C:$C,A462,Pedidos!$B:$B,"&lt;="&amp;EOMONTH(Parametros!$B$2,0))=0,"",_xlfn.MAXIFS(Pedidos!$B:$B,Pedidos!$C:$C,A462,Pedidos!$B:$B,"&lt;="&amp;EOMONTH(Parametros!$B$2,0))))</f>
        <v/>
      </c>
      <c r="M462" s="20">
        <f>IF(OR(L462="",F462=""),"",EDATE(L462,F462))</f>
        <v/>
      </c>
      <c r="N462" s="21">
        <f>IF(A462="","",IF(L462="","Sem histórico",IF(AND(L462&gt;=Parametros!$B$2,L462&lt;=EOMONTH(Parametros!$B$2,0)),"Comprou no mês",IF(M462="","Sem periodicidade",IF(M462&lt;Parametros!$B$2,"Atrasado",IF(M462&lt;=EOMONTH(Parametros!$B$2,0),"Previsto no mês","Em dia"))))))</f>
        <v/>
      </c>
    </row>
    <row r="463">
      <c r="I463" s="18">
        <f>IF(A463="","",COUNTIFS(Pedidos!$C:$C,A463,Pedidos!$K:$K,Parametros!$B$3))</f>
        <v/>
      </c>
      <c r="J463" s="19">
        <f>IF(A463="","",SUMIFS(Pedidos!$E:$E,Pedidos!$C:$C,A463,Pedidos!$K:$K,Parametros!$B$3))</f>
        <v/>
      </c>
      <c r="K463" s="18">
        <f>IF(A463="","",COUNTIFS(Pedidos!$C:$C,A463,Pedidos!$K:$K,Parametros!$B$4))</f>
        <v/>
      </c>
      <c r="L463" s="20">
        <f>IF(A463="","",IF(COUNTIFS(Pedidos!$C:$C,A463,Pedidos!$B:$B,"&lt;="&amp;EOMONTH(Parametros!$B$2,0))=0,"",_xlfn.MAXIFS(Pedidos!$B:$B,Pedidos!$C:$C,A463,Pedidos!$B:$B,"&lt;="&amp;EOMONTH(Parametros!$B$2,0))))</f>
        <v/>
      </c>
      <c r="M463" s="20">
        <f>IF(OR(L463="",F463=""),"",EDATE(L463,F463))</f>
        <v/>
      </c>
      <c r="N463" s="21">
        <f>IF(A463="","",IF(L463="","Sem histórico",IF(AND(L463&gt;=Parametros!$B$2,L463&lt;=EOMONTH(Parametros!$B$2,0)),"Comprou no mês",IF(M463="","Sem periodicidade",IF(M463&lt;Parametros!$B$2,"Atrasado",IF(M463&lt;=EOMONTH(Parametros!$B$2,0),"Previsto no mês","Em dia"))))))</f>
        <v/>
      </c>
    </row>
    <row r="464">
      <c r="I464" s="18">
        <f>IF(A464="","",COUNTIFS(Pedidos!$C:$C,A464,Pedidos!$K:$K,Parametros!$B$3))</f>
        <v/>
      </c>
      <c r="J464" s="19">
        <f>IF(A464="","",SUMIFS(Pedidos!$E:$E,Pedidos!$C:$C,A464,Pedidos!$K:$K,Parametros!$B$3))</f>
        <v/>
      </c>
      <c r="K464" s="18">
        <f>IF(A464="","",COUNTIFS(Pedidos!$C:$C,A464,Pedidos!$K:$K,Parametros!$B$4))</f>
        <v/>
      </c>
      <c r="L464" s="20">
        <f>IF(A464="","",IF(COUNTIFS(Pedidos!$C:$C,A464,Pedidos!$B:$B,"&lt;="&amp;EOMONTH(Parametros!$B$2,0))=0,"",_xlfn.MAXIFS(Pedidos!$B:$B,Pedidos!$C:$C,A464,Pedidos!$B:$B,"&lt;="&amp;EOMONTH(Parametros!$B$2,0))))</f>
        <v/>
      </c>
      <c r="M464" s="20">
        <f>IF(OR(L464="",F464=""),"",EDATE(L464,F464))</f>
        <v/>
      </c>
      <c r="N464" s="21">
        <f>IF(A464="","",IF(L464="","Sem histórico",IF(AND(L464&gt;=Parametros!$B$2,L464&lt;=EOMONTH(Parametros!$B$2,0)),"Comprou no mês",IF(M464="","Sem periodicidade",IF(M464&lt;Parametros!$B$2,"Atrasado",IF(M464&lt;=EOMONTH(Parametros!$B$2,0),"Previsto no mês","Em dia"))))))</f>
        <v/>
      </c>
    </row>
    <row r="465">
      <c r="I465" s="18">
        <f>IF(A465="","",COUNTIFS(Pedidos!$C:$C,A465,Pedidos!$K:$K,Parametros!$B$3))</f>
        <v/>
      </c>
      <c r="J465" s="19">
        <f>IF(A465="","",SUMIFS(Pedidos!$E:$E,Pedidos!$C:$C,A465,Pedidos!$K:$K,Parametros!$B$3))</f>
        <v/>
      </c>
      <c r="K465" s="18">
        <f>IF(A465="","",COUNTIFS(Pedidos!$C:$C,A465,Pedidos!$K:$K,Parametros!$B$4))</f>
        <v/>
      </c>
      <c r="L465" s="20">
        <f>IF(A465="","",IF(COUNTIFS(Pedidos!$C:$C,A465,Pedidos!$B:$B,"&lt;="&amp;EOMONTH(Parametros!$B$2,0))=0,"",_xlfn.MAXIFS(Pedidos!$B:$B,Pedidos!$C:$C,A465,Pedidos!$B:$B,"&lt;="&amp;EOMONTH(Parametros!$B$2,0))))</f>
        <v/>
      </c>
      <c r="M465" s="20">
        <f>IF(OR(L465="",F465=""),"",EDATE(L465,F465))</f>
        <v/>
      </c>
      <c r="N465" s="21">
        <f>IF(A465="","",IF(L465="","Sem histórico",IF(AND(L465&gt;=Parametros!$B$2,L465&lt;=EOMONTH(Parametros!$B$2,0)),"Comprou no mês",IF(M465="","Sem periodicidade",IF(M465&lt;Parametros!$B$2,"Atrasado",IF(M465&lt;=EOMONTH(Parametros!$B$2,0),"Previsto no mês","Em dia"))))))</f>
        <v/>
      </c>
    </row>
    <row r="466">
      <c r="I466" s="18">
        <f>IF(A466="","",COUNTIFS(Pedidos!$C:$C,A466,Pedidos!$K:$K,Parametros!$B$3))</f>
        <v/>
      </c>
      <c r="J466" s="19">
        <f>IF(A466="","",SUMIFS(Pedidos!$E:$E,Pedidos!$C:$C,A466,Pedidos!$K:$K,Parametros!$B$3))</f>
        <v/>
      </c>
      <c r="K466" s="18">
        <f>IF(A466="","",COUNTIFS(Pedidos!$C:$C,A466,Pedidos!$K:$K,Parametros!$B$4))</f>
        <v/>
      </c>
      <c r="L466" s="20">
        <f>IF(A466="","",IF(COUNTIFS(Pedidos!$C:$C,A466,Pedidos!$B:$B,"&lt;="&amp;EOMONTH(Parametros!$B$2,0))=0,"",_xlfn.MAXIFS(Pedidos!$B:$B,Pedidos!$C:$C,A466,Pedidos!$B:$B,"&lt;="&amp;EOMONTH(Parametros!$B$2,0))))</f>
        <v/>
      </c>
      <c r="M466" s="20">
        <f>IF(OR(L466="",F466=""),"",EDATE(L466,F466))</f>
        <v/>
      </c>
      <c r="N466" s="21">
        <f>IF(A466="","",IF(L466="","Sem histórico",IF(AND(L466&gt;=Parametros!$B$2,L466&lt;=EOMONTH(Parametros!$B$2,0)),"Comprou no mês",IF(M466="","Sem periodicidade",IF(M466&lt;Parametros!$B$2,"Atrasado",IF(M466&lt;=EOMONTH(Parametros!$B$2,0),"Previsto no mês","Em dia"))))))</f>
        <v/>
      </c>
    </row>
    <row r="467">
      <c r="I467" s="18">
        <f>IF(A467="","",COUNTIFS(Pedidos!$C:$C,A467,Pedidos!$K:$K,Parametros!$B$3))</f>
        <v/>
      </c>
      <c r="J467" s="19">
        <f>IF(A467="","",SUMIFS(Pedidos!$E:$E,Pedidos!$C:$C,A467,Pedidos!$K:$K,Parametros!$B$3))</f>
        <v/>
      </c>
      <c r="K467" s="18">
        <f>IF(A467="","",COUNTIFS(Pedidos!$C:$C,A467,Pedidos!$K:$K,Parametros!$B$4))</f>
        <v/>
      </c>
      <c r="L467" s="20">
        <f>IF(A467="","",IF(COUNTIFS(Pedidos!$C:$C,A467,Pedidos!$B:$B,"&lt;="&amp;EOMONTH(Parametros!$B$2,0))=0,"",_xlfn.MAXIFS(Pedidos!$B:$B,Pedidos!$C:$C,A467,Pedidos!$B:$B,"&lt;="&amp;EOMONTH(Parametros!$B$2,0))))</f>
        <v/>
      </c>
      <c r="M467" s="20">
        <f>IF(OR(L467="",F467=""),"",EDATE(L467,F467))</f>
        <v/>
      </c>
      <c r="N467" s="21">
        <f>IF(A467="","",IF(L467="","Sem histórico",IF(AND(L467&gt;=Parametros!$B$2,L467&lt;=EOMONTH(Parametros!$B$2,0)),"Comprou no mês",IF(M467="","Sem periodicidade",IF(M467&lt;Parametros!$B$2,"Atrasado",IF(M467&lt;=EOMONTH(Parametros!$B$2,0),"Previsto no mês","Em dia"))))))</f>
        <v/>
      </c>
    </row>
    <row r="468">
      <c r="I468" s="18">
        <f>IF(A468="","",COUNTIFS(Pedidos!$C:$C,A468,Pedidos!$K:$K,Parametros!$B$3))</f>
        <v/>
      </c>
      <c r="J468" s="19">
        <f>IF(A468="","",SUMIFS(Pedidos!$E:$E,Pedidos!$C:$C,A468,Pedidos!$K:$K,Parametros!$B$3))</f>
        <v/>
      </c>
      <c r="K468" s="18">
        <f>IF(A468="","",COUNTIFS(Pedidos!$C:$C,A468,Pedidos!$K:$K,Parametros!$B$4))</f>
        <v/>
      </c>
      <c r="L468" s="20">
        <f>IF(A468="","",IF(COUNTIFS(Pedidos!$C:$C,A468,Pedidos!$B:$B,"&lt;="&amp;EOMONTH(Parametros!$B$2,0))=0,"",_xlfn.MAXIFS(Pedidos!$B:$B,Pedidos!$C:$C,A468,Pedidos!$B:$B,"&lt;="&amp;EOMONTH(Parametros!$B$2,0))))</f>
        <v/>
      </c>
      <c r="M468" s="20">
        <f>IF(OR(L468="",F468=""),"",EDATE(L468,F468))</f>
        <v/>
      </c>
      <c r="N468" s="21">
        <f>IF(A468="","",IF(L468="","Sem histórico",IF(AND(L468&gt;=Parametros!$B$2,L468&lt;=EOMONTH(Parametros!$B$2,0)),"Comprou no mês",IF(M468="","Sem periodicidade",IF(M468&lt;Parametros!$B$2,"Atrasado",IF(M468&lt;=EOMONTH(Parametros!$B$2,0),"Previsto no mês","Em dia"))))))</f>
        <v/>
      </c>
    </row>
    <row r="469">
      <c r="I469" s="18">
        <f>IF(A469="","",COUNTIFS(Pedidos!$C:$C,A469,Pedidos!$K:$K,Parametros!$B$3))</f>
        <v/>
      </c>
      <c r="J469" s="19">
        <f>IF(A469="","",SUMIFS(Pedidos!$E:$E,Pedidos!$C:$C,A469,Pedidos!$K:$K,Parametros!$B$3))</f>
        <v/>
      </c>
      <c r="K469" s="18">
        <f>IF(A469="","",COUNTIFS(Pedidos!$C:$C,A469,Pedidos!$K:$K,Parametros!$B$4))</f>
        <v/>
      </c>
      <c r="L469" s="20">
        <f>IF(A469="","",IF(COUNTIFS(Pedidos!$C:$C,A469,Pedidos!$B:$B,"&lt;="&amp;EOMONTH(Parametros!$B$2,0))=0,"",_xlfn.MAXIFS(Pedidos!$B:$B,Pedidos!$C:$C,A469,Pedidos!$B:$B,"&lt;="&amp;EOMONTH(Parametros!$B$2,0))))</f>
        <v/>
      </c>
      <c r="M469" s="20">
        <f>IF(OR(L469="",F469=""),"",EDATE(L469,F469))</f>
        <v/>
      </c>
      <c r="N469" s="21">
        <f>IF(A469="","",IF(L469="","Sem histórico",IF(AND(L469&gt;=Parametros!$B$2,L469&lt;=EOMONTH(Parametros!$B$2,0)),"Comprou no mês",IF(M469="","Sem periodicidade",IF(M469&lt;Parametros!$B$2,"Atrasado",IF(M469&lt;=EOMONTH(Parametros!$B$2,0),"Previsto no mês","Em dia"))))))</f>
        <v/>
      </c>
    </row>
    <row r="470">
      <c r="I470" s="18">
        <f>IF(A470="","",COUNTIFS(Pedidos!$C:$C,A470,Pedidos!$K:$K,Parametros!$B$3))</f>
        <v/>
      </c>
      <c r="J470" s="19">
        <f>IF(A470="","",SUMIFS(Pedidos!$E:$E,Pedidos!$C:$C,A470,Pedidos!$K:$K,Parametros!$B$3))</f>
        <v/>
      </c>
      <c r="K470" s="18">
        <f>IF(A470="","",COUNTIFS(Pedidos!$C:$C,A470,Pedidos!$K:$K,Parametros!$B$4))</f>
        <v/>
      </c>
      <c r="L470" s="20">
        <f>IF(A470="","",IF(COUNTIFS(Pedidos!$C:$C,A470,Pedidos!$B:$B,"&lt;="&amp;EOMONTH(Parametros!$B$2,0))=0,"",_xlfn.MAXIFS(Pedidos!$B:$B,Pedidos!$C:$C,A470,Pedidos!$B:$B,"&lt;="&amp;EOMONTH(Parametros!$B$2,0))))</f>
        <v/>
      </c>
      <c r="M470" s="20">
        <f>IF(OR(L470="",F470=""),"",EDATE(L470,F470))</f>
        <v/>
      </c>
      <c r="N470" s="21">
        <f>IF(A470="","",IF(L470="","Sem histórico",IF(AND(L470&gt;=Parametros!$B$2,L470&lt;=EOMONTH(Parametros!$B$2,0)),"Comprou no mês",IF(M470="","Sem periodicidade",IF(M470&lt;Parametros!$B$2,"Atrasado",IF(M470&lt;=EOMONTH(Parametros!$B$2,0),"Previsto no mês","Em dia"))))))</f>
        <v/>
      </c>
    </row>
    <row r="471">
      <c r="I471" s="18">
        <f>IF(A471="","",COUNTIFS(Pedidos!$C:$C,A471,Pedidos!$K:$K,Parametros!$B$3))</f>
        <v/>
      </c>
      <c r="J471" s="19">
        <f>IF(A471="","",SUMIFS(Pedidos!$E:$E,Pedidos!$C:$C,A471,Pedidos!$K:$K,Parametros!$B$3))</f>
        <v/>
      </c>
      <c r="K471" s="18">
        <f>IF(A471="","",COUNTIFS(Pedidos!$C:$C,A471,Pedidos!$K:$K,Parametros!$B$4))</f>
        <v/>
      </c>
      <c r="L471" s="20">
        <f>IF(A471="","",IF(COUNTIFS(Pedidos!$C:$C,A471,Pedidos!$B:$B,"&lt;="&amp;EOMONTH(Parametros!$B$2,0))=0,"",_xlfn.MAXIFS(Pedidos!$B:$B,Pedidos!$C:$C,A471,Pedidos!$B:$B,"&lt;="&amp;EOMONTH(Parametros!$B$2,0))))</f>
        <v/>
      </c>
      <c r="M471" s="20">
        <f>IF(OR(L471="",F471=""),"",EDATE(L471,F471))</f>
        <v/>
      </c>
      <c r="N471" s="21">
        <f>IF(A471="","",IF(L471="","Sem histórico",IF(AND(L471&gt;=Parametros!$B$2,L471&lt;=EOMONTH(Parametros!$B$2,0)),"Comprou no mês",IF(M471="","Sem periodicidade",IF(M471&lt;Parametros!$B$2,"Atrasado",IF(M471&lt;=EOMONTH(Parametros!$B$2,0),"Previsto no mês","Em dia"))))))</f>
        <v/>
      </c>
    </row>
    <row r="472">
      <c r="I472" s="18">
        <f>IF(A472="","",COUNTIFS(Pedidos!$C:$C,A472,Pedidos!$K:$K,Parametros!$B$3))</f>
        <v/>
      </c>
      <c r="J472" s="19">
        <f>IF(A472="","",SUMIFS(Pedidos!$E:$E,Pedidos!$C:$C,A472,Pedidos!$K:$K,Parametros!$B$3))</f>
        <v/>
      </c>
      <c r="K472" s="18">
        <f>IF(A472="","",COUNTIFS(Pedidos!$C:$C,A472,Pedidos!$K:$K,Parametros!$B$4))</f>
        <v/>
      </c>
      <c r="L472" s="20">
        <f>IF(A472="","",IF(COUNTIFS(Pedidos!$C:$C,A472,Pedidos!$B:$B,"&lt;="&amp;EOMONTH(Parametros!$B$2,0))=0,"",_xlfn.MAXIFS(Pedidos!$B:$B,Pedidos!$C:$C,A472,Pedidos!$B:$B,"&lt;="&amp;EOMONTH(Parametros!$B$2,0))))</f>
        <v/>
      </c>
      <c r="M472" s="20">
        <f>IF(OR(L472="",F472=""),"",EDATE(L472,F472))</f>
        <v/>
      </c>
      <c r="N472" s="21">
        <f>IF(A472="","",IF(L472="","Sem histórico",IF(AND(L472&gt;=Parametros!$B$2,L472&lt;=EOMONTH(Parametros!$B$2,0)),"Comprou no mês",IF(M472="","Sem periodicidade",IF(M472&lt;Parametros!$B$2,"Atrasado",IF(M472&lt;=EOMONTH(Parametros!$B$2,0),"Previsto no mês","Em dia"))))))</f>
        <v/>
      </c>
    </row>
    <row r="473">
      <c r="I473" s="18">
        <f>IF(A473="","",COUNTIFS(Pedidos!$C:$C,A473,Pedidos!$K:$K,Parametros!$B$3))</f>
        <v/>
      </c>
      <c r="J473" s="19">
        <f>IF(A473="","",SUMIFS(Pedidos!$E:$E,Pedidos!$C:$C,A473,Pedidos!$K:$K,Parametros!$B$3))</f>
        <v/>
      </c>
      <c r="K473" s="18">
        <f>IF(A473="","",COUNTIFS(Pedidos!$C:$C,A473,Pedidos!$K:$K,Parametros!$B$4))</f>
        <v/>
      </c>
      <c r="L473" s="20">
        <f>IF(A473="","",IF(COUNTIFS(Pedidos!$C:$C,A473,Pedidos!$B:$B,"&lt;="&amp;EOMONTH(Parametros!$B$2,0))=0,"",_xlfn.MAXIFS(Pedidos!$B:$B,Pedidos!$C:$C,A473,Pedidos!$B:$B,"&lt;="&amp;EOMONTH(Parametros!$B$2,0))))</f>
        <v/>
      </c>
      <c r="M473" s="20">
        <f>IF(OR(L473="",F473=""),"",EDATE(L473,F473))</f>
        <v/>
      </c>
      <c r="N473" s="21">
        <f>IF(A473="","",IF(L473="","Sem histórico",IF(AND(L473&gt;=Parametros!$B$2,L473&lt;=EOMONTH(Parametros!$B$2,0)),"Comprou no mês",IF(M473="","Sem periodicidade",IF(M473&lt;Parametros!$B$2,"Atrasado",IF(M473&lt;=EOMONTH(Parametros!$B$2,0),"Previsto no mês","Em dia"))))))</f>
        <v/>
      </c>
    </row>
    <row r="474">
      <c r="I474" s="18">
        <f>IF(A474="","",COUNTIFS(Pedidos!$C:$C,A474,Pedidos!$K:$K,Parametros!$B$3))</f>
        <v/>
      </c>
      <c r="J474" s="19">
        <f>IF(A474="","",SUMIFS(Pedidos!$E:$E,Pedidos!$C:$C,A474,Pedidos!$K:$K,Parametros!$B$3))</f>
        <v/>
      </c>
      <c r="K474" s="18">
        <f>IF(A474="","",COUNTIFS(Pedidos!$C:$C,A474,Pedidos!$K:$K,Parametros!$B$4))</f>
        <v/>
      </c>
      <c r="L474" s="20">
        <f>IF(A474="","",IF(COUNTIFS(Pedidos!$C:$C,A474,Pedidos!$B:$B,"&lt;="&amp;EOMONTH(Parametros!$B$2,0))=0,"",_xlfn.MAXIFS(Pedidos!$B:$B,Pedidos!$C:$C,A474,Pedidos!$B:$B,"&lt;="&amp;EOMONTH(Parametros!$B$2,0))))</f>
        <v/>
      </c>
      <c r="M474" s="20">
        <f>IF(OR(L474="",F474=""),"",EDATE(L474,F474))</f>
        <v/>
      </c>
      <c r="N474" s="21">
        <f>IF(A474="","",IF(L474="","Sem histórico",IF(AND(L474&gt;=Parametros!$B$2,L474&lt;=EOMONTH(Parametros!$B$2,0)),"Comprou no mês",IF(M474="","Sem periodicidade",IF(M474&lt;Parametros!$B$2,"Atrasado",IF(M474&lt;=EOMONTH(Parametros!$B$2,0),"Previsto no mês","Em dia"))))))</f>
        <v/>
      </c>
    </row>
    <row r="475">
      <c r="I475" s="18">
        <f>IF(A475="","",COUNTIFS(Pedidos!$C:$C,A475,Pedidos!$K:$K,Parametros!$B$3))</f>
        <v/>
      </c>
      <c r="J475" s="19">
        <f>IF(A475="","",SUMIFS(Pedidos!$E:$E,Pedidos!$C:$C,A475,Pedidos!$K:$K,Parametros!$B$3))</f>
        <v/>
      </c>
      <c r="K475" s="18">
        <f>IF(A475="","",COUNTIFS(Pedidos!$C:$C,A475,Pedidos!$K:$K,Parametros!$B$4))</f>
        <v/>
      </c>
      <c r="L475" s="20">
        <f>IF(A475="","",IF(COUNTIFS(Pedidos!$C:$C,A475,Pedidos!$B:$B,"&lt;="&amp;EOMONTH(Parametros!$B$2,0))=0,"",_xlfn.MAXIFS(Pedidos!$B:$B,Pedidos!$C:$C,A475,Pedidos!$B:$B,"&lt;="&amp;EOMONTH(Parametros!$B$2,0))))</f>
        <v/>
      </c>
      <c r="M475" s="20">
        <f>IF(OR(L475="",F475=""),"",EDATE(L475,F475))</f>
        <v/>
      </c>
      <c r="N475" s="21">
        <f>IF(A475="","",IF(L475="","Sem histórico",IF(AND(L475&gt;=Parametros!$B$2,L475&lt;=EOMONTH(Parametros!$B$2,0)),"Comprou no mês",IF(M475="","Sem periodicidade",IF(M475&lt;Parametros!$B$2,"Atrasado",IF(M475&lt;=EOMONTH(Parametros!$B$2,0),"Previsto no mês","Em dia"))))))</f>
        <v/>
      </c>
    </row>
    <row r="476">
      <c r="I476" s="18">
        <f>IF(A476="","",COUNTIFS(Pedidos!$C:$C,A476,Pedidos!$K:$K,Parametros!$B$3))</f>
        <v/>
      </c>
      <c r="J476" s="19">
        <f>IF(A476="","",SUMIFS(Pedidos!$E:$E,Pedidos!$C:$C,A476,Pedidos!$K:$K,Parametros!$B$3))</f>
        <v/>
      </c>
      <c r="K476" s="18">
        <f>IF(A476="","",COUNTIFS(Pedidos!$C:$C,A476,Pedidos!$K:$K,Parametros!$B$4))</f>
        <v/>
      </c>
      <c r="L476" s="20">
        <f>IF(A476="","",IF(COUNTIFS(Pedidos!$C:$C,A476,Pedidos!$B:$B,"&lt;="&amp;EOMONTH(Parametros!$B$2,0))=0,"",_xlfn.MAXIFS(Pedidos!$B:$B,Pedidos!$C:$C,A476,Pedidos!$B:$B,"&lt;="&amp;EOMONTH(Parametros!$B$2,0))))</f>
        <v/>
      </c>
      <c r="M476" s="20">
        <f>IF(OR(L476="",F476=""),"",EDATE(L476,F476))</f>
        <v/>
      </c>
      <c r="N476" s="21">
        <f>IF(A476="","",IF(L476="","Sem histórico",IF(AND(L476&gt;=Parametros!$B$2,L476&lt;=EOMONTH(Parametros!$B$2,0)),"Comprou no mês",IF(M476="","Sem periodicidade",IF(M476&lt;Parametros!$B$2,"Atrasado",IF(M476&lt;=EOMONTH(Parametros!$B$2,0),"Previsto no mês","Em dia"))))))</f>
        <v/>
      </c>
    </row>
    <row r="477">
      <c r="I477" s="18">
        <f>IF(A477="","",COUNTIFS(Pedidos!$C:$C,A477,Pedidos!$K:$K,Parametros!$B$3))</f>
        <v/>
      </c>
      <c r="J477" s="19">
        <f>IF(A477="","",SUMIFS(Pedidos!$E:$E,Pedidos!$C:$C,A477,Pedidos!$K:$K,Parametros!$B$3))</f>
        <v/>
      </c>
      <c r="K477" s="18">
        <f>IF(A477="","",COUNTIFS(Pedidos!$C:$C,A477,Pedidos!$K:$K,Parametros!$B$4))</f>
        <v/>
      </c>
      <c r="L477" s="20">
        <f>IF(A477="","",IF(COUNTIFS(Pedidos!$C:$C,A477,Pedidos!$B:$B,"&lt;="&amp;EOMONTH(Parametros!$B$2,0))=0,"",_xlfn.MAXIFS(Pedidos!$B:$B,Pedidos!$C:$C,A477,Pedidos!$B:$B,"&lt;="&amp;EOMONTH(Parametros!$B$2,0))))</f>
        <v/>
      </c>
      <c r="M477" s="20">
        <f>IF(OR(L477="",F477=""),"",EDATE(L477,F477))</f>
        <v/>
      </c>
      <c r="N477" s="21">
        <f>IF(A477="","",IF(L477="","Sem histórico",IF(AND(L477&gt;=Parametros!$B$2,L477&lt;=EOMONTH(Parametros!$B$2,0)),"Comprou no mês",IF(M477="","Sem periodicidade",IF(M477&lt;Parametros!$B$2,"Atrasado",IF(M477&lt;=EOMONTH(Parametros!$B$2,0),"Previsto no mês","Em dia"))))))</f>
        <v/>
      </c>
    </row>
    <row r="478">
      <c r="I478" s="18">
        <f>IF(A478="","",COUNTIFS(Pedidos!$C:$C,A478,Pedidos!$K:$K,Parametros!$B$3))</f>
        <v/>
      </c>
      <c r="J478" s="19">
        <f>IF(A478="","",SUMIFS(Pedidos!$E:$E,Pedidos!$C:$C,A478,Pedidos!$K:$K,Parametros!$B$3))</f>
        <v/>
      </c>
      <c r="K478" s="18">
        <f>IF(A478="","",COUNTIFS(Pedidos!$C:$C,A478,Pedidos!$K:$K,Parametros!$B$4))</f>
        <v/>
      </c>
      <c r="L478" s="20">
        <f>IF(A478="","",IF(COUNTIFS(Pedidos!$C:$C,A478,Pedidos!$B:$B,"&lt;="&amp;EOMONTH(Parametros!$B$2,0))=0,"",_xlfn.MAXIFS(Pedidos!$B:$B,Pedidos!$C:$C,A478,Pedidos!$B:$B,"&lt;="&amp;EOMONTH(Parametros!$B$2,0))))</f>
        <v/>
      </c>
      <c r="M478" s="20">
        <f>IF(OR(L478="",F478=""),"",EDATE(L478,F478))</f>
        <v/>
      </c>
      <c r="N478" s="21">
        <f>IF(A478="","",IF(L478="","Sem histórico",IF(AND(L478&gt;=Parametros!$B$2,L478&lt;=EOMONTH(Parametros!$B$2,0)),"Comprou no mês",IF(M478="","Sem periodicidade",IF(M478&lt;Parametros!$B$2,"Atrasado",IF(M478&lt;=EOMONTH(Parametros!$B$2,0),"Previsto no mês","Em dia"))))))</f>
        <v/>
      </c>
    </row>
    <row r="479">
      <c r="I479" s="18">
        <f>IF(A479="","",COUNTIFS(Pedidos!$C:$C,A479,Pedidos!$K:$K,Parametros!$B$3))</f>
        <v/>
      </c>
      <c r="J479" s="19">
        <f>IF(A479="","",SUMIFS(Pedidos!$E:$E,Pedidos!$C:$C,A479,Pedidos!$K:$K,Parametros!$B$3))</f>
        <v/>
      </c>
      <c r="K479" s="18">
        <f>IF(A479="","",COUNTIFS(Pedidos!$C:$C,A479,Pedidos!$K:$K,Parametros!$B$4))</f>
        <v/>
      </c>
      <c r="L479" s="20">
        <f>IF(A479="","",IF(COUNTIFS(Pedidos!$C:$C,A479,Pedidos!$B:$B,"&lt;="&amp;EOMONTH(Parametros!$B$2,0))=0,"",_xlfn.MAXIFS(Pedidos!$B:$B,Pedidos!$C:$C,A479,Pedidos!$B:$B,"&lt;="&amp;EOMONTH(Parametros!$B$2,0))))</f>
        <v/>
      </c>
      <c r="M479" s="20">
        <f>IF(OR(L479="",F479=""),"",EDATE(L479,F479))</f>
        <v/>
      </c>
      <c r="N479" s="21">
        <f>IF(A479="","",IF(L479="","Sem histórico",IF(AND(L479&gt;=Parametros!$B$2,L479&lt;=EOMONTH(Parametros!$B$2,0)),"Comprou no mês",IF(M479="","Sem periodicidade",IF(M479&lt;Parametros!$B$2,"Atrasado",IF(M479&lt;=EOMONTH(Parametros!$B$2,0),"Previsto no mês","Em dia"))))))</f>
        <v/>
      </c>
    </row>
    <row r="480">
      <c r="I480" s="18">
        <f>IF(A480="","",COUNTIFS(Pedidos!$C:$C,A480,Pedidos!$K:$K,Parametros!$B$3))</f>
        <v/>
      </c>
      <c r="J480" s="19">
        <f>IF(A480="","",SUMIFS(Pedidos!$E:$E,Pedidos!$C:$C,A480,Pedidos!$K:$K,Parametros!$B$3))</f>
        <v/>
      </c>
      <c r="K480" s="18">
        <f>IF(A480="","",COUNTIFS(Pedidos!$C:$C,A480,Pedidos!$K:$K,Parametros!$B$4))</f>
        <v/>
      </c>
      <c r="L480" s="20">
        <f>IF(A480="","",IF(COUNTIFS(Pedidos!$C:$C,A480,Pedidos!$B:$B,"&lt;="&amp;EOMONTH(Parametros!$B$2,0))=0,"",_xlfn.MAXIFS(Pedidos!$B:$B,Pedidos!$C:$C,A480,Pedidos!$B:$B,"&lt;="&amp;EOMONTH(Parametros!$B$2,0))))</f>
        <v/>
      </c>
      <c r="M480" s="20">
        <f>IF(OR(L480="",F480=""),"",EDATE(L480,F480))</f>
        <v/>
      </c>
      <c r="N480" s="21">
        <f>IF(A480="","",IF(L480="","Sem histórico",IF(AND(L480&gt;=Parametros!$B$2,L480&lt;=EOMONTH(Parametros!$B$2,0)),"Comprou no mês",IF(M480="","Sem periodicidade",IF(M480&lt;Parametros!$B$2,"Atrasado",IF(M480&lt;=EOMONTH(Parametros!$B$2,0),"Previsto no mês","Em dia"))))))</f>
        <v/>
      </c>
    </row>
    <row r="481">
      <c r="I481" s="18">
        <f>IF(A481="","",COUNTIFS(Pedidos!$C:$C,A481,Pedidos!$K:$K,Parametros!$B$3))</f>
        <v/>
      </c>
      <c r="J481" s="19">
        <f>IF(A481="","",SUMIFS(Pedidos!$E:$E,Pedidos!$C:$C,A481,Pedidos!$K:$K,Parametros!$B$3))</f>
        <v/>
      </c>
      <c r="K481" s="18">
        <f>IF(A481="","",COUNTIFS(Pedidos!$C:$C,A481,Pedidos!$K:$K,Parametros!$B$4))</f>
        <v/>
      </c>
      <c r="L481" s="20">
        <f>IF(A481="","",IF(COUNTIFS(Pedidos!$C:$C,A481,Pedidos!$B:$B,"&lt;="&amp;EOMONTH(Parametros!$B$2,0))=0,"",_xlfn.MAXIFS(Pedidos!$B:$B,Pedidos!$C:$C,A481,Pedidos!$B:$B,"&lt;="&amp;EOMONTH(Parametros!$B$2,0))))</f>
        <v/>
      </c>
      <c r="M481" s="20">
        <f>IF(OR(L481="",F481=""),"",EDATE(L481,F481))</f>
        <v/>
      </c>
      <c r="N481" s="21">
        <f>IF(A481="","",IF(L481="","Sem histórico",IF(AND(L481&gt;=Parametros!$B$2,L481&lt;=EOMONTH(Parametros!$B$2,0)),"Comprou no mês",IF(M481="","Sem periodicidade",IF(M481&lt;Parametros!$B$2,"Atrasado",IF(M481&lt;=EOMONTH(Parametros!$B$2,0),"Previsto no mês","Em dia"))))))</f>
        <v/>
      </c>
    </row>
    <row r="482">
      <c r="I482" s="18">
        <f>IF(A482="","",COUNTIFS(Pedidos!$C:$C,A482,Pedidos!$K:$K,Parametros!$B$3))</f>
        <v/>
      </c>
      <c r="J482" s="19">
        <f>IF(A482="","",SUMIFS(Pedidos!$E:$E,Pedidos!$C:$C,A482,Pedidos!$K:$K,Parametros!$B$3))</f>
        <v/>
      </c>
      <c r="K482" s="18">
        <f>IF(A482="","",COUNTIFS(Pedidos!$C:$C,A482,Pedidos!$K:$K,Parametros!$B$4))</f>
        <v/>
      </c>
      <c r="L482" s="20">
        <f>IF(A482="","",IF(COUNTIFS(Pedidos!$C:$C,A482,Pedidos!$B:$B,"&lt;="&amp;EOMONTH(Parametros!$B$2,0))=0,"",_xlfn.MAXIFS(Pedidos!$B:$B,Pedidos!$C:$C,A482,Pedidos!$B:$B,"&lt;="&amp;EOMONTH(Parametros!$B$2,0))))</f>
        <v/>
      </c>
      <c r="M482" s="20">
        <f>IF(OR(L482="",F482=""),"",EDATE(L482,F482))</f>
        <v/>
      </c>
      <c r="N482" s="21">
        <f>IF(A482="","",IF(L482="","Sem histórico",IF(AND(L482&gt;=Parametros!$B$2,L482&lt;=EOMONTH(Parametros!$B$2,0)),"Comprou no mês",IF(M482="","Sem periodicidade",IF(M482&lt;Parametros!$B$2,"Atrasado",IF(M482&lt;=EOMONTH(Parametros!$B$2,0),"Previsto no mês","Em dia"))))))</f>
        <v/>
      </c>
    </row>
    <row r="483">
      <c r="I483" s="18">
        <f>IF(A483="","",COUNTIFS(Pedidos!$C:$C,A483,Pedidos!$K:$K,Parametros!$B$3))</f>
        <v/>
      </c>
      <c r="J483" s="19">
        <f>IF(A483="","",SUMIFS(Pedidos!$E:$E,Pedidos!$C:$C,A483,Pedidos!$K:$K,Parametros!$B$3))</f>
        <v/>
      </c>
      <c r="K483" s="18">
        <f>IF(A483="","",COUNTIFS(Pedidos!$C:$C,A483,Pedidos!$K:$K,Parametros!$B$4))</f>
        <v/>
      </c>
      <c r="L483" s="20">
        <f>IF(A483="","",IF(COUNTIFS(Pedidos!$C:$C,A483,Pedidos!$B:$B,"&lt;="&amp;EOMONTH(Parametros!$B$2,0))=0,"",_xlfn.MAXIFS(Pedidos!$B:$B,Pedidos!$C:$C,A483,Pedidos!$B:$B,"&lt;="&amp;EOMONTH(Parametros!$B$2,0))))</f>
        <v/>
      </c>
      <c r="M483" s="20">
        <f>IF(OR(L483="",F483=""),"",EDATE(L483,F483))</f>
        <v/>
      </c>
      <c r="N483" s="21">
        <f>IF(A483="","",IF(L483="","Sem histórico",IF(AND(L483&gt;=Parametros!$B$2,L483&lt;=EOMONTH(Parametros!$B$2,0)),"Comprou no mês",IF(M483="","Sem periodicidade",IF(M483&lt;Parametros!$B$2,"Atrasado",IF(M483&lt;=EOMONTH(Parametros!$B$2,0),"Previsto no mês","Em dia"))))))</f>
        <v/>
      </c>
    </row>
    <row r="484">
      <c r="I484" s="18">
        <f>IF(A484="","",COUNTIFS(Pedidos!$C:$C,A484,Pedidos!$K:$K,Parametros!$B$3))</f>
        <v/>
      </c>
      <c r="J484" s="19">
        <f>IF(A484="","",SUMIFS(Pedidos!$E:$E,Pedidos!$C:$C,A484,Pedidos!$K:$K,Parametros!$B$3))</f>
        <v/>
      </c>
      <c r="K484" s="18">
        <f>IF(A484="","",COUNTIFS(Pedidos!$C:$C,A484,Pedidos!$K:$K,Parametros!$B$4))</f>
        <v/>
      </c>
      <c r="L484" s="20">
        <f>IF(A484="","",IF(COUNTIFS(Pedidos!$C:$C,A484,Pedidos!$B:$B,"&lt;="&amp;EOMONTH(Parametros!$B$2,0))=0,"",_xlfn.MAXIFS(Pedidos!$B:$B,Pedidos!$C:$C,A484,Pedidos!$B:$B,"&lt;="&amp;EOMONTH(Parametros!$B$2,0))))</f>
        <v/>
      </c>
      <c r="M484" s="20">
        <f>IF(OR(L484="",F484=""),"",EDATE(L484,F484))</f>
        <v/>
      </c>
      <c r="N484" s="21">
        <f>IF(A484="","",IF(L484="","Sem histórico",IF(AND(L484&gt;=Parametros!$B$2,L484&lt;=EOMONTH(Parametros!$B$2,0)),"Comprou no mês",IF(M484="","Sem periodicidade",IF(M484&lt;Parametros!$B$2,"Atrasado",IF(M484&lt;=EOMONTH(Parametros!$B$2,0),"Previsto no mês","Em dia"))))))</f>
        <v/>
      </c>
    </row>
    <row r="485">
      <c r="I485" s="18">
        <f>IF(A485="","",COUNTIFS(Pedidos!$C:$C,A485,Pedidos!$K:$K,Parametros!$B$3))</f>
        <v/>
      </c>
      <c r="J485" s="19">
        <f>IF(A485="","",SUMIFS(Pedidos!$E:$E,Pedidos!$C:$C,A485,Pedidos!$K:$K,Parametros!$B$3))</f>
        <v/>
      </c>
      <c r="K485" s="18">
        <f>IF(A485="","",COUNTIFS(Pedidos!$C:$C,A485,Pedidos!$K:$K,Parametros!$B$4))</f>
        <v/>
      </c>
      <c r="L485" s="20">
        <f>IF(A485="","",IF(COUNTIFS(Pedidos!$C:$C,A485,Pedidos!$B:$B,"&lt;="&amp;EOMONTH(Parametros!$B$2,0))=0,"",_xlfn.MAXIFS(Pedidos!$B:$B,Pedidos!$C:$C,A485,Pedidos!$B:$B,"&lt;="&amp;EOMONTH(Parametros!$B$2,0))))</f>
        <v/>
      </c>
      <c r="M485" s="20">
        <f>IF(OR(L485="",F485=""),"",EDATE(L485,F485))</f>
        <v/>
      </c>
      <c r="N485" s="21">
        <f>IF(A485="","",IF(L485="","Sem histórico",IF(AND(L485&gt;=Parametros!$B$2,L485&lt;=EOMONTH(Parametros!$B$2,0)),"Comprou no mês",IF(M485="","Sem periodicidade",IF(M485&lt;Parametros!$B$2,"Atrasado",IF(M485&lt;=EOMONTH(Parametros!$B$2,0),"Previsto no mês","Em dia"))))))</f>
        <v/>
      </c>
    </row>
    <row r="486">
      <c r="I486" s="18">
        <f>IF(A486="","",COUNTIFS(Pedidos!$C:$C,A486,Pedidos!$K:$K,Parametros!$B$3))</f>
        <v/>
      </c>
      <c r="J486" s="19">
        <f>IF(A486="","",SUMIFS(Pedidos!$E:$E,Pedidos!$C:$C,A486,Pedidos!$K:$K,Parametros!$B$3))</f>
        <v/>
      </c>
      <c r="K486" s="18">
        <f>IF(A486="","",COUNTIFS(Pedidos!$C:$C,A486,Pedidos!$K:$K,Parametros!$B$4))</f>
        <v/>
      </c>
      <c r="L486" s="20">
        <f>IF(A486="","",IF(COUNTIFS(Pedidos!$C:$C,A486,Pedidos!$B:$B,"&lt;="&amp;EOMONTH(Parametros!$B$2,0))=0,"",_xlfn.MAXIFS(Pedidos!$B:$B,Pedidos!$C:$C,A486,Pedidos!$B:$B,"&lt;="&amp;EOMONTH(Parametros!$B$2,0))))</f>
        <v/>
      </c>
      <c r="M486" s="20">
        <f>IF(OR(L486="",F486=""),"",EDATE(L486,F486))</f>
        <v/>
      </c>
      <c r="N486" s="21">
        <f>IF(A486="","",IF(L486="","Sem histórico",IF(AND(L486&gt;=Parametros!$B$2,L486&lt;=EOMONTH(Parametros!$B$2,0)),"Comprou no mês",IF(M486="","Sem periodicidade",IF(M486&lt;Parametros!$B$2,"Atrasado",IF(M486&lt;=EOMONTH(Parametros!$B$2,0),"Previsto no mês","Em dia"))))))</f>
        <v/>
      </c>
    </row>
    <row r="487">
      <c r="I487" s="18">
        <f>IF(A487="","",COUNTIFS(Pedidos!$C:$C,A487,Pedidos!$K:$K,Parametros!$B$3))</f>
        <v/>
      </c>
      <c r="J487" s="19">
        <f>IF(A487="","",SUMIFS(Pedidos!$E:$E,Pedidos!$C:$C,A487,Pedidos!$K:$K,Parametros!$B$3))</f>
        <v/>
      </c>
      <c r="K487" s="18">
        <f>IF(A487="","",COUNTIFS(Pedidos!$C:$C,A487,Pedidos!$K:$K,Parametros!$B$4))</f>
        <v/>
      </c>
      <c r="L487" s="20">
        <f>IF(A487="","",IF(COUNTIFS(Pedidos!$C:$C,A487,Pedidos!$B:$B,"&lt;="&amp;EOMONTH(Parametros!$B$2,0))=0,"",_xlfn.MAXIFS(Pedidos!$B:$B,Pedidos!$C:$C,A487,Pedidos!$B:$B,"&lt;="&amp;EOMONTH(Parametros!$B$2,0))))</f>
        <v/>
      </c>
      <c r="M487" s="20">
        <f>IF(OR(L487="",F487=""),"",EDATE(L487,F487))</f>
        <v/>
      </c>
      <c r="N487" s="21">
        <f>IF(A487="","",IF(L487="","Sem histórico",IF(AND(L487&gt;=Parametros!$B$2,L487&lt;=EOMONTH(Parametros!$B$2,0)),"Comprou no mês",IF(M487="","Sem periodicidade",IF(M487&lt;Parametros!$B$2,"Atrasado",IF(M487&lt;=EOMONTH(Parametros!$B$2,0),"Previsto no mês","Em dia"))))))</f>
        <v/>
      </c>
    </row>
    <row r="488">
      <c r="I488" s="18">
        <f>IF(A488="","",COUNTIFS(Pedidos!$C:$C,A488,Pedidos!$K:$K,Parametros!$B$3))</f>
        <v/>
      </c>
      <c r="J488" s="19">
        <f>IF(A488="","",SUMIFS(Pedidos!$E:$E,Pedidos!$C:$C,A488,Pedidos!$K:$K,Parametros!$B$3))</f>
        <v/>
      </c>
      <c r="K488" s="18">
        <f>IF(A488="","",COUNTIFS(Pedidos!$C:$C,A488,Pedidos!$K:$K,Parametros!$B$4))</f>
        <v/>
      </c>
      <c r="L488" s="20">
        <f>IF(A488="","",IF(COUNTIFS(Pedidos!$C:$C,A488,Pedidos!$B:$B,"&lt;="&amp;EOMONTH(Parametros!$B$2,0))=0,"",_xlfn.MAXIFS(Pedidos!$B:$B,Pedidos!$C:$C,A488,Pedidos!$B:$B,"&lt;="&amp;EOMONTH(Parametros!$B$2,0))))</f>
        <v/>
      </c>
      <c r="M488" s="20">
        <f>IF(OR(L488="",F488=""),"",EDATE(L488,F488))</f>
        <v/>
      </c>
      <c r="N488" s="21">
        <f>IF(A488="","",IF(L488="","Sem histórico",IF(AND(L488&gt;=Parametros!$B$2,L488&lt;=EOMONTH(Parametros!$B$2,0)),"Comprou no mês",IF(M488="","Sem periodicidade",IF(M488&lt;Parametros!$B$2,"Atrasado",IF(M488&lt;=EOMONTH(Parametros!$B$2,0),"Previsto no mês","Em dia"))))))</f>
        <v/>
      </c>
    </row>
    <row r="489">
      <c r="I489" s="18">
        <f>IF(A489="","",COUNTIFS(Pedidos!$C:$C,A489,Pedidos!$K:$K,Parametros!$B$3))</f>
        <v/>
      </c>
      <c r="J489" s="19">
        <f>IF(A489="","",SUMIFS(Pedidos!$E:$E,Pedidos!$C:$C,A489,Pedidos!$K:$K,Parametros!$B$3))</f>
        <v/>
      </c>
      <c r="K489" s="18">
        <f>IF(A489="","",COUNTIFS(Pedidos!$C:$C,A489,Pedidos!$K:$K,Parametros!$B$4))</f>
        <v/>
      </c>
      <c r="L489" s="20">
        <f>IF(A489="","",IF(COUNTIFS(Pedidos!$C:$C,A489,Pedidos!$B:$B,"&lt;="&amp;EOMONTH(Parametros!$B$2,0))=0,"",_xlfn.MAXIFS(Pedidos!$B:$B,Pedidos!$C:$C,A489,Pedidos!$B:$B,"&lt;="&amp;EOMONTH(Parametros!$B$2,0))))</f>
        <v/>
      </c>
      <c r="M489" s="20">
        <f>IF(OR(L489="",F489=""),"",EDATE(L489,F489))</f>
        <v/>
      </c>
      <c r="N489" s="21">
        <f>IF(A489="","",IF(L489="","Sem histórico",IF(AND(L489&gt;=Parametros!$B$2,L489&lt;=EOMONTH(Parametros!$B$2,0)),"Comprou no mês",IF(M489="","Sem periodicidade",IF(M489&lt;Parametros!$B$2,"Atrasado",IF(M489&lt;=EOMONTH(Parametros!$B$2,0),"Previsto no mês","Em dia"))))))</f>
        <v/>
      </c>
    </row>
    <row r="490">
      <c r="I490" s="18">
        <f>IF(A490="","",COUNTIFS(Pedidos!$C:$C,A490,Pedidos!$K:$K,Parametros!$B$3))</f>
        <v/>
      </c>
      <c r="J490" s="19">
        <f>IF(A490="","",SUMIFS(Pedidos!$E:$E,Pedidos!$C:$C,A490,Pedidos!$K:$K,Parametros!$B$3))</f>
        <v/>
      </c>
      <c r="K490" s="18">
        <f>IF(A490="","",COUNTIFS(Pedidos!$C:$C,A490,Pedidos!$K:$K,Parametros!$B$4))</f>
        <v/>
      </c>
      <c r="L490" s="20">
        <f>IF(A490="","",IF(COUNTIFS(Pedidos!$C:$C,A490,Pedidos!$B:$B,"&lt;="&amp;EOMONTH(Parametros!$B$2,0))=0,"",_xlfn.MAXIFS(Pedidos!$B:$B,Pedidos!$C:$C,A490,Pedidos!$B:$B,"&lt;="&amp;EOMONTH(Parametros!$B$2,0))))</f>
        <v/>
      </c>
      <c r="M490" s="20">
        <f>IF(OR(L490="",F490=""),"",EDATE(L490,F490))</f>
        <v/>
      </c>
      <c r="N490" s="21">
        <f>IF(A490="","",IF(L490="","Sem histórico",IF(AND(L490&gt;=Parametros!$B$2,L490&lt;=EOMONTH(Parametros!$B$2,0)),"Comprou no mês",IF(M490="","Sem periodicidade",IF(M490&lt;Parametros!$B$2,"Atrasado",IF(M490&lt;=EOMONTH(Parametros!$B$2,0),"Previsto no mês","Em dia"))))))</f>
        <v/>
      </c>
    </row>
    <row r="491">
      <c r="I491" s="18">
        <f>IF(A491="","",COUNTIFS(Pedidos!$C:$C,A491,Pedidos!$K:$K,Parametros!$B$3))</f>
        <v/>
      </c>
      <c r="J491" s="19">
        <f>IF(A491="","",SUMIFS(Pedidos!$E:$E,Pedidos!$C:$C,A491,Pedidos!$K:$K,Parametros!$B$3))</f>
        <v/>
      </c>
      <c r="K491" s="18">
        <f>IF(A491="","",COUNTIFS(Pedidos!$C:$C,A491,Pedidos!$K:$K,Parametros!$B$4))</f>
        <v/>
      </c>
      <c r="L491" s="20">
        <f>IF(A491="","",IF(COUNTIFS(Pedidos!$C:$C,A491,Pedidos!$B:$B,"&lt;="&amp;EOMONTH(Parametros!$B$2,0))=0,"",_xlfn.MAXIFS(Pedidos!$B:$B,Pedidos!$C:$C,A491,Pedidos!$B:$B,"&lt;="&amp;EOMONTH(Parametros!$B$2,0))))</f>
        <v/>
      </c>
      <c r="M491" s="20">
        <f>IF(OR(L491="",F491=""),"",EDATE(L491,F491))</f>
        <v/>
      </c>
      <c r="N491" s="21">
        <f>IF(A491="","",IF(L491="","Sem histórico",IF(AND(L491&gt;=Parametros!$B$2,L491&lt;=EOMONTH(Parametros!$B$2,0)),"Comprou no mês",IF(M491="","Sem periodicidade",IF(M491&lt;Parametros!$B$2,"Atrasado",IF(M491&lt;=EOMONTH(Parametros!$B$2,0),"Previsto no mês","Em dia"))))))</f>
        <v/>
      </c>
    </row>
    <row r="492">
      <c r="I492" s="18">
        <f>IF(A492="","",COUNTIFS(Pedidos!$C:$C,A492,Pedidos!$K:$K,Parametros!$B$3))</f>
        <v/>
      </c>
      <c r="J492" s="19">
        <f>IF(A492="","",SUMIFS(Pedidos!$E:$E,Pedidos!$C:$C,A492,Pedidos!$K:$K,Parametros!$B$3))</f>
        <v/>
      </c>
      <c r="K492" s="18">
        <f>IF(A492="","",COUNTIFS(Pedidos!$C:$C,A492,Pedidos!$K:$K,Parametros!$B$4))</f>
        <v/>
      </c>
      <c r="L492" s="20">
        <f>IF(A492="","",IF(COUNTIFS(Pedidos!$C:$C,A492,Pedidos!$B:$B,"&lt;="&amp;EOMONTH(Parametros!$B$2,0))=0,"",_xlfn.MAXIFS(Pedidos!$B:$B,Pedidos!$C:$C,A492,Pedidos!$B:$B,"&lt;="&amp;EOMONTH(Parametros!$B$2,0))))</f>
        <v/>
      </c>
      <c r="M492" s="20">
        <f>IF(OR(L492="",F492=""),"",EDATE(L492,F492))</f>
        <v/>
      </c>
      <c r="N492" s="21">
        <f>IF(A492="","",IF(L492="","Sem histórico",IF(AND(L492&gt;=Parametros!$B$2,L492&lt;=EOMONTH(Parametros!$B$2,0)),"Comprou no mês",IF(M492="","Sem periodicidade",IF(M492&lt;Parametros!$B$2,"Atrasado",IF(M492&lt;=EOMONTH(Parametros!$B$2,0),"Previsto no mês","Em dia"))))))</f>
        <v/>
      </c>
    </row>
    <row r="493">
      <c r="I493" s="18">
        <f>IF(A493="","",COUNTIFS(Pedidos!$C:$C,A493,Pedidos!$K:$K,Parametros!$B$3))</f>
        <v/>
      </c>
      <c r="J493" s="19">
        <f>IF(A493="","",SUMIFS(Pedidos!$E:$E,Pedidos!$C:$C,A493,Pedidos!$K:$K,Parametros!$B$3))</f>
        <v/>
      </c>
      <c r="K493" s="18">
        <f>IF(A493="","",COUNTIFS(Pedidos!$C:$C,A493,Pedidos!$K:$K,Parametros!$B$4))</f>
        <v/>
      </c>
      <c r="L493" s="20">
        <f>IF(A493="","",IF(COUNTIFS(Pedidos!$C:$C,A493,Pedidos!$B:$B,"&lt;="&amp;EOMONTH(Parametros!$B$2,0))=0,"",_xlfn.MAXIFS(Pedidos!$B:$B,Pedidos!$C:$C,A493,Pedidos!$B:$B,"&lt;="&amp;EOMONTH(Parametros!$B$2,0))))</f>
        <v/>
      </c>
      <c r="M493" s="20">
        <f>IF(OR(L493="",F493=""),"",EDATE(L493,F493))</f>
        <v/>
      </c>
      <c r="N493" s="21">
        <f>IF(A493="","",IF(L493="","Sem histórico",IF(AND(L493&gt;=Parametros!$B$2,L493&lt;=EOMONTH(Parametros!$B$2,0)),"Comprou no mês",IF(M493="","Sem periodicidade",IF(M493&lt;Parametros!$B$2,"Atrasado",IF(M493&lt;=EOMONTH(Parametros!$B$2,0),"Previsto no mês","Em dia"))))))</f>
        <v/>
      </c>
    </row>
    <row r="494">
      <c r="I494" s="18">
        <f>IF(A494="","",COUNTIFS(Pedidos!$C:$C,A494,Pedidos!$K:$K,Parametros!$B$3))</f>
        <v/>
      </c>
      <c r="J494" s="19">
        <f>IF(A494="","",SUMIFS(Pedidos!$E:$E,Pedidos!$C:$C,A494,Pedidos!$K:$K,Parametros!$B$3))</f>
        <v/>
      </c>
      <c r="K494" s="18">
        <f>IF(A494="","",COUNTIFS(Pedidos!$C:$C,A494,Pedidos!$K:$K,Parametros!$B$4))</f>
        <v/>
      </c>
      <c r="L494" s="20">
        <f>IF(A494="","",IF(COUNTIFS(Pedidos!$C:$C,A494,Pedidos!$B:$B,"&lt;="&amp;EOMONTH(Parametros!$B$2,0))=0,"",_xlfn.MAXIFS(Pedidos!$B:$B,Pedidos!$C:$C,A494,Pedidos!$B:$B,"&lt;="&amp;EOMONTH(Parametros!$B$2,0))))</f>
        <v/>
      </c>
      <c r="M494" s="20">
        <f>IF(OR(L494="",F494=""),"",EDATE(L494,F494))</f>
        <v/>
      </c>
      <c r="N494" s="21">
        <f>IF(A494="","",IF(L494="","Sem histórico",IF(AND(L494&gt;=Parametros!$B$2,L494&lt;=EOMONTH(Parametros!$B$2,0)),"Comprou no mês",IF(M494="","Sem periodicidade",IF(M494&lt;Parametros!$B$2,"Atrasado",IF(M494&lt;=EOMONTH(Parametros!$B$2,0),"Previsto no mês","Em dia"))))))</f>
        <v/>
      </c>
    </row>
    <row r="495">
      <c r="I495" s="18">
        <f>IF(A495="","",COUNTIFS(Pedidos!$C:$C,A495,Pedidos!$K:$K,Parametros!$B$3))</f>
        <v/>
      </c>
      <c r="J495" s="19">
        <f>IF(A495="","",SUMIFS(Pedidos!$E:$E,Pedidos!$C:$C,A495,Pedidos!$K:$K,Parametros!$B$3))</f>
        <v/>
      </c>
      <c r="K495" s="18">
        <f>IF(A495="","",COUNTIFS(Pedidos!$C:$C,A495,Pedidos!$K:$K,Parametros!$B$4))</f>
        <v/>
      </c>
      <c r="L495" s="20">
        <f>IF(A495="","",IF(COUNTIFS(Pedidos!$C:$C,A495,Pedidos!$B:$B,"&lt;="&amp;EOMONTH(Parametros!$B$2,0))=0,"",_xlfn.MAXIFS(Pedidos!$B:$B,Pedidos!$C:$C,A495,Pedidos!$B:$B,"&lt;="&amp;EOMONTH(Parametros!$B$2,0))))</f>
        <v/>
      </c>
      <c r="M495" s="20">
        <f>IF(OR(L495="",F495=""),"",EDATE(L495,F495))</f>
        <v/>
      </c>
      <c r="N495" s="21">
        <f>IF(A495="","",IF(L495="","Sem histórico",IF(AND(L495&gt;=Parametros!$B$2,L495&lt;=EOMONTH(Parametros!$B$2,0)),"Comprou no mês",IF(M495="","Sem periodicidade",IF(M495&lt;Parametros!$B$2,"Atrasado",IF(M495&lt;=EOMONTH(Parametros!$B$2,0),"Previsto no mês","Em dia"))))))</f>
        <v/>
      </c>
    </row>
    <row r="496">
      <c r="I496" s="18">
        <f>IF(A496="","",COUNTIFS(Pedidos!$C:$C,A496,Pedidos!$K:$K,Parametros!$B$3))</f>
        <v/>
      </c>
      <c r="J496" s="19">
        <f>IF(A496="","",SUMIFS(Pedidos!$E:$E,Pedidos!$C:$C,A496,Pedidos!$K:$K,Parametros!$B$3))</f>
        <v/>
      </c>
      <c r="K496" s="18">
        <f>IF(A496="","",COUNTIFS(Pedidos!$C:$C,A496,Pedidos!$K:$K,Parametros!$B$4))</f>
        <v/>
      </c>
      <c r="L496" s="20">
        <f>IF(A496="","",IF(COUNTIFS(Pedidos!$C:$C,A496,Pedidos!$B:$B,"&lt;="&amp;EOMONTH(Parametros!$B$2,0))=0,"",_xlfn.MAXIFS(Pedidos!$B:$B,Pedidos!$C:$C,A496,Pedidos!$B:$B,"&lt;="&amp;EOMONTH(Parametros!$B$2,0))))</f>
        <v/>
      </c>
      <c r="M496" s="20">
        <f>IF(OR(L496="",F496=""),"",EDATE(L496,F496))</f>
        <v/>
      </c>
      <c r="N496" s="21">
        <f>IF(A496="","",IF(L496="","Sem histórico",IF(AND(L496&gt;=Parametros!$B$2,L496&lt;=EOMONTH(Parametros!$B$2,0)),"Comprou no mês",IF(M496="","Sem periodicidade",IF(M496&lt;Parametros!$B$2,"Atrasado",IF(M496&lt;=EOMONTH(Parametros!$B$2,0),"Previsto no mês","Em dia"))))))</f>
        <v/>
      </c>
    </row>
    <row r="497">
      <c r="I497" s="18">
        <f>IF(A497="","",COUNTIFS(Pedidos!$C:$C,A497,Pedidos!$K:$K,Parametros!$B$3))</f>
        <v/>
      </c>
      <c r="J497" s="19">
        <f>IF(A497="","",SUMIFS(Pedidos!$E:$E,Pedidos!$C:$C,A497,Pedidos!$K:$K,Parametros!$B$3))</f>
        <v/>
      </c>
      <c r="K497" s="18">
        <f>IF(A497="","",COUNTIFS(Pedidos!$C:$C,A497,Pedidos!$K:$K,Parametros!$B$4))</f>
        <v/>
      </c>
      <c r="L497" s="20">
        <f>IF(A497="","",IF(COUNTIFS(Pedidos!$C:$C,A497,Pedidos!$B:$B,"&lt;="&amp;EOMONTH(Parametros!$B$2,0))=0,"",_xlfn.MAXIFS(Pedidos!$B:$B,Pedidos!$C:$C,A497,Pedidos!$B:$B,"&lt;="&amp;EOMONTH(Parametros!$B$2,0))))</f>
        <v/>
      </c>
      <c r="M497" s="20">
        <f>IF(OR(L497="",F497=""),"",EDATE(L497,F497))</f>
        <v/>
      </c>
      <c r="N497" s="21">
        <f>IF(A497="","",IF(L497="","Sem histórico",IF(AND(L497&gt;=Parametros!$B$2,L497&lt;=EOMONTH(Parametros!$B$2,0)),"Comprou no mês",IF(M497="","Sem periodicidade",IF(M497&lt;Parametros!$B$2,"Atrasado",IF(M497&lt;=EOMONTH(Parametros!$B$2,0),"Previsto no mês","Em dia"))))))</f>
        <v/>
      </c>
    </row>
    <row r="498">
      <c r="I498" s="18">
        <f>IF(A498="","",COUNTIFS(Pedidos!$C:$C,A498,Pedidos!$K:$K,Parametros!$B$3))</f>
        <v/>
      </c>
      <c r="J498" s="19">
        <f>IF(A498="","",SUMIFS(Pedidos!$E:$E,Pedidos!$C:$C,A498,Pedidos!$K:$K,Parametros!$B$3))</f>
        <v/>
      </c>
      <c r="K498" s="18">
        <f>IF(A498="","",COUNTIFS(Pedidos!$C:$C,A498,Pedidos!$K:$K,Parametros!$B$4))</f>
        <v/>
      </c>
      <c r="L498" s="20">
        <f>IF(A498="","",IF(COUNTIFS(Pedidos!$C:$C,A498,Pedidos!$B:$B,"&lt;="&amp;EOMONTH(Parametros!$B$2,0))=0,"",_xlfn.MAXIFS(Pedidos!$B:$B,Pedidos!$C:$C,A498,Pedidos!$B:$B,"&lt;="&amp;EOMONTH(Parametros!$B$2,0))))</f>
        <v/>
      </c>
      <c r="M498" s="20">
        <f>IF(OR(L498="",F498=""),"",EDATE(L498,F498))</f>
        <v/>
      </c>
      <c r="N498" s="21">
        <f>IF(A498="","",IF(L498="","Sem histórico",IF(AND(L498&gt;=Parametros!$B$2,L498&lt;=EOMONTH(Parametros!$B$2,0)),"Comprou no mês",IF(M498="","Sem periodicidade",IF(M498&lt;Parametros!$B$2,"Atrasado",IF(M498&lt;=EOMONTH(Parametros!$B$2,0),"Previsto no mês","Em dia"))))))</f>
        <v/>
      </c>
    </row>
    <row r="499">
      <c r="I499" s="18">
        <f>IF(A499="","",COUNTIFS(Pedidos!$C:$C,A499,Pedidos!$K:$K,Parametros!$B$3))</f>
        <v/>
      </c>
      <c r="J499" s="19">
        <f>IF(A499="","",SUMIFS(Pedidos!$E:$E,Pedidos!$C:$C,A499,Pedidos!$K:$K,Parametros!$B$3))</f>
        <v/>
      </c>
      <c r="K499" s="18">
        <f>IF(A499="","",COUNTIFS(Pedidos!$C:$C,A499,Pedidos!$K:$K,Parametros!$B$4))</f>
        <v/>
      </c>
      <c r="L499" s="20">
        <f>IF(A499="","",IF(COUNTIFS(Pedidos!$C:$C,A499,Pedidos!$B:$B,"&lt;="&amp;EOMONTH(Parametros!$B$2,0))=0,"",_xlfn.MAXIFS(Pedidos!$B:$B,Pedidos!$C:$C,A499,Pedidos!$B:$B,"&lt;="&amp;EOMONTH(Parametros!$B$2,0))))</f>
        <v/>
      </c>
      <c r="M499" s="20">
        <f>IF(OR(L499="",F499=""),"",EDATE(L499,F499))</f>
        <v/>
      </c>
      <c r="N499" s="21">
        <f>IF(A499="","",IF(L499="","Sem histórico",IF(AND(L499&gt;=Parametros!$B$2,L499&lt;=EOMONTH(Parametros!$B$2,0)),"Comprou no mês",IF(M499="","Sem periodicidade",IF(M499&lt;Parametros!$B$2,"Atrasado",IF(M499&lt;=EOMONTH(Parametros!$B$2,0),"Previsto no mês","Em dia"))))))</f>
        <v/>
      </c>
    </row>
    <row r="500">
      <c r="I500" s="18">
        <f>IF(A500="","",COUNTIFS(Pedidos!$C:$C,A500,Pedidos!$K:$K,Parametros!$B$3))</f>
        <v/>
      </c>
      <c r="J500" s="19">
        <f>IF(A500="","",SUMIFS(Pedidos!$E:$E,Pedidos!$C:$C,A500,Pedidos!$K:$K,Parametros!$B$3))</f>
        <v/>
      </c>
      <c r="K500" s="18">
        <f>IF(A500="","",COUNTIFS(Pedidos!$C:$C,A500,Pedidos!$K:$K,Parametros!$B$4))</f>
        <v/>
      </c>
      <c r="L500" s="20">
        <f>IF(A500="","",IF(COUNTIFS(Pedidos!$C:$C,A500,Pedidos!$B:$B,"&lt;="&amp;EOMONTH(Parametros!$B$2,0))=0,"",_xlfn.MAXIFS(Pedidos!$B:$B,Pedidos!$C:$C,A500,Pedidos!$B:$B,"&lt;="&amp;EOMONTH(Parametros!$B$2,0))))</f>
        <v/>
      </c>
      <c r="M500" s="20">
        <f>IF(OR(L500="",F500=""),"",EDATE(L500,F500))</f>
        <v/>
      </c>
      <c r="N500" s="21">
        <f>IF(A500="","",IF(L500="","Sem histórico",IF(AND(L500&gt;=Parametros!$B$2,L500&lt;=EOMONTH(Parametros!$B$2,0)),"Comprou no mês",IF(M500="","Sem periodicidade",IF(M500&lt;Parametros!$B$2,"Atrasado",IF(M500&lt;=EOMONTH(Parametros!$B$2,0),"Previsto no mês","Em dia"))))))</f>
        <v/>
      </c>
    </row>
    <row r="501">
      <c r="I501" s="18">
        <f>IF(A501="","",COUNTIFS(Pedidos!$C:$C,A501,Pedidos!$K:$K,Parametros!$B$3))</f>
        <v/>
      </c>
      <c r="J501" s="19">
        <f>IF(A501="","",SUMIFS(Pedidos!$E:$E,Pedidos!$C:$C,A501,Pedidos!$K:$K,Parametros!$B$3))</f>
        <v/>
      </c>
      <c r="K501" s="18">
        <f>IF(A501="","",COUNTIFS(Pedidos!$C:$C,A501,Pedidos!$K:$K,Parametros!$B$4))</f>
        <v/>
      </c>
      <c r="L501" s="20">
        <f>IF(A501="","",IF(COUNTIFS(Pedidos!$C:$C,A501,Pedidos!$B:$B,"&lt;="&amp;EOMONTH(Parametros!$B$2,0))=0,"",_xlfn.MAXIFS(Pedidos!$B:$B,Pedidos!$C:$C,A501,Pedidos!$B:$B,"&lt;="&amp;EOMONTH(Parametros!$B$2,0))))</f>
        <v/>
      </c>
      <c r="M501" s="20">
        <f>IF(OR(L501="",F501=""),"",EDATE(L501,F501))</f>
        <v/>
      </c>
      <c r="N501" s="21">
        <f>IF(A501="","",IF(L501="","Sem histórico",IF(AND(L501&gt;=Parametros!$B$2,L501&lt;=EOMONTH(Parametros!$B$2,0)),"Comprou no mês",IF(M501="","Sem periodicidade",IF(M501&lt;Parametros!$B$2,"Atrasado",IF(M501&lt;=EOMONTH(Parametros!$B$2,0),"Previsto no mês","Em dia"))))))</f>
        <v/>
      </c>
    </row>
  </sheetData>
  <autoFilter ref="A1:N1"/>
  <conditionalFormatting sqref="N2:N501">
    <cfRule type="expression" priority="1" dxfId="0">
      <formula>N2="Atrasado"</formula>
    </cfRule>
    <cfRule type="expression" priority="2" dxfId="1">
      <formula>N2="Comprou no mês"</formula>
    </cfRule>
    <cfRule type="expression" priority="3" dxfId="2">
      <formula>N2="Previsto no mês"</formula>
    </cfRule>
  </conditionalFormatting>
  <dataValidations count="2">
    <dataValidation sqref="F2:F501" showDropDown="0" showInputMessage="0" showErrorMessage="0" allowBlank="1" type="list">
      <formula1>=Listas!$B$2:$B$7</formula1>
    </dataValidation>
    <dataValidation sqref="G2:G501" showDropDown="0" showInputMessage="0" showErrorMessage="0" allowBlank="1" type="list">
      <formula1>=Listas!$A$2:$A$5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2" customWidth="1" min="4" max="4"/>
    <col width="13" customWidth="1" min="5" max="5"/>
    <col width="15" customWidth="1" min="6" max="6"/>
    <col width="12" customWidth="1" min="7" max="7"/>
    <col width="22" customWidth="1" min="8" max="8"/>
    <col width="22" customWidth="1" min="9" max="9"/>
    <col width="12" customWidth="1" min="10" max="10"/>
    <col width="12" customWidth="1" min="11" max="11"/>
    <col width="12" customWidth="1" min="12" max="12"/>
    <col width="21" customWidth="1" min="13" max="13"/>
    <col width="21" customWidth="1" min="14" max="14"/>
  </cols>
  <sheetData>
    <row r="1" ht="34" customHeight="1">
      <c r="A1" s="16" t="inlineStr">
        <is>
          <t>Nº Pedido</t>
        </is>
      </c>
      <c r="B1" s="16" t="inlineStr">
        <is>
          <t>Data do pedido</t>
        </is>
      </c>
      <c r="C1" s="16" t="inlineStr">
        <is>
          <t>Cód. Cliente</t>
        </is>
      </c>
      <c r="D1" s="16" t="inlineStr">
        <is>
          <t>Produto</t>
        </is>
      </c>
      <c r="E1" s="16" t="inlineStr">
        <is>
          <t>Toneladas</t>
        </is>
      </c>
      <c r="F1" s="16" t="inlineStr">
        <is>
          <t>Valor (USD)</t>
        </is>
      </c>
      <c r="G1" s="16" t="inlineStr">
        <is>
          <t>Incoterm</t>
        </is>
      </c>
      <c r="H1" s="16" t="inlineStr">
        <is>
          <t>Embarque negociado</t>
        </is>
      </c>
      <c r="I1" s="16" t="inlineStr">
        <is>
          <t>Embarque realizado</t>
        </is>
      </c>
      <c r="J1" s="17" t="inlineStr">
        <is>
          <t>Cliente</t>
        </is>
      </c>
      <c r="K1" s="17" t="inlineStr">
        <is>
          <t>Ano</t>
        </is>
      </c>
      <c r="L1" s="17" t="inlineStr">
        <is>
          <t>Mês</t>
        </is>
      </c>
      <c r="M1" s="17" t="inlineStr">
        <is>
          <t>Dias até embarque</t>
        </is>
      </c>
      <c r="N1" s="17" t="inlineStr">
        <is>
          <t>Prazo de embarque</t>
        </is>
      </c>
    </row>
    <row r="2">
      <c r="A2" t="inlineStr">
        <is>
          <t>PV1001</t>
        </is>
      </c>
      <c r="B2" s="22" t="n">
        <v>45698</v>
      </c>
      <c r="C2" t="inlineStr">
        <is>
          <t>C001</t>
        </is>
      </c>
      <c r="D2" t="inlineStr">
        <is>
          <t>Produto A 1kg</t>
        </is>
      </c>
      <c r="E2" s="23" t="n">
        <v>3.7</v>
      </c>
      <c r="F2" s="24" t="n">
        <v>33815.53</v>
      </c>
      <c r="G2" t="inlineStr">
        <is>
          <t>CFR</t>
        </is>
      </c>
      <c r="H2" s="22" t="n">
        <v>45728</v>
      </c>
      <c r="I2" s="22" t="n">
        <v>45730</v>
      </c>
      <c r="J2" s="21">
        <f>IF(C2="","",IFERROR(INDEX(Clientes!$B:$B,MATCH(C2,Clientes!$A:$A,0)),"Cód. não cadastrado"))</f>
        <v/>
      </c>
      <c r="K2" s="18">
        <f>IF(B2="","",YEAR(B2))</f>
        <v/>
      </c>
      <c r="L2" s="18">
        <f>IF(B2="","",MONTH(B2))</f>
        <v/>
      </c>
      <c r="M2" s="18">
        <f>IF(OR(B2="",I2=""),"",I2-B2)</f>
        <v/>
      </c>
      <c r="N2" s="21">
        <f>IF(B2="","",IF(I2="",IF(H2="","",IF(TODAY()&gt;H2,"Atrasado (em aberto)","Em aberto")),IF(I2&lt;=H2,"No prazo","Fora do prazo")))</f>
        <v/>
      </c>
    </row>
    <row r="3">
      <c r="A3" t="inlineStr">
        <is>
          <t>PV1002</t>
        </is>
      </c>
      <c r="B3" s="22" t="n">
        <v>45752</v>
      </c>
      <c r="C3" t="inlineStr">
        <is>
          <t>C001</t>
        </is>
      </c>
      <c r="D3" t="inlineStr">
        <is>
          <t>Produto B 5kg</t>
        </is>
      </c>
      <c r="E3" s="23" t="n">
        <v>3.2</v>
      </c>
      <c r="F3" s="24" t="n">
        <v>45069.71</v>
      </c>
      <c r="G3" t="inlineStr">
        <is>
          <t>CIF</t>
        </is>
      </c>
      <c r="H3" s="22" t="n">
        <v>45782</v>
      </c>
      <c r="I3" s="22" t="n">
        <v>45782</v>
      </c>
      <c r="J3" s="21">
        <f>IF(C3="","",IFERROR(INDEX(Clientes!$B:$B,MATCH(C3,Clientes!$A:$A,0)),"Cód. não cadastrado"))</f>
        <v/>
      </c>
      <c r="K3" s="18">
        <f>IF(B3="","",YEAR(B3))</f>
        <v/>
      </c>
      <c r="L3" s="18">
        <f>IF(B3="","",MONTH(B3))</f>
        <v/>
      </c>
      <c r="M3" s="18">
        <f>IF(OR(B3="",I3=""),"",I3-B3)</f>
        <v/>
      </c>
      <c r="N3" s="21">
        <f>IF(B3="","",IF(I3="",IF(H3="","",IF(TODAY()&gt;H3,"Atrasado (em aberto)","Em aberto")),IF(I3&lt;=H3,"No prazo","Fora do prazo")))</f>
        <v/>
      </c>
    </row>
    <row r="4">
      <c r="A4" t="inlineStr">
        <is>
          <t>PV1003</t>
        </is>
      </c>
      <c r="B4" s="22" t="n">
        <v>45827</v>
      </c>
      <c r="C4" t="inlineStr">
        <is>
          <t>C001</t>
        </is>
      </c>
      <c r="D4" t="inlineStr">
        <is>
          <t>Produto B 5kg</t>
        </is>
      </c>
      <c r="E4" s="23" t="n">
        <v>5</v>
      </c>
      <c r="F4" s="24" t="n">
        <v>30758.03</v>
      </c>
      <c r="G4" t="inlineStr">
        <is>
          <t>CFR</t>
        </is>
      </c>
      <c r="H4" s="22" t="n">
        <v>45857</v>
      </c>
      <c r="I4" s="22" t="n">
        <v>45866</v>
      </c>
      <c r="J4" s="21">
        <f>IF(C4="","",IFERROR(INDEX(Clientes!$B:$B,MATCH(C4,Clientes!$A:$A,0)),"Cód. não cadastrado"))</f>
        <v/>
      </c>
      <c r="K4" s="18">
        <f>IF(B4="","",YEAR(B4))</f>
        <v/>
      </c>
      <c r="L4" s="18">
        <f>IF(B4="","",MONTH(B4))</f>
        <v/>
      </c>
      <c r="M4" s="18">
        <f>IF(OR(B4="",I4=""),"",I4-B4)</f>
        <v/>
      </c>
      <c r="N4" s="21">
        <f>IF(B4="","",IF(I4="",IF(H4="","",IF(TODAY()&gt;H4,"Atrasado (em aberto)","Em aberto")),IF(I4&lt;=H4,"No prazo","Fora do prazo")))</f>
        <v/>
      </c>
    </row>
    <row r="5">
      <c r="A5" t="inlineStr">
        <is>
          <t>PV1004</t>
        </is>
      </c>
      <c r="B5" s="22" t="n">
        <v>45888</v>
      </c>
      <c r="C5" t="inlineStr">
        <is>
          <t>C001</t>
        </is>
      </c>
      <c r="D5" t="inlineStr">
        <is>
          <t>Produto B 5kg</t>
        </is>
      </c>
      <c r="E5" s="23" t="n">
        <v>3.4</v>
      </c>
      <c r="F5" s="24" t="n">
        <v>19211.82</v>
      </c>
      <c r="G5" t="inlineStr">
        <is>
          <t>CFR</t>
        </is>
      </c>
      <c r="H5" s="22" t="n">
        <v>45918</v>
      </c>
      <c r="I5" s="22" t="n">
        <v>45927</v>
      </c>
      <c r="J5" s="21">
        <f>IF(C5="","",IFERROR(INDEX(Clientes!$B:$B,MATCH(C5,Clientes!$A:$A,0)),"Cód. não cadastrado"))</f>
        <v/>
      </c>
      <c r="K5" s="18">
        <f>IF(B5="","",YEAR(B5))</f>
        <v/>
      </c>
      <c r="L5" s="18">
        <f>IF(B5="","",MONTH(B5))</f>
        <v/>
      </c>
      <c r="M5" s="18">
        <f>IF(OR(B5="",I5=""),"",I5-B5)</f>
        <v/>
      </c>
      <c r="N5" s="21">
        <f>IF(B5="","",IF(I5="",IF(H5="","",IF(TODAY()&gt;H5,"Atrasado (em aberto)","Em aberto")),IF(I5&lt;=H5,"No prazo","Fora do prazo")))</f>
        <v/>
      </c>
    </row>
    <row r="6">
      <c r="A6" t="inlineStr">
        <is>
          <t>PV1005</t>
        </is>
      </c>
      <c r="B6" s="22" t="n">
        <v>45946</v>
      </c>
      <c r="C6" t="inlineStr">
        <is>
          <t>C001</t>
        </is>
      </c>
      <c r="D6" t="inlineStr">
        <is>
          <t>Produto C granel 25kg</t>
        </is>
      </c>
      <c r="E6" s="23" t="n">
        <v>3.4</v>
      </c>
      <c r="F6" s="24" t="n">
        <v>47902.17</v>
      </c>
      <c r="G6" t="inlineStr">
        <is>
          <t>CFR</t>
        </is>
      </c>
      <c r="H6" s="22" t="n">
        <v>45976</v>
      </c>
      <c r="I6" s="22" t="n">
        <v>45981</v>
      </c>
      <c r="J6" s="21">
        <f>IF(C6="","",IFERROR(INDEX(Clientes!$B:$B,MATCH(C6,Clientes!$A:$A,0)),"Cód. não cadastrado"))</f>
        <v/>
      </c>
      <c r="K6" s="18">
        <f>IF(B6="","",YEAR(B6))</f>
        <v/>
      </c>
      <c r="L6" s="18">
        <f>IF(B6="","",MONTH(B6))</f>
        <v/>
      </c>
      <c r="M6" s="18">
        <f>IF(OR(B6="",I6=""),"",I6-B6)</f>
        <v/>
      </c>
      <c r="N6" s="21">
        <f>IF(B6="","",IF(I6="",IF(H6="","",IF(TODAY()&gt;H6,"Atrasado (em aberto)","Em aberto")),IF(I6&lt;=H6,"No prazo","Fora do prazo")))</f>
        <v/>
      </c>
    </row>
    <row r="7">
      <c r="A7" t="inlineStr">
        <is>
          <t>PV1006</t>
        </is>
      </c>
      <c r="B7" s="22" t="n">
        <v>46012</v>
      </c>
      <c r="C7" t="inlineStr">
        <is>
          <t>C001</t>
        </is>
      </c>
      <c r="D7" t="inlineStr">
        <is>
          <t>Produto C granel 25kg</t>
        </is>
      </c>
      <c r="E7" s="23" t="n">
        <v>7.9</v>
      </c>
      <c r="F7" s="24" t="n">
        <v>27806.8</v>
      </c>
      <c r="G7" t="inlineStr">
        <is>
          <t>CFR</t>
        </is>
      </c>
      <c r="H7" s="22" t="n">
        <v>46042</v>
      </c>
      <c r="I7" s="22" t="n">
        <v>46044</v>
      </c>
      <c r="J7" s="21">
        <f>IF(C7="","",IFERROR(INDEX(Clientes!$B:$B,MATCH(C7,Clientes!$A:$A,0)),"Cód. não cadastrado"))</f>
        <v/>
      </c>
      <c r="K7" s="18">
        <f>IF(B7="","",YEAR(B7))</f>
        <v/>
      </c>
      <c r="L7" s="18">
        <f>IF(B7="","",MONTH(B7))</f>
        <v/>
      </c>
      <c r="M7" s="18">
        <f>IF(OR(B7="",I7=""),"",I7-B7)</f>
        <v/>
      </c>
      <c r="N7" s="21">
        <f>IF(B7="","",IF(I7="",IF(H7="","",IF(TODAY()&gt;H7,"Atrasado (em aberto)","Em aberto")),IF(I7&lt;=H7,"No prazo","Fora do prazo")))</f>
        <v/>
      </c>
    </row>
    <row r="8">
      <c r="A8" t="inlineStr">
        <is>
          <t>PV1007</t>
        </is>
      </c>
      <c r="B8" s="22" t="n">
        <v>46118</v>
      </c>
      <c r="C8" t="inlineStr">
        <is>
          <t>C001</t>
        </is>
      </c>
      <c r="D8" t="inlineStr">
        <is>
          <t>Produto A 1kg</t>
        </is>
      </c>
      <c r="E8" s="23" t="n">
        <v>6</v>
      </c>
      <c r="F8" s="24" t="n">
        <v>24819.35</v>
      </c>
      <c r="G8" t="inlineStr">
        <is>
          <t>CFR</t>
        </is>
      </c>
      <c r="H8" s="22" t="n">
        <v>46148</v>
      </c>
      <c r="I8" s="22" t="n">
        <v>46150</v>
      </c>
      <c r="J8" s="21">
        <f>IF(C8="","",IFERROR(INDEX(Clientes!$B:$B,MATCH(C8,Clientes!$A:$A,0)),"Cód. não cadastrado"))</f>
        <v/>
      </c>
      <c r="K8" s="18">
        <f>IF(B8="","",YEAR(B8))</f>
        <v/>
      </c>
      <c r="L8" s="18">
        <f>IF(B8="","",MONTH(B8))</f>
        <v/>
      </c>
      <c r="M8" s="18">
        <f>IF(OR(B8="",I8=""),"",I8-B8)</f>
        <v/>
      </c>
      <c r="N8" s="21">
        <f>IF(B8="","",IF(I8="",IF(H8="","",IF(TODAY()&gt;H8,"Atrasado (em aberto)","Em aberto")),IF(I8&lt;=H8,"No prazo","Fora do prazo")))</f>
        <v/>
      </c>
    </row>
    <row r="9">
      <c r="A9" t="inlineStr">
        <is>
          <t>PV1008</t>
        </is>
      </c>
      <c r="B9" s="22" t="n">
        <v>46247</v>
      </c>
      <c r="C9" t="inlineStr">
        <is>
          <t>C001</t>
        </is>
      </c>
      <c r="D9" t="inlineStr">
        <is>
          <t>Produto B 5kg</t>
        </is>
      </c>
      <c r="E9" s="23" t="n">
        <v>3.5</v>
      </c>
      <c r="F9" s="24" t="n">
        <v>35213.43</v>
      </c>
      <c r="G9" t="inlineStr">
        <is>
          <t>CIF</t>
        </is>
      </c>
      <c r="H9" s="22" t="n">
        <v>46277</v>
      </c>
      <c r="I9" s="22" t="n">
        <v>46286</v>
      </c>
      <c r="J9" s="21">
        <f>IF(C9="","",IFERROR(INDEX(Clientes!$B:$B,MATCH(C9,Clientes!$A:$A,0)),"Cód. não cadastrado"))</f>
        <v/>
      </c>
      <c r="K9" s="18">
        <f>IF(B9="","",YEAR(B9))</f>
        <v/>
      </c>
      <c r="L9" s="18">
        <f>IF(B9="","",MONTH(B9))</f>
        <v/>
      </c>
      <c r="M9" s="18">
        <f>IF(OR(B9="",I9=""),"",I9-B9)</f>
        <v/>
      </c>
      <c r="N9" s="21">
        <f>IF(B9="","",IF(I9="",IF(H9="","",IF(TODAY()&gt;H9,"Atrasado (em aberto)","Em aberto")),IF(I9&lt;=H9,"No prazo","Fora do prazo")))</f>
        <v/>
      </c>
    </row>
    <row r="10">
      <c r="A10" t="inlineStr">
        <is>
          <t>PV1009</t>
        </is>
      </c>
      <c r="B10" s="22" t="n">
        <v>45662</v>
      </c>
      <c r="C10" t="inlineStr">
        <is>
          <t>C002</t>
        </is>
      </c>
      <c r="D10" t="inlineStr">
        <is>
          <t>Produto B 5kg</t>
        </is>
      </c>
      <c r="E10" s="23" t="n">
        <v>8.199999999999999</v>
      </c>
      <c r="F10" s="24" t="n">
        <v>27528.95</v>
      </c>
      <c r="G10" t="inlineStr">
        <is>
          <t>CFR</t>
        </is>
      </c>
      <c r="H10" s="22" t="n">
        <v>45692</v>
      </c>
      <c r="I10" s="22" t="n">
        <v>45701</v>
      </c>
      <c r="J10" s="21">
        <f>IF(C10="","",IFERROR(INDEX(Clientes!$B:$B,MATCH(C10,Clientes!$A:$A,0)),"Cód. não cadastrado"))</f>
        <v/>
      </c>
      <c r="K10" s="18">
        <f>IF(B10="","",YEAR(B10))</f>
        <v/>
      </c>
      <c r="L10" s="18">
        <f>IF(B10="","",MONTH(B10))</f>
        <v/>
      </c>
      <c r="M10" s="18">
        <f>IF(OR(B10="",I10=""),"",I10-B10)</f>
        <v/>
      </c>
      <c r="N10" s="21">
        <f>IF(B10="","",IF(I10="",IF(H10="","",IF(TODAY()&gt;H10,"Atrasado (em aberto)","Em aberto")),IF(I10&lt;=H10,"No prazo","Fora do prazo")))</f>
        <v/>
      </c>
    </row>
    <row r="11">
      <c r="A11" t="inlineStr">
        <is>
          <t>PV1010</t>
        </is>
      </c>
      <c r="B11" s="22" t="n">
        <v>45700</v>
      </c>
      <c r="C11" t="inlineStr">
        <is>
          <t>C002</t>
        </is>
      </c>
      <c r="D11" t="inlineStr">
        <is>
          <t>Produto B 5kg</t>
        </is>
      </c>
      <c r="E11" s="23" t="n">
        <v>8.699999999999999</v>
      </c>
      <c r="F11" s="24" t="n">
        <v>21791.44</v>
      </c>
      <c r="G11" t="inlineStr">
        <is>
          <t>FOB</t>
        </is>
      </c>
      <c r="H11" s="22" t="n">
        <v>45730</v>
      </c>
      <c r="I11" s="22" t="n">
        <v>45735</v>
      </c>
      <c r="J11" s="21">
        <f>IF(C11="","",IFERROR(INDEX(Clientes!$B:$B,MATCH(C11,Clientes!$A:$A,0)),"Cód. não cadastrado"))</f>
        <v/>
      </c>
      <c r="K11" s="18">
        <f>IF(B11="","",YEAR(B11))</f>
        <v/>
      </c>
      <c r="L11" s="18">
        <f>IF(B11="","",MONTH(B11))</f>
        <v/>
      </c>
      <c r="M11" s="18">
        <f>IF(OR(B11="",I11=""),"",I11-B11)</f>
        <v/>
      </c>
      <c r="N11" s="21">
        <f>IF(B11="","",IF(I11="",IF(H11="","",IF(TODAY()&gt;H11,"Atrasado (em aberto)","Em aberto")),IF(I11&lt;=H11,"No prazo","Fora do prazo")))</f>
        <v/>
      </c>
    </row>
    <row r="12">
      <c r="A12" t="inlineStr">
        <is>
          <t>PV1011</t>
        </is>
      </c>
      <c r="B12" s="22" t="n">
        <v>45721</v>
      </c>
      <c r="C12" t="inlineStr">
        <is>
          <t>C002</t>
        </is>
      </c>
      <c r="D12" t="inlineStr">
        <is>
          <t>Produto C granel 25kg</t>
        </is>
      </c>
      <c r="E12" s="23" t="n">
        <v>4.4</v>
      </c>
      <c r="F12" s="24" t="n">
        <v>36823.32</v>
      </c>
      <c r="G12" t="inlineStr">
        <is>
          <t>CIF</t>
        </is>
      </c>
      <c r="H12" s="22" t="n">
        <v>45751</v>
      </c>
      <c r="I12" s="22" t="n">
        <v>45748</v>
      </c>
      <c r="J12" s="21">
        <f>IF(C12="","",IFERROR(INDEX(Clientes!$B:$B,MATCH(C12,Clientes!$A:$A,0)),"Cód. não cadastrado"))</f>
        <v/>
      </c>
      <c r="K12" s="18">
        <f>IF(B12="","",YEAR(B12))</f>
        <v/>
      </c>
      <c r="L12" s="18">
        <f>IF(B12="","",MONTH(B12))</f>
        <v/>
      </c>
      <c r="M12" s="18">
        <f>IF(OR(B12="",I12=""),"",I12-B12)</f>
        <v/>
      </c>
      <c r="N12" s="21">
        <f>IF(B12="","",IF(I12="",IF(H12="","",IF(TODAY()&gt;H12,"Atrasado (em aberto)","Em aberto")),IF(I12&lt;=H12,"No prazo","Fora do prazo")))</f>
        <v/>
      </c>
    </row>
    <row r="13">
      <c r="A13" t="inlineStr">
        <is>
          <t>PV1012</t>
        </is>
      </c>
      <c r="B13" s="22" t="n">
        <v>45753</v>
      </c>
      <c r="C13" t="inlineStr">
        <is>
          <t>C002</t>
        </is>
      </c>
      <c r="D13" t="inlineStr">
        <is>
          <t>Produto B 5kg</t>
        </is>
      </c>
      <c r="E13" s="23" t="n">
        <v>3</v>
      </c>
      <c r="F13" s="24" t="n">
        <v>33852.59</v>
      </c>
      <c r="G13" t="inlineStr">
        <is>
          <t>CFR</t>
        </is>
      </c>
      <c r="H13" s="22" t="n">
        <v>45783</v>
      </c>
      <c r="I13" s="22" t="n">
        <v>45783</v>
      </c>
      <c r="J13" s="21">
        <f>IF(C13="","",IFERROR(INDEX(Clientes!$B:$B,MATCH(C13,Clientes!$A:$A,0)),"Cód. não cadastrado"))</f>
        <v/>
      </c>
      <c r="K13" s="18">
        <f>IF(B13="","",YEAR(B13))</f>
        <v/>
      </c>
      <c r="L13" s="18">
        <f>IF(B13="","",MONTH(B13))</f>
        <v/>
      </c>
      <c r="M13" s="18">
        <f>IF(OR(B13="",I13=""),"",I13-B13)</f>
        <v/>
      </c>
      <c r="N13" s="21">
        <f>IF(B13="","",IF(I13="",IF(H13="","",IF(TODAY()&gt;H13,"Atrasado (em aberto)","Em aberto")),IF(I13&lt;=H13,"No prazo","Fora do prazo")))</f>
        <v/>
      </c>
    </row>
    <row r="14">
      <c r="A14" t="inlineStr">
        <is>
          <t>PV1013</t>
        </is>
      </c>
      <c r="B14" s="22" t="n">
        <v>45797</v>
      </c>
      <c r="C14" t="inlineStr">
        <is>
          <t>C002</t>
        </is>
      </c>
      <c r="D14" t="inlineStr">
        <is>
          <t>Produto B 5kg</t>
        </is>
      </c>
      <c r="E14" s="23" t="n">
        <v>8.699999999999999</v>
      </c>
      <c r="F14" s="24" t="n">
        <v>46072.21</v>
      </c>
      <c r="G14" t="inlineStr">
        <is>
          <t>CIF</t>
        </is>
      </c>
      <c r="H14" s="22" t="n">
        <v>45827</v>
      </c>
      <c r="I14" s="22" t="n">
        <v>45829</v>
      </c>
      <c r="J14" s="21">
        <f>IF(C14="","",IFERROR(INDEX(Clientes!$B:$B,MATCH(C14,Clientes!$A:$A,0)),"Cód. não cadastrado"))</f>
        <v/>
      </c>
      <c r="K14" s="18">
        <f>IF(B14="","",YEAR(B14))</f>
        <v/>
      </c>
      <c r="L14" s="18">
        <f>IF(B14="","",MONTH(B14))</f>
        <v/>
      </c>
      <c r="M14" s="18">
        <f>IF(OR(B14="",I14=""),"",I14-B14)</f>
        <v/>
      </c>
      <c r="N14" s="21">
        <f>IF(B14="","",IF(I14="",IF(H14="","",IF(TODAY()&gt;H14,"Atrasado (em aberto)","Em aberto")),IF(I14&lt;=H14,"No prazo","Fora do prazo")))</f>
        <v/>
      </c>
    </row>
    <row r="15">
      <c r="A15" t="inlineStr">
        <is>
          <t>PV1014</t>
        </is>
      </c>
      <c r="B15" s="22" t="n">
        <v>45828</v>
      </c>
      <c r="C15" t="inlineStr">
        <is>
          <t>C002</t>
        </is>
      </c>
      <c r="D15" t="inlineStr">
        <is>
          <t>Produto C granel 25kg</t>
        </is>
      </c>
      <c r="E15" s="23" t="n">
        <v>7.4</v>
      </c>
      <c r="F15" s="24" t="n">
        <v>35548.97</v>
      </c>
      <c r="G15" t="inlineStr">
        <is>
          <t>CIF</t>
        </is>
      </c>
      <c r="H15" s="22" t="n">
        <v>45858</v>
      </c>
      <c r="I15" s="22" t="n">
        <v>45863</v>
      </c>
      <c r="J15" s="21">
        <f>IF(C15="","",IFERROR(INDEX(Clientes!$B:$B,MATCH(C15,Clientes!$A:$A,0)),"Cód. não cadastrado"))</f>
        <v/>
      </c>
      <c r="K15" s="18">
        <f>IF(B15="","",YEAR(B15))</f>
        <v/>
      </c>
      <c r="L15" s="18">
        <f>IF(B15="","",MONTH(B15))</f>
        <v/>
      </c>
      <c r="M15" s="18">
        <f>IF(OR(B15="",I15=""),"",I15-B15)</f>
        <v/>
      </c>
      <c r="N15" s="21">
        <f>IF(B15="","",IF(I15="",IF(H15="","",IF(TODAY()&gt;H15,"Atrasado (em aberto)","Em aberto")),IF(I15&lt;=H15,"No prazo","Fora do prazo")))</f>
        <v/>
      </c>
    </row>
    <row r="16">
      <c r="A16" t="inlineStr">
        <is>
          <t>PV1015</t>
        </is>
      </c>
      <c r="B16" s="22" t="n">
        <v>45864</v>
      </c>
      <c r="C16" t="inlineStr">
        <is>
          <t>C002</t>
        </is>
      </c>
      <c r="D16" t="inlineStr">
        <is>
          <t>Produto B 5kg</t>
        </is>
      </c>
      <c r="E16" s="23" t="n">
        <v>5.4</v>
      </c>
      <c r="F16" s="24" t="n">
        <v>32735.4</v>
      </c>
      <c r="G16" t="inlineStr">
        <is>
          <t>CFR</t>
        </is>
      </c>
      <c r="H16" s="22" t="n">
        <v>45894</v>
      </c>
      <c r="I16" s="22" t="n">
        <v>45896</v>
      </c>
      <c r="J16" s="21">
        <f>IF(C16="","",IFERROR(INDEX(Clientes!$B:$B,MATCH(C16,Clientes!$A:$A,0)),"Cód. não cadastrado"))</f>
        <v/>
      </c>
      <c r="K16" s="18">
        <f>IF(B16="","",YEAR(B16))</f>
        <v/>
      </c>
      <c r="L16" s="18">
        <f>IF(B16="","",MONTH(B16))</f>
        <v/>
      </c>
      <c r="M16" s="18">
        <f>IF(OR(B16="",I16=""),"",I16-B16)</f>
        <v/>
      </c>
      <c r="N16" s="21">
        <f>IF(B16="","",IF(I16="",IF(H16="","",IF(TODAY()&gt;H16,"Atrasado (em aberto)","Em aberto")),IF(I16&lt;=H16,"No prazo","Fora do prazo")))</f>
        <v/>
      </c>
    </row>
    <row r="17">
      <c r="A17" t="inlineStr">
        <is>
          <t>PV1016</t>
        </is>
      </c>
      <c r="B17" s="22" t="n">
        <v>45890</v>
      </c>
      <c r="C17" t="inlineStr">
        <is>
          <t>C002</t>
        </is>
      </c>
      <c r="D17" t="inlineStr">
        <is>
          <t>Produto A 1kg</t>
        </is>
      </c>
      <c r="E17" s="23" t="n">
        <v>4.1</v>
      </c>
      <c r="F17" s="24" t="n">
        <v>59310.04</v>
      </c>
      <c r="G17" t="inlineStr">
        <is>
          <t>CFR</t>
        </is>
      </c>
      <c r="H17" s="22" t="n">
        <v>45920</v>
      </c>
      <c r="I17" s="22" t="n">
        <v>45920</v>
      </c>
      <c r="J17" s="21">
        <f>IF(C17="","",IFERROR(INDEX(Clientes!$B:$B,MATCH(C17,Clientes!$A:$A,0)),"Cód. não cadastrado"))</f>
        <v/>
      </c>
      <c r="K17" s="18">
        <f>IF(B17="","",YEAR(B17))</f>
        <v/>
      </c>
      <c r="L17" s="18">
        <f>IF(B17="","",MONTH(B17))</f>
        <v/>
      </c>
      <c r="M17" s="18">
        <f>IF(OR(B17="",I17=""),"",I17-B17)</f>
        <v/>
      </c>
      <c r="N17" s="21">
        <f>IF(B17="","",IF(I17="",IF(H17="","",IF(TODAY()&gt;H17,"Atrasado (em aberto)","Em aberto")),IF(I17&lt;=H17,"No prazo","Fora do prazo")))</f>
        <v/>
      </c>
    </row>
    <row r="18">
      <c r="A18" t="inlineStr">
        <is>
          <t>PV1017</t>
        </is>
      </c>
      <c r="B18" s="22" t="n">
        <v>45906</v>
      </c>
      <c r="C18" t="inlineStr">
        <is>
          <t>C002</t>
        </is>
      </c>
      <c r="D18" t="inlineStr">
        <is>
          <t>Produto B 5kg</t>
        </is>
      </c>
      <c r="E18" s="23" t="n">
        <v>6.6</v>
      </c>
      <c r="F18" s="24" t="n">
        <v>19607.08</v>
      </c>
      <c r="G18" t="inlineStr">
        <is>
          <t>CIF</t>
        </is>
      </c>
      <c r="H18" s="22" t="n">
        <v>45936</v>
      </c>
      <c r="I18" s="22" t="n">
        <v>45930</v>
      </c>
      <c r="J18" s="21">
        <f>IF(C18="","",IFERROR(INDEX(Clientes!$B:$B,MATCH(C18,Clientes!$A:$A,0)),"Cód. não cadastrado"))</f>
        <v/>
      </c>
      <c r="K18" s="18">
        <f>IF(B18="","",YEAR(B18))</f>
        <v/>
      </c>
      <c r="L18" s="18">
        <f>IF(B18="","",MONTH(B18))</f>
        <v/>
      </c>
      <c r="M18" s="18">
        <f>IF(OR(B18="",I18=""),"",I18-B18)</f>
        <v/>
      </c>
      <c r="N18" s="21">
        <f>IF(B18="","",IF(I18="",IF(H18="","",IF(TODAY()&gt;H18,"Atrasado (em aberto)","Em aberto")),IF(I18&lt;=H18,"No prazo","Fora do prazo")))</f>
        <v/>
      </c>
    </row>
    <row r="19">
      <c r="A19" t="inlineStr">
        <is>
          <t>PV1018</t>
        </is>
      </c>
      <c r="B19" s="22" t="n">
        <v>45935</v>
      </c>
      <c r="C19" t="inlineStr">
        <is>
          <t>C002</t>
        </is>
      </c>
      <c r="D19" t="inlineStr">
        <is>
          <t>Produto A 1kg</t>
        </is>
      </c>
      <c r="E19" s="23" t="n">
        <v>8.699999999999999</v>
      </c>
      <c r="F19" s="24" t="n">
        <v>42618.18</v>
      </c>
      <c r="G19" t="inlineStr">
        <is>
          <t>FOB</t>
        </is>
      </c>
      <c r="H19" s="22" t="n">
        <v>45965</v>
      </c>
      <c r="I19" s="22" t="n">
        <v>45967</v>
      </c>
      <c r="J19" s="21">
        <f>IF(C19="","",IFERROR(INDEX(Clientes!$B:$B,MATCH(C19,Clientes!$A:$A,0)),"Cód. não cadastrado"))</f>
        <v/>
      </c>
      <c r="K19" s="18">
        <f>IF(B19="","",YEAR(B19))</f>
        <v/>
      </c>
      <c r="L19" s="18">
        <f>IF(B19="","",MONTH(B19))</f>
        <v/>
      </c>
      <c r="M19" s="18">
        <f>IF(OR(B19="",I19=""),"",I19-B19)</f>
        <v/>
      </c>
      <c r="N19" s="21">
        <f>IF(B19="","",IF(I19="",IF(H19="","",IF(TODAY()&gt;H19,"Atrasado (em aberto)","Em aberto")),IF(I19&lt;=H19,"No prazo","Fora do prazo")))</f>
        <v/>
      </c>
    </row>
    <row r="20">
      <c r="A20" t="inlineStr">
        <is>
          <t>PV1019</t>
        </is>
      </c>
      <c r="B20" s="22" t="n">
        <v>45968</v>
      </c>
      <c r="C20" t="inlineStr">
        <is>
          <t>C002</t>
        </is>
      </c>
      <c r="D20" t="inlineStr">
        <is>
          <t>Produto B 5kg</t>
        </is>
      </c>
      <c r="E20" s="23" t="n">
        <v>3.9</v>
      </c>
      <c r="F20" s="24" t="n">
        <v>26351.6</v>
      </c>
      <c r="G20" t="inlineStr">
        <is>
          <t>CFR</t>
        </is>
      </c>
      <c r="H20" s="22" t="n">
        <v>45998</v>
      </c>
      <c r="I20" s="22" t="n">
        <v>46000</v>
      </c>
      <c r="J20" s="21">
        <f>IF(C20="","",IFERROR(INDEX(Clientes!$B:$B,MATCH(C20,Clientes!$A:$A,0)),"Cód. não cadastrado"))</f>
        <v/>
      </c>
      <c r="K20" s="18">
        <f>IF(B20="","",YEAR(B20))</f>
        <v/>
      </c>
      <c r="L20" s="18">
        <f>IF(B20="","",MONTH(B20))</f>
        <v/>
      </c>
      <c r="M20" s="18">
        <f>IF(OR(B20="",I20=""),"",I20-B20)</f>
        <v/>
      </c>
      <c r="N20" s="21">
        <f>IF(B20="","",IF(I20="",IF(H20="","",IF(TODAY()&gt;H20,"Atrasado (em aberto)","Em aberto")),IF(I20&lt;=H20,"No prazo","Fora do prazo")))</f>
        <v/>
      </c>
    </row>
    <row r="21">
      <c r="A21" t="inlineStr">
        <is>
          <t>PV1020</t>
        </is>
      </c>
      <c r="B21" s="22" t="n">
        <v>46011</v>
      </c>
      <c r="C21" t="inlineStr">
        <is>
          <t>C002</t>
        </is>
      </c>
      <c r="D21" t="inlineStr">
        <is>
          <t>Produto B 5kg</t>
        </is>
      </c>
      <c r="E21" s="23" t="n">
        <v>3.7</v>
      </c>
      <c r="F21" s="24" t="n">
        <v>53202.16</v>
      </c>
      <c r="G21" t="inlineStr">
        <is>
          <t>CFR</t>
        </is>
      </c>
      <c r="H21" s="22" t="n">
        <v>46041</v>
      </c>
      <c r="I21" s="22" t="n">
        <v>46041</v>
      </c>
      <c r="J21" s="21">
        <f>IF(C21="","",IFERROR(INDEX(Clientes!$B:$B,MATCH(C21,Clientes!$A:$A,0)),"Cód. não cadastrado"))</f>
        <v/>
      </c>
      <c r="K21" s="18">
        <f>IF(B21="","",YEAR(B21))</f>
        <v/>
      </c>
      <c r="L21" s="18">
        <f>IF(B21="","",MONTH(B21))</f>
        <v/>
      </c>
      <c r="M21" s="18">
        <f>IF(OR(B21="",I21=""),"",I21-B21)</f>
        <v/>
      </c>
      <c r="N21" s="21">
        <f>IF(B21="","",IF(I21="",IF(H21="","",IF(TODAY()&gt;H21,"Atrasado (em aberto)","Em aberto")),IF(I21&lt;=H21,"No prazo","Fora do prazo")))</f>
        <v/>
      </c>
    </row>
    <row r="22">
      <c r="A22" t="inlineStr">
        <is>
          <t>PV1021</t>
        </is>
      </c>
      <c r="B22" s="22" t="n">
        <v>46025</v>
      </c>
      <c r="C22" t="inlineStr">
        <is>
          <t>C002</t>
        </is>
      </c>
      <c r="D22" t="inlineStr">
        <is>
          <t>Produto A 1kg</t>
        </is>
      </c>
      <c r="E22" s="23" t="n">
        <v>7.5</v>
      </c>
      <c r="F22" s="24" t="n">
        <v>48315.81</v>
      </c>
      <c r="G22" t="inlineStr">
        <is>
          <t>CFR</t>
        </is>
      </c>
      <c r="H22" s="22" t="n">
        <v>46055</v>
      </c>
      <c r="I22" s="22" t="n">
        <v>46052</v>
      </c>
      <c r="J22" s="21">
        <f>IF(C22="","",IFERROR(INDEX(Clientes!$B:$B,MATCH(C22,Clientes!$A:$A,0)),"Cód. não cadastrado"))</f>
        <v/>
      </c>
      <c r="K22" s="18">
        <f>IF(B22="","",YEAR(B22))</f>
        <v/>
      </c>
      <c r="L22" s="18">
        <f>IF(B22="","",MONTH(B22))</f>
        <v/>
      </c>
      <c r="M22" s="18">
        <f>IF(OR(B22="",I22=""),"",I22-B22)</f>
        <v/>
      </c>
      <c r="N22" s="21">
        <f>IF(B22="","",IF(I22="",IF(H22="","",IF(TODAY()&gt;H22,"Atrasado (em aberto)","Em aberto")),IF(I22&lt;=H22,"No prazo","Fora do prazo")))</f>
        <v/>
      </c>
    </row>
    <row r="23">
      <c r="A23" t="inlineStr">
        <is>
          <t>PV1022</t>
        </is>
      </c>
      <c r="B23" s="22" t="n">
        <v>46059</v>
      </c>
      <c r="C23" t="inlineStr">
        <is>
          <t>C002</t>
        </is>
      </c>
      <c r="D23" t="inlineStr">
        <is>
          <t>Produto A 1kg</t>
        </is>
      </c>
      <c r="E23" s="23" t="n">
        <v>4.2</v>
      </c>
      <c r="F23" s="24" t="n">
        <v>57840.94</v>
      </c>
      <c r="G23" t="inlineStr">
        <is>
          <t>CFR</t>
        </is>
      </c>
      <c r="H23" s="22" t="n">
        <v>46089</v>
      </c>
      <c r="I23" s="22" t="n">
        <v>46091</v>
      </c>
      <c r="J23" s="21">
        <f>IF(C23="","",IFERROR(INDEX(Clientes!$B:$B,MATCH(C23,Clientes!$A:$A,0)),"Cód. não cadastrado"))</f>
        <v/>
      </c>
      <c r="K23" s="18">
        <f>IF(B23="","",YEAR(B23))</f>
        <v/>
      </c>
      <c r="L23" s="18">
        <f>IF(B23="","",MONTH(B23))</f>
        <v/>
      </c>
      <c r="M23" s="18">
        <f>IF(OR(B23="",I23=""),"",I23-B23)</f>
        <v/>
      </c>
      <c r="N23" s="21">
        <f>IF(B23="","",IF(I23="",IF(H23="","",IF(TODAY()&gt;H23,"Atrasado (em aberto)","Em aberto")),IF(I23&lt;=H23,"No prazo","Fora do prazo")))</f>
        <v/>
      </c>
    </row>
    <row r="24">
      <c r="A24" t="inlineStr">
        <is>
          <t>PV1023</t>
        </is>
      </c>
      <c r="B24" s="22" t="n">
        <v>46113</v>
      </c>
      <c r="C24" t="inlineStr">
        <is>
          <t>C002</t>
        </is>
      </c>
      <c r="D24" t="inlineStr">
        <is>
          <t>Produto C granel 25kg</t>
        </is>
      </c>
      <c r="E24" s="23" t="n">
        <v>4.8</v>
      </c>
      <c r="F24" s="24" t="n">
        <v>43931.27</v>
      </c>
      <c r="G24" t="inlineStr">
        <is>
          <t>FOB</t>
        </is>
      </c>
      <c r="H24" s="22" t="n">
        <v>46143</v>
      </c>
      <c r="I24" s="22" t="n">
        <v>46152</v>
      </c>
      <c r="J24" s="21">
        <f>IF(C24="","",IFERROR(INDEX(Clientes!$B:$B,MATCH(C24,Clientes!$A:$A,0)),"Cód. não cadastrado"))</f>
        <v/>
      </c>
      <c r="K24" s="18">
        <f>IF(B24="","",YEAR(B24))</f>
        <v/>
      </c>
      <c r="L24" s="18">
        <f>IF(B24="","",MONTH(B24))</f>
        <v/>
      </c>
      <c r="M24" s="18">
        <f>IF(OR(B24="",I24=""),"",I24-B24)</f>
        <v/>
      </c>
      <c r="N24" s="21">
        <f>IF(B24="","",IF(I24="",IF(H24="","",IF(TODAY()&gt;H24,"Atrasado (em aberto)","Em aberto")),IF(I24&lt;=H24,"No prazo","Fora do prazo")))</f>
        <v/>
      </c>
    </row>
    <row r="25">
      <c r="A25" t="inlineStr">
        <is>
          <t>PV1024</t>
        </is>
      </c>
      <c r="B25" s="22" t="n">
        <v>46151</v>
      </c>
      <c r="C25" t="inlineStr">
        <is>
          <t>C002</t>
        </is>
      </c>
      <c r="D25" t="inlineStr">
        <is>
          <t>Produto B 5kg</t>
        </is>
      </c>
      <c r="E25" s="23" t="n">
        <v>8.4</v>
      </c>
      <c r="F25" s="24" t="n">
        <v>31006.33</v>
      </c>
      <c r="G25" t="inlineStr">
        <is>
          <t>FOB</t>
        </is>
      </c>
      <c r="H25" s="22" t="n">
        <v>46181</v>
      </c>
      <c r="I25" s="22" t="n">
        <v>46183</v>
      </c>
      <c r="J25" s="21">
        <f>IF(C25="","",IFERROR(INDEX(Clientes!$B:$B,MATCH(C25,Clientes!$A:$A,0)),"Cód. não cadastrado"))</f>
        <v/>
      </c>
      <c r="K25" s="18">
        <f>IF(B25="","",YEAR(B25))</f>
        <v/>
      </c>
      <c r="L25" s="18">
        <f>IF(B25="","",MONTH(B25))</f>
        <v/>
      </c>
      <c r="M25" s="18">
        <f>IF(OR(B25="",I25=""),"",I25-B25)</f>
        <v/>
      </c>
      <c r="N25" s="21">
        <f>IF(B25="","",IF(I25="",IF(H25="","",IF(TODAY()&gt;H25,"Atrasado (em aberto)","Em aberto")),IF(I25&lt;=H25,"No prazo","Fora do prazo")))</f>
        <v/>
      </c>
    </row>
    <row r="26">
      <c r="A26" t="inlineStr">
        <is>
          <t>PV1025</t>
        </is>
      </c>
      <c r="B26" s="22" t="n">
        <v>46198</v>
      </c>
      <c r="C26" t="inlineStr">
        <is>
          <t>C002</t>
        </is>
      </c>
      <c r="D26" t="inlineStr">
        <is>
          <t>Produto B 5kg</t>
        </is>
      </c>
      <c r="E26" s="23" t="n">
        <v>6.8</v>
      </c>
      <c r="F26" s="24" t="n">
        <v>42595.27</v>
      </c>
      <c r="G26" t="inlineStr">
        <is>
          <t>FOB</t>
        </is>
      </c>
      <c r="H26" s="22" t="n">
        <v>46228</v>
      </c>
      <c r="I26" s="22" t="n">
        <v>46230</v>
      </c>
      <c r="J26" s="21">
        <f>IF(C26="","",IFERROR(INDEX(Clientes!$B:$B,MATCH(C26,Clientes!$A:$A,0)),"Cód. não cadastrado"))</f>
        <v/>
      </c>
      <c r="K26" s="18">
        <f>IF(B26="","",YEAR(B26))</f>
        <v/>
      </c>
      <c r="L26" s="18">
        <f>IF(B26="","",MONTH(B26))</f>
        <v/>
      </c>
      <c r="M26" s="18">
        <f>IF(OR(B26="",I26=""),"",I26-B26)</f>
        <v/>
      </c>
      <c r="N26" s="21">
        <f>IF(B26="","",IF(I26="",IF(H26="","",IF(TODAY()&gt;H26,"Atrasado (em aberto)","Em aberto")),IF(I26&lt;=H26,"No prazo","Fora do prazo")))</f>
        <v/>
      </c>
    </row>
    <row r="27">
      <c r="A27" t="inlineStr">
        <is>
          <t>PV1026</t>
        </is>
      </c>
      <c r="B27" s="22" t="n">
        <v>46216</v>
      </c>
      <c r="C27" t="inlineStr">
        <is>
          <t>C002</t>
        </is>
      </c>
      <c r="D27" t="inlineStr">
        <is>
          <t>Produto A 1kg</t>
        </is>
      </c>
      <c r="E27" s="23" t="n">
        <v>4.2</v>
      </c>
      <c r="F27" s="24" t="n">
        <v>37175.18</v>
      </c>
      <c r="G27" t="inlineStr">
        <is>
          <t>CIF</t>
        </is>
      </c>
      <c r="H27" s="22" t="n">
        <v>46246</v>
      </c>
      <c r="I27" s="22" t="n">
        <v>46251</v>
      </c>
      <c r="J27" s="21">
        <f>IF(C27="","",IFERROR(INDEX(Clientes!$B:$B,MATCH(C27,Clientes!$A:$A,0)),"Cód. não cadastrado"))</f>
        <v/>
      </c>
      <c r="K27" s="18">
        <f>IF(B27="","",YEAR(B27))</f>
        <v/>
      </c>
      <c r="L27" s="18">
        <f>IF(B27="","",MONTH(B27))</f>
        <v/>
      </c>
      <c r="M27" s="18">
        <f>IF(OR(B27="",I27=""),"",I27-B27)</f>
        <v/>
      </c>
      <c r="N27" s="21">
        <f>IF(B27="","",IF(I27="",IF(H27="","",IF(TODAY()&gt;H27,"Atrasado (em aberto)","Em aberto")),IF(I27&lt;=H27,"No prazo","Fora do prazo")))</f>
        <v/>
      </c>
    </row>
    <row r="28">
      <c r="A28" t="inlineStr">
        <is>
          <t>PV1027</t>
        </is>
      </c>
      <c r="B28" s="22" t="n">
        <v>45704</v>
      </c>
      <c r="C28" t="inlineStr">
        <is>
          <t>C003</t>
        </is>
      </c>
      <c r="D28" t="inlineStr">
        <is>
          <t>Produto A 1kg</t>
        </is>
      </c>
      <c r="E28" s="23" t="n">
        <v>7.2</v>
      </c>
      <c r="F28" s="24" t="n">
        <v>58043.18</v>
      </c>
      <c r="G28" t="inlineStr">
        <is>
          <t>CFR</t>
        </is>
      </c>
      <c r="H28" s="22" t="n">
        <v>45734</v>
      </c>
      <c r="I28" s="22" t="n">
        <v>45734</v>
      </c>
      <c r="J28" s="21">
        <f>IF(C28="","",IFERROR(INDEX(Clientes!$B:$B,MATCH(C28,Clientes!$A:$A,0)),"Cód. não cadastrado"))</f>
        <v/>
      </c>
      <c r="K28" s="18">
        <f>IF(B28="","",YEAR(B28))</f>
        <v/>
      </c>
      <c r="L28" s="18">
        <f>IF(B28="","",MONTH(B28))</f>
        <v/>
      </c>
      <c r="M28" s="18">
        <f>IF(OR(B28="",I28=""),"",I28-B28)</f>
        <v/>
      </c>
      <c r="N28" s="21">
        <f>IF(B28="","",IF(I28="",IF(H28="","",IF(TODAY()&gt;H28,"Atrasado (em aberto)","Em aberto")),IF(I28&lt;=H28,"No prazo","Fora do prazo")))</f>
        <v/>
      </c>
    </row>
    <row r="29">
      <c r="A29" t="inlineStr">
        <is>
          <t>PV1028</t>
        </is>
      </c>
      <c r="B29" s="22" t="n">
        <v>45773</v>
      </c>
      <c r="C29" t="inlineStr">
        <is>
          <t>C003</t>
        </is>
      </c>
      <c r="D29" t="inlineStr">
        <is>
          <t>Produto B 5kg</t>
        </is>
      </c>
      <c r="E29" s="23" t="n">
        <v>8.699999999999999</v>
      </c>
      <c r="F29" s="24" t="n">
        <v>31408.61</v>
      </c>
      <c r="G29" t="inlineStr">
        <is>
          <t>FOB</t>
        </is>
      </c>
      <c r="H29" s="22" t="n">
        <v>45803</v>
      </c>
      <c r="I29" s="22" t="n">
        <v>45808</v>
      </c>
      <c r="J29" s="21">
        <f>IF(C29="","",IFERROR(INDEX(Clientes!$B:$B,MATCH(C29,Clientes!$A:$A,0)),"Cód. não cadastrado"))</f>
        <v/>
      </c>
      <c r="K29" s="18">
        <f>IF(B29="","",YEAR(B29))</f>
        <v/>
      </c>
      <c r="L29" s="18">
        <f>IF(B29="","",MONTH(B29))</f>
        <v/>
      </c>
      <c r="M29" s="18">
        <f>IF(OR(B29="",I29=""),"",I29-B29)</f>
        <v/>
      </c>
      <c r="N29" s="21">
        <f>IF(B29="","",IF(I29="",IF(H29="","",IF(TODAY()&gt;H29,"Atrasado (em aberto)","Em aberto")),IF(I29&lt;=H29,"No prazo","Fora do prazo")))</f>
        <v/>
      </c>
    </row>
    <row r="30">
      <c r="A30" t="inlineStr">
        <is>
          <t>PV1029</t>
        </is>
      </c>
      <c r="B30" s="22" t="n">
        <v>45812</v>
      </c>
      <c r="C30" t="inlineStr">
        <is>
          <t>C003</t>
        </is>
      </c>
      <c r="D30" t="inlineStr">
        <is>
          <t>Produto B 5kg</t>
        </is>
      </c>
      <c r="E30" s="23" t="n">
        <v>4.2</v>
      </c>
      <c r="F30" s="24" t="n">
        <v>24196.8</v>
      </c>
      <c r="G30" t="inlineStr">
        <is>
          <t>CIF</t>
        </is>
      </c>
      <c r="H30" s="22" t="n">
        <v>45842</v>
      </c>
      <c r="I30" s="22" t="n">
        <v>45839</v>
      </c>
      <c r="J30" s="21">
        <f>IF(C30="","",IFERROR(INDEX(Clientes!$B:$B,MATCH(C30,Clientes!$A:$A,0)),"Cód. não cadastrado"))</f>
        <v/>
      </c>
      <c r="K30" s="18">
        <f>IF(B30="","",YEAR(B30))</f>
        <v/>
      </c>
      <c r="L30" s="18">
        <f>IF(B30="","",MONTH(B30))</f>
        <v/>
      </c>
      <c r="M30" s="18">
        <f>IF(OR(B30="",I30=""),"",I30-B30)</f>
        <v/>
      </c>
      <c r="N30" s="21">
        <f>IF(B30="","",IF(I30="",IF(H30="","",IF(TODAY()&gt;H30,"Atrasado (em aberto)","Em aberto")),IF(I30&lt;=H30,"No prazo","Fora do prazo")))</f>
        <v/>
      </c>
    </row>
    <row r="31">
      <c r="A31" t="inlineStr">
        <is>
          <t>PV1030</t>
        </is>
      </c>
      <c r="B31" s="22" t="n">
        <v>45889</v>
      </c>
      <c r="C31" t="inlineStr">
        <is>
          <t>C003</t>
        </is>
      </c>
      <c r="D31" t="inlineStr">
        <is>
          <t>Produto A 1kg</t>
        </is>
      </c>
      <c r="E31" s="23" t="n">
        <v>5.9</v>
      </c>
      <c r="F31" s="24" t="n">
        <v>44384.01</v>
      </c>
      <c r="G31" t="inlineStr">
        <is>
          <t>CIF</t>
        </is>
      </c>
      <c r="H31" s="22" t="n">
        <v>45919</v>
      </c>
      <c r="I31" s="22" t="n">
        <v>45928</v>
      </c>
      <c r="J31" s="21">
        <f>IF(C31="","",IFERROR(INDEX(Clientes!$B:$B,MATCH(C31,Clientes!$A:$A,0)),"Cód. não cadastrado"))</f>
        <v/>
      </c>
      <c r="K31" s="18">
        <f>IF(B31="","",YEAR(B31))</f>
        <v/>
      </c>
      <c r="L31" s="18">
        <f>IF(B31="","",MONTH(B31))</f>
        <v/>
      </c>
      <c r="M31" s="18">
        <f>IF(OR(B31="",I31=""),"",I31-B31)</f>
        <v/>
      </c>
      <c r="N31" s="21">
        <f>IF(B31="","",IF(I31="",IF(H31="","",IF(TODAY()&gt;H31,"Atrasado (em aberto)","Em aberto")),IF(I31&lt;=H31,"No prazo","Fora do prazo")))</f>
        <v/>
      </c>
    </row>
    <row r="32">
      <c r="A32" t="inlineStr">
        <is>
          <t>PV1031</t>
        </is>
      </c>
      <c r="B32" s="22" t="n">
        <v>45933</v>
      </c>
      <c r="C32" t="inlineStr">
        <is>
          <t>C003</t>
        </is>
      </c>
      <c r="D32" t="inlineStr">
        <is>
          <t>Produto C granel 25kg</t>
        </is>
      </c>
      <c r="E32" s="23" t="n">
        <v>3.7</v>
      </c>
      <c r="F32" s="24" t="n">
        <v>32484.11</v>
      </c>
      <c r="G32" t="inlineStr">
        <is>
          <t>CIF</t>
        </is>
      </c>
      <c r="H32" s="22" t="n">
        <v>45963</v>
      </c>
      <c r="I32" s="22" t="n">
        <v>45972</v>
      </c>
      <c r="J32" s="21">
        <f>IF(C32="","",IFERROR(INDEX(Clientes!$B:$B,MATCH(C32,Clientes!$A:$A,0)),"Cód. não cadastrado"))</f>
        <v/>
      </c>
      <c r="K32" s="18">
        <f>IF(B32="","",YEAR(B32))</f>
        <v/>
      </c>
      <c r="L32" s="18">
        <f>IF(B32="","",MONTH(B32))</f>
        <v/>
      </c>
      <c r="M32" s="18">
        <f>IF(OR(B32="",I32=""),"",I32-B32)</f>
        <v/>
      </c>
      <c r="N32" s="21">
        <f>IF(B32="","",IF(I32="",IF(H32="","",IF(TODAY()&gt;H32,"Atrasado (em aberto)","Em aberto")),IF(I32&lt;=H32,"No prazo","Fora do prazo")))</f>
        <v/>
      </c>
    </row>
    <row r="33">
      <c r="A33" t="inlineStr">
        <is>
          <t>PV1032</t>
        </is>
      </c>
      <c r="B33" s="22" t="n">
        <v>46016</v>
      </c>
      <c r="C33" t="inlineStr">
        <is>
          <t>C003</t>
        </is>
      </c>
      <c r="D33" t="inlineStr">
        <is>
          <t>Produto B 5kg</t>
        </is>
      </c>
      <c r="E33" s="23" t="n">
        <v>8.300000000000001</v>
      </c>
      <c r="F33" s="24" t="n">
        <v>34526.63</v>
      </c>
      <c r="G33" t="inlineStr">
        <is>
          <t>CIF</t>
        </is>
      </c>
      <c r="H33" s="22" t="n">
        <v>46046</v>
      </c>
      <c r="I33" s="22" t="n">
        <v>46043</v>
      </c>
      <c r="J33" s="21">
        <f>IF(C33="","",IFERROR(INDEX(Clientes!$B:$B,MATCH(C33,Clientes!$A:$A,0)),"Cód. não cadastrado"))</f>
        <v/>
      </c>
      <c r="K33" s="18">
        <f>IF(B33="","",YEAR(B33))</f>
        <v/>
      </c>
      <c r="L33" s="18">
        <f>IF(B33="","",MONTH(B33))</f>
        <v/>
      </c>
      <c r="M33" s="18">
        <f>IF(OR(B33="",I33=""),"",I33-B33)</f>
        <v/>
      </c>
      <c r="N33" s="21">
        <f>IF(B33="","",IF(I33="",IF(H33="","",IF(TODAY()&gt;H33,"Atrasado (em aberto)","Em aberto")),IF(I33&lt;=H33,"No prazo","Fora do prazo")))</f>
        <v/>
      </c>
    </row>
    <row r="34">
      <c r="A34" t="inlineStr">
        <is>
          <t>PV1033</t>
        </is>
      </c>
      <c r="B34" s="22" t="n">
        <v>46136</v>
      </c>
      <c r="C34" t="inlineStr">
        <is>
          <t>C003</t>
        </is>
      </c>
      <c r="D34" t="inlineStr">
        <is>
          <t>Produto B 5kg</t>
        </is>
      </c>
      <c r="E34" s="23" t="n">
        <v>5.4</v>
      </c>
      <c r="F34" s="24" t="n">
        <v>57605.87</v>
      </c>
      <c r="G34" t="inlineStr">
        <is>
          <t>CIF</t>
        </is>
      </c>
      <c r="H34" s="22" t="n">
        <v>46166</v>
      </c>
      <c r="I34" s="22" t="n">
        <v>46166</v>
      </c>
      <c r="J34" s="21">
        <f>IF(C34="","",IFERROR(INDEX(Clientes!$B:$B,MATCH(C34,Clientes!$A:$A,0)),"Cód. não cadastrado"))</f>
        <v/>
      </c>
      <c r="K34" s="18">
        <f>IF(B34="","",YEAR(B34))</f>
        <v/>
      </c>
      <c r="L34" s="18">
        <f>IF(B34="","",MONTH(B34))</f>
        <v/>
      </c>
      <c r="M34" s="18">
        <f>IF(OR(B34="",I34=""),"",I34-B34)</f>
        <v/>
      </c>
      <c r="N34" s="21">
        <f>IF(B34="","",IF(I34="",IF(H34="","",IF(TODAY()&gt;H34,"Atrasado (em aberto)","Em aberto")),IF(I34&lt;=H34,"No prazo","Fora do prazo")))</f>
        <v/>
      </c>
    </row>
    <row r="35">
      <c r="A35" t="inlineStr">
        <is>
          <t>PV1034</t>
        </is>
      </c>
      <c r="B35" s="22" t="n">
        <v>46235</v>
      </c>
      <c r="C35" t="inlineStr">
        <is>
          <t>C003</t>
        </is>
      </c>
      <c r="D35" t="inlineStr">
        <is>
          <t>Produto C granel 25kg</t>
        </is>
      </c>
      <c r="E35" s="23" t="n">
        <v>8.4</v>
      </c>
      <c r="F35" s="24" t="n">
        <v>51292.59</v>
      </c>
      <c r="G35" t="inlineStr">
        <is>
          <t>FOB</t>
        </is>
      </c>
      <c r="H35" s="22" t="n">
        <v>46265</v>
      </c>
      <c r="I35" s="22" t="n">
        <v>46262</v>
      </c>
      <c r="J35" s="21">
        <f>IF(C35="","",IFERROR(INDEX(Clientes!$B:$B,MATCH(C35,Clientes!$A:$A,0)),"Cód. não cadastrado"))</f>
        <v/>
      </c>
      <c r="K35" s="18">
        <f>IF(B35="","",YEAR(B35))</f>
        <v/>
      </c>
      <c r="L35" s="18">
        <f>IF(B35="","",MONTH(B35))</f>
        <v/>
      </c>
      <c r="M35" s="18">
        <f>IF(OR(B35="",I35=""),"",I35-B35)</f>
        <v/>
      </c>
      <c r="N35" s="21">
        <f>IF(B35="","",IF(I35="",IF(H35="","",IF(TODAY()&gt;H35,"Atrasado (em aberto)","Em aberto")),IF(I35&lt;=H35,"No prazo","Fora do prazo")))</f>
        <v/>
      </c>
    </row>
    <row r="36">
      <c r="A36" t="inlineStr">
        <is>
          <t>PV1035</t>
        </is>
      </c>
      <c r="B36" s="22" t="n">
        <v>45736</v>
      </c>
      <c r="C36" t="inlineStr">
        <is>
          <t>C004</t>
        </is>
      </c>
      <c r="D36" t="inlineStr">
        <is>
          <t>Produto C granel 25kg</t>
        </is>
      </c>
      <c r="E36" s="23" t="n">
        <v>8.6</v>
      </c>
      <c r="F36" s="24" t="n">
        <v>22016.06</v>
      </c>
      <c r="G36" t="inlineStr">
        <is>
          <t>CIF</t>
        </is>
      </c>
      <c r="H36" s="22" t="n">
        <v>45766</v>
      </c>
      <c r="I36" s="22" t="n">
        <v>45766</v>
      </c>
      <c r="J36" s="21">
        <f>IF(C36="","",IFERROR(INDEX(Clientes!$B:$B,MATCH(C36,Clientes!$A:$A,0)),"Cód. não cadastrado"))</f>
        <v/>
      </c>
      <c r="K36" s="18">
        <f>IF(B36="","",YEAR(B36))</f>
        <v/>
      </c>
      <c r="L36" s="18">
        <f>IF(B36="","",MONTH(B36))</f>
        <v/>
      </c>
      <c r="M36" s="18">
        <f>IF(OR(B36="",I36=""),"",I36-B36)</f>
        <v/>
      </c>
      <c r="N36" s="21">
        <f>IF(B36="","",IF(I36="",IF(H36="","",IF(TODAY()&gt;H36,"Atrasado (em aberto)","Em aberto")),IF(I36&lt;=H36,"No prazo","Fora do prazo")))</f>
        <v/>
      </c>
    </row>
    <row r="37">
      <c r="A37" t="inlineStr">
        <is>
          <t>PV1036</t>
        </is>
      </c>
      <c r="B37" s="22" t="n">
        <v>45813</v>
      </c>
      <c r="C37" t="inlineStr">
        <is>
          <t>C004</t>
        </is>
      </c>
      <c r="D37" t="inlineStr">
        <is>
          <t>Produto A 1kg</t>
        </is>
      </c>
      <c r="E37" s="23" t="n">
        <v>7.8</v>
      </c>
      <c r="F37" s="24" t="n">
        <v>47686.65</v>
      </c>
      <c r="G37" t="inlineStr">
        <is>
          <t>FOB</t>
        </is>
      </c>
      <c r="H37" s="22" t="n">
        <v>45843</v>
      </c>
      <c r="I37" s="22" t="n">
        <v>45837</v>
      </c>
      <c r="J37" s="21">
        <f>IF(C37="","",IFERROR(INDEX(Clientes!$B:$B,MATCH(C37,Clientes!$A:$A,0)),"Cód. não cadastrado"))</f>
        <v/>
      </c>
      <c r="K37" s="18">
        <f>IF(B37="","",YEAR(B37))</f>
        <v/>
      </c>
      <c r="L37" s="18">
        <f>IF(B37="","",MONTH(B37))</f>
        <v/>
      </c>
      <c r="M37" s="18">
        <f>IF(OR(B37="",I37=""),"",I37-B37)</f>
        <v/>
      </c>
      <c r="N37" s="21">
        <f>IF(B37="","",IF(I37="",IF(H37="","",IF(TODAY()&gt;H37,"Atrasado (em aberto)","Em aberto")),IF(I37&lt;=H37,"No prazo","Fora do prazo")))</f>
        <v/>
      </c>
    </row>
    <row r="38">
      <c r="A38" t="inlineStr">
        <is>
          <t>PV1037</t>
        </is>
      </c>
      <c r="B38" s="22" t="n">
        <v>45917</v>
      </c>
      <c r="C38" t="inlineStr">
        <is>
          <t>C004</t>
        </is>
      </c>
      <c r="D38" t="inlineStr">
        <is>
          <t>Produto A 1kg</t>
        </is>
      </c>
      <c r="E38" s="23" t="n">
        <v>5.6</v>
      </c>
      <c r="F38" s="24" t="n">
        <v>54228.43</v>
      </c>
      <c r="G38" t="inlineStr">
        <is>
          <t>FOB</t>
        </is>
      </c>
      <c r="H38" s="22" t="n">
        <v>45947</v>
      </c>
      <c r="I38" s="22" t="n">
        <v>45952</v>
      </c>
      <c r="J38" s="21">
        <f>IF(C38="","",IFERROR(INDEX(Clientes!$B:$B,MATCH(C38,Clientes!$A:$A,0)),"Cód. não cadastrado"))</f>
        <v/>
      </c>
      <c r="K38" s="18">
        <f>IF(B38="","",YEAR(B38))</f>
        <v/>
      </c>
      <c r="L38" s="18">
        <f>IF(B38="","",MONTH(B38))</f>
        <v/>
      </c>
      <c r="M38" s="18">
        <f>IF(OR(B38="",I38=""),"",I38-B38)</f>
        <v/>
      </c>
      <c r="N38" s="21">
        <f>IF(B38="","",IF(I38="",IF(H38="","",IF(TODAY()&gt;H38,"Atrasado (em aberto)","Em aberto")),IF(I38&lt;=H38,"No prazo","Fora do prazo")))</f>
        <v/>
      </c>
    </row>
    <row r="39">
      <c r="A39" t="inlineStr">
        <is>
          <t>PV1038</t>
        </is>
      </c>
      <c r="B39" s="22" t="n">
        <v>45992</v>
      </c>
      <c r="C39" t="inlineStr">
        <is>
          <t>C004</t>
        </is>
      </c>
      <c r="D39" t="inlineStr">
        <is>
          <t>Produto A 1kg</t>
        </is>
      </c>
      <c r="E39" s="23" t="n">
        <v>4.8</v>
      </c>
      <c r="F39" s="24" t="n">
        <v>25824.27</v>
      </c>
      <c r="G39" t="inlineStr">
        <is>
          <t>CIF</t>
        </is>
      </c>
      <c r="H39" s="22" t="n">
        <v>46022</v>
      </c>
      <c r="I39" s="22" t="n">
        <v>46022</v>
      </c>
      <c r="J39" s="21">
        <f>IF(C39="","",IFERROR(INDEX(Clientes!$B:$B,MATCH(C39,Clientes!$A:$A,0)),"Cód. não cadastrado"))</f>
        <v/>
      </c>
      <c r="K39" s="18">
        <f>IF(B39="","",YEAR(B39))</f>
        <v/>
      </c>
      <c r="L39" s="18">
        <f>IF(B39="","",MONTH(B39))</f>
        <v/>
      </c>
      <c r="M39" s="18">
        <f>IF(OR(B39="",I39=""),"",I39-B39)</f>
        <v/>
      </c>
      <c r="N39" s="21">
        <f>IF(B39="","",IF(I39="",IF(H39="","",IF(TODAY()&gt;H39,"Atrasado (em aberto)","Em aberto")),IF(I39&lt;=H39,"No prazo","Fora do prazo")))</f>
        <v/>
      </c>
    </row>
    <row r="40">
      <c r="A40" t="inlineStr">
        <is>
          <t>PV1039</t>
        </is>
      </c>
      <c r="B40" s="22" t="n">
        <v>46067</v>
      </c>
      <c r="C40" t="inlineStr">
        <is>
          <t>C004</t>
        </is>
      </c>
      <c r="D40" t="inlineStr">
        <is>
          <t>Produto A 1kg</t>
        </is>
      </c>
      <c r="E40" s="23" t="n">
        <v>3.4</v>
      </c>
      <c r="F40" s="24" t="n">
        <v>48296.49</v>
      </c>
      <c r="G40" t="inlineStr">
        <is>
          <t>CFR</t>
        </is>
      </c>
      <c r="H40" s="22" t="n">
        <v>46097</v>
      </c>
      <c r="I40" s="22" t="n">
        <v>46106</v>
      </c>
      <c r="J40" s="21">
        <f>IF(C40="","",IFERROR(INDEX(Clientes!$B:$B,MATCH(C40,Clientes!$A:$A,0)),"Cód. não cadastrado"))</f>
        <v/>
      </c>
      <c r="K40" s="18">
        <f>IF(B40="","",YEAR(B40))</f>
        <v/>
      </c>
      <c r="L40" s="18">
        <f>IF(B40="","",MONTH(B40))</f>
        <v/>
      </c>
      <c r="M40" s="18">
        <f>IF(OR(B40="",I40=""),"",I40-B40)</f>
        <v/>
      </c>
      <c r="N40" s="21">
        <f>IF(B40="","",IF(I40="",IF(H40="","",IF(TODAY()&gt;H40,"Atrasado (em aberto)","Em aberto")),IF(I40&lt;=H40,"No prazo","Fora do prazo")))</f>
        <v/>
      </c>
    </row>
    <row r="41">
      <c r="A41" t="inlineStr">
        <is>
          <t>PV1040</t>
        </is>
      </c>
      <c r="B41" s="22" t="n">
        <v>46159</v>
      </c>
      <c r="C41" t="inlineStr">
        <is>
          <t>C004</t>
        </is>
      </c>
      <c r="D41" t="inlineStr">
        <is>
          <t>Produto C granel 25kg</t>
        </is>
      </c>
      <c r="E41" s="23" t="n">
        <v>3.8</v>
      </c>
      <c r="F41" s="24" t="n">
        <v>21832.64</v>
      </c>
      <c r="G41" t="inlineStr">
        <is>
          <t>CIF</t>
        </is>
      </c>
      <c r="H41" s="22" t="n">
        <v>46189</v>
      </c>
      <c r="I41" s="22" t="n">
        <v>46189</v>
      </c>
      <c r="J41" s="21">
        <f>IF(C41="","",IFERROR(INDEX(Clientes!$B:$B,MATCH(C41,Clientes!$A:$A,0)),"Cód. não cadastrado"))</f>
        <v/>
      </c>
      <c r="K41" s="18">
        <f>IF(B41="","",YEAR(B41))</f>
        <v/>
      </c>
      <c r="L41" s="18">
        <f>IF(B41="","",MONTH(B41))</f>
        <v/>
      </c>
      <c r="M41" s="18">
        <f>IF(OR(B41="",I41=""),"",I41-B41)</f>
        <v/>
      </c>
      <c r="N41" s="21">
        <f>IF(B41="","",IF(I41="",IF(H41="","",IF(TODAY()&gt;H41,"Atrasado (em aberto)","Em aberto")),IF(I41&lt;=H41,"No prazo","Fora do prazo")))</f>
        <v/>
      </c>
    </row>
    <row r="42">
      <c r="A42" t="inlineStr">
        <is>
          <t>PV1041</t>
        </is>
      </c>
      <c r="B42" s="22" t="n">
        <v>45682</v>
      </c>
      <c r="C42" t="inlineStr">
        <is>
          <t>C005</t>
        </is>
      </c>
      <c r="D42" t="inlineStr">
        <is>
          <t>Produto C granel 25kg</t>
        </is>
      </c>
      <c r="E42" s="23" t="n">
        <v>3</v>
      </c>
      <c r="F42" s="24" t="n">
        <v>50962.67</v>
      </c>
      <c r="G42" t="inlineStr">
        <is>
          <t>FOB</t>
        </is>
      </c>
      <c r="H42" s="22" t="n">
        <v>45712</v>
      </c>
      <c r="I42" s="22" t="n">
        <v>45709</v>
      </c>
      <c r="J42" s="21">
        <f>IF(C42="","",IFERROR(INDEX(Clientes!$B:$B,MATCH(C42,Clientes!$A:$A,0)),"Cód. não cadastrado"))</f>
        <v/>
      </c>
      <c r="K42" s="18">
        <f>IF(B42="","",YEAR(B42))</f>
        <v/>
      </c>
      <c r="L42" s="18">
        <f>IF(B42="","",MONTH(B42))</f>
        <v/>
      </c>
      <c r="M42" s="18">
        <f>IF(OR(B42="",I42=""),"",I42-B42)</f>
        <v/>
      </c>
      <c r="N42" s="21">
        <f>IF(B42="","",IF(I42="",IF(H42="","",IF(TODAY()&gt;H42,"Atrasado (em aberto)","Em aberto")),IF(I42&lt;=H42,"No prazo","Fora do prazo")))</f>
        <v/>
      </c>
    </row>
    <row r="43">
      <c r="A43" t="inlineStr">
        <is>
          <t>PV1042</t>
        </is>
      </c>
      <c r="B43" s="22" t="n">
        <v>45693</v>
      </c>
      <c r="C43" t="inlineStr">
        <is>
          <t>C005</t>
        </is>
      </c>
      <c r="D43" t="inlineStr">
        <is>
          <t>Produto C granel 25kg</t>
        </is>
      </c>
      <c r="E43" s="23" t="n">
        <v>7.4</v>
      </c>
      <c r="F43" s="24" t="n">
        <v>40041.4</v>
      </c>
      <c r="G43" t="inlineStr">
        <is>
          <t>CFR</t>
        </is>
      </c>
      <c r="H43" s="22" t="n">
        <v>45723</v>
      </c>
      <c r="I43" s="22" t="n">
        <v>45723</v>
      </c>
      <c r="J43" s="21">
        <f>IF(C43="","",IFERROR(INDEX(Clientes!$B:$B,MATCH(C43,Clientes!$A:$A,0)),"Cód. não cadastrado"))</f>
        <v/>
      </c>
      <c r="K43" s="18">
        <f>IF(B43="","",YEAR(B43))</f>
        <v/>
      </c>
      <c r="L43" s="18">
        <f>IF(B43="","",MONTH(B43))</f>
        <v/>
      </c>
      <c r="M43" s="18">
        <f>IF(OR(B43="",I43=""),"",I43-B43)</f>
        <v/>
      </c>
      <c r="N43" s="21">
        <f>IF(B43="","",IF(I43="",IF(H43="","",IF(TODAY()&gt;H43,"Atrasado (em aberto)","Em aberto")),IF(I43&lt;=H43,"No prazo","Fora do prazo")))</f>
        <v/>
      </c>
    </row>
    <row r="44">
      <c r="A44" t="inlineStr">
        <is>
          <t>PV1043</t>
        </is>
      </c>
      <c r="B44" s="22" t="n">
        <v>45738</v>
      </c>
      <c r="C44" t="inlineStr">
        <is>
          <t>C005</t>
        </is>
      </c>
      <c r="D44" t="inlineStr">
        <is>
          <t>Produto C granel 25kg</t>
        </is>
      </c>
      <c r="E44" s="23" t="n">
        <v>6.3</v>
      </c>
      <c r="F44" s="24" t="n">
        <v>50292.26</v>
      </c>
      <c r="G44" t="inlineStr">
        <is>
          <t>FOB</t>
        </is>
      </c>
      <c r="H44" s="22" t="n">
        <v>45768</v>
      </c>
      <c r="I44" s="22" t="n">
        <v>45770</v>
      </c>
      <c r="J44" s="21">
        <f>IF(C44="","",IFERROR(INDEX(Clientes!$B:$B,MATCH(C44,Clientes!$A:$A,0)),"Cód. não cadastrado"))</f>
        <v/>
      </c>
      <c r="K44" s="18">
        <f>IF(B44="","",YEAR(B44))</f>
        <v/>
      </c>
      <c r="L44" s="18">
        <f>IF(B44="","",MONTH(B44))</f>
        <v/>
      </c>
      <c r="M44" s="18">
        <f>IF(OR(B44="",I44=""),"",I44-B44)</f>
        <v/>
      </c>
      <c r="N44" s="21">
        <f>IF(B44="","",IF(I44="",IF(H44="","",IF(TODAY()&gt;H44,"Atrasado (em aberto)","Em aberto")),IF(I44&lt;=H44,"No prazo","Fora do prazo")))</f>
        <v/>
      </c>
    </row>
    <row r="45">
      <c r="A45" t="inlineStr">
        <is>
          <t>PV1044</t>
        </is>
      </c>
      <c r="B45" s="22" t="n">
        <v>45765</v>
      </c>
      <c r="C45" t="inlineStr">
        <is>
          <t>C005</t>
        </is>
      </c>
      <c r="D45" t="inlineStr">
        <is>
          <t>Produto A 1kg</t>
        </is>
      </c>
      <c r="E45" s="23" t="n">
        <v>4.1</v>
      </c>
      <c r="F45" s="24" t="n">
        <v>16898.95</v>
      </c>
      <c r="G45" t="inlineStr">
        <is>
          <t>FOB</t>
        </is>
      </c>
      <c r="H45" s="22" t="n">
        <v>45795</v>
      </c>
      <c r="I45" s="22" t="n">
        <v>45789</v>
      </c>
      <c r="J45" s="21">
        <f>IF(C45="","",IFERROR(INDEX(Clientes!$B:$B,MATCH(C45,Clientes!$A:$A,0)),"Cód. não cadastrado"))</f>
        <v/>
      </c>
      <c r="K45" s="18">
        <f>IF(B45="","",YEAR(B45))</f>
        <v/>
      </c>
      <c r="L45" s="18">
        <f>IF(B45="","",MONTH(B45))</f>
        <v/>
      </c>
      <c r="M45" s="18">
        <f>IF(OR(B45="",I45=""),"",I45-B45)</f>
        <v/>
      </c>
      <c r="N45" s="21">
        <f>IF(B45="","",IF(I45="",IF(H45="","",IF(TODAY()&gt;H45,"Atrasado (em aberto)","Em aberto")),IF(I45&lt;=H45,"No prazo","Fora do prazo")))</f>
        <v/>
      </c>
    </row>
    <row r="46">
      <c r="A46" t="inlineStr">
        <is>
          <t>PV1045</t>
        </is>
      </c>
      <c r="B46" s="22" t="n">
        <v>45794</v>
      </c>
      <c r="C46" t="inlineStr">
        <is>
          <t>C005</t>
        </is>
      </c>
      <c r="D46" t="inlineStr">
        <is>
          <t>Produto C granel 25kg</t>
        </is>
      </c>
      <c r="E46" s="23" t="n">
        <v>3.2</v>
      </c>
      <c r="F46" s="24" t="n">
        <v>55230.54</v>
      </c>
      <c r="G46" t="inlineStr">
        <is>
          <t>FOB</t>
        </is>
      </c>
      <c r="H46" s="22" t="n">
        <v>45824</v>
      </c>
      <c r="I46" s="22" t="n">
        <v>45824</v>
      </c>
      <c r="J46" s="21">
        <f>IF(C46="","",IFERROR(INDEX(Clientes!$B:$B,MATCH(C46,Clientes!$A:$A,0)),"Cód. não cadastrado"))</f>
        <v/>
      </c>
      <c r="K46" s="18">
        <f>IF(B46="","",YEAR(B46))</f>
        <v/>
      </c>
      <c r="L46" s="18">
        <f>IF(B46="","",MONTH(B46))</f>
        <v/>
      </c>
      <c r="M46" s="18">
        <f>IF(OR(B46="",I46=""),"",I46-B46)</f>
        <v/>
      </c>
      <c r="N46" s="21">
        <f>IF(B46="","",IF(I46="",IF(H46="","",IF(TODAY()&gt;H46,"Atrasado (em aberto)","Em aberto")),IF(I46&lt;=H46,"No prazo","Fora do prazo")))</f>
        <v/>
      </c>
    </row>
    <row r="47">
      <c r="A47" t="inlineStr">
        <is>
          <t>PV1046</t>
        </is>
      </c>
      <c r="B47" s="22" t="n">
        <v>45823</v>
      </c>
      <c r="C47" t="inlineStr">
        <is>
          <t>C005</t>
        </is>
      </c>
      <c r="D47" t="inlineStr">
        <is>
          <t>Produto C granel 25kg</t>
        </is>
      </c>
      <c r="E47" s="23" t="n">
        <v>8.800000000000001</v>
      </c>
      <c r="F47" s="24" t="n">
        <v>42276.2</v>
      </c>
      <c r="G47" t="inlineStr">
        <is>
          <t>FOB</t>
        </is>
      </c>
      <c r="H47" s="22" t="n">
        <v>45853</v>
      </c>
      <c r="I47" s="22" t="n">
        <v>45853</v>
      </c>
      <c r="J47" s="21">
        <f>IF(C47="","",IFERROR(INDEX(Clientes!$B:$B,MATCH(C47,Clientes!$A:$A,0)),"Cód. não cadastrado"))</f>
        <v/>
      </c>
      <c r="K47" s="18">
        <f>IF(B47="","",YEAR(B47))</f>
        <v/>
      </c>
      <c r="L47" s="18">
        <f>IF(B47="","",MONTH(B47))</f>
        <v/>
      </c>
      <c r="M47" s="18">
        <f>IF(OR(B47="",I47=""),"",I47-B47)</f>
        <v/>
      </c>
      <c r="N47" s="21">
        <f>IF(B47="","",IF(I47="",IF(H47="","",IF(TODAY()&gt;H47,"Atrasado (em aberto)","Em aberto")),IF(I47&lt;=H47,"No prazo","Fora do prazo")))</f>
        <v/>
      </c>
    </row>
    <row r="48">
      <c r="A48" t="inlineStr">
        <is>
          <t>PV1047</t>
        </is>
      </c>
      <c r="B48" s="22" t="n">
        <v>45861</v>
      </c>
      <c r="C48" t="inlineStr">
        <is>
          <t>C005</t>
        </is>
      </c>
      <c r="D48" t="inlineStr">
        <is>
          <t>Produto B 5kg</t>
        </is>
      </c>
      <c r="E48" s="23" t="n">
        <v>6</v>
      </c>
      <c r="F48" s="24" t="n">
        <v>51331.3</v>
      </c>
      <c r="G48" t="inlineStr">
        <is>
          <t>CIF</t>
        </is>
      </c>
      <c r="H48" s="22" t="n">
        <v>45891</v>
      </c>
      <c r="I48" s="22" t="n">
        <v>45891</v>
      </c>
      <c r="J48" s="21">
        <f>IF(C48="","",IFERROR(INDEX(Clientes!$B:$B,MATCH(C48,Clientes!$A:$A,0)),"Cód. não cadastrado"))</f>
        <v/>
      </c>
      <c r="K48" s="18">
        <f>IF(B48="","",YEAR(B48))</f>
        <v/>
      </c>
      <c r="L48" s="18">
        <f>IF(B48="","",MONTH(B48))</f>
        <v/>
      </c>
      <c r="M48" s="18">
        <f>IF(OR(B48="",I48=""),"",I48-B48)</f>
        <v/>
      </c>
      <c r="N48" s="21">
        <f>IF(B48="","",IF(I48="",IF(H48="","",IF(TODAY()&gt;H48,"Atrasado (em aberto)","Em aberto")),IF(I48&lt;=H48,"No prazo","Fora do prazo")))</f>
        <v/>
      </c>
    </row>
    <row r="49">
      <c r="A49" t="inlineStr">
        <is>
          <t>PV1048</t>
        </is>
      </c>
      <c r="B49" s="22" t="n">
        <v>45877</v>
      </c>
      <c r="C49" t="inlineStr">
        <is>
          <t>C005</t>
        </is>
      </c>
      <c r="D49" t="inlineStr">
        <is>
          <t>Produto C granel 25kg</t>
        </is>
      </c>
      <c r="E49" s="23" t="n">
        <v>8.300000000000001</v>
      </c>
      <c r="F49" s="24" t="n">
        <v>57398.13</v>
      </c>
      <c r="G49" t="inlineStr">
        <is>
          <t>CFR</t>
        </is>
      </c>
      <c r="H49" s="22" t="n">
        <v>45907</v>
      </c>
      <c r="I49" s="22" t="n">
        <v>45912</v>
      </c>
      <c r="J49" s="21">
        <f>IF(C49="","",IFERROR(INDEX(Clientes!$B:$B,MATCH(C49,Clientes!$A:$A,0)),"Cód. não cadastrado"))</f>
        <v/>
      </c>
      <c r="K49" s="18">
        <f>IF(B49="","",YEAR(B49))</f>
        <v/>
      </c>
      <c r="L49" s="18">
        <f>IF(B49="","",MONTH(B49))</f>
        <v/>
      </c>
      <c r="M49" s="18">
        <f>IF(OR(B49="",I49=""),"",I49-B49)</f>
        <v/>
      </c>
      <c r="N49" s="21">
        <f>IF(B49="","",IF(I49="",IF(H49="","",IF(TODAY()&gt;H49,"Atrasado (em aberto)","Em aberto")),IF(I49&lt;=H49,"No prazo","Fora do prazo")))</f>
        <v/>
      </c>
    </row>
    <row r="50">
      <c r="A50" t="inlineStr">
        <is>
          <t>PV1049</t>
        </is>
      </c>
      <c r="B50" s="22" t="n">
        <v>45918</v>
      </c>
      <c r="C50" t="inlineStr">
        <is>
          <t>C005</t>
        </is>
      </c>
      <c r="D50" t="inlineStr">
        <is>
          <t>Produto B 5kg</t>
        </is>
      </c>
      <c r="E50" s="23" t="n">
        <v>3.8</v>
      </c>
      <c r="F50" s="24" t="n">
        <v>20472.99</v>
      </c>
      <c r="G50" t="inlineStr">
        <is>
          <t>CFR</t>
        </is>
      </c>
      <c r="H50" s="22" t="n">
        <v>45948</v>
      </c>
      <c r="I50" s="22" t="n">
        <v>45945</v>
      </c>
      <c r="J50" s="21">
        <f>IF(C50="","",IFERROR(INDEX(Clientes!$B:$B,MATCH(C50,Clientes!$A:$A,0)),"Cód. não cadastrado"))</f>
        <v/>
      </c>
      <c r="K50" s="18">
        <f>IF(B50="","",YEAR(B50))</f>
        <v/>
      </c>
      <c r="L50" s="18">
        <f>IF(B50="","",MONTH(B50))</f>
        <v/>
      </c>
      <c r="M50" s="18">
        <f>IF(OR(B50="",I50=""),"",I50-B50)</f>
        <v/>
      </c>
      <c r="N50" s="21">
        <f>IF(B50="","",IF(I50="",IF(H50="","",IF(TODAY()&gt;H50,"Atrasado (em aberto)","Em aberto")),IF(I50&lt;=H50,"No prazo","Fora do prazo")))</f>
        <v/>
      </c>
    </row>
    <row r="51">
      <c r="A51" t="inlineStr">
        <is>
          <t>PV1050</t>
        </is>
      </c>
      <c r="B51" s="22" t="n">
        <v>45941</v>
      </c>
      <c r="C51" t="inlineStr">
        <is>
          <t>C005</t>
        </is>
      </c>
      <c r="D51" t="inlineStr">
        <is>
          <t>Produto C granel 25kg</t>
        </is>
      </c>
      <c r="E51" s="23" t="n">
        <v>4.4</v>
      </c>
      <c r="F51" s="24" t="n">
        <v>18290.43</v>
      </c>
      <c r="G51" t="inlineStr">
        <is>
          <t>CIF</t>
        </is>
      </c>
      <c r="H51" s="22" t="n">
        <v>45971</v>
      </c>
      <c r="I51" s="22" t="n">
        <v>45965</v>
      </c>
      <c r="J51" s="21">
        <f>IF(C51="","",IFERROR(INDEX(Clientes!$B:$B,MATCH(C51,Clientes!$A:$A,0)),"Cód. não cadastrado"))</f>
        <v/>
      </c>
      <c r="K51" s="18">
        <f>IF(B51="","",YEAR(B51))</f>
        <v/>
      </c>
      <c r="L51" s="18">
        <f>IF(B51="","",MONTH(B51))</f>
        <v/>
      </c>
      <c r="M51" s="18">
        <f>IF(OR(B51="",I51=""),"",I51-B51)</f>
        <v/>
      </c>
      <c r="N51" s="21">
        <f>IF(B51="","",IF(I51="",IF(H51="","",IF(TODAY()&gt;H51,"Atrasado (em aberto)","Em aberto")),IF(I51&lt;=H51,"No prazo","Fora do prazo")))</f>
        <v/>
      </c>
    </row>
    <row r="52">
      <c r="A52" t="inlineStr">
        <is>
          <t>PV1051</t>
        </is>
      </c>
      <c r="B52" s="22" t="n">
        <v>45971</v>
      </c>
      <c r="C52" t="inlineStr">
        <is>
          <t>C005</t>
        </is>
      </c>
      <c r="D52" t="inlineStr">
        <is>
          <t>Produto A 1kg</t>
        </is>
      </c>
      <c r="E52" s="23" t="n">
        <v>8.4</v>
      </c>
      <c r="F52" s="24" t="n">
        <v>21950.1</v>
      </c>
      <c r="G52" t="inlineStr">
        <is>
          <t>CIF</t>
        </is>
      </c>
      <c r="H52" s="22" t="n">
        <v>46001</v>
      </c>
      <c r="I52" s="22" t="n">
        <v>46010</v>
      </c>
      <c r="J52" s="21">
        <f>IF(C52="","",IFERROR(INDEX(Clientes!$B:$B,MATCH(C52,Clientes!$A:$A,0)),"Cód. não cadastrado"))</f>
        <v/>
      </c>
      <c r="K52" s="18">
        <f>IF(B52="","",YEAR(B52))</f>
        <v/>
      </c>
      <c r="L52" s="18">
        <f>IF(B52="","",MONTH(B52))</f>
        <v/>
      </c>
      <c r="M52" s="18">
        <f>IF(OR(B52="",I52=""),"",I52-B52)</f>
        <v/>
      </c>
      <c r="N52" s="21">
        <f>IF(B52="","",IF(I52="",IF(H52="","",IF(TODAY()&gt;H52,"Atrasado (em aberto)","Em aberto")),IF(I52&lt;=H52,"No prazo","Fora do prazo")))</f>
        <v/>
      </c>
    </row>
    <row r="53">
      <c r="A53" t="inlineStr">
        <is>
          <t>PV1052</t>
        </is>
      </c>
      <c r="B53" s="22" t="n">
        <v>46012</v>
      </c>
      <c r="C53" t="inlineStr">
        <is>
          <t>C005</t>
        </is>
      </c>
      <c r="D53" t="inlineStr">
        <is>
          <t>Produto B 5kg</t>
        </is>
      </c>
      <c r="E53" s="23" t="n">
        <v>3.9</v>
      </c>
      <c r="F53" s="24" t="n">
        <v>54727.48</v>
      </c>
      <c r="G53" t="inlineStr">
        <is>
          <t>CFR</t>
        </is>
      </c>
      <c r="H53" s="22" t="n">
        <v>46042</v>
      </c>
      <c r="I53" s="22" t="n">
        <v>46047</v>
      </c>
      <c r="J53" s="21">
        <f>IF(C53="","",IFERROR(INDEX(Clientes!$B:$B,MATCH(C53,Clientes!$A:$A,0)),"Cód. não cadastrado"))</f>
        <v/>
      </c>
      <c r="K53" s="18">
        <f>IF(B53="","",YEAR(B53))</f>
        <v/>
      </c>
      <c r="L53" s="18">
        <f>IF(B53="","",MONTH(B53))</f>
        <v/>
      </c>
      <c r="M53" s="18">
        <f>IF(OR(B53="",I53=""),"",I53-B53)</f>
        <v/>
      </c>
      <c r="N53" s="21">
        <f>IF(B53="","",IF(I53="",IF(H53="","",IF(TODAY()&gt;H53,"Atrasado (em aberto)","Em aberto")),IF(I53&lt;=H53,"No prazo","Fora do prazo")))</f>
        <v/>
      </c>
    </row>
    <row r="54">
      <c r="A54" t="inlineStr">
        <is>
          <t>PV1053</t>
        </is>
      </c>
      <c r="B54" s="22" t="n">
        <v>46026</v>
      </c>
      <c r="C54" t="inlineStr">
        <is>
          <t>C005</t>
        </is>
      </c>
      <c r="D54" t="inlineStr">
        <is>
          <t>Produto B 5kg</t>
        </is>
      </c>
      <c r="E54" s="23" t="n">
        <v>4</v>
      </c>
      <c r="F54" s="24" t="n">
        <v>45052.48</v>
      </c>
      <c r="G54" t="inlineStr">
        <is>
          <t>FOB</t>
        </is>
      </c>
      <c r="H54" s="22" t="n">
        <v>46056</v>
      </c>
      <c r="I54" s="22" t="n">
        <v>46056</v>
      </c>
      <c r="J54" s="21">
        <f>IF(C54="","",IFERROR(INDEX(Clientes!$B:$B,MATCH(C54,Clientes!$A:$A,0)),"Cód. não cadastrado"))</f>
        <v/>
      </c>
      <c r="K54" s="18">
        <f>IF(B54="","",YEAR(B54))</f>
        <v/>
      </c>
      <c r="L54" s="18">
        <f>IF(B54="","",MONTH(B54))</f>
        <v/>
      </c>
      <c r="M54" s="18">
        <f>IF(OR(B54="",I54=""),"",I54-B54)</f>
        <v/>
      </c>
      <c r="N54" s="21">
        <f>IF(B54="","",IF(I54="",IF(H54="","",IF(TODAY()&gt;H54,"Atrasado (em aberto)","Em aberto")),IF(I54&lt;=H54,"No prazo","Fora do prazo")))</f>
        <v/>
      </c>
    </row>
    <row r="55">
      <c r="A55" t="inlineStr">
        <is>
          <t>PV1054</t>
        </is>
      </c>
      <c r="B55" s="22" t="n">
        <v>46098</v>
      </c>
      <c r="C55" t="inlineStr">
        <is>
          <t>C005</t>
        </is>
      </c>
      <c r="D55" t="inlineStr">
        <is>
          <t>Produto B 5kg</t>
        </is>
      </c>
      <c r="E55" s="23" t="n">
        <v>5.5</v>
      </c>
      <c r="F55" s="24" t="n">
        <v>31047.67</v>
      </c>
      <c r="G55" t="inlineStr">
        <is>
          <t>FOB</t>
        </is>
      </c>
      <c r="H55" s="22" t="n">
        <v>46128</v>
      </c>
      <c r="I55" s="22" t="n">
        <v>46128</v>
      </c>
      <c r="J55" s="21">
        <f>IF(C55="","",IFERROR(INDEX(Clientes!$B:$B,MATCH(C55,Clientes!$A:$A,0)),"Cód. não cadastrado"))</f>
        <v/>
      </c>
      <c r="K55" s="18">
        <f>IF(B55="","",YEAR(B55))</f>
        <v/>
      </c>
      <c r="L55" s="18">
        <f>IF(B55="","",MONTH(B55))</f>
        <v/>
      </c>
      <c r="M55" s="18">
        <f>IF(OR(B55="",I55=""),"",I55-B55)</f>
        <v/>
      </c>
      <c r="N55" s="21">
        <f>IF(B55="","",IF(I55="",IF(H55="","",IF(TODAY()&gt;H55,"Atrasado (em aberto)","Em aberto")),IF(I55&lt;=H55,"No prazo","Fora do prazo")))</f>
        <v/>
      </c>
    </row>
    <row r="56">
      <c r="A56" t="inlineStr">
        <is>
          <t>PV1055</t>
        </is>
      </c>
      <c r="B56" s="22" t="n">
        <v>46113</v>
      </c>
      <c r="C56" t="inlineStr">
        <is>
          <t>C005</t>
        </is>
      </c>
      <c r="D56" t="inlineStr">
        <is>
          <t>Produto C granel 25kg</t>
        </is>
      </c>
      <c r="E56" s="23" t="n">
        <v>5.8</v>
      </c>
      <c r="F56" s="24" t="n">
        <v>46641.81</v>
      </c>
      <c r="G56" t="inlineStr">
        <is>
          <t>CFR</t>
        </is>
      </c>
      <c r="H56" s="22" t="n">
        <v>46143</v>
      </c>
      <c r="I56" s="22" t="n">
        <v>46143</v>
      </c>
      <c r="J56" s="21">
        <f>IF(C56="","",IFERROR(INDEX(Clientes!$B:$B,MATCH(C56,Clientes!$A:$A,0)),"Cód. não cadastrado"))</f>
        <v/>
      </c>
      <c r="K56" s="18">
        <f>IF(B56="","",YEAR(B56))</f>
        <v/>
      </c>
      <c r="L56" s="18">
        <f>IF(B56="","",MONTH(B56))</f>
        <v/>
      </c>
      <c r="M56" s="18">
        <f>IF(OR(B56="",I56=""),"",I56-B56)</f>
        <v/>
      </c>
      <c r="N56" s="21">
        <f>IF(B56="","",IF(I56="",IF(H56="","",IF(TODAY()&gt;H56,"Atrasado (em aberto)","Em aberto")),IF(I56&lt;=H56,"No prazo","Fora do prazo")))</f>
        <v/>
      </c>
    </row>
    <row r="57">
      <c r="A57" t="inlineStr">
        <is>
          <t>PV1056</t>
        </is>
      </c>
      <c r="B57" s="22" t="n">
        <v>46162</v>
      </c>
      <c r="C57" t="inlineStr">
        <is>
          <t>C005</t>
        </is>
      </c>
      <c r="D57" t="inlineStr">
        <is>
          <t>Produto C granel 25kg</t>
        </is>
      </c>
      <c r="E57" s="23" t="n">
        <v>8.800000000000001</v>
      </c>
      <c r="F57" s="24" t="n">
        <v>20078.25</v>
      </c>
      <c r="G57" t="inlineStr">
        <is>
          <t>FOB</t>
        </is>
      </c>
      <c r="H57" s="22" t="n">
        <v>46192</v>
      </c>
      <c r="I57" s="22" t="n">
        <v>46192</v>
      </c>
      <c r="J57" s="21">
        <f>IF(C57="","",IFERROR(INDEX(Clientes!$B:$B,MATCH(C57,Clientes!$A:$A,0)),"Cód. não cadastrado"))</f>
        <v/>
      </c>
      <c r="K57" s="18">
        <f>IF(B57="","",YEAR(B57))</f>
        <v/>
      </c>
      <c r="L57" s="18">
        <f>IF(B57="","",MONTH(B57))</f>
        <v/>
      </c>
      <c r="M57" s="18">
        <f>IF(OR(B57="",I57=""),"",I57-B57)</f>
        <v/>
      </c>
      <c r="N57" s="21">
        <f>IF(B57="","",IF(I57="",IF(H57="","",IF(TODAY()&gt;H57,"Atrasado (em aberto)","Em aberto")),IF(I57&lt;=H57,"No prazo","Fora do prazo")))</f>
        <v/>
      </c>
    </row>
    <row r="58">
      <c r="A58" t="inlineStr">
        <is>
          <t>PV1057</t>
        </is>
      </c>
      <c r="B58" s="22" t="n">
        <v>46177</v>
      </c>
      <c r="C58" t="inlineStr">
        <is>
          <t>C005</t>
        </is>
      </c>
      <c r="D58" t="inlineStr">
        <is>
          <t>Produto B 5kg</t>
        </is>
      </c>
      <c r="E58" s="23" t="n">
        <v>4.6</v>
      </c>
      <c r="F58" s="24" t="n">
        <v>55765.44</v>
      </c>
      <c r="G58" t="inlineStr">
        <is>
          <t>FOB</t>
        </is>
      </c>
      <c r="H58" s="22" t="n">
        <v>46207</v>
      </c>
      <c r="I58" s="22" t="n">
        <v>46201</v>
      </c>
      <c r="J58" s="21">
        <f>IF(C58="","",IFERROR(INDEX(Clientes!$B:$B,MATCH(C58,Clientes!$A:$A,0)),"Cód. não cadastrado"))</f>
        <v/>
      </c>
      <c r="K58" s="18">
        <f>IF(B58="","",YEAR(B58))</f>
        <v/>
      </c>
      <c r="L58" s="18">
        <f>IF(B58="","",MONTH(B58))</f>
        <v/>
      </c>
      <c r="M58" s="18">
        <f>IF(OR(B58="",I58=""),"",I58-B58)</f>
        <v/>
      </c>
      <c r="N58" s="21">
        <f>IF(B58="","",IF(I58="",IF(H58="","",IF(TODAY()&gt;H58,"Atrasado (em aberto)","Em aberto")),IF(I58&lt;=H58,"No prazo","Fora do prazo")))</f>
        <v/>
      </c>
    </row>
    <row r="59">
      <c r="A59" t="inlineStr">
        <is>
          <t>PV1058</t>
        </is>
      </c>
      <c r="B59" s="22" t="n">
        <v>46208</v>
      </c>
      <c r="C59" t="inlineStr">
        <is>
          <t>C005</t>
        </is>
      </c>
      <c r="D59" t="inlineStr">
        <is>
          <t>Produto B 5kg</t>
        </is>
      </c>
      <c r="E59" s="23" t="n">
        <v>8.1</v>
      </c>
      <c r="F59" s="24" t="n">
        <v>45418.81</v>
      </c>
      <c r="G59" t="inlineStr">
        <is>
          <t>CFR</t>
        </is>
      </c>
      <c r="H59" s="22" t="n">
        <v>46238</v>
      </c>
      <c r="I59" s="22" t="n">
        <v>46247</v>
      </c>
      <c r="J59" s="21">
        <f>IF(C59="","",IFERROR(INDEX(Clientes!$B:$B,MATCH(C59,Clientes!$A:$A,0)),"Cód. não cadastrado"))</f>
        <v/>
      </c>
      <c r="K59" s="18">
        <f>IF(B59="","",YEAR(B59))</f>
        <v/>
      </c>
      <c r="L59" s="18">
        <f>IF(B59="","",MONTH(B59))</f>
        <v/>
      </c>
      <c r="M59" s="18">
        <f>IF(OR(B59="",I59=""),"",I59-B59)</f>
        <v/>
      </c>
      <c r="N59" s="21">
        <f>IF(B59="","",IF(I59="",IF(H59="","",IF(TODAY()&gt;H59,"Atrasado (em aberto)","Em aberto")),IF(I59&lt;=H59,"No prazo","Fora do prazo")))</f>
        <v/>
      </c>
    </row>
    <row r="60">
      <c r="A60" t="inlineStr">
        <is>
          <t>PV1059</t>
        </is>
      </c>
      <c r="B60" s="22" t="n">
        <v>46252</v>
      </c>
      <c r="C60" t="inlineStr">
        <is>
          <t>C005</t>
        </is>
      </c>
      <c r="D60" t="inlineStr">
        <is>
          <t>Produto C granel 25kg</t>
        </is>
      </c>
      <c r="E60" s="23" t="n">
        <v>6</v>
      </c>
      <c r="F60" s="24" t="n">
        <v>29717.18</v>
      </c>
      <c r="G60" t="inlineStr">
        <is>
          <t>CFR</t>
        </is>
      </c>
      <c r="H60" s="22" t="n">
        <v>46282</v>
      </c>
      <c r="I60" s="22" t="n">
        <v>46284</v>
      </c>
      <c r="J60" s="21">
        <f>IF(C60="","",IFERROR(INDEX(Clientes!$B:$B,MATCH(C60,Clientes!$A:$A,0)),"Cód. não cadastrado"))</f>
        <v/>
      </c>
      <c r="K60" s="18">
        <f>IF(B60="","",YEAR(B60))</f>
        <v/>
      </c>
      <c r="L60" s="18">
        <f>IF(B60="","",MONTH(B60))</f>
        <v/>
      </c>
      <c r="M60" s="18">
        <f>IF(OR(B60="",I60=""),"",I60-B60)</f>
        <v/>
      </c>
      <c r="N60" s="21">
        <f>IF(B60="","",IF(I60="",IF(H60="","",IF(TODAY()&gt;H60,"Atrasado (em aberto)","Em aberto")),IF(I60&lt;=H60,"No prazo","Fora do prazo")))</f>
        <v/>
      </c>
    </row>
    <row r="61">
      <c r="A61" t="inlineStr">
        <is>
          <t>PV1060</t>
        </is>
      </c>
      <c r="B61" s="22" t="n">
        <v>45671</v>
      </c>
      <c r="C61" t="inlineStr">
        <is>
          <t>C006</t>
        </is>
      </c>
      <c r="D61" t="inlineStr">
        <is>
          <t>Produto B 5kg</t>
        </is>
      </c>
      <c r="E61" s="23" t="n">
        <v>8.6</v>
      </c>
      <c r="F61" s="24" t="n">
        <v>43549.78</v>
      </c>
      <c r="G61" t="inlineStr">
        <is>
          <t>CFR</t>
        </is>
      </c>
      <c r="H61" s="22" t="n">
        <v>45701</v>
      </c>
      <c r="I61" s="22" t="n">
        <v>45695</v>
      </c>
      <c r="J61" s="21">
        <f>IF(C61="","",IFERROR(INDEX(Clientes!$B:$B,MATCH(C61,Clientes!$A:$A,0)),"Cód. não cadastrado"))</f>
        <v/>
      </c>
      <c r="K61" s="18">
        <f>IF(B61="","",YEAR(B61))</f>
        <v/>
      </c>
      <c r="L61" s="18">
        <f>IF(B61="","",MONTH(B61))</f>
        <v/>
      </c>
      <c r="M61" s="18">
        <f>IF(OR(B61="",I61=""),"",I61-B61)</f>
        <v/>
      </c>
      <c r="N61" s="21">
        <f>IF(B61="","",IF(I61="",IF(H61="","",IF(TODAY()&gt;H61,"Atrasado (em aberto)","Em aberto")),IF(I61&lt;=H61,"No prazo","Fora do prazo")))</f>
        <v/>
      </c>
    </row>
    <row r="62">
      <c r="A62" t="inlineStr">
        <is>
          <t>PV1061</t>
        </is>
      </c>
      <c r="B62" s="22" t="n">
        <v>45691</v>
      </c>
      <c r="C62" t="inlineStr">
        <is>
          <t>C006</t>
        </is>
      </c>
      <c r="D62" t="inlineStr">
        <is>
          <t>Produto A 1kg</t>
        </is>
      </c>
      <c r="E62" s="23" t="n">
        <v>3.4</v>
      </c>
      <c r="F62" s="24" t="n">
        <v>53824.87</v>
      </c>
      <c r="G62" t="inlineStr">
        <is>
          <t>CFR</t>
        </is>
      </c>
      <c r="H62" s="22" t="n">
        <v>45721</v>
      </c>
      <c r="I62" s="22" t="n">
        <v>45723</v>
      </c>
      <c r="J62" s="21">
        <f>IF(C62="","",IFERROR(INDEX(Clientes!$B:$B,MATCH(C62,Clientes!$A:$A,0)),"Cód. não cadastrado"))</f>
        <v/>
      </c>
      <c r="K62" s="18">
        <f>IF(B62="","",YEAR(B62))</f>
        <v/>
      </c>
      <c r="L62" s="18">
        <f>IF(B62="","",MONTH(B62))</f>
        <v/>
      </c>
      <c r="M62" s="18">
        <f>IF(OR(B62="",I62=""),"",I62-B62)</f>
        <v/>
      </c>
      <c r="N62" s="21">
        <f>IF(B62="","",IF(I62="",IF(H62="","",IF(TODAY()&gt;H62,"Atrasado (em aberto)","Em aberto")),IF(I62&lt;=H62,"No prazo","Fora do prazo")))</f>
        <v/>
      </c>
    </row>
    <row r="63">
      <c r="A63" t="inlineStr">
        <is>
          <t>PV1062</t>
        </is>
      </c>
      <c r="B63" s="22" t="n">
        <v>45717</v>
      </c>
      <c r="C63" t="inlineStr">
        <is>
          <t>C006</t>
        </is>
      </c>
      <c r="D63" t="inlineStr">
        <is>
          <t>Produto C granel 25kg</t>
        </is>
      </c>
      <c r="E63" s="23" t="n">
        <v>5.5</v>
      </c>
      <c r="F63" s="24" t="n">
        <v>56194.2</v>
      </c>
      <c r="G63" t="inlineStr">
        <is>
          <t>CIF</t>
        </is>
      </c>
      <c r="H63" s="22" t="n">
        <v>45747</v>
      </c>
      <c r="I63" s="22" t="n">
        <v>45747</v>
      </c>
      <c r="J63" s="21">
        <f>IF(C63="","",IFERROR(INDEX(Clientes!$B:$B,MATCH(C63,Clientes!$A:$A,0)),"Cód. não cadastrado"))</f>
        <v/>
      </c>
      <c r="K63" s="18">
        <f>IF(B63="","",YEAR(B63))</f>
        <v/>
      </c>
      <c r="L63" s="18">
        <f>IF(B63="","",MONTH(B63))</f>
        <v/>
      </c>
      <c r="M63" s="18">
        <f>IF(OR(B63="",I63=""),"",I63-B63)</f>
        <v/>
      </c>
      <c r="N63" s="21">
        <f>IF(B63="","",IF(I63="",IF(H63="","",IF(TODAY()&gt;H63,"Atrasado (em aberto)","Em aberto")),IF(I63&lt;=H63,"No prazo","Fora do prazo")))</f>
        <v/>
      </c>
    </row>
    <row r="64">
      <c r="A64" t="inlineStr">
        <is>
          <t>PV1063</t>
        </is>
      </c>
      <c r="B64" s="22" t="n">
        <v>45752</v>
      </c>
      <c r="C64" t="inlineStr">
        <is>
          <t>C006</t>
        </is>
      </c>
      <c r="D64" t="inlineStr">
        <is>
          <t>Produto C granel 25kg</t>
        </is>
      </c>
      <c r="E64" s="23" t="n">
        <v>7.3</v>
      </c>
      <c r="F64" s="24" t="n">
        <v>57215.67</v>
      </c>
      <c r="G64" t="inlineStr">
        <is>
          <t>FOB</t>
        </is>
      </c>
      <c r="H64" s="22" t="n">
        <v>45782</v>
      </c>
      <c r="I64" s="22" t="n">
        <v>45776</v>
      </c>
      <c r="J64" s="21">
        <f>IF(C64="","",IFERROR(INDEX(Clientes!$B:$B,MATCH(C64,Clientes!$A:$A,0)),"Cód. não cadastrado"))</f>
        <v/>
      </c>
      <c r="K64" s="18">
        <f>IF(B64="","",YEAR(B64))</f>
        <v/>
      </c>
      <c r="L64" s="18">
        <f>IF(B64="","",MONTH(B64))</f>
        <v/>
      </c>
      <c r="M64" s="18">
        <f>IF(OR(B64="",I64=""),"",I64-B64)</f>
        <v/>
      </c>
      <c r="N64" s="21">
        <f>IF(B64="","",IF(I64="",IF(H64="","",IF(TODAY()&gt;H64,"Atrasado (em aberto)","Em aberto")),IF(I64&lt;=H64,"No prazo","Fora do prazo")))</f>
        <v/>
      </c>
    </row>
    <row r="65">
      <c r="A65" t="inlineStr">
        <is>
          <t>PV1064</t>
        </is>
      </c>
      <c r="B65" s="22" t="n">
        <v>45786</v>
      </c>
      <c r="C65" t="inlineStr">
        <is>
          <t>C006</t>
        </is>
      </c>
      <c r="D65" t="inlineStr">
        <is>
          <t>Produto A 1kg</t>
        </is>
      </c>
      <c r="E65" s="23" t="n">
        <v>4.2</v>
      </c>
      <c r="F65" s="24" t="n">
        <v>29039.66</v>
      </c>
      <c r="G65" t="inlineStr">
        <is>
          <t>CFR</t>
        </is>
      </c>
      <c r="H65" s="22" t="n">
        <v>45816</v>
      </c>
      <c r="I65" s="22" t="n">
        <v>45810</v>
      </c>
      <c r="J65" s="21">
        <f>IF(C65="","",IFERROR(INDEX(Clientes!$B:$B,MATCH(C65,Clientes!$A:$A,0)),"Cód. não cadastrado"))</f>
        <v/>
      </c>
      <c r="K65" s="18">
        <f>IF(B65="","",YEAR(B65))</f>
        <v/>
      </c>
      <c r="L65" s="18">
        <f>IF(B65="","",MONTH(B65))</f>
        <v/>
      </c>
      <c r="M65" s="18">
        <f>IF(OR(B65="",I65=""),"",I65-B65)</f>
        <v/>
      </c>
      <c r="N65" s="21">
        <f>IF(B65="","",IF(I65="",IF(H65="","",IF(TODAY()&gt;H65,"Atrasado (em aberto)","Em aberto")),IF(I65&lt;=H65,"No prazo","Fora do prazo")))</f>
        <v/>
      </c>
    </row>
    <row r="66">
      <c r="A66" t="inlineStr">
        <is>
          <t>PV1065</t>
        </is>
      </c>
      <c r="B66" s="22" t="n">
        <v>45825</v>
      </c>
      <c r="C66" t="inlineStr">
        <is>
          <t>C006</t>
        </is>
      </c>
      <c r="D66" t="inlineStr">
        <is>
          <t>Produto A 1kg</t>
        </is>
      </c>
      <c r="E66" s="23" t="n">
        <v>4.7</v>
      </c>
      <c r="F66" s="24" t="n">
        <v>37503.99</v>
      </c>
      <c r="G66" t="inlineStr">
        <is>
          <t>FOB</t>
        </is>
      </c>
      <c r="H66" s="22" t="n">
        <v>45855</v>
      </c>
      <c r="I66" s="22" t="n">
        <v>45864</v>
      </c>
      <c r="J66" s="21">
        <f>IF(C66="","",IFERROR(INDEX(Clientes!$B:$B,MATCH(C66,Clientes!$A:$A,0)),"Cód. não cadastrado"))</f>
        <v/>
      </c>
      <c r="K66" s="18">
        <f>IF(B66="","",YEAR(B66))</f>
        <v/>
      </c>
      <c r="L66" s="18">
        <f>IF(B66="","",MONTH(B66))</f>
        <v/>
      </c>
      <c r="M66" s="18">
        <f>IF(OR(B66="",I66=""),"",I66-B66)</f>
        <v/>
      </c>
      <c r="N66" s="21">
        <f>IF(B66="","",IF(I66="",IF(H66="","",IF(TODAY()&gt;H66,"Atrasado (em aberto)","Em aberto")),IF(I66&lt;=H66,"No prazo","Fora do prazo")))</f>
        <v/>
      </c>
    </row>
    <row r="67">
      <c r="A67" t="inlineStr">
        <is>
          <t>PV1066</t>
        </is>
      </c>
      <c r="B67" s="22" t="n">
        <v>45847</v>
      </c>
      <c r="C67" t="inlineStr">
        <is>
          <t>C006</t>
        </is>
      </c>
      <c r="D67" t="inlineStr">
        <is>
          <t>Produto A 1kg</t>
        </is>
      </c>
      <c r="E67" s="23" t="n">
        <v>9</v>
      </c>
      <c r="F67" s="24" t="n">
        <v>16662.72</v>
      </c>
      <c r="G67" t="inlineStr">
        <is>
          <t>FOB</t>
        </is>
      </c>
      <c r="H67" s="22" t="n">
        <v>45877</v>
      </c>
      <c r="I67" s="22" t="n">
        <v>45877</v>
      </c>
      <c r="J67" s="21">
        <f>IF(C67="","",IFERROR(INDEX(Clientes!$B:$B,MATCH(C67,Clientes!$A:$A,0)),"Cód. não cadastrado"))</f>
        <v/>
      </c>
      <c r="K67" s="18">
        <f>IF(B67="","",YEAR(B67))</f>
        <v/>
      </c>
      <c r="L67" s="18">
        <f>IF(B67="","",MONTH(B67))</f>
        <v/>
      </c>
      <c r="M67" s="18">
        <f>IF(OR(B67="",I67=""),"",I67-B67)</f>
        <v/>
      </c>
      <c r="N67" s="21">
        <f>IF(B67="","",IF(I67="",IF(H67="","",IF(TODAY()&gt;H67,"Atrasado (em aberto)","Em aberto")),IF(I67&lt;=H67,"No prazo","Fora do prazo")))</f>
        <v/>
      </c>
    </row>
    <row r="68">
      <c r="A68" t="inlineStr">
        <is>
          <t>PV1067</t>
        </is>
      </c>
      <c r="B68" s="22" t="n">
        <v>45893</v>
      </c>
      <c r="C68" t="inlineStr">
        <is>
          <t>C006</t>
        </is>
      </c>
      <c r="D68" t="inlineStr">
        <is>
          <t>Produto C granel 25kg</t>
        </is>
      </c>
      <c r="E68" s="23" t="n">
        <v>8.9</v>
      </c>
      <c r="F68" s="24" t="n">
        <v>38140.57</v>
      </c>
      <c r="G68" t="inlineStr">
        <is>
          <t>FOB</t>
        </is>
      </c>
      <c r="H68" s="22" t="n">
        <v>45923</v>
      </c>
      <c r="I68" s="22" t="n">
        <v>45925</v>
      </c>
      <c r="J68" s="21">
        <f>IF(C68="","",IFERROR(INDEX(Clientes!$B:$B,MATCH(C68,Clientes!$A:$A,0)),"Cód. não cadastrado"))</f>
        <v/>
      </c>
      <c r="K68" s="18">
        <f>IF(B68="","",YEAR(B68))</f>
        <v/>
      </c>
      <c r="L68" s="18">
        <f>IF(B68="","",MONTH(B68))</f>
        <v/>
      </c>
      <c r="M68" s="18">
        <f>IF(OR(B68="",I68=""),"",I68-B68)</f>
        <v/>
      </c>
      <c r="N68" s="21">
        <f>IF(B68="","",IF(I68="",IF(H68="","",IF(TODAY()&gt;H68,"Atrasado (em aberto)","Em aberto")),IF(I68&lt;=H68,"No prazo","Fora do prazo")))</f>
        <v/>
      </c>
    </row>
    <row r="69">
      <c r="A69" t="inlineStr">
        <is>
          <t>PV1068</t>
        </is>
      </c>
      <c r="B69" s="22" t="n">
        <v>45915</v>
      </c>
      <c r="C69" t="inlineStr">
        <is>
          <t>C006</t>
        </is>
      </c>
      <c r="D69" t="inlineStr">
        <is>
          <t>Produto C granel 25kg</t>
        </is>
      </c>
      <c r="E69" s="23" t="n">
        <v>7.9</v>
      </c>
      <c r="F69" s="24" t="n">
        <v>34447.99</v>
      </c>
      <c r="G69" t="inlineStr">
        <is>
          <t>CFR</t>
        </is>
      </c>
      <c r="H69" s="22" t="n">
        <v>45945</v>
      </c>
      <c r="I69" s="22" t="n">
        <v>45939</v>
      </c>
      <c r="J69" s="21">
        <f>IF(C69="","",IFERROR(INDEX(Clientes!$B:$B,MATCH(C69,Clientes!$A:$A,0)),"Cód. não cadastrado"))</f>
        <v/>
      </c>
      <c r="K69" s="18">
        <f>IF(B69="","",YEAR(B69))</f>
        <v/>
      </c>
      <c r="L69" s="18">
        <f>IF(B69="","",MONTH(B69))</f>
        <v/>
      </c>
      <c r="M69" s="18">
        <f>IF(OR(B69="",I69=""),"",I69-B69)</f>
        <v/>
      </c>
      <c r="N69" s="21">
        <f>IF(B69="","",IF(I69="",IF(H69="","",IF(TODAY()&gt;H69,"Atrasado (em aberto)","Em aberto")),IF(I69&lt;=H69,"No prazo","Fora do prazo")))</f>
        <v/>
      </c>
    </row>
    <row r="70">
      <c r="A70" t="inlineStr">
        <is>
          <t>PV1069</t>
        </is>
      </c>
      <c r="B70" s="22" t="n">
        <v>45948</v>
      </c>
      <c r="C70" t="inlineStr">
        <is>
          <t>C006</t>
        </is>
      </c>
      <c r="D70" t="inlineStr">
        <is>
          <t>Produto B 5kg</t>
        </is>
      </c>
      <c r="E70" s="23" t="n">
        <v>8.800000000000001</v>
      </c>
      <c r="F70" s="24" t="n">
        <v>28850.24</v>
      </c>
      <c r="G70" t="inlineStr">
        <is>
          <t>FOB</t>
        </is>
      </c>
      <c r="H70" s="22" t="n">
        <v>45978</v>
      </c>
      <c r="I70" s="22" t="n">
        <v>45987</v>
      </c>
      <c r="J70" s="21">
        <f>IF(C70="","",IFERROR(INDEX(Clientes!$B:$B,MATCH(C70,Clientes!$A:$A,0)),"Cód. não cadastrado"))</f>
        <v/>
      </c>
      <c r="K70" s="18">
        <f>IF(B70="","",YEAR(B70))</f>
        <v/>
      </c>
      <c r="L70" s="18">
        <f>IF(B70="","",MONTH(B70))</f>
        <v/>
      </c>
      <c r="M70" s="18">
        <f>IF(OR(B70="",I70=""),"",I70-B70)</f>
        <v/>
      </c>
      <c r="N70" s="21">
        <f>IF(B70="","",IF(I70="",IF(H70="","",IF(TODAY()&gt;H70,"Atrasado (em aberto)","Em aberto")),IF(I70&lt;=H70,"No prazo","Fora do prazo")))</f>
        <v/>
      </c>
    </row>
    <row r="71">
      <c r="A71" t="inlineStr">
        <is>
          <t>PV1070</t>
        </is>
      </c>
      <c r="B71" s="22" t="n">
        <v>45969</v>
      </c>
      <c r="C71" t="inlineStr">
        <is>
          <t>C006</t>
        </is>
      </c>
      <c r="D71" t="inlineStr">
        <is>
          <t>Produto A 1kg</t>
        </is>
      </c>
      <c r="E71" s="23" t="n">
        <v>8</v>
      </c>
      <c r="F71" s="24" t="n">
        <v>46802.64</v>
      </c>
      <c r="G71" t="inlineStr">
        <is>
          <t>CIF</t>
        </is>
      </c>
      <c r="H71" s="22" t="n">
        <v>45999</v>
      </c>
      <c r="I71" s="22" t="n">
        <v>45999</v>
      </c>
      <c r="J71" s="21">
        <f>IF(C71="","",IFERROR(INDEX(Clientes!$B:$B,MATCH(C71,Clientes!$A:$A,0)),"Cód. não cadastrado"))</f>
        <v/>
      </c>
      <c r="K71" s="18">
        <f>IF(B71="","",YEAR(B71))</f>
        <v/>
      </c>
      <c r="L71" s="18">
        <f>IF(B71="","",MONTH(B71))</f>
        <v/>
      </c>
      <c r="M71" s="18">
        <f>IF(OR(B71="",I71=""),"",I71-B71)</f>
        <v/>
      </c>
      <c r="N71" s="21">
        <f>IF(B71="","",IF(I71="",IF(H71="","",IF(TODAY()&gt;H71,"Atrasado (em aberto)","Em aberto")),IF(I71&lt;=H71,"No prazo","Fora do prazo")))</f>
        <v/>
      </c>
    </row>
    <row r="72">
      <c r="A72" t="inlineStr">
        <is>
          <t>PV1071</t>
        </is>
      </c>
      <c r="B72" s="22" t="n">
        <v>45996</v>
      </c>
      <c r="C72" t="inlineStr">
        <is>
          <t>C006</t>
        </is>
      </c>
      <c r="D72" t="inlineStr">
        <is>
          <t>Produto B 5kg</t>
        </is>
      </c>
      <c r="E72" s="23" t="n">
        <v>8.9</v>
      </c>
      <c r="F72" s="24" t="n">
        <v>52664.48</v>
      </c>
      <c r="G72" t="inlineStr">
        <is>
          <t>FOB</t>
        </is>
      </c>
      <c r="H72" s="22" t="n">
        <v>46026</v>
      </c>
      <c r="I72" s="22" t="n">
        <v>46026</v>
      </c>
      <c r="J72" s="21">
        <f>IF(C72="","",IFERROR(INDEX(Clientes!$B:$B,MATCH(C72,Clientes!$A:$A,0)),"Cód. não cadastrado"))</f>
        <v/>
      </c>
      <c r="K72" s="18">
        <f>IF(B72="","",YEAR(B72))</f>
        <v/>
      </c>
      <c r="L72" s="18">
        <f>IF(B72="","",MONTH(B72))</f>
        <v/>
      </c>
      <c r="M72" s="18">
        <f>IF(OR(B72="",I72=""),"",I72-B72)</f>
        <v/>
      </c>
      <c r="N72" s="21">
        <f>IF(B72="","",IF(I72="",IF(H72="","",IF(TODAY()&gt;H72,"Atrasado (em aberto)","Em aberto")),IF(I72&lt;=H72,"No prazo","Fora do prazo")))</f>
        <v/>
      </c>
    </row>
    <row r="73">
      <c r="A73" t="inlineStr">
        <is>
          <t>PV1072</t>
        </is>
      </c>
      <c r="B73" s="22" t="n">
        <v>46031</v>
      </c>
      <c r="C73" t="inlineStr">
        <is>
          <t>C006</t>
        </is>
      </c>
      <c r="D73" t="inlineStr">
        <is>
          <t>Produto A 1kg</t>
        </is>
      </c>
      <c r="E73" s="23" t="n">
        <v>3.3</v>
      </c>
      <c r="F73" s="24" t="n">
        <v>44935.25</v>
      </c>
      <c r="G73" t="inlineStr">
        <is>
          <t>CFR</t>
        </is>
      </c>
      <c r="H73" s="22" t="n">
        <v>46061</v>
      </c>
      <c r="I73" s="22" t="n">
        <v>46061</v>
      </c>
      <c r="J73" s="21">
        <f>IF(C73="","",IFERROR(INDEX(Clientes!$B:$B,MATCH(C73,Clientes!$A:$A,0)),"Cód. não cadastrado"))</f>
        <v/>
      </c>
      <c r="K73" s="18">
        <f>IF(B73="","",YEAR(B73))</f>
        <v/>
      </c>
      <c r="L73" s="18">
        <f>IF(B73="","",MONTH(B73))</f>
        <v/>
      </c>
      <c r="M73" s="18">
        <f>IF(OR(B73="",I73=""),"",I73-B73)</f>
        <v/>
      </c>
      <c r="N73" s="21">
        <f>IF(B73="","",IF(I73="",IF(H73="","",IF(TODAY()&gt;H73,"Atrasado (em aberto)","Em aberto")),IF(I73&lt;=H73,"No prazo","Fora do prazo")))</f>
        <v/>
      </c>
    </row>
    <row r="74">
      <c r="A74" t="inlineStr">
        <is>
          <t>PV1073</t>
        </is>
      </c>
      <c r="B74" s="22" t="n">
        <v>46075</v>
      </c>
      <c r="C74" t="inlineStr">
        <is>
          <t>C006</t>
        </is>
      </c>
      <c r="D74" t="inlineStr">
        <is>
          <t>Produto C granel 25kg</t>
        </is>
      </c>
      <c r="E74" s="23" t="n">
        <v>4.5</v>
      </c>
      <c r="F74" s="24" t="n">
        <v>28187.63</v>
      </c>
      <c r="G74" t="inlineStr">
        <is>
          <t>CFR</t>
        </is>
      </c>
      <c r="H74" s="22" t="n">
        <v>46105</v>
      </c>
      <c r="I74" s="22" t="n">
        <v>46105</v>
      </c>
      <c r="J74" s="21">
        <f>IF(C74="","",IFERROR(INDEX(Clientes!$B:$B,MATCH(C74,Clientes!$A:$A,0)),"Cód. não cadastrado"))</f>
        <v/>
      </c>
      <c r="K74" s="18">
        <f>IF(B74="","",YEAR(B74))</f>
        <v/>
      </c>
      <c r="L74" s="18">
        <f>IF(B74="","",MONTH(B74))</f>
        <v/>
      </c>
      <c r="M74" s="18">
        <f>IF(OR(B74="",I74=""),"",I74-B74)</f>
        <v/>
      </c>
      <c r="N74" s="21">
        <f>IF(B74="","",IF(I74="",IF(H74="","",IF(TODAY()&gt;H74,"Atrasado (em aberto)","Em aberto")),IF(I74&lt;=H74,"No prazo","Fora do prazo")))</f>
        <v/>
      </c>
    </row>
    <row r="75">
      <c r="A75" t="inlineStr">
        <is>
          <t>PV1074</t>
        </is>
      </c>
      <c r="B75" s="22" t="n">
        <v>46090</v>
      </c>
      <c r="C75" t="inlineStr">
        <is>
          <t>C006</t>
        </is>
      </c>
      <c r="D75" t="inlineStr">
        <is>
          <t>Produto A 1kg</t>
        </is>
      </c>
      <c r="E75" s="23" t="n">
        <v>4.6</v>
      </c>
      <c r="F75" s="24" t="n">
        <v>58280.39</v>
      </c>
      <c r="G75" t="inlineStr">
        <is>
          <t>CIF</t>
        </is>
      </c>
      <c r="H75" s="22" t="n">
        <v>46120</v>
      </c>
      <c r="I75" s="22" t="n">
        <v>46120</v>
      </c>
      <c r="J75" s="21">
        <f>IF(C75="","",IFERROR(INDEX(Clientes!$B:$B,MATCH(C75,Clientes!$A:$A,0)),"Cód. não cadastrado"))</f>
        <v/>
      </c>
      <c r="K75" s="18">
        <f>IF(B75="","",YEAR(B75))</f>
        <v/>
      </c>
      <c r="L75" s="18">
        <f>IF(B75="","",MONTH(B75))</f>
        <v/>
      </c>
      <c r="M75" s="18">
        <f>IF(OR(B75="",I75=""),"",I75-B75)</f>
        <v/>
      </c>
      <c r="N75" s="21">
        <f>IF(B75="","",IF(I75="",IF(H75="","",IF(TODAY()&gt;H75,"Atrasado (em aberto)","Em aberto")),IF(I75&lt;=H75,"No prazo","Fora do prazo")))</f>
        <v/>
      </c>
    </row>
    <row r="76">
      <c r="A76" t="inlineStr">
        <is>
          <t>PV1075</t>
        </is>
      </c>
      <c r="B76" s="22" t="n">
        <v>46114</v>
      </c>
      <c r="C76" t="inlineStr">
        <is>
          <t>C006</t>
        </is>
      </c>
      <c r="D76" t="inlineStr">
        <is>
          <t>Produto A 1kg</t>
        </is>
      </c>
      <c r="E76" s="23" t="n">
        <v>5.1</v>
      </c>
      <c r="F76" s="24" t="n">
        <v>15048.1</v>
      </c>
      <c r="G76" t="inlineStr">
        <is>
          <t>CFR</t>
        </is>
      </c>
      <c r="H76" s="22" t="n">
        <v>46144</v>
      </c>
      <c r="I76" s="22" t="n">
        <v>46144</v>
      </c>
      <c r="J76" s="21">
        <f>IF(C76="","",IFERROR(INDEX(Clientes!$B:$B,MATCH(C76,Clientes!$A:$A,0)),"Cód. não cadastrado"))</f>
        <v/>
      </c>
      <c r="K76" s="18">
        <f>IF(B76="","",YEAR(B76))</f>
        <v/>
      </c>
      <c r="L76" s="18">
        <f>IF(B76="","",MONTH(B76))</f>
        <v/>
      </c>
      <c r="M76" s="18">
        <f>IF(OR(B76="",I76=""),"",I76-B76)</f>
        <v/>
      </c>
      <c r="N76" s="21">
        <f>IF(B76="","",IF(I76="",IF(H76="","",IF(TODAY()&gt;H76,"Atrasado (em aberto)","Em aberto")),IF(I76&lt;=H76,"No prazo","Fora do prazo")))</f>
        <v/>
      </c>
    </row>
    <row r="77">
      <c r="A77" t="inlineStr">
        <is>
          <t>PV1076</t>
        </is>
      </c>
      <c r="B77" s="22" t="n">
        <v>46194</v>
      </c>
      <c r="C77" t="inlineStr">
        <is>
          <t>C006</t>
        </is>
      </c>
      <c r="D77" t="inlineStr">
        <is>
          <t>Produto A 1kg</t>
        </is>
      </c>
      <c r="E77" s="23" t="n">
        <v>6</v>
      </c>
      <c r="F77" s="24" t="n">
        <v>15222.77</v>
      </c>
      <c r="G77" t="inlineStr">
        <is>
          <t>CFR</t>
        </is>
      </c>
      <c r="H77" s="22" t="n">
        <v>46224</v>
      </c>
      <c r="I77" s="22" t="n">
        <v>46221</v>
      </c>
      <c r="J77" s="21">
        <f>IF(C77="","",IFERROR(INDEX(Clientes!$B:$B,MATCH(C77,Clientes!$A:$A,0)),"Cód. não cadastrado"))</f>
        <v/>
      </c>
      <c r="K77" s="18">
        <f>IF(B77="","",YEAR(B77))</f>
        <v/>
      </c>
      <c r="L77" s="18">
        <f>IF(B77="","",MONTH(B77))</f>
        <v/>
      </c>
      <c r="M77" s="18">
        <f>IF(OR(B77="",I77=""),"",I77-B77)</f>
        <v/>
      </c>
      <c r="N77" s="21">
        <f>IF(B77="","",IF(I77="",IF(H77="","",IF(TODAY()&gt;H77,"Atrasado (em aberto)","Em aberto")),IF(I77&lt;=H77,"No prazo","Fora do prazo")))</f>
        <v/>
      </c>
    </row>
    <row r="78">
      <c r="A78" t="inlineStr">
        <is>
          <t>PV1077</t>
        </is>
      </c>
      <c r="B78" s="22" t="n">
        <v>46208</v>
      </c>
      <c r="C78" t="inlineStr">
        <is>
          <t>C006</t>
        </is>
      </c>
      <c r="D78" t="inlineStr">
        <is>
          <t>Produto C granel 25kg</t>
        </is>
      </c>
      <c r="E78" s="23" t="n">
        <v>3.3</v>
      </c>
      <c r="F78" s="24" t="n">
        <v>16012.24</v>
      </c>
      <c r="G78" t="inlineStr">
        <is>
          <t>CFR</t>
        </is>
      </c>
      <c r="H78" s="22" t="n">
        <v>46238</v>
      </c>
      <c r="I78" s="22" t="n">
        <v>46238</v>
      </c>
      <c r="J78" s="21">
        <f>IF(C78="","",IFERROR(INDEX(Clientes!$B:$B,MATCH(C78,Clientes!$A:$A,0)),"Cód. não cadastrado"))</f>
        <v/>
      </c>
      <c r="K78" s="18">
        <f>IF(B78="","",YEAR(B78))</f>
        <v/>
      </c>
      <c r="L78" s="18">
        <f>IF(B78="","",MONTH(B78))</f>
        <v/>
      </c>
      <c r="M78" s="18">
        <f>IF(OR(B78="",I78=""),"",I78-B78)</f>
        <v/>
      </c>
      <c r="N78" s="21">
        <f>IF(B78="","",IF(I78="",IF(H78="","",IF(TODAY()&gt;H78,"Atrasado (em aberto)","Em aberto")),IF(I78&lt;=H78,"No prazo","Fora do prazo")))</f>
        <v/>
      </c>
    </row>
    <row r="79">
      <c r="A79" t="inlineStr">
        <is>
          <t>PV1078</t>
        </is>
      </c>
      <c r="B79" s="22" t="n">
        <v>46237</v>
      </c>
      <c r="C79" t="inlineStr">
        <is>
          <t>C006</t>
        </is>
      </c>
      <c r="D79" t="inlineStr">
        <is>
          <t>Produto C granel 25kg</t>
        </is>
      </c>
      <c r="E79" s="23" t="n">
        <v>8.1</v>
      </c>
      <c r="F79" s="24" t="n">
        <v>21986.35</v>
      </c>
      <c r="G79" t="inlineStr">
        <is>
          <t>CIF</t>
        </is>
      </c>
      <c r="H79" s="22" t="n">
        <v>46267</v>
      </c>
      <c r="I79" s="22" t="n">
        <v>46269</v>
      </c>
      <c r="J79" s="21">
        <f>IF(C79="","",IFERROR(INDEX(Clientes!$B:$B,MATCH(C79,Clientes!$A:$A,0)),"Cód. não cadastrado"))</f>
        <v/>
      </c>
      <c r="K79" s="18">
        <f>IF(B79="","",YEAR(B79))</f>
        <v/>
      </c>
      <c r="L79" s="18">
        <f>IF(B79="","",MONTH(B79))</f>
        <v/>
      </c>
      <c r="M79" s="18">
        <f>IF(OR(B79="",I79=""),"",I79-B79)</f>
        <v/>
      </c>
      <c r="N79" s="21">
        <f>IF(B79="","",IF(I79="",IF(H79="","",IF(TODAY()&gt;H79,"Atrasado (em aberto)","Em aberto")),IF(I79&lt;=H79,"No prazo","Fora do prazo")))</f>
        <v/>
      </c>
    </row>
    <row r="80">
      <c r="A80" t="inlineStr">
        <is>
          <t>PV1079</t>
        </is>
      </c>
      <c r="B80" s="22" t="n">
        <v>46285</v>
      </c>
      <c r="C80" t="inlineStr">
        <is>
          <t>C006</t>
        </is>
      </c>
      <c r="D80" t="inlineStr">
        <is>
          <t>Produto B 5kg</t>
        </is>
      </c>
      <c r="E80" s="23" t="n">
        <v>7.3</v>
      </c>
      <c r="F80" s="24" t="n">
        <v>37238.58</v>
      </c>
      <c r="G80" t="inlineStr">
        <is>
          <t>CFR</t>
        </is>
      </c>
      <c r="H80" s="22" t="n">
        <v>46315</v>
      </c>
      <c r="I80" s="22" t="n"/>
      <c r="J80" s="21">
        <f>IF(C80="","",IFERROR(INDEX(Clientes!$B:$B,MATCH(C80,Clientes!$A:$A,0)),"Cód. não cadastrado"))</f>
        <v/>
      </c>
      <c r="K80" s="18">
        <f>IF(B80="","",YEAR(B80))</f>
        <v/>
      </c>
      <c r="L80" s="18">
        <f>IF(B80="","",MONTH(B80))</f>
        <v/>
      </c>
      <c r="M80" s="18">
        <f>IF(OR(B80="",I80=""),"",I80-B80)</f>
        <v/>
      </c>
      <c r="N80" s="21">
        <f>IF(B80="","",IF(I80="",IF(H80="","",IF(TODAY()&gt;H80,"Atrasado (em aberto)","Em aberto")),IF(I80&lt;=H80,"No prazo","Fora do prazo")))</f>
        <v/>
      </c>
    </row>
    <row r="81">
      <c r="A81" t="inlineStr">
        <is>
          <t>PV1080</t>
        </is>
      </c>
      <c r="B81" s="22" t="n">
        <v>45736</v>
      </c>
      <c r="C81" t="inlineStr">
        <is>
          <t>C007</t>
        </is>
      </c>
      <c r="D81" t="inlineStr">
        <is>
          <t>Produto A 1kg</t>
        </is>
      </c>
      <c r="E81" s="23" t="n">
        <v>3.3</v>
      </c>
      <c r="F81" s="24" t="n">
        <v>52588.03</v>
      </c>
      <c r="G81" t="inlineStr">
        <is>
          <t>CIF</t>
        </is>
      </c>
      <c r="H81" s="22" t="n">
        <v>45766</v>
      </c>
      <c r="I81" s="22" t="n">
        <v>45771</v>
      </c>
      <c r="J81" s="21">
        <f>IF(C81="","",IFERROR(INDEX(Clientes!$B:$B,MATCH(C81,Clientes!$A:$A,0)),"Cód. não cadastrado"))</f>
        <v/>
      </c>
      <c r="K81" s="18">
        <f>IF(B81="","",YEAR(B81))</f>
        <v/>
      </c>
      <c r="L81" s="18">
        <f>IF(B81="","",MONTH(B81))</f>
        <v/>
      </c>
      <c r="M81" s="18">
        <f>IF(OR(B81="",I81=""),"",I81-B81)</f>
        <v/>
      </c>
      <c r="N81" s="21">
        <f>IF(B81="","",IF(I81="",IF(H81="","",IF(TODAY()&gt;H81,"Atrasado (em aberto)","Em aberto")),IF(I81&lt;=H81,"No prazo","Fora do prazo")))</f>
        <v/>
      </c>
    </row>
    <row r="82">
      <c r="A82" t="inlineStr">
        <is>
          <t>PV1081</t>
        </is>
      </c>
      <c r="B82" s="22" t="n">
        <v>45829</v>
      </c>
      <c r="C82" t="inlineStr">
        <is>
          <t>C007</t>
        </is>
      </c>
      <c r="D82" t="inlineStr">
        <is>
          <t>Produto C granel 25kg</t>
        </is>
      </c>
      <c r="E82" s="23" t="n">
        <v>7.2</v>
      </c>
      <c r="F82" s="24" t="n">
        <v>37749.35</v>
      </c>
      <c r="G82" t="inlineStr">
        <is>
          <t>CIF</t>
        </is>
      </c>
      <c r="H82" s="22" t="n">
        <v>45859</v>
      </c>
      <c r="I82" s="22" t="n">
        <v>45859</v>
      </c>
      <c r="J82" s="21">
        <f>IF(C82="","",IFERROR(INDEX(Clientes!$B:$B,MATCH(C82,Clientes!$A:$A,0)),"Cód. não cadastrado"))</f>
        <v/>
      </c>
      <c r="K82" s="18">
        <f>IF(B82="","",YEAR(B82))</f>
        <v/>
      </c>
      <c r="L82" s="18">
        <f>IF(B82="","",MONTH(B82))</f>
        <v/>
      </c>
      <c r="M82" s="18">
        <f>IF(OR(B82="",I82=""),"",I82-B82)</f>
        <v/>
      </c>
      <c r="N82" s="21">
        <f>IF(B82="","",IF(I82="",IF(H82="","",IF(TODAY()&gt;H82,"Atrasado (em aberto)","Em aberto")),IF(I82&lt;=H82,"No prazo","Fora do prazo")))</f>
        <v/>
      </c>
    </row>
    <row r="83">
      <c r="A83" t="inlineStr">
        <is>
          <t>PV1082</t>
        </is>
      </c>
      <c r="B83" s="22" t="n">
        <v>45925</v>
      </c>
      <c r="C83" t="inlineStr">
        <is>
          <t>C007</t>
        </is>
      </c>
      <c r="D83" t="inlineStr">
        <is>
          <t>Produto C granel 25kg</t>
        </is>
      </c>
      <c r="E83" s="23" t="n">
        <v>8</v>
      </c>
      <c r="F83" s="24" t="n">
        <v>51210.49</v>
      </c>
      <c r="G83" t="inlineStr">
        <is>
          <t>CIF</t>
        </is>
      </c>
      <c r="H83" s="22" t="n">
        <v>45955</v>
      </c>
      <c r="I83" s="22" t="n">
        <v>45957</v>
      </c>
      <c r="J83" s="21">
        <f>IF(C83="","",IFERROR(INDEX(Clientes!$B:$B,MATCH(C83,Clientes!$A:$A,0)),"Cód. não cadastrado"))</f>
        <v/>
      </c>
      <c r="K83" s="18">
        <f>IF(B83="","",YEAR(B83))</f>
        <v/>
      </c>
      <c r="L83" s="18">
        <f>IF(B83="","",MONTH(B83))</f>
        <v/>
      </c>
      <c r="M83" s="18">
        <f>IF(OR(B83="",I83=""),"",I83-B83)</f>
        <v/>
      </c>
      <c r="N83" s="21">
        <f>IF(B83="","",IF(I83="",IF(H83="","",IF(TODAY()&gt;H83,"Atrasado (em aberto)","Em aberto")),IF(I83&lt;=H83,"No prazo","Fora do prazo")))</f>
        <v/>
      </c>
    </row>
    <row r="84">
      <c r="A84" t="inlineStr">
        <is>
          <t>PV1083</t>
        </is>
      </c>
      <c r="B84" s="22" t="n">
        <v>46010</v>
      </c>
      <c r="C84" t="inlineStr">
        <is>
          <t>C007</t>
        </is>
      </c>
      <c r="D84" t="inlineStr">
        <is>
          <t>Produto C granel 25kg</t>
        </is>
      </c>
      <c r="E84" s="23" t="n">
        <v>7.1</v>
      </c>
      <c r="F84" s="24" t="n">
        <v>46199.68</v>
      </c>
      <c r="G84" t="inlineStr">
        <is>
          <t>FOB</t>
        </is>
      </c>
      <c r="H84" s="22" t="n">
        <v>46040</v>
      </c>
      <c r="I84" s="22" t="n">
        <v>46049</v>
      </c>
      <c r="J84" s="21">
        <f>IF(C84="","",IFERROR(INDEX(Clientes!$B:$B,MATCH(C84,Clientes!$A:$A,0)),"Cód. não cadastrado"))</f>
        <v/>
      </c>
      <c r="K84" s="18">
        <f>IF(B84="","",YEAR(B84))</f>
        <v/>
      </c>
      <c r="L84" s="18">
        <f>IF(B84="","",MONTH(B84))</f>
        <v/>
      </c>
      <c r="M84" s="18">
        <f>IF(OR(B84="",I84=""),"",I84-B84)</f>
        <v/>
      </c>
      <c r="N84" s="21">
        <f>IF(B84="","",IF(I84="",IF(H84="","",IF(TODAY()&gt;H84,"Atrasado (em aberto)","Em aberto")),IF(I84&lt;=H84,"No prazo","Fora do prazo")))</f>
        <v/>
      </c>
    </row>
    <row r="85">
      <c r="A85" t="inlineStr">
        <is>
          <t>PV1084</t>
        </is>
      </c>
      <c r="B85" s="22" t="n">
        <v>46207</v>
      </c>
      <c r="C85" t="inlineStr">
        <is>
          <t>C007</t>
        </is>
      </c>
      <c r="D85" t="inlineStr">
        <is>
          <t>Produto B 5kg</t>
        </is>
      </c>
      <c r="E85" s="23" t="n">
        <v>6.4</v>
      </c>
      <c r="F85" s="24" t="n">
        <v>43249.52</v>
      </c>
      <c r="G85" t="inlineStr">
        <is>
          <t>CIF</t>
        </is>
      </c>
      <c r="H85" s="22" t="n">
        <v>46237</v>
      </c>
      <c r="I85" s="22" t="n">
        <v>46237</v>
      </c>
      <c r="J85" s="21">
        <f>IF(C85="","",IFERROR(INDEX(Clientes!$B:$B,MATCH(C85,Clientes!$A:$A,0)),"Cód. não cadastrado"))</f>
        <v/>
      </c>
      <c r="K85" s="18">
        <f>IF(B85="","",YEAR(B85))</f>
        <v/>
      </c>
      <c r="L85" s="18">
        <f>IF(B85="","",MONTH(B85))</f>
        <v/>
      </c>
      <c r="M85" s="18">
        <f>IF(OR(B85="",I85=""),"",I85-B85)</f>
        <v/>
      </c>
      <c r="N85" s="21">
        <f>IF(B85="","",IF(I85="",IF(H85="","",IF(TODAY()&gt;H85,"Atrasado (em aberto)","Em aberto")),IF(I85&lt;=H85,"No prazo","Fora do prazo")))</f>
        <v/>
      </c>
    </row>
    <row r="86">
      <c r="A86" t="inlineStr">
        <is>
          <t>PV1085</t>
        </is>
      </c>
      <c r="B86" s="22" t="n">
        <v>45799</v>
      </c>
      <c r="C86" t="inlineStr">
        <is>
          <t>C008</t>
        </is>
      </c>
      <c r="D86" t="inlineStr">
        <is>
          <t>Produto B 5kg</t>
        </is>
      </c>
      <c r="E86" s="23" t="n">
        <v>4.6</v>
      </c>
      <c r="F86" s="24" t="n">
        <v>35562.68</v>
      </c>
      <c r="G86" t="inlineStr">
        <is>
          <t>FOB</t>
        </is>
      </c>
      <c r="H86" s="22" t="n">
        <v>45829</v>
      </c>
      <c r="I86" s="22" t="n">
        <v>45826</v>
      </c>
      <c r="J86" s="21">
        <f>IF(C86="","",IFERROR(INDEX(Clientes!$B:$B,MATCH(C86,Clientes!$A:$A,0)),"Cód. não cadastrado"))</f>
        <v/>
      </c>
      <c r="K86" s="18">
        <f>IF(B86="","",YEAR(B86))</f>
        <v/>
      </c>
      <c r="L86" s="18">
        <f>IF(B86="","",MONTH(B86))</f>
        <v/>
      </c>
      <c r="M86" s="18">
        <f>IF(OR(B86="",I86=""),"",I86-B86)</f>
        <v/>
      </c>
      <c r="N86" s="21">
        <f>IF(B86="","",IF(I86="",IF(H86="","",IF(TODAY()&gt;H86,"Atrasado (em aberto)","Em aberto")),IF(I86&lt;=H86,"No prazo","Fora do prazo")))</f>
        <v/>
      </c>
    </row>
    <row r="87">
      <c r="A87" t="inlineStr">
        <is>
          <t>PV1086</t>
        </is>
      </c>
      <c r="B87" s="22" t="n">
        <v>45985</v>
      </c>
      <c r="C87" t="inlineStr">
        <is>
          <t>C008</t>
        </is>
      </c>
      <c r="D87" t="inlineStr">
        <is>
          <t>Produto C granel 25kg</t>
        </is>
      </c>
      <c r="E87" s="23" t="n">
        <v>3.6</v>
      </c>
      <c r="F87" s="24" t="n">
        <v>38669.56</v>
      </c>
      <c r="G87" t="inlineStr">
        <is>
          <t>CIF</t>
        </is>
      </c>
      <c r="H87" s="22" t="n">
        <v>46015</v>
      </c>
      <c r="I87" s="22" t="n">
        <v>46017</v>
      </c>
      <c r="J87" s="21">
        <f>IF(C87="","",IFERROR(INDEX(Clientes!$B:$B,MATCH(C87,Clientes!$A:$A,0)),"Cód. não cadastrado"))</f>
        <v/>
      </c>
      <c r="K87" s="18">
        <f>IF(B87="","",YEAR(B87))</f>
        <v/>
      </c>
      <c r="L87" s="18">
        <f>IF(B87="","",MONTH(B87))</f>
        <v/>
      </c>
      <c r="M87" s="18">
        <f>IF(OR(B87="",I87=""),"",I87-B87)</f>
        <v/>
      </c>
      <c r="N87" s="21">
        <f>IF(B87="","",IF(I87="",IF(H87="","",IF(TODAY()&gt;H87,"Atrasado (em aberto)","Em aberto")),IF(I87&lt;=H87,"No prazo","Fora do prazo")))</f>
        <v/>
      </c>
    </row>
    <row r="88">
      <c r="A88" t="inlineStr">
        <is>
          <t>PV1087</t>
        </is>
      </c>
      <c r="B88" s="22" t="n">
        <v>46199</v>
      </c>
      <c r="C88" t="inlineStr">
        <is>
          <t>C008</t>
        </is>
      </c>
      <c r="D88" t="inlineStr">
        <is>
          <t>Produto B 5kg</t>
        </is>
      </c>
      <c r="E88" s="23" t="n">
        <v>4.4</v>
      </c>
      <c r="F88" s="24" t="n">
        <v>49039.86</v>
      </c>
      <c r="G88" t="inlineStr">
        <is>
          <t>FOB</t>
        </is>
      </c>
      <c r="H88" s="22" t="n">
        <v>46229</v>
      </c>
      <c r="I88" s="22" t="n">
        <v>46223</v>
      </c>
      <c r="J88" s="21">
        <f>IF(C88="","",IFERROR(INDEX(Clientes!$B:$B,MATCH(C88,Clientes!$A:$A,0)),"Cód. não cadastrado"))</f>
        <v/>
      </c>
      <c r="K88" s="18">
        <f>IF(B88="","",YEAR(B88))</f>
        <v/>
      </c>
      <c r="L88" s="18">
        <f>IF(B88="","",MONTH(B88))</f>
        <v/>
      </c>
      <c r="M88" s="18">
        <f>IF(OR(B88="",I88=""),"",I88-B88)</f>
        <v/>
      </c>
      <c r="N88" s="21">
        <f>IF(B88="","",IF(I88="",IF(H88="","",IF(TODAY()&gt;H88,"Atrasado (em aberto)","Em aberto")),IF(I88&lt;=H88,"No prazo","Fora do prazo")))</f>
        <v/>
      </c>
    </row>
    <row r="89">
      <c r="A89" t="inlineStr">
        <is>
          <t>PV1088</t>
        </is>
      </c>
      <c r="B89" s="22" t="n">
        <v>45704</v>
      </c>
      <c r="C89" t="inlineStr">
        <is>
          <t>C009</t>
        </is>
      </c>
      <c r="D89" t="inlineStr">
        <is>
          <t>Produto B 5kg</t>
        </is>
      </c>
      <c r="E89" s="23" t="n">
        <v>3.5</v>
      </c>
      <c r="F89" s="24" t="n">
        <v>55971</v>
      </c>
      <c r="G89" t="inlineStr">
        <is>
          <t>CFR</t>
        </is>
      </c>
      <c r="H89" s="22" t="n">
        <v>45734</v>
      </c>
      <c r="I89" s="22" t="n">
        <v>45743</v>
      </c>
      <c r="J89" s="21">
        <f>IF(C89="","",IFERROR(INDEX(Clientes!$B:$B,MATCH(C89,Clientes!$A:$A,0)),"Cód. não cadastrado"))</f>
        <v/>
      </c>
      <c r="K89" s="18">
        <f>IF(B89="","",YEAR(B89))</f>
        <v/>
      </c>
      <c r="L89" s="18">
        <f>IF(B89="","",MONTH(B89))</f>
        <v/>
      </c>
      <c r="M89" s="18">
        <f>IF(OR(B89="",I89=""),"",I89-B89)</f>
        <v/>
      </c>
      <c r="N89" s="21">
        <f>IF(B89="","",IF(I89="",IF(H89="","",IF(TODAY()&gt;H89,"Atrasado (em aberto)","Em aberto")),IF(I89&lt;=H89,"No prazo","Fora do prazo")))</f>
        <v/>
      </c>
    </row>
    <row r="90">
      <c r="A90" t="inlineStr">
        <is>
          <t>PV1089</t>
        </is>
      </c>
      <c r="B90" s="22" t="n">
        <v>45772</v>
      </c>
      <c r="C90" t="inlineStr">
        <is>
          <t>C009</t>
        </is>
      </c>
      <c r="D90" t="inlineStr">
        <is>
          <t>Produto C granel 25kg</t>
        </is>
      </c>
      <c r="E90" s="23" t="n">
        <v>6.8</v>
      </c>
      <c r="F90" s="24" t="n">
        <v>23923.06</v>
      </c>
      <c r="G90" t="inlineStr">
        <is>
          <t>CIF</t>
        </is>
      </c>
      <c r="H90" s="22" t="n">
        <v>45802</v>
      </c>
      <c r="I90" s="22" t="n">
        <v>45796</v>
      </c>
      <c r="J90" s="21">
        <f>IF(C90="","",IFERROR(INDEX(Clientes!$B:$B,MATCH(C90,Clientes!$A:$A,0)),"Cód. não cadastrado"))</f>
        <v/>
      </c>
      <c r="K90" s="18">
        <f>IF(B90="","",YEAR(B90))</f>
        <v/>
      </c>
      <c r="L90" s="18">
        <f>IF(B90="","",MONTH(B90))</f>
        <v/>
      </c>
      <c r="M90" s="18">
        <f>IF(OR(B90="",I90=""),"",I90-B90)</f>
        <v/>
      </c>
      <c r="N90" s="21">
        <f>IF(B90="","",IF(I90="",IF(H90="","",IF(TODAY()&gt;H90,"Atrasado (em aberto)","Em aberto")),IF(I90&lt;=H90,"No prazo","Fora do prazo")))</f>
        <v/>
      </c>
    </row>
    <row r="91">
      <c r="A91" t="inlineStr">
        <is>
          <t>PV1090</t>
        </is>
      </c>
      <c r="B91" s="22" t="n">
        <v>45813</v>
      </c>
      <c r="C91" t="inlineStr">
        <is>
          <t>C009</t>
        </is>
      </c>
      <c r="D91" t="inlineStr">
        <is>
          <t>Produto B 5kg</t>
        </is>
      </c>
      <c r="E91" s="23" t="n">
        <v>6.9</v>
      </c>
      <c r="F91" s="24" t="n">
        <v>46179.91</v>
      </c>
      <c r="G91" t="inlineStr">
        <is>
          <t>CIF</t>
        </is>
      </c>
      <c r="H91" s="22" t="n">
        <v>45843</v>
      </c>
      <c r="I91" s="22" t="n">
        <v>45843</v>
      </c>
      <c r="J91" s="21">
        <f>IF(C91="","",IFERROR(INDEX(Clientes!$B:$B,MATCH(C91,Clientes!$A:$A,0)),"Cód. não cadastrado"))</f>
        <v/>
      </c>
      <c r="K91" s="18">
        <f>IF(B91="","",YEAR(B91))</f>
        <v/>
      </c>
      <c r="L91" s="18">
        <f>IF(B91="","",MONTH(B91))</f>
        <v/>
      </c>
      <c r="M91" s="18">
        <f>IF(OR(B91="",I91=""),"",I91-B91)</f>
        <v/>
      </c>
      <c r="N91" s="21">
        <f>IF(B91="","",IF(I91="",IF(H91="","",IF(TODAY()&gt;H91,"Atrasado (em aberto)","Em aberto")),IF(I91&lt;=H91,"No prazo","Fora do prazo")))</f>
        <v/>
      </c>
    </row>
    <row r="92">
      <c r="A92" t="inlineStr">
        <is>
          <t>PV1091</t>
        </is>
      </c>
      <c r="B92" s="22" t="n">
        <v>45888</v>
      </c>
      <c r="C92" t="inlineStr">
        <is>
          <t>C009</t>
        </is>
      </c>
      <c r="D92" t="inlineStr">
        <is>
          <t>Produto A 1kg</t>
        </is>
      </c>
      <c r="E92" s="23" t="n">
        <v>5.9</v>
      </c>
      <c r="F92" s="24" t="n">
        <v>36860.91</v>
      </c>
      <c r="G92" t="inlineStr">
        <is>
          <t>CIF</t>
        </is>
      </c>
      <c r="H92" s="22" t="n">
        <v>45918</v>
      </c>
      <c r="I92" s="22" t="n">
        <v>45915</v>
      </c>
      <c r="J92" s="21">
        <f>IF(C92="","",IFERROR(INDEX(Clientes!$B:$B,MATCH(C92,Clientes!$A:$A,0)),"Cód. não cadastrado"))</f>
        <v/>
      </c>
      <c r="K92" s="18">
        <f>IF(B92="","",YEAR(B92))</f>
        <v/>
      </c>
      <c r="L92" s="18">
        <f>IF(B92="","",MONTH(B92))</f>
        <v/>
      </c>
      <c r="M92" s="18">
        <f>IF(OR(B92="",I92=""),"",I92-B92)</f>
        <v/>
      </c>
      <c r="N92" s="21">
        <f>IF(B92="","",IF(I92="",IF(H92="","",IF(TODAY()&gt;H92,"Atrasado (em aberto)","Em aberto")),IF(I92&lt;=H92,"No prazo","Fora do prazo")))</f>
        <v/>
      </c>
    </row>
    <row r="93">
      <c r="A93" t="inlineStr">
        <is>
          <t>PV1092</t>
        </is>
      </c>
      <c r="B93" s="22" t="n">
        <v>45934</v>
      </c>
      <c r="C93" t="inlineStr">
        <is>
          <t>C009</t>
        </is>
      </c>
      <c r="D93" t="inlineStr">
        <is>
          <t>Produto A 1kg</t>
        </is>
      </c>
      <c r="E93" s="23" t="n">
        <v>7.1</v>
      </c>
      <c r="F93" s="24" t="n">
        <v>28088.54</v>
      </c>
      <c r="G93" t="inlineStr">
        <is>
          <t>CIF</t>
        </is>
      </c>
      <c r="H93" s="22" t="n">
        <v>45964</v>
      </c>
      <c r="I93" s="22" t="n">
        <v>45969</v>
      </c>
      <c r="J93" s="21">
        <f>IF(C93="","",IFERROR(INDEX(Clientes!$B:$B,MATCH(C93,Clientes!$A:$A,0)),"Cód. não cadastrado"))</f>
        <v/>
      </c>
      <c r="K93" s="18">
        <f>IF(B93="","",YEAR(B93))</f>
        <v/>
      </c>
      <c r="L93" s="18">
        <f>IF(B93="","",MONTH(B93))</f>
        <v/>
      </c>
      <c r="M93" s="18">
        <f>IF(OR(B93="",I93=""),"",I93-B93)</f>
        <v/>
      </c>
      <c r="N93" s="21">
        <f>IF(B93="","",IF(I93="",IF(H93="","",IF(TODAY()&gt;H93,"Atrasado (em aberto)","Em aberto")),IF(I93&lt;=H93,"No prazo","Fora do prazo")))</f>
        <v/>
      </c>
    </row>
    <row r="94">
      <c r="A94" t="inlineStr">
        <is>
          <t>PV1093</t>
        </is>
      </c>
      <c r="B94" s="22" t="n">
        <v>46001</v>
      </c>
      <c r="C94" t="inlineStr">
        <is>
          <t>C009</t>
        </is>
      </c>
      <c r="D94" t="inlineStr">
        <is>
          <t>Produto B 5kg</t>
        </is>
      </c>
      <c r="E94" s="23" t="n">
        <v>5.8</v>
      </c>
      <c r="F94" s="24" t="n">
        <v>20332.63</v>
      </c>
      <c r="G94" t="inlineStr">
        <is>
          <t>CIF</t>
        </is>
      </c>
      <c r="H94" s="22" t="n">
        <v>46031</v>
      </c>
      <c r="I94" s="22" t="n">
        <v>46031</v>
      </c>
      <c r="J94" s="21">
        <f>IF(C94="","",IFERROR(INDEX(Clientes!$B:$B,MATCH(C94,Clientes!$A:$A,0)),"Cód. não cadastrado"))</f>
        <v/>
      </c>
      <c r="K94" s="18">
        <f>IF(B94="","",YEAR(B94))</f>
        <v/>
      </c>
      <c r="L94" s="18">
        <f>IF(B94="","",MONTH(B94))</f>
        <v/>
      </c>
      <c r="M94" s="18">
        <f>IF(OR(B94="",I94=""),"",I94-B94)</f>
        <v/>
      </c>
      <c r="N94" s="21">
        <f>IF(B94="","",IF(I94="",IF(H94="","",IF(TODAY()&gt;H94,"Atrasado (em aberto)","Em aberto")),IF(I94&lt;=H94,"No prazo","Fora do prazo")))</f>
        <v/>
      </c>
    </row>
    <row r="95">
      <c r="A95" t="inlineStr">
        <is>
          <t>PV1094</t>
        </is>
      </c>
      <c r="B95" s="22" t="n">
        <v>46025</v>
      </c>
      <c r="C95" t="inlineStr">
        <is>
          <t>C009</t>
        </is>
      </c>
      <c r="D95" t="inlineStr">
        <is>
          <t>Produto A 1kg</t>
        </is>
      </c>
      <c r="E95" s="23" t="n">
        <v>4.7</v>
      </c>
      <c r="F95" s="24" t="n">
        <v>18440.89</v>
      </c>
      <c r="G95" t="inlineStr">
        <is>
          <t>CIF</t>
        </is>
      </c>
      <c r="H95" s="22" t="n">
        <v>46055</v>
      </c>
      <c r="I95" s="22" t="n">
        <v>46055</v>
      </c>
      <c r="J95" s="21">
        <f>IF(C95="","",IFERROR(INDEX(Clientes!$B:$B,MATCH(C95,Clientes!$A:$A,0)),"Cód. não cadastrado"))</f>
        <v/>
      </c>
      <c r="K95" s="18">
        <f>IF(B95="","",YEAR(B95))</f>
        <v/>
      </c>
      <c r="L95" s="18">
        <f>IF(B95="","",MONTH(B95))</f>
        <v/>
      </c>
      <c r="M95" s="18">
        <f>IF(OR(B95="",I95=""),"",I95-B95)</f>
        <v/>
      </c>
      <c r="N95" s="21">
        <f>IF(B95="","",IF(I95="",IF(H95="","",IF(TODAY()&gt;H95,"Atrasado (em aberto)","Em aberto")),IF(I95&lt;=H95,"No prazo","Fora do prazo")))</f>
        <v/>
      </c>
    </row>
    <row r="96">
      <c r="A96" t="inlineStr">
        <is>
          <t>PV1095</t>
        </is>
      </c>
      <c r="B96" s="22" t="n">
        <v>46096</v>
      </c>
      <c r="C96" t="inlineStr">
        <is>
          <t>C009</t>
        </is>
      </c>
      <c r="D96" t="inlineStr">
        <is>
          <t>Produto B 5kg</t>
        </is>
      </c>
      <c r="E96" s="23" t="n">
        <v>4.3</v>
      </c>
      <c r="F96" s="24" t="n">
        <v>57551.43</v>
      </c>
      <c r="G96" t="inlineStr">
        <is>
          <t>FOB</t>
        </is>
      </c>
      <c r="H96" s="22" t="n">
        <v>46126</v>
      </c>
      <c r="I96" s="22" t="n">
        <v>46126</v>
      </c>
      <c r="J96" s="21">
        <f>IF(C96="","",IFERROR(INDEX(Clientes!$B:$B,MATCH(C96,Clientes!$A:$A,0)),"Cód. não cadastrado"))</f>
        <v/>
      </c>
      <c r="K96" s="18">
        <f>IF(B96="","",YEAR(B96))</f>
        <v/>
      </c>
      <c r="L96" s="18">
        <f>IF(B96="","",MONTH(B96))</f>
        <v/>
      </c>
      <c r="M96" s="18">
        <f>IF(OR(B96="",I96=""),"",I96-B96)</f>
        <v/>
      </c>
      <c r="N96" s="21">
        <f>IF(B96="","",IF(I96="",IF(H96="","",IF(TODAY()&gt;H96,"Atrasado (em aberto)","Em aberto")),IF(I96&lt;=H96,"No prazo","Fora do prazo")))</f>
        <v/>
      </c>
    </row>
    <row r="97">
      <c r="A97" t="inlineStr">
        <is>
          <t>PV1096</t>
        </is>
      </c>
      <c r="B97" s="22" t="n">
        <v>46274</v>
      </c>
      <c r="C97" t="inlineStr">
        <is>
          <t>C009</t>
        </is>
      </c>
      <c r="D97" t="inlineStr">
        <is>
          <t>Produto A 1kg</t>
        </is>
      </c>
      <c r="E97" s="23" t="n">
        <v>6.6</v>
      </c>
      <c r="F97" s="24" t="n">
        <v>43425.07</v>
      </c>
      <c r="G97" t="inlineStr">
        <is>
          <t>CFR</t>
        </is>
      </c>
      <c r="H97" s="22" t="n">
        <v>46304</v>
      </c>
      <c r="I97" s="22" t="n"/>
      <c r="J97" s="21">
        <f>IF(C97="","",IFERROR(INDEX(Clientes!$B:$B,MATCH(C97,Clientes!$A:$A,0)),"Cód. não cadastrado"))</f>
        <v/>
      </c>
      <c r="K97" s="18">
        <f>IF(B97="","",YEAR(B97))</f>
        <v/>
      </c>
      <c r="L97" s="18">
        <f>IF(B97="","",MONTH(B97))</f>
        <v/>
      </c>
      <c r="M97" s="18">
        <f>IF(OR(B97="",I97=""),"",I97-B97)</f>
        <v/>
      </c>
      <c r="N97" s="21">
        <f>IF(B97="","",IF(I97="",IF(H97="","",IF(TODAY()&gt;H97,"Atrasado (em aberto)","Em aberto")),IF(I97&lt;=H97,"No prazo","Fora do prazo")))</f>
        <v/>
      </c>
    </row>
    <row r="98">
      <c r="A98" t="inlineStr">
        <is>
          <t>PV1097</t>
        </is>
      </c>
      <c r="B98" s="22" t="n">
        <v>45680</v>
      </c>
      <c r="C98" t="inlineStr">
        <is>
          <t>C010</t>
        </is>
      </c>
      <c r="D98" t="inlineStr">
        <is>
          <t>Produto A 1kg</t>
        </is>
      </c>
      <c r="E98" s="23" t="n">
        <v>6</v>
      </c>
      <c r="F98" s="24" t="n">
        <v>54426.54</v>
      </c>
      <c r="G98" t="inlineStr">
        <is>
          <t>CFR</t>
        </is>
      </c>
      <c r="H98" s="22" t="n">
        <v>45710</v>
      </c>
      <c r="I98" s="22" t="n">
        <v>45710</v>
      </c>
      <c r="J98" s="21">
        <f>IF(C98="","",IFERROR(INDEX(Clientes!$B:$B,MATCH(C98,Clientes!$A:$A,0)),"Cód. não cadastrado"))</f>
        <v/>
      </c>
      <c r="K98" s="18">
        <f>IF(B98="","",YEAR(B98))</f>
        <v/>
      </c>
      <c r="L98" s="18">
        <f>IF(B98="","",MONTH(B98))</f>
        <v/>
      </c>
      <c r="M98" s="18">
        <f>IF(OR(B98="",I98=""),"",I98-B98)</f>
        <v/>
      </c>
      <c r="N98" s="21">
        <f>IF(B98="","",IF(I98="",IF(H98="","",IF(TODAY()&gt;H98,"Atrasado (em aberto)","Em aberto")),IF(I98&lt;=H98,"No prazo","Fora do prazo")))</f>
        <v/>
      </c>
    </row>
    <row r="99">
      <c r="A99" t="inlineStr">
        <is>
          <t>PV1098</t>
        </is>
      </c>
      <c r="B99" s="22" t="n">
        <v>45689</v>
      </c>
      <c r="C99" t="inlineStr">
        <is>
          <t>C010</t>
        </is>
      </c>
      <c r="D99" t="inlineStr">
        <is>
          <t>Produto A 1kg</t>
        </is>
      </c>
      <c r="E99" s="23" t="n">
        <v>8.699999999999999</v>
      </c>
      <c r="F99" s="24" t="n">
        <v>45671.47</v>
      </c>
      <c r="G99" t="inlineStr">
        <is>
          <t>CFR</t>
        </is>
      </c>
      <c r="H99" s="22" t="n">
        <v>45719</v>
      </c>
      <c r="I99" s="22" t="n">
        <v>45716</v>
      </c>
      <c r="J99" s="21">
        <f>IF(C99="","",IFERROR(INDEX(Clientes!$B:$B,MATCH(C99,Clientes!$A:$A,0)),"Cód. não cadastrado"))</f>
        <v/>
      </c>
      <c r="K99" s="18">
        <f>IF(B99="","",YEAR(B99))</f>
        <v/>
      </c>
      <c r="L99" s="18">
        <f>IF(B99="","",MONTH(B99))</f>
        <v/>
      </c>
      <c r="M99" s="18">
        <f>IF(OR(B99="",I99=""),"",I99-B99)</f>
        <v/>
      </c>
      <c r="N99" s="21">
        <f>IF(B99="","",IF(I99="",IF(H99="","",IF(TODAY()&gt;H99,"Atrasado (em aberto)","Em aberto")),IF(I99&lt;=H99,"No prazo","Fora do prazo")))</f>
        <v/>
      </c>
    </row>
    <row r="100">
      <c r="A100" t="inlineStr">
        <is>
          <t>PV1099</t>
        </is>
      </c>
      <c r="B100" s="22" t="n">
        <v>45726</v>
      </c>
      <c r="C100" t="inlineStr">
        <is>
          <t>C010</t>
        </is>
      </c>
      <c r="D100" t="inlineStr">
        <is>
          <t>Produto A 1kg</t>
        </is>
      </c>
      <c r="E100" s="23" t="n">
        <v>5.5</v>
      </c>
      <c r="F100" s="24" t="n">
        <v>31924.78</v>
      </c>
      <c r="G100" t="inlineStr">
        <is>
          <t>FOB</t>
        </is>
      </c>
      <c r="H100" s="22" t="n">
        <v>45756</v>
      </c>
      <c r="I100" s="22" t="n">
        <v>45761</v>
      </c>
      <c r="J100" s="21">
        <f>IF(C100="","",IFERROR(INDEX(Clientes!$B:$B,MATCH(C100,Clientes!$A:$A,0)),"Cód. não cadastrado"))</f>
        <v/>
      </c>
      <c r="K100" s="18">
        <f>IF(B100="","",YEAR(B100))</f>
        <v/>
      </c>
      <c r="L100" s="18">
        <f>IF(B100="","",MONTH(B100))</f>
        <v/>
      </c>
      <c r="M100" s="18">
        <f>IF(OR(B100="",I100=""),"",I100-B100)</f>
        <v/>
      </c>
      <c r="N100" s="21">
        <f>IF(B100="","",IF(I100="",IF(H100="","",IF(TODAY()&gt;H100,"Atrasado (em aberto)","Em aberto")),IF(I100&lt;=H100,"No prazo","Fora do prazo")))</f>
        <v/>
      </c>
    </row>
    <row r="101">
      <c r="A101" t="inlineStr">
        <is>
          <t>PV1100</t>
        </is>
      </c>
      <c r="B101" s="22" t="n">
        <v>45758</v>
      </c>
      <c r="C101" t="inlineStr">
        <is>
          <t>C010</t>
        </is>
      </c>
      <c r="D101" t="inlineStr">
        <is>
          <t>Produto B 5kg</t>
        </is>
      </c>
      <c r="E101" s="23" t="n">
        <v>7.5</v>
      </c>
      <c r="F101" s="24" t="n">
        <v>52759.99</v>
      </c>
      <c r="G101" t="inlineStr">
        <is>
          <t>FOB</t>
        </is>
      </c>
      <c r="H101" s="22" t="n">
        <v>45788</v>
      </c>
      <c r="I101" s="22" t="n">
        <v>45782</v>
      </c>
      <c r="J101" s="21">
        <f>IF(C101="","",IFERROR(INDEX(Clientes!$B:$B,MATCH(C101,Clientes!$A:$A,0)),"Cód. não cadastrado"))</f>
        <v/>
      </c>
      <c r="K101" s="18">
        <f>IF(B101="","",YEAR(B101))</f>
        <v/>
      </c>
      <c r="L101" s="18">
        <f>IF(B101="","",MONTH(B101))</f>
        <v/>
      </c>
      <c r="M101" s="18">
        <f>IF(OR(B101="",I101=""),"",I101-B101)</f>
        <v/>
      </c>
      <c r="N101" s="21">
        <f>IF(B101="","",IF(I101="",IF(H101="","",IF(TODAY()&gt;H101,"Atrasado (em aberto)","Em aberto")),IF(I101&lt;=H101,"No prazo","Fora do prazo")))</f>
        <v/>
      </c>
    </row>
    <row r="102">
      <c r="A102" t="inlineStr">
        <is>
          <t>PV1101</t>
        </is>
      </c>
      <c r="B102" s="22" t="n">
        <v>45784</v>
      </c>
      <c r="C102" t="inlineStr">
        <is>
          <t>C010</t>
        </is>
      </c>
      <c r="D102" t="inlineStr">
        <is>
          <t>Produto A 1kg</t>
        </is>
      </c>
      <c r="E102" s="23" t="n">
        <v>8.4</v>
      </c>
      <c r="F102" s="24" t="n">
        <v>28042.48</v>
      </c>
      <c r="G102" t="inlineStr">
        <is>
          <t>CFR</t>
        </is>
      </c>
      <c r="H102" s="22" t="n">
        <v>45814</v>
      </c>
      <c r="I102" s="22" t="n">
        <v>45819</v>
      </c>
      <c r="J102" s="21">
        <f>IF(C102="","",IFERROR(INDEX(Clientes!$B:$B,MATCH(C102,Clientes!$A:$A,0)),"Cód. não cadastrado"))</f>
        <v/>
      </c>
      <c r="K102" s="18">
        <f>IF(B102="","",YEAR(B102))</f>
        <v/>
      </c>
      <c r="L102" s="18">
        <f>IF(B102="","",MONTH(B102))</f>
        <v/>
      </c>
      <c r="M102" s="18">
        <f>IF(OR(B102="",I102=""),"",I102-B102)</f>
        <v/>
      </c>
      <c r="N102" s="21">
        <f>IF(B102="","",IF(I102="",IF(H102="","",IF(TODAY()&gt;H102,"Atrasado (em aberto)","Em aberto")),IF(I102&lt;=H102,"No prazo","Fora do prazo")))</f>
        <v/>
      </c>
    </row>
    <row r="103">
      <c r="A103" t="inlineStr">
        <is>
          <t>PV1102</t>
        </is>
      </c>
      <c r="B103" s="22" t="n">
        <v>45811</v>
      </c>
      <c r="C103" t="inlineStr">
        <is>
          <t>C010</t>
        </is>
      </c>
      <c r="D103" t="inlineStr">
        <is>
          <t>Produto B 5kg</t>
        </is>
      </c>
      <c r="E103" s="23" t="n">
        <v>9</v>
      </c>
      <c r="F103" s="24" t="n">
        <v>41512.95</v>
      </c>
      <c r="G103" t="inlineStr">
        <is>
          <t>CFR</t>
        </is>
      </c>
      <c r="H103" s="22" t="n">
        <v>45841</v>
      </c>
      <c r="I103" s="22" t="n">
        <v>45841</v>
      </c>
      <c r="J103" s="21">
        <f>IF(C103="","",IFERROR(INDEX(Clientes!$B:$B,MATCH(C103,Clientes!$A:$A,0)),"Cód. não cadastrado"))</f>
        <v/>
      </c>
      <c r="K103" s="18">
        <f>IF(B103="","",YEAR(B103))</f>
        <v/>
      </c>
      <c r="L103" s="18">
        <f>IF(B103="","",MONTH(B103))</f>
        <v/>
      </c>
      <c r="M103" s="18">
        <f>IF(OR(B103="",I103=""),"",I103-B103)</f>
        <v/>
      </c>
      <c r="N103" s="21">
        <f>IF(B103="","",IF(I103="",IF(H103="","",IF(TODAY()&gt;H103,"Atrasado (em aberto)","Em aberto")),IF(I103&lt;=H103,"No prazo","Fora do prazo")))</f>
        <v/>
      </c>
    </row>
    <row r="104">
      <c r="A104" t="inlineStr">
        <is>
          <t>PV1103</t>
        </is>
      </c>
      <c r="B104" s="22" t="n">
        <v>45852</v>
      </c>
      <c r="C104" t="inlineStr">
        <is>
          <t>C010</t>
        </is>
      </c>
      <c r="D104" t="inlineStr">
        <is>
          <t>Produto B 5kg</t>
        </is>
      </c>
      <c r="E104" s="23" t="n">
        <v>8.1</v>
      </c>
      <c r="F104" s="24" t="n">
        <v>27628.7</v>
      </c>
      <c r="G104" t="inlineStr">
        <is>
          <t>FOB</t>
        </is>
      </c>
      <c r="H104" s="22" t="n">
        <v>45882</v>
      </c>
      <c r="I104" s="22" t="n">
        <v>45891</v>
      </c>
      <c r="J104" s="21">
        <f>IF(C104="","",IFERROR(INDEX(Clientes!$B:$B,MATCH(C104,Clientes!$A:$A,0)),"Cód. não cadastrado"))</f>
        <v/>
      </c>
      <c r="K104" s="18">
        <f>IF(B104="","",YEAR(B104))</f>
        <v/>
      </c>
      <c r="L104" s="18">
        <f>IF(B104="","",MONTH(B104))</f>
        <v/>
      </c>
      <c r="M104" s="18">
        <f>IF(OR(B104="",I104=""),"",I104-B104)</f>
        <v/>
      </c>
      <c r="N104" s="21">
        <f>IF(B104="","",IF(I104="",IF(H104="","",IF(TODAY()&gt;H104,"Atrasado (em aberto)","Em aberto")),IF(I104&lt;=H104,"No prazo","Fora do prazo")))</f>
        <v/>
      </c>
    </row>
    <row r="105">
      <c r="A105" t="inlineStr">
        <is>
          <t>PV1104</t>
        </is>
      </c>
      <c r="B105" s="22" t="n">
        <v>45891</v>
      </c>
      <c r="C105" t="inlineStr">
        <is>
          <t>C010</t>
        </is>
      </c>
      <c r="D105" t="inlineStr">
        <is>
          <t>Produto C granel 25kg</t>
        </is>
      </c>
      <c r="E105" s="23" t="n">
        <v>8.6</v>
      </c>
      <c r="F105" s="24" t="n">
        <v>26219.61</v>
      </c>
      <c r="G105" t="inlineStr">
        <is>
          <t>CFR</t>
        </is>
      </c>
      <c r="H105" s="22" t="n">
        <v>45921</v>
      </c>
      <c r="I105" s="22" t="n">
        <v>45921</v>
      </c>
      <c r="J105" s="21">
        <f>IF(C105="","",IFERROR(INDEX(Clientes!$B:$B,MATCH(C105,Clientes!$A:$A,0)),"Cód. não cadastrado"))</f>
        <v/>
      </c>
      <c r="K105" s="18">
        <f>IF(B105="","",YEAR(B105))</f>
        <v/>
      </c>
      <c r="L105" s="18">
        <f>IF(B105="","",MONTH(B105))</f>
        <v/>
      </c>
      <c r="M105" s="18">
        <f>IF(OR(B105="",I105=""),"",I105-B105)</f>
        <v/>
      </c>
      <c r="N105" s="21">
        <f>IF(B105="","",IF(I105="",IF(H105="","",IF(TODAY()&gt;H105,"Atrasado (em aberto)","Em aberto")),IF(I105&lt;=H105,"No prazo","Fora do prazo")))</f>
        <v/>
      </c>
    </row>
    <row r="106">
      <c r="A106" t="inlineStr">
        <is>
          <t>PV1105</t>
        </is>
      </c>
      <c r="B106" s="22" t="n">
        <v>45914</v>
      </c>
      <c r="C106" t="inlineStr">
        <is>
          <t>C010</t>
        </is>
      </c>
      <c r="D106" t="inlineStr">
        <is>
          <t>Produto B 5kg</t>
        </is>
      </c>
      <c r="E106" s="23" t="n">
        <v>4.1</v>
      </c>
      <c r="F106" s="24" t="n">
        <v>31800.72</v>
      </c>
      <c r="G106" t="inlineStr">
        <is>
          <t>CFR</t>
        </is>
      </c>
      <c r="H106" s="22" t="n">
        <v>45944</v>
      </c>
      <c r="I106" s="22" t="n">
        <v>45946</v>
      </c>
      <c r="J106" s="21">
        <f>IF(C106="","",IFERROR(INDEX(Clientes!$B:$B,MATCH(C106,Clientes!$A:$A,0)),"Cód. não cadastrado"))</f>
        <v/>
      </c>
      <c r="K106" s="18">
        <f>IF(B106="","",YEAR(B106))</f>
        <v/>
      </c>
      <c r="L106" s="18">
        <f>IF(B106="","",MONTH(B106))</f>
        <v/>
      </c>
      <c r="M106" s="18">
        <f>IF(OR(B106="",I106=""),"",I106-B106)</f>
        <v/>
      </c>
      <c r="N106" s="21">
        <f>IF(B106="","",IF(I106="",IF(H106="","",IF(TODAY()&gt;H106,"Atrasado (em aberto)","Em aberto")),IF(I106&lt;=H106,"No prazo","Fora do prazo")))</f>
        <v/>
      </c>
    </row>
    <row r="107">
      <c r="A107" t="inlineStr">
        <is>
          <t>PV1106</t>
        </is>
      </c>
      <c r="B107" s="22" t="n">
        <v>45931</v>
      </c>
      <c r="C107" t="inlineStr">
        <is>
          <t>C010</t>
        </is>
      </c>
      <c r="D107" t="inlineStr">
        <is>
          <t>Produto C granel 25kg</t>
        </is>
      </c>
      <c r="E107" s="23" t="n">
        <v>5.4</v>
      </c>
      <c r="F107" s="24" t="n">
        <v>54407.69</v>
      </c>
      <c r="G107" t="inlineStr">
        <is>
          <t>CIF</t>
        </is>
      </c>
      <c r="H107" s="22" t="n">
        <v>45961</v>
      </c>
      <c r="I107" s="22" t="n">
        <v>45970</v>
      </c>
      <c r="J107" s="21">
        <f>IF(C107="","",IFERROR(INDEX(Clientes!$B:$B,MATCH(C107,Clientes!$A:$A,0)),"Cód. não cadastrado"))</f>
        <v/>
      </c>
      <c r="K107" s="18">
        <f>IF(B107="","",YEAR(B107))</f>
        <v/>
      </c>
      <c r="L107" s="18">
        <f>IF(B107="","",MONTH(B107))</f>
        <v/>
      </c>
      <c r="M107" s="18">
        <f>IF(OR(B107="",I107=""),"",I107-B107)</f>
        <v/>
      </c>
      <c r="N107" s="21">
        <f>IF(B107="","",IF(I107="",IF(H107="","",IF(TODAY()&gt;H107,"Atrasado (em aberto)","Em aberto")),IF(I107&lt;=H107,"No prazo","Fora do prazo")))</f>
        <v/>
      </c>
    </row>
    <row r="108">
      <c r="A108" t="inlineStr">
        <is>
          <t>PV1107</t>
        </is>
      </c>
      <c r="B108" s="22" t="n">
        <v>45979</v>
      </c>
      <c r="C108" t="inlineStr">
        <is>
          <t>C010</t>
        </is>
      </c>
      <c r="D108" t="inlineStr">
        <is>
          <t>Produto C granel 25kg</t>
        </is>
      </c>
      <c r="E108" s="23" t="n">
        <v>3.5</v>
      </c>
      <c r="F108" s="24" t="n">
        <v>57005.94</v>
      </c>
      <c r="G108" t="inlineStr">
        <is>
          <t>CFR</t>
        </is>
      </c>
      <c r="H108" s="22" t="n">
        <v>46009</v>
      </c>
      <c r="I108" s="22" t="n">
        <v>46006</v>
      </c>
      <c r="J108" s="21">
        <f>IF(C108="","",IFERROR(INDEX(Clientes!$B:$B,MATCH(C108,Clientes!$A:$A,0)),"Cód. não cadastrado"))</f>
        <v/>
      </c>
      <c r="K108" s="18">
        <f>IF(B108="","",YEAR(B108))</f>
        <v/>
      </c>
      <c r="L108" s="18">
        <f>IF(B108="","",MONTH(B108))</f>
        <v/>
      </c>
      <c r="M108" s="18">
        <f>IF(OR(B108="",I108=""),"",I108-B108)</f>
        <v/>
      </c>
      <c r="N108" s="21">
        <f>IF(B108="","",IF(I108="",IF(H108="","",IF(TODAY()&gt;H108,"Atrasado (em aberto)","Em aberto")),IF(I108&lt;=H108,"No prazo","Fora do prazo")))</f>
        <v/>
      </c>
    </row>
    <row r="109">
      <c r="A109" t="inlineStr">
        <is>
          <t>PV1108</t>
        </is>
      </c>
      <c r="B109" s="22" t="n">
        <v>46006</v>
      </c>
      <c r="C109" t="inlineStr">
        <is>
          <t>C010</t>
        </is>
      </c>
      <c r="D109" t="inlineStr">
        <is>
          <t>Produto A 1kg</t>
        </is>
      </c>
      <c r="E109" s="23" t="n">
        <v>6.9</v>
      </c>
      <c r="F109" s="24" t="n">
        <v>27879.37</v>
      </c>
      <c r="G109" t="inlineStr">
        <is>
          <t>FOB</t>
        </is>
      </c>
      <c r="H109" s="22" t="n">
        <v>46036</v>
      </c>
      <c r="I109" s="22" t="n">
        <v>46038</v>
      </c>
      <c r="J109" s="21">
        <f>IF(C109="","",IFERROR(INDEX(Clientes!$B:$B,MATCH(C109,Clientes!$A:$A,0)),"Cód. não cadastrado"))</f>
        <v/>
      </c>
      <c r="K109" s="18">
        <f>IF(B109="","",YEAR(B109))</f>
        <v/>
      </c>
      <c r="L109" s="18">
        <f>IF(B109="","",MONTH(B109))</f>
        <v/>
      </c>
      <c r="M109" s="18">
        <f>IF(OR(B109="",I109=""),"",I109-B109)</f>
        <v/>
      </c>
      <c r="N109" s="21">
        <f>IF(B109="","",IF(I109="",IF(H109="","",IF(TODAY()&gt;H109,"Atrasado (em aberto)","Em aberto")),IF(I109&lt;=H109,"No prazo","Fora do prazo")))</f>
        <v/>
      </c>
    </row>
    <row r="110">
      <c r="A110" t="inlineStr">
        <is>
          <t>PV1109</t>
        </is>
      </c>
      <c r="B110" s="22" t="n">
        <v>46063</v>
      </c>
      <c r="C110" t="inlineStr">
        <is>
          <t>C010</t>
        </is>
      </c>
      <c r="D110" t="inlineStr">
        <is>
          <t>Produto B 5kg</t>
        </is>
      </c>
      <c r="E110" s="23" t="n">
        <v>7.4</v>
      </c>
      <c r="F110" s="24" t="n">
        <v>58933.33</v>
      </c>
      <c r="G110" t="inlineStr">
        <is>
          <t>CFR</t>
        </is>
      </c>
      <c r="H110" s="22" t="n">
        <v>46093</v>
      </c>
      <c r="I110" s="22" t="n">
        <v>46093</v>
      </c>
      <c r="J110" s="21">
        <f>IF(C110="","",IFERROR(INDEX(Clientes!$B:$B,MATCH(C110,Clientes!$A:$A,0)),"Cód. não cadastrado"))</f>
        <v/>
      </c>
      <c r="K110" s="18">
        <f>IF(B110="","",YEAR(B110))</f>
        <v/>
      </c>
      <c r="L110" s="18">
        <f>IF(B110="","",MONTH(B110))</f>
        <v/>
      </c>
      <c r="M110" s="18">
        <f>IF(OR(B110="",I110=""),"",I110-B110)</f>
        <v/>
      </c>
      <c r="N110" s="21">
        <f>IF(B110="","",IF(I110="",IF(H110="","",IF(TODAY()&gt;H110,"Atrasado (em aberto)","Em aberto")),IF(I110&lt;=H110,"No prazo","Fora do prazo")))</f>
        <v/>
      </c>
    </row>
    <row r="111">
      <c r="A111" t="inlineStr">
        <is>
          <t>PV1110</t>
        </is>
      </c>
      <c r="B111" s="22" t="n">
        <v>46089</v>
      </c>
      <c r="C111" t="inlineStr">
        <is>
          <t>C010</t>
        </is>
      </c>
      <c r="D111" t="inlineStr">
        <is>
          <t>Produto B 5kg</t>
        </is>
      </c>
      <c r="E111" s="23" t="n">
        <v>6.3</v>
      </c>
      <c r="F111" s="24" t="n">
        <v>32746.55</v>
      </c>
      <c r="G111" t="inlineStr">
        <is>
          <t>FOB</t>
        </is>
      </c>
      <c r="H111" s="22" t="n">
        <v>46119</v>
      </c>
      <c r="I111" s="22" t="n">
        <v>46119</v>
      </c>
      <c r="J111" s="21">
        <f>IF(C111="","",IFERROR(INDEX(Clientes!$B:$B,MATCH(C111,Clientes!$A:$A,0)),"Cód. não cadastrado"))</f>
        <v/>
      </c>
      <c r="K111" s="18">
        <f>IF(B111="","",YEAR(B111))</f>
        <v/>
      </c>
      <c r="L111" s="18">
        <f>IF(B111="","",MONTH(B111))</f>
        <v/>
      </c>
      <c r="M111" s="18">
        <f>IF(OR(B111="",I111=""),"",I111-B111)</f>
        <v/>
      </c>
      <c r="N111" s="21">
        <f>IF(B111="","",IF(I111="",IF(H111="","",IF(TODAY()&gt;H111,"Atrasado (em aberto)","Em aberto")),IF(I111&lt;=H111,"No prazo","Fora do prazo")))</f>
        <v/>
      </c>
    </row>
    <row r="112">
      <c r="A112" t="inlineStr">
        <is>
          <t>PV1111</t>
        </is>
      </c>
      <c r="B112" s="22" t="n">
        <v>46115</v>
      </c>
      <c r="C112" t="inlineStr">
        <is>
          <t>C010</t>
        </is>
      </c>
      <c r="D112" t="inlineStr">
        <is>
          <t>Produto C granel 25kg</t>
        </is>
      </c>
      <c r="E112" s="23" t="n">
        <v>8.4</v>
      </c>
      <c r="F112" s="24" t="n">
        <v>37368.41</v>
      </c>
      <c r="G112" t="inlineStr">
        <is>
          <t>FOB</t>
        </is>
      </c>
      <c r="H112" s="22" t="n">
        <v>46145</v>
      </c>
      <c r="I112" s="22" t="n">
        <v>46142</v>
      </c>
      <c r="J112" s="21">
        <f>IF(C112="","",IFERROR(INDEX(Clientes!$B:$B,MATCH(C112,Clientes!$A:$A,0)),"Cód. não cadastrado"))</f>
        <v/>
      </c>
      <c r="K112" s="18">
        <f>IF(B112="","",YEAR(B112))</f>
        <v/>
      </c>
      <c r="L112" s="18">
        <f>IF(B112="","",MONTH(B112))</f>
        <v/>
      </c>
      <c r="M112" s="18">
        <f>IF(OR(B112="",I112=""),"",I112-B112)</f>
        <v/>
      </c>
      <c r="N112" s="21">
        <f>IF(B112="","",IF(I112="",IF(H112="","",IF(TODAY()&gt;H112,"Atrasado (em aberto)","Em aberto")),IF(I112&lt;=H112,"No prazo","Fora do prazo")))</f>
        <v/>
      </c>
    </row>
    <row r="113">
      <c r="A113" t="inlineStr">
        <is>
          <t>PV1112</t>
        </is>
      </c>
      <c r="B113" s="22" t="n">
        <v>46153</v>
      </c>
      <c r="C113" t="inlineStr">
        <is>
          <t>C010</t>
        </is>
      </c>
      <c r="D113" t="inlineStr">
        <is>
          <t>Produto B 5kg</t>
        </is>
      </c>
      <c r="E113" s="23" t="n">
        <v>5.6</v>
      </c>
      <c r="F113" s="24" t="n">
        <v>39650.34</v>
      </c>
      <c r="G113" t="inlineStr">
        <is>
          <t>FOB</t>
        </is>
      </c>
      <c r="H113" s="22" t="n">
        <v>46183</v>
      </c>
      <c r="I113" s="22" t="n">
        <v>46192</v>
      </c>
      <c r="J113" s="21">
        <f>IF(C113="","",IFERROR(INDEX(Clientes!$B:$B,MATCH(C113,Clientes!$A:$A,0)),"Cód. não cadastrado"))</f>
        <v/>
      </c>
      <c r="K113" s="18">
        <f>IF(B113="","",YEAR(B113))</f>
        <v/>
      </c>
      <c r="L113" s="18">
        <f>IF(B113="","",MONTH(B113))</f>
        <v/>
      </c>
      <c r="M113" s="18">
        <f>IF(OR(B113="",I113=""),"",I113-B113)</f>
        <v/>
      </c>
      <c r="N113" s="21">
        <f>IF(B113="","",IF(I113="",IF(H113="","",IF(TODAY()&gt;H113,"Atrasado (em aberto)","Em aberto")),IF(I113&lt;=H113,"No prazo","Fora do prazo")))</f>
        <v/>
      </c>
    </row>
    <row r="114">
      <c r="A114" t="inlineStr">
        <is>
          <t>PV1113</t>
        </is>
      </c>
      <c r="B114" s="22" t="n">
        <v>46206</v>
      </c>
      <c r="C114" t="inlineStr">
        <is>
          <t>C010</t>
        </is>
      </c>
      <c r="D114" t="inlineStr">
        <is>
          <t>Produto A 1kg</t>
        </is>
      </c>
      <c r="E114" s="23" t="n">
        <v>5.2</v>
      </c>
      <c r="F114" s="24" t="n">
        <v>51421.13</v>
      </c>
      <c r="G114" t="inlineStr">
        <is>
          <t>FOB</t>
        </is>
      </c>
      <c r="H114" s="22" t="n">
        <v>46236</v>
      </c>
      <c r="I114" s="22" t="n">
        <v>46236</v>
      </c>
      <c r="J114" s="21">
        <f>IF(C114="","",IFERROR(INDEX(Clientes!$B:$B,MATCH(C114,Clientes!$A:$A,0)),"Cód. não cadastrado"))</f>
        <v/>
      </c>
      <c r="K114" s="18">
        <f>IF(B114="","",YEAR(B114))</f>
        <v/>
      </c>
      <c r="L114" s="18">
        <f>IF(B114="","",MONTH(B114))</f>
        <v/>
      </c>
      <c r="M114" s="18">
        <f>IF(OR(B114="",I114=""),"",I114-B114)</f>
        <v/>
      </c>
      <c r="N114" s="21">
        <f>IF(B114="","",IF(I114="",IF(H114="","",IF(TODAY()&gt;H114,"Atrasado (em aberto)","Em aberto")),IF(I114&lt;=H114,"No prazo","Fora do prazo")))</f>
        <v/>
      </c>
    </row>
    <row r="115">
      <c r="A115" t="inlineStr">
        <is>
          <t>PV1114</t>
        </is>
      </c>
      <c r="B115" s="22" t="n">
        <v>46258</v>
      </c>
      <c r="C115" t="inlineStr">
        <is>
          <t>C010</t>
        </is>
      </c>
      <c r="D115" t="inlineStr">
        <is>
          <t>Produto B 5kg</t>
        </is>
      </c>
      <c r="E115" s="23" t="n">
        <v>5.3</v>
      </c>
      <c r="F115" s="24" t="n">
        <v>48562.82</v>
      </c>
      <c r="G115" t="inlineStr">
        <is>
          <t>FOB</t>
        </is>
      </c>
      <c r="H115" s="22" t="n">
        <v>46288</v>
      </c>
      <c r="I115" s="22" t="n"/>
      <c r="J115" s="21">
        <f>IF(C115="","",IFERROR(INDEX(Clientes!$B:$B,MATCH(C115,Clientes!$A:$A,0)),"Cód. não cadastrado"))</f>
        <v/>
      </c>
      <c r="K115" s="18">
        <f>IF(B115="","",YEAR(B115))</f>
        <v/>
      </c>
      <c r="L115" s="18">
        <f>IF(B115="","",MONTH(B115))</f>
        <v/>
      </c>
      <c r="M115" s="18">
        <f>IF(OR(B115="",I115=""),"",I115-B115)</f>
        <v/>
      </c>
      <c r="N115" s="21">
        <f>IF(B115="","",IF(I115="",IF(H115="","",IF(TODAY()&gt;H115,"Atrasado (em aberto)","Em aberto")),IF(I115&lt;=H115,"No prazo","Fora do prazo")))</f>
        <v/>
      </c>
    </row>
    <row r="116">
      <c r="A116" t="inlineStr">
        <is>
          <t>PV1115</t>
        </is>
      </c>
      <c r="B116" s="22" t="n">
        <v>46276</v>
      </c>
      <c r="C116" t="inlineStr">
        <is>
          <t>C010</t>
        </is>
      </c>
      <c r="D116" t="inlineStr">
        <is>
          <t>Produto A 1kg</t>
        </is>
      </c>
      <c r="E116" s="23" t="n">
        <v>6</v>
      </c>
      <c r="F116" s="24" t="n">
        <v>40842.63</v>
      </c>
      <c r="G116" t="inlineStr">
        <is>
          <t>CFR</t>
        </is>
      </c>
      <c r="H116" s="22" t="n">
        <v>46306</v>
      </c>
      <c r="I116" s="22" t="n"/>
      <c r="J116" s="21">
        <f>IF(C116="","",IFERROR(INDEX(Clientes!$B:$B,MATCH(C116,Clientes!$A:$A,0)),"Cód. não cadastrado"))</f>
        <v/>
      </c>
      <c r="K116" s="18">
        <f>IF(B116="","",YEAR(B116))</f>
        <v/>
      </c>
      <c r="L116" s="18">
        <f>IF(B116="","",MONTH(B116))</f>
        <v/>
      </c>
      <c r="M116" s="18">
        <f>IF(OR(B116="",I116=""),"",I116-B116)</f>
        <v/>
      </c>
      <c r="N116" s="21">
        <f>IF(B116="","",IF(I116="",IF(H116="","",IF(TODAY()&gt;H116,"Atrasado (em aberto)","Em aberto")),IF(I116&lt;=H116,"No prazo","Fora do prazo")))</f>
        <v/>
      </c>
    </row>
    <row r="117">
      <c r="A117" t="inlineStr">
        <is>
          <t>PV1116</t>
        </is>
      </c>
      <c r="B117" s="22" t="n">
        <v>45679</v>
      </c>
      <c r="C117" t="inlineStr">
        <is>
          <t>C011</t>
        </is>
      </c>
      <c r="D117" t="inlineStr">
        <is>
          <t>Produto C granel 25kg</t>
        </is>
      </c>
      <c r="E117" s="23" t="n">
        <v>6.8</v>
      </c>
      <c r="F117" s="24" t="n">
        <v>53828.76</v>
      </c>
      <c r="G117" t="inlineStr">
        <is>
          <t>FOB</t>
        </is>
      </c>
      <c r="H117" s="22" t="n">
        <v>45709</v>
      </c>
      <c r="I117" s="22" t="n">
        <v>45711</v>
      </c>
      <c r="J117" s="21">
        <f>IF(C117="","",IFERROR(INDEX(Clientes!$B:$B,MATCH(C117,Clientes!$A:$A,0)),"Cód. não cadastrado"))</f>
        <v/>
      </c>
      <c r="K117" s="18">
        <f>IF(B117="","",YEAR(B117))</f>
        <v/>
      </c>
      <c r="L117" s="18">
        <f>IF(B117="","",MONTH(B117))</f>
        <v/>
      </c>
      <c r="M117" s="18">
        <f>IF(OR(B117="",I117=""),"",I117-B117)</f>
        <v/>
      </c>
      <c r="N117" s="21">
        <f>IF(B117="","",IF(I117="",IF(H117="","",IF(TODAY()&gt;H117,"Atrasado (em aberto)","Em aberto")),IF(I117&lt;=H117,"No prazo","Fora do prazo")))</f>
        <v/>
      </c>
    </row>
    <row r="118">
      <c r="A118" t="inlineStr">
        <is>
          <t>PV1117</t>
        </is>
      </c>
      <c r="B118" s="22" t="n">
        <v>45750</v>
      </c>
      <c r="C118" t="inlineStr">
        <is>
          <t>C011</t>
        </is>
      </c>
      <c r="D118" t="inlineStr">
        <is>
          <t>Produto A 1kg</t>
        </is>
      </c>
      <c r="E118" s="23" t="n">
        <v>5.3</v>
      </c>
      <c r="F118" s="24" t="n">
        <v>44060.63</v>
      </c>
      <c r="G118" t="inlineStr">
        <is>
          <t>CFR</t>
        </is>
      </c>
      <c r="H118" s="22" t="n">
        <v>45780</v>
      </c>
      <c r="I118" s="22" t="n">
        <v>45780</v>
      </c>
      <c r="J118" s="21">
        <f>IF(C118="","",IFERROR(INDEX(Clientes!$B:$B,MATCH(C118,Clientes!$A:$A,0)),"Cód. não cadastrado"))</f>
        <v/>
      </c>
      <c r="K118" s="18">
        <f>IF(B118="","",YEAR(B118))</f>
        <v/>
      </c>
      <c r="L118" s="18">
        <f>IF(B118="","",MONTH(B118))</f>
        <v/>
      </c>
      <c r="M118" s="18">
        <f>IF(OR(B118="",I118=""),"",I118-B118)</f>
        <v/>
      </c>
      <c r="N118" s="21">
        <f>IF(B118="","",IF(I118="",IF(H118="","",IF(TODAY()&gt;H118,"Atrasado (em aberto)","Em aberto")),IF(I118&lt;=H118,"No prazo","Fora do prazo")))</f>
        <v/>
      </c>
    </row>
    <row r="119">
      <c r="A119" t="inlineStr">
        <is>
          <t>PV1118</t>
        </is>
      </c>
      <c r="B119" s="22" t="n">
        <v>45848</v>
      </c>
      <c r="C119" t="inlineStr">
        <is>
          <t>C011</t>
        </is>
      </c>
      <c r="D119" t="inlineStr">
        <is>
          <t>Produto A 1kg</t>
        </is>
      </c>
      <c r="E119" s="23" t="n">
        <v>3.8</v>
      </c>
      <c r="F119" s="24" t="n">
        <v>34133.99</v>
      </c>
      <c r="G119" t="inlineStr">
        <is>
          <t>CFR</t>
        </is>
      </c>
      <c r="H119" s="22" t="n">
        <v>45878</v>
      </c>
      <c r="I119" s="22" t="n">
        <v>45887</v>
      </c>
      <c r="J119" s="21">
        <f>IF(C119="","",IFERROR(INDEX(Clientes!$B:$B,MATCH(C119,Clientes!$A:$A,0)),"Cód. não cadastrado"))</f>
        <v/>
      </c>
      <c r="K119" s="18">
        <f>IF(B119="","",YEAR(B119))</f>
        <v/>
      </c>
      <c r="L119" s="18">
        <f>IF(B119="","",MONTH(B119))</f>
        <v/>
      </c>
      <c r="M119" s="18">
        <f>IF(OR(B119="",I119=""),"",I119-B119)</f>
        <v/>
      </c>
      <c r="N119" s="21">
        <f>IF(B119="","",IF(I119="",IF(H119="","",IF(TODAY()&gt;H119,"Atrasado (em aberto)","Em aberto")),IF(I119&lt;=H119,"No prazo","Fora do prazo")))</f>
        <v/>
      </c>
    </row>
    <row r="120">
      <c r="A120" t="inlineStr">
        <is>
          <t>PV1119</t>
        </is>
      </c>
      <c r="B120" s="22" t="n">
        <v>45949</v>
      </c>
      <c r="C120" t="inlineStr">
        <is>
          <t>C011</t>
        </is>
      </c>
      <c r="D120" t="inlineStr">
        <is>
          <t>Produto A 1kg</t>
        </is>
      </c>
      <c r="E120" s="23" t="n">
        <v>3.4</v>
      </c>
      <c r="F120" s="24" t="n">
        <v>56860.73</v>
      </c>
      <c r="G120" t="inlineStr">
        <is>
          <t>CIF</t>
        </is>
      </c>
      <c r="H120" s="22" t="n">
        <v>45979</v>
      </c>
      <c r="I120" s="22" t="n">
        <v>45979</v>
      </c>
      <c r="J120" s="21">
        <f>IF(C120="","",IFERROR(INDEX(Clientes!$B:$B,MATCH(C120,Clientes!$A:$A,0)),"Cód. não cadastrado"))</f>
        <v/>
      </c>
      <c r="K120" s="18">
        <f>IF(B120="","",YEAR(B120))</f>
        <v/>
      </c>
      <c r="L120" s="18">
        <f>IF(B120="","",MONTH(B120))</f>
        <v/>
      </c>
      <c r="M120" s="18">
        <f>IF(OR(B120="",I120=""),"",I120-B120)</f>
        <v/>
      </c>
      <c r="N120" s="21">
        <f>IF(B120="","",IF(I120="",IF(H120="","",IF(TODAY()&gt;H120,"Atrasado (em aberto)","Em aberto")),IF(I120&lt;=H120,"No prazo","Fora do prazo")))</f>
        <v/>
      </c>
    </row>
    <row r="121">
      <c r="A121" t="inlineStr">
        <is>
          <t>PV1120</t>
        </is>
      </c>
      <c r="B121" s="22" t="n">
        <v>46061</v>
      </c>
      <c r="C121" t="inlineStr">
        <is>
          <t>C011</t>
        </is>
      </c>
      <c r="D121" t="inlineStr">
        <is>
          <t>Produto A 1kg</t>
        </is>
      </c>
      <c r="E121" s="23" t="n">
        <v>4.3</v>
      </c>
      <c r="F121" s="24" t="n">
        <v>21843.07</v>
      </c>
      <c r="G121" t="inlineStr">
        <is>
          <t>CIF</t>
        </is>
      </c>
      <c r="H121" s="22" t="n">
        <v>46091</v>
      </c>
      <c r="I121" s="22" t="n">
        <v>46100</v>
      </c>
      <c r="J121" s="21">
        <f>IF(C121="","",IFERROR(INDEX(Clientes!$B:$B,MATCH(C121,Clientes!$A:$A,0)),"Cód. não cadastrado"))</f>
        <v/>
      </c>
      <c r="K121" s="18">
        <f>IF(B121="","",YEAR(B121))</f>
        <v/>
      </c>
      <c r="L121" s="18">
        <f>IF(B121="","",MONTH(B121))</f>
        <v/>
      </c>
      <c r="M121" s="18">
        <f>IF(OR(B121="",I121=""),"",I121-B121)</f>
        <v/>
      </c>
      <c r="N121" s="21">
        <f>IF(B121="","",IF(I121="",IF(H121="","",IF(TODAY()&gt;H121,"Atrasado (em aberto)","Em aberto")),IF(I121&lt;=H121,"No prazo","Fora do prazo")))</f>
        <v/>
      </c>
    </row>
    <row r="122">
      <c r="A122" t="inlineStr">
        <is>
          <t>PV1121</t>
        </is>
      </c>
      <c r="B122" s="22" t="n">
        <v>46257</v>
      </c>
      <c r="C122" t="inlineStr">
        <is>
          <t>C011</t>
        </is>
      </c>
      <c r="D122" t="inlineStr">
        <is>
          <t>Produto B 5kg</t>
        </is>
      </c>
      <c r="E122" s="23" t="n">
        <v>3.5</v>
      </c>
      <c r="F122" s="24" t="n">
        <v>49958.77</v>
      </c>
      <c r="G122" t="inlineStr">
        <is>
          <t>FOB</t>
        </is>
      </c>
      <c r="H122" s="22" t="n">
        <v>46287</v>
      </c>
      <c r="I122" s="22" t="n">
        <v>46292</v>
      </c>
      <c r="J122" s="21">
        <f>IF(C122="","",IFERROR(INDEX(Clientes!$B:$B,MATCH(C122,Clientes!$A:$A,0)),"Cód. não cadastrado"))</f>
        <v/>
      </c>
      <c r="K122" s="18">
        <f>IF(B122="","",YEAR(B122))</f>
        <v/>
      </c>
      <c r="L122" s="18">
        <f>IF(B122="","",MONTH(B122))</f>
        <v/>
      </c>
      <c r="M122" s="18">
        <f>IF(OR(B122="",I122=""),"",I122-B122)</f>
        <v/>
      </c>
      <c r="N122" s="21">
        <f>IF(B122="","",IF(I122="",IF(H122="","",IF(TODAY()&gt;H122,"Atrasado (em aberto)","Em aberto")),IF(I122&lt;=H122,"No prazo","Fora do prazo")))</f>
        <v/>
      </c>
    </row>
    <row r="123">
      <c r="A123" t="inlineStr">
        <is>
          <t>PV1122</t>
        </is>
      </c>
      <c r="B123" s="22" t="n">
        <v>45665</v>
      </c>
      <c r="C123" t="inlineStr">
        <is>
          <t>C012</t>
        </is>
      </c>
      <c r="D123" t="inlineStr">
        <is>
          <t>Produto A 1kg</t>
        </is>
      </c>
      <c r="E123" s="23" t="n">
        <v>6.9</v>
      </c>
      <c r="F123" s="24" t="n">
        <v>28670.2</v>
      </c>
      <c r="G123" t="inlineStr">
        <is>
          <t>FOB</t>
        </is>
      </c>
      <c r="H123" s="22" t="n">
        <v>45695</v>
      </c>
      <c r="I123" s="22" t="n">
        <v>45697</v>
      </c>
      <c r="J123" s="21">
        <f>IF(C123="","",IFERROR(INDEX(Clientes!$B:$B,MATCH(C123,Clientes!$A:$A,0)),"Cód. não cadastrado"))</f>
        <v/>
      </c>
      <c r="K123" s="18">
        <f>IF(B123="","",YEAR(B123))</f>
        <v/>
      </c>
      <c r="L123" s="18">
        <f>IF(B123="","",MONTH(B123))</f>
        <v/>
      </c>
      <c r="M123" s="18">
        <f>IF(OR(B123="",I123=""),"",I123-B123)</f>
        <v/>
      </c>
      <c r="N123" s="21">
        <f>IF(B123="","",IF(I123="",IF(H123="","",IF(TODAY()&gt;H123,"Atrasado (em aberto)","Em aberto")),IF(I123&lt;=H123,"No prazo","Fora do prazo")))</f>
        <v/>
      </c>
    </row>
    <row r="124">
      <c r="A124" t="inlineStr">
        <is>
          <t>PV1123</t>
        </is>
      </c>
      <c r="B124" s="22" t="n">
        <v>45709</v>
      </c>
      <c r="C124" t="inlineStr">
        <is>
          <t>C012</t>
        </is>
      </c>
      <c r="D124" t="inlineStr">
        <is>
          <t>Produto C granel 25kg</t>
        </is>
      </c>
      <c r="E124" s="23" t="n">
        <v>6.8</v>
      </c>
      <c r="F124" s="24" t="n">
        <v>46436.19</v>
      </c>
      <c r="G124" t="inlineStr">
        <is>
          <t>FOB</t>
        </is>
      </c>
      <c r="H124" s="22" t="n">
        <v>45739</v>
      </c>
      <c r="I124" s="22" t="n">
        <v>45739</v>
      </c>
      <c r="J124" s="21">
        <f>IF(C124="","",IFERROR(INDEX(Clientes!$B:$B,MATCH(C124,Clientes!$A:$A,0)),"Cód. não cadastrado"))</f>
        <v/>
      </c>
      <c r="K124" s="18">
        <f>IF(B124="","",YEAR(B124))</f>
        <v/>
      </c>
      <c r="L124" s="18">
        <f>IF(B124="","",MONTH(B124))</f>
        <v/>
      </c>
      <c r="M124" s="18">
        <f>IF(OR(B124="",I124=""),"",I124-B124)</f>
        <v/>
      </c>
      <c r="N124" s="21">
        <f>IF(B124="","",IF(I124="",IF(H124="","",IF(TODAY()&gt;H124,"Atrasado (em aberto)","Em aberto")),IF(I124&lt;=H124,"No prazo","Fora do prazo")))</f>
        <v/>
      </c>
    </row>
    <row r="125">
      <c r="A125" t="inlineStr">
        <is>
          <t>PV1124</t>
        </is>
      </c>
      <c r="B125" s="22" t="n">
        <v>45720</v>
      </c>
      <c r="C125" t="inlineStr">
        <is>
          <t>C012</t>
        </is>
      </c>
      <c r="D125" t="inlineStr">
        <is>
          <t>Produto B 5kg</t>
        </is>
      </c>
      <c r="E125" s="23" t="n">
        <v>6.1</v>
      </c>
      <c r="F125" s="24" t="n">
        <v>41230.09</v>
      </c>
      <c r="G125" t="inlineStr">
        <is>
          <t>CFR</t>
        </is>
      </c>
      <c r="H125" s="22" t="n">
        <v>45750</v>
      </c>
      <c r="I125" s="22" t="n">
        <v>45744</v>
      </c>
      <c r="J125" s="21">
        <f>IF(C125="","",IFERROR(INDEX(Clientes!$B:$B,MATCH(C125,Clientes!$A:$A,0)),"Cód. não cadastrado"))</f>
        <v/>
      </c>
      <c r="K125" s="18">
        <f>IF(B125="","",YEAR(B125))</f>
        <v/>
      </c>
      <c r="L125" s="18">
        <f>IF(B125="","",MONTH(B125))</f>
        <v/>
      </c>
      <c r="M125" s="18">
        <f>IF(OR(B125="",I125=""),"",I125-B125)</f>
        <v/>
      </c>
      <c r="N125" s="21">
        <f>IF(B125="","",IF(I125="",IF(H125="","",IF(TODAY()&gt;H125,"Atrasado (em aberto)","Em aberto")),IF(I125&lt;=H125,"No prazo","Fora do prazo")))</f>
        <v/>
      </c>
    </row>
    <row r="126">
      <c r="A126" t="inlineStr">
        <is>
          <t>PV1125</t>
        </is>
      </c>
      <c r="B126" s="22" t="n">
        <v>45756</v>
      </c>
      <c r="C126" t="inlineStr">
        <is>
          <t>C012</t>
        </is>
      </c>
      <c r="D126" t="inlineStr">
        <is>
          <t>Produto C granel 25kg</t>
        </is>
      </c>
      <c r="E126" s="23" t="n">
        <v>3</v>
      </c>
      <c r="F126" s="24" t="n">
        <v>39186.43</v>
      </c>
      <c r="G126" t="inlineStr">
        <is>
          <t>CFR</t>
        </is>
      </c>
      <c r="H126" s="22" t="n">
        <v>45786</v>
      </c>
      <c r="I126" s="22" t="n">
        <v>45783</v>
      </c>
      <c r="J126" s="21">
        <f>IF(C126="","",IFERROR(INDEX(Clientes!$B:$B,MATCH(C126,Clientes!$A:$A,0)),"Cód. não cadastrado"))</f>
        <v/>
      </c>
      <c r="K126" s="18">
        <f>IF(B126="","",YEAR(B126))</f>
        <v/>
      </c>
      <c r="L126" s="18">
        <f>IF(B126="","",MONTH(B126))</f>
        <v/>
      </c>
      <c r="M126" s="18">
        <f>IF(OR(B126="",I126=""),"",I126-B126)</f>
        <v/>
      </c>
      <c r="N126" s="21">
        <f>IF(B126="","",IF(I126="",IF(H126="","",IF(TODAY()&gt;H126,"Atrasado (em aberto)","Em aberto")),IF(I126&lt;=H126,"No prazo","Fora do prazo")))</f>
        <v/>
      </c>
    </row>
    <row r="127">
      <c r="A127" t="inlineStr">
        <is>
          <t>PV1126</t>
        </is>
      </c>
      <c r="B127" s="22" t="n">
        <v>45786</v>
      </c>
      <c r="C127" t="inlineStr">
        <is>
          <t>C012</t>
        </is>
      </c>
      <c r="D127" t="inlineStr">
        <is>
          <t>Produto C granel 25kg</t>
        </is>
      </c>
      <c r="E127" s="23" t="n">
        <v>8</v>
      </c>
      <c r="F127" s="24" t="n">
        <v>25906.09</v>
      </c>
      <c r="G127" t="inlineStr">
        <is>
          <t>CIF</t>
        </is>
      </c>
      <c r="H127" s="22" t="n">
        <v>45816</v>
      </c>
      <c r="I127" s="22" t="n">
        <v>45816</v>
      </c>
      <c r="J127" s="21">
        <f>IF(C127="","",IFERROR(INDEX(Clientes!$B:$B,MATCH(C127,Clientes!$A:$A,0)),"Cód. não cadastrado"))</f>
        <v/>
      </c>
      <c r="K127" s="18">
        <f>IF(B127="","",YEAR(B127))</f>
        <v/>
      </c>
      <c r="L127" s="18">
        <f>IF(B127="","",MONTH(B127))</f>
        <v/>
      </c>
      <c r="M127" s="18">
        <f>IF(OR(B127="",I127=""),"",I127-B127)</f>
        <v/>
      </c>
      <c r="N127" s="21">
        <f>IF(B127="","",IF(I127="",IF(H127="","",IF(TODAY()&gt;H127,"Atrasado (em aberto)","Em aberto")),IF(I127&lt;=H127,"No prazo","Fora do prazo")))</f>
        <v/>
      </c>
    </row>
    <row r="128">
      <c r="A128" t="inlineStr">
        <is>
          <t>PV1127</t>
        </is>
      </c>
      <c r="B128" s="22" t="n">
        <v>45816</v>
      </c>
      <c r="C128" t="inlineStr">
        <is>
          <t>C012</t>
        </is>
      </c>
      <c r="D128" t="inlineStr">
        <is>
          <t>Produto A 1kg</t>
        </is>
      </c>
      <c r="E128" s="23" t="n">
        <v>3.2</v>
      </c>
      <c r="F128" s="24" t="n">
        <v>33531.46</v>
      </c>
      <c r="G128" t="inlineStr">
        <is>
          <t>CIF</t>
        </is>
      </c>
      <c r="H128" s="22" t="n">
        <v>45846</v>
      </c>
      <c r="I128" s="22" t="n">
        <v>45848</v>
      </c>
      <c r="J128" s="21">
        <f>IF(C128="","",IFERROR(INDEX(Clientes!$B:$B,MATCH(C128,Clientes!$A:$A,0)),"Cód. não cadastrado"))</f>
        <v/>
      </c>
      <c r="K128" s="18">
        <f>IF(B128="","",YEAR(B128))</f>
        <v/>
      </c>
      <c r="L128" s="18">
        <f>IF(B128="","",MONTH(B128))</f>
        <v/>
      </c>
      <c r="M128" s="18">
        <f>IF(OR(B128="",I128=""),"",I128-B128)</f>
        <v/>
      </c>
      <c r="N128" s="21">
        <f>IF(B128="","",IF(I128="",IF(H128="","",IF(TODAY()&gt;H128,"Atrasado (em aberto)","Em aberto")),IF(I128&lt;=H128,"No prazo","Fora do prazo")))</f>
        <v/>
      </c>
    </row>
    <row r="129">
      <c r="A129" t="inlineStr">
        <is>
          <t>PV1128</t>
        </is>
      </c>
      <c r="B129" s="22" t="n">
        <v>45848</v>
      </c>
      <c r="C129" t="inlineStr">
        <is>
          <t>C012</t>
        </is>
      </c>
      <c r="D129" t="inlineStr">
        <is>
          <t>Produto A 1kg</t>
        </is>
      </c>
      <c r="E129" s="23" t="n">
        <v>4.2</v>
      </c>
      <c r="F129" s="24" t="n">
        <v>54818.18</v>
      </c>
      <c r="G129" t="inlineStr">
        <is>
          <t>CIF</t>
        </is>
      </c>
      <c r="H129" s="22" t="n">
        <v>45878</v>
      </c>
      <c r="I129" s="22" t="n">
        <v>45872</v>
      </c>
      <c r="J129" s="21">
        <f>IF(C129="","",IFERROR(INDEX(Clientes!$B:$B,MATCH(C129,Clientes!$A:$A,0)),"Cód. não cadastrado"))</f>
        <v/>
      </c>
      <c r="K129" s="18">
        <f>IF(B129="","",YEAR(B129))</f>
        <v/>
      </c>
      <c r="L129" s="18">
        <f>IF(B129="","",MONTH(B129))</f>
        <v/>
      </c>
      <c r="M129" s="18">
        <f>IF(OR(B129="",I129=""),"",I129-B129)</f>
        <v/>
      </c>
      <c r="N129" s="21">
        <f>IF(B129="","",IF(I129="",IF(H129="","",IF(TODAY()&gt;H129,"Atrasado (em aberto)","Em aberto")),IF(I129&lt;=H129,"No prazo","Fora do prazo")))</f>
        <v/>
      </c>
    </row>
    <row r="130">
      <c r="A130" t="inlineStr">
        <is>
          <t>PV1129</t>
        </is>
      </c>
      <c r="B130" s="22" t="n">
        <v>45883</v>
      </c>
      <c r="C130" t="inlineStr">
        <is>
          <t>C012</t>
        </is>
      </c>
      <c r="D130" t="inlineStr">
        <is>
          <t>Produto B 5kg</t>
        </is>
      </c>
      <c r="E130" s="23" t="n">
        <v>4.4</v>
      </c>
      <c r="F130" s="24" t="n">
        <v>34094.51</v>
      </c>
      <c r="G130" t="inlineStr">
        <is>
          <t>CFR</t>
        </is>
      </c>
      <c r="H130" s="22" t="n">
        <v>45913</v>
      </c>
      <c r="I130" s="22" t="n">
        <v>45907</v>
      </c>
      <c r="J130" s="21">
        <f>IF(C130="","",IFERROR(INDEX(Clientes!$B:$B,MATCH(C130,Clientes!$A:$A,0)),"Cód. não cadastrado"))</f>
        <v/>
      </c>
      <c r="K130" s="18">
        <f>IF(B130="","",YEAR(B130))</f>
        <v/>
      </c>
      <c r="L130" s="18">
        <f>IF(B130="","",MONTH(B130))</f>
        <v/>
      </c>
      <c r="M130" s="18">
        <f>IF(OR(B130="",I130=""),"",I130-B130)</f>
        <v/>
      </c>
      <c r="N130" s="21">
        <f>IF(B130="","",IF(I130="",IF(H130="","",IF(TODAY()&gt;H130,"Atrasado (em aberto)","Em aberto")),IF(I130&lt;=H130,"No prazo","Fora do prazo")))</f>
        <v/>
      </c>
    </row>
    <row r="131">
      <c r="A131" t="inlineStr">
        <is>
          <t>PV1130</t>
        </is>
      </c>
      <c r="B131" s="22" t="n">
        <v>45908</v>
      </c>
      <c r="C131" t="inlineStr">
        <is>
          <t>C012</t>
        </is>
      </c>
      <c r="D131" t="inlineStr">
        <is>
          <t>Produto A 1kg</t>
        </is>
      </c>
      <c r="E131" s="23" t="n">
        <v>7.2</v>
      </c>
      <c r="F131" s="24" t="n">
        <v>47324.95</v>
      </c>
      <c r="G131" t="inlineStr">
        <is>
          <t>CFR</t>
        </is>
      </c>
      <c r="H131" s="22" t="n">
        <v>45938</v>
      </c>
      <c r="I131" s="22" t="n">
        <v>45938</v>
      </c>
      <c r="J131" s="21">
        <f>IF(C131="","",IFERROR(INDEX(Clientes!$B:$B,MATCH(C131,Clientes!$A:$A,0)),"Cód. não cadastrado"))</f>
        <v/>
      </c>
      <c r="K131" s="18">
        <f>IF(B131="","",YEAR(B131))</f>
        <v/>
      </c>
      <c r="L131" s="18">
        <f>IF(B131="","",MONTH(B131))</f>
        <v/>
      </c>
      <c r="M131" s="18">
        <f>IF(OR(B131="",I131=""),"",I131-B131)</f>
        <v/>
      </c>
      <c r="N131" s="21">
        <f>IF(B131="","",IF(I131="",IF(H131="","",IF(TODAY()&gt;H131,"Atrasado (em aberto)","Em aberto")),IF(I131&lt;=H131,"No prazo","Fora do prazo")))</f>
        <v/>
      </c>
    </row>
    <row r="132">
      <c r="A132" t="inlineStr">
        <is>
          <t>PV1131</t>
        </is>
      </c>
      <c r="B132" s="22" t="n">
        <v>45952</v>
      </c>
      <c r="C132" t="inlineStr">
        <is>
          <t>C012</t>
        </is>
      </c>
      <c r="D132" t="inlineStr">
        <is>
          <t>Produto A 1kg</t>
        </is>
      </c>
      <c r="E132" s="23" t="n">
        <v>3</v>
      </c>
      <c r="F132" s="24" t="n">
        <v>28145</v>
      </c>
      <c r="G132" t="inlineStr">
        <is>
          <t>CIF</t>
        </is>
      </c>
      <c r="H132" s="22" t="n">
        <v>45982</v>
      </c>
      <c r="I132" s="22" t="n">
        <v>45982</v>
      </c>
      <c r="J132" s="21">
        <f>IF(C132="","",IFERROR(INDEX(Clientes!$B:$B,MATCH(C132,Clientes!$A:$A,0)),"Cód. não cadastrado"))</f>
        <v/>
      </c>
      <c r="K132" s="18">
        <f>IF(B132="","",YEAR(B132))</f>
        <v/>
      </c>
      <c r="L132" s="18">
        <f>IF(B132="","",MONTH(B132))</f>
        <v/>
      </c>
      <c r="M132" s="18">
        <f>IF(OR(B132="",I132=""),"",I132-B132)</f>
        <v/>
      </c>
      <c r="N132" s="21">
        <f>IF(B132="","",IF(I132="",IF(H132="","",IF(TODAY()&gt;H132,"Atrasado (em aberto)","Em aberto")),IF(I132&lt;=H132,"No prazo","Fora do prazo")))</f>
        <v/>
      </c>
    </row>
    <row r="133">
      <c r="A133" t="inlineStr">
        <is>
          <t>PV1132</t>
        </is>
      </c>
      <c r="B133" s="22" t="n">
        <v>45964</v>
      </c>
      <c r="C133" t="inlineStr">
        <is>
          <t>C012</t>
        </is>
      </c>
      <c r="D133" t="inlineStr">
        <is>
          <t>Produto B 5kg</t>
        </is>
      </c>
      <c r="E133" s="23" t="n">
        <v>8.800000000000001</v>
      </c>
      <c r="F133" s="24" t="n">
        <v>29027.21</v>
      </c>
      <c r="G133" t="inlineStr">
        <is>
          <t>FOB</t>
        </is>
      </c>
      <c r="H133" s="22" t="n">
        <v>45994</v>
      </c>
      <c r="I133" s="22" t="n">
        <v>45991</v>
      </c>
      <c r="J133" s="21">
        <f>IF(C133="","",IFERROR(INDEX(Clientes!$B:$B,MATCH(C133,Clientes!$A:$A,0)),"Cód. não cadastrado"))</f>
        <v/>
      </c>
      <c r="K133" s="18">
        <f>IF(B133="","",YEAR(B133))</f>
        <v/>
      </c>
      <c r="L133" s="18">
        <f>IF(B133="","",MONTH(B133))</f>
        <v/>
      </c>
      <c r="M133" s="18">
        <f>IF(OR(B133="",I133=""),"",I133-B133)</f>
        <v/>
      </c>
      <c r="N133" s="21">
        <f>IF(B133="","",IF(I133="",IF(H133="","",IF(TODAY()&gt;H133,"Atrasado (em aberto)","Em aberto")),IF(I133&lt;=H133,"No prazo","Fora do prazo")))</f>
        <v/>
      </c>
    </row>
    <row r="134">
      <c r="A134" t="inlineStr">
        <is>
          <t>PV1133</t>
        </is>
      </c>
      <c r="B134" s="22" t="n">
        <v>45999</v>
      </c>
      <c r="C134" t="inlineStr">
        <is>
          <t>C012</t>
        </is>
      </c>
      <c r="D134" t="inlineStr">
        <is>
          <t>Produto A 1kg</t>
        </is>
      </c>
      <c r="E134" s="23" t="n">
        <v>4.6</v>
      </c>
      <c r="F134" s="24" t="n">
        <v>55020.02</v>
      </c>
      <c r="G134" t="inlineStr">
        <is>
          <t>FOB</t>
        </is>
      </c>
      <c r="H134" s="22" t="n">
        <v>46029</v>
      </c>
      <c r="I134" s="22" t="n">
        <v>46029</v>
      </c>
      <c r="J134" s="21">
        <f>IF(C134="","",IFERROR(INDEX(Clientes!$B:$B,MATCH(C134,Clientes!$A:$A,0)),"Cód. não cadastrado"))</f>
        <v/>
      </c>
      <c r="K134" s="18">
        <f>IF(B134="","",YEAR(B134))</f>
        <v/>
      </c>
      <c r="L134" s="18">
        <f>IF(B134="","",MONTH(B134))</f>
        <v/>
      </c>
      <c r="M134" s="18">
        <f>IF(OR(B134="",I134=""),"",I134-B134)</f>
        <v/>
      </c>
      <c r="N134" s="21">
        <f>IF(B134="","",IF(I134="",IF(H134="","",IF(TODAY()&gt;H134,"Atrasado (em aberto)","Em aberto")),IF(I134&lt;=H134,"No prazo","Fora do prazo")))</f>
        <v/>
      </c>
    </row>
    <row r="135">
      <c r="A135" t="inlineStr">
        <is>
          <t>PV1134</t>
        </is>
      </c>
      <c r="B135" s="22" t="n">
        <v>46030</v>
      </c>
      <c r="C135" t="inlineStr">
        <is>
          <t>C012</t>
        </is>
      </c>
      <c r="D135" t="inlineStr">
        <is>
          <t>Produto B 5kg</t>
        </is>
      </c>
      <c r="E135" s="23" t="n">
        <v>8.5</v>
      </c>
      <c r="F135" s="24" t="n">
        <v>17538.77</v>
      </c>
      <c r="G135" t="inlineStr">
        <is>
          <t>CIF</t>
        </is>
      </c>
      <c r="H135" s="22" t="n">
        <v>46060</v>
      </c>
      <c r="I135" s="22" t="n">
        <v>46060</v>
      </c>
      <c r="J135" s="21">
        <f>IF(C135="","",IFERROR(INDEX(Clientes!$B:$B,MATCH(C135,Clientes!$A:$A,0)),"Cód. não cadastrado"))</f>
        <v/>
      </c>
      <c r="K135" s="18">
        <f>IF(B135="","",YEAR(B135))</f>
        <v/>
      </c>
      <c r="L135" s="18">
        <f>IF(B135="","",MONTH(B135))</f>
        <v/>
      </c>
      <c r="M135" s="18">
        <f>IF(OR(B135="",I135=""),"",I135-B135)</f>
        <v/>
      </c>
      <c r="N135" s="21">
        <f>IF(B135="","",IF(I135="",IF(H135="","",IF(TODAY()&gt;H135,"Atrasado (em aberto)","Em aberto")),IF(I135&lt;=H135,"No prazo","Fora do prazo")))</f>
        <v/>
      </c>
    </row>
    <row r="136">
      <c r="A136" t="inlineStr">
        <is>
          <t>PV1135</t>
        </is>
      </c>
      <c r="B136" s="22" t="n">
        <v>46088</v>
      </c>
      <c r="C136" t="inlineStr">
        <is>
          <t>C012</t>
        </is>
      </c>
      <c r="D136" t="inlineStr">
        <is>
          <t>Produto C granel 25kg</t>
        </is>
      </c>
      <c r="E136" s="23" t="n">
        <v>3.9</v>
      </c>
      <c r="F136" s="24" t="n">
        <v>17332.82</v>
      </c>
      <c r="G136" t="inlineStr">
        <is>
          <t>FOB</t>
        </is>
      </c>
      <c r="H136" s="22" t="n">
        <v>46118</v>
      </c>
      <c r="I136" s="22" t="n">
        <v>46112</v>
      </c>
      <c r="J136" s="21">
        <f>IF(C136="","",IFERROR(INDEX(Clientes!$B:$B,MATCH(C136,Clientes!$A:$A,0)),"Cód. não cadastrado"))</f>
        <v/>
      </c>
      <c r="K136" s="18">
        <f>IF(B136="","",YEAR(B136))</f>
        <v/>
      </c>
      <c r="L136" s="18">
        <f>IF(B136="","",MONTH(B136))</f>
        <v/>
      </c>
      <c r="M136" s="18">
        <f>IF(OR(B136="",I136=""),"",I136-B136)</f>
        <v/>
      </c>
      <c r="N136" s="21">
        <f>IF(B136="","",IF(I136="",IF(H136="","",IF(TODAY()&gt;H136,"Atrasado (em aberto)","Em aberto")),IF(I136&lt;=H136,"No prazo","Fora do prazo")))</f>
        <v/>
      </c>
    </row>
    <row r="137">
      <c r="A137" t="inlineStr">
        <is>
          <t>PV1136</t>
        </is>
      </c>
      <c r="B137" s="22" t="n">
        <v>46127</v>
      </c>
      <c r="C137" t="inlineStr">
        <is>
          <t>C012</t>
        </is>
      </c>
      <c r="D137" t="inlineStr">
        <is>
          <t>Produto B 5kg</t>
        </is>
      </c>
      <c r="E137" s="23" t="n">
        <v>7.4</v>
      </c>
      <c r="F137" s="24" t="n">
        <v>59888.84</v>
      </c>
      <c r="G137" t="inlineStr">
        <is>
          <t>FOB</t>
        </is>
      </c>
      <c r="H137" s="22" t="n">
        <v>46157</v>
      </c>
      <c r="I137" s="22" t="n">
        <v>46162</v>
      </c>
      <c r="J137" s="21">
        <f>IF(C137="","",IFERROR(INDEX(Clientes!$B:$B,MATCH(C137,Clientes!$A:$A,0)),"Cód. não cadastrado"))</f>
        <v/>
      </c>
      <c r="K137" s="18">
        <f>IF(B137="","",YEAR(B137))</f>
        <v/>
      </c>
      <c r="L137" s="18">
        <f>IF(B137="","",MONTH(B137))</f>
        <v/>
      </c>
      <c r="M137" s="18">
        <f>IF(OR(B137="",I137=""),"",I137-B137)</f>
        <v/>
      </c>
      <c r="N137" s="21">
        <f>IF(B137="","",IF(I137="",IF(H137="","",IF(TODAY()&gt;H137,"Atrasado (em aberto)","Em aberto")),IF(I137&lt;=H137,"No prazo","Fora do prazo")))</f>
        <v/>
      </c>
    </row>
    <row r="138">
      <c r="A138" t="inlineStr">
        <is>
          <t>PV1137</t>
        </is>
      </c>
      <c r="B138" s="22" t="n">
        <v>46148</v>
      </c>
      <c r="C138" t="inlineStr">
        <is>
          <t>C012</t>
        </is>
      </c>
      <c r="D138" t="inlineStr">
        <is>
          <t>Produto C granel 25kg</t>
        </is>
      </c>
      <c r="E138" s="23" t="n">
        <v>7.5</v>
      </c>
      <c r="F138" s="24" t="n">
        <v>16435.22</v>
      </c>
      <c r="G138" t="inlineStr">
        <is>
          <t>CIF</t>
        </is>
      </c>
      <c r="H138" s="22" t="n">
        <v>46178</v>
      </c>
      <c r="I138" s="22" t="n">
        <v>46183</v>
      </c>
      <c r="J138" s="21">
        <f>IF(C138="","",IFERROR(INDEX(Clientes!$B:$B,MATCH(C138,Clientes!$A:$A,0)),"Cód. não cadastrado"))</f>
        <v/>
      </c>
      <c r="K138" s="18">
        <f>IF(B138="","",YEAR(B138))</f>
        <v/>
      </c>
      <c r="L138" s="18">
        <f>IF(B138="","",MONTH(B138))</f>
        <v/>
      </c>
      <c r="M138" s="18">
        <f>IF(OR(B138="",I138=""),"",I138-B138)</f>
        <v/>
      </c>
      <c r="N138" s="21">
        <f>IF(B138="","",IF(I138="",IF(H138="","",IF(TODAY()&gt;H138,"Atrasado (em aberto)","Em aberto")),IF(I138&lt;=H138,"No prazo","Fora do prazo")))</f>
        <v/>
      </c>
    </row>
    <row r="139">
      <c r="A139" t="inlineStr">
        <is>
          <t>PV1138</t>
        </is>
      </c>
      <c r="B139" s="22" t="n">
        <v>46185</v>
      </c>
      <c r="C139" t="inlineStr">
        <is>
          <t>C012</t>
        </is>
      </c>
      <c r="D139" t="inlineStr">
        <is>
          <t>Produto B 5kg</t>
        </is>
      </c>
      <c r="E139" s="23" t="n">
        <v>4</v>
      </c>
      <c r="F139" s="24" t="n">
        <v>15129.18</v>
      </c>
      <c r="G139" t="inlineStr">
        <is>
          <t>CFR</t>
        </is>
      </c>
      <c r="H139" s="22" t="n">
        <v>46215</v>
      </c>
      <c r="I139" s="22" t="n">
        <v>46215</v>
      </c>
      <c r="J139" s="21">
        <f>IF(C139="","",IFERROR(INDEX(Clientes!$B:$B,MATCH(C139,Clientes!$A:$A,0)),"Cód. não cadastrado"))</f>
        <v/>
      </c>
      <c r="K139" s="18">
        <f>IF(B139="","",YEAR(B139))</f>
        <v/>
      </c>
      <c r="L139" s="18">
        <f>IF(B139="","",MONTH(B139))</f>
        <v/>
      </c>
      <c r="M139" s="18">
        <f>IF(OR(B139="",I139=""),"",I139-B139)</f>
        <v/>
      </c>
      <c r="N139" s="21">
        <f>IF(B139="","",IF(I139="",IF(H139="","",IF(TODAY()&gt;H139,"Atrasado (em aberto)","Em aberto")),IF(I139&lt;=H139,"No prazo","Fora do prazo")))</f>
        <v/>
      </c>
    </row>
    <row r="140">
      <c r="A140" t="inlineStr">
        <is>
          <t>PV1139</t>
        </is>
      </c>
      <c r="B140" s="22" t="n">
        <v>46238</v>
      </c>
      <c r="C140" t="inlineStr">
        <is>
          <t>C012</t>
        </is>
      </c>
      <c r="D140" t="inlineStr">
        <is>
          <t>Produto A 1kg</t>
        </is>
      </c>
      <c r="E140" s="23" t="n">
        <v>5.3</v>
      </c>
      <c r="F140" s="24" t="n">
        <v>49592.94</v>
      </c>
      <c r="G140" t="inlineStr">
        <is>
          <t>CFR</t>
        </is>
      </c>
      <c r="H140" s="22" t="n">
        <v>46268</v>
      </c>
      <c r="I140" s="22" t="n">
        <v>46270</v>
      </c>
      <c r="J140" s="21">
        <f>IF(C140="","",IFERROR(INDEX(Clientes!$B:$B,MATCH(C140,Clientes!$A:$A,0)),"Cód. não cadastrado"))</f>
        <v/>
      </c>
      <c r="K140" s="18">
        <f>IF(B140="","",YEAR(B140))</f>
        <v/>
      </c>
      <c r="L140" s="18">
        <f>IF(B140="","",MONTH(B140))</f>
        <v/>
      </c>
      <c r="M140" s="18">
        <f>IF(OR(B140="",I140=""),"",I140-B140)</f>
        <v/>
      </c>
      <c r="N140" s="21">
        <f>IF(B140="","",IF(I140="",IF(H140="","",IF(TODAY()&gt;H140,"Atrasado (em aberto)","Em aberto")),IF(I140&lt;=H140,"No prazo","Fora do prazo")))</f>
        <v/>
      </c>
    </row>
    <row r="141">
      <c r="A141" t="inlineStr">
        <is>
          <t>PV1140</t>
        </is>
      </c>
      <c r="B141" s="22" t="n">
        <v>46279</v>
      </c>
      <c r="C141" t="inlineStr">
        <is>
          <t>C012</t>
        </is>
      </c>
      <c r="D141" t="inlineStr">
        <is>
          <t>Produto A 1kg</t>
        </is>
      </c>
      <c r="E141" s="23" t="n">
        <v>7.2</v>
      </c>
      <c r="F141" s="24" t="n">
        <v>23807.21</v>
      </c>
      <c r="G141" t="inlineStr">
        <is>
          <t>CIF</t>
        </is>
      </c>
      <c r="H141" s="22" t="n">
        <v>46309</v>
      </c>
      <c r="I141" s="22" t="n"/>
      <c r="J141" s="21">
        <f>IF(C141="","",IFERROR(INDEX(Clientes!$B:$B,MATCH(C141,Clientes!$A:$A,0)),"Cód. não cadastrado"))</f>
        <v/>
      </c>
      <c r="K141" s="18">
        <f>IF(B141="","",YEAR(B141))</f>
        <v/>
      </c>
      <c r="L141" s="18">
        <f>IF(B141="","",MONTH(B141))</f>
        <v/>
      </c>
      <c r="M141" s="18">
        <f>IF(OR(B141="",I141=""),"",I141-B141)</f>
        <v/>
      </c>
      <c r="N141" s="21">
        <f>IF(B141="","",IF(I141="",IF(H141="","",IF(TODAY()&gt;H141,"Atrasado (em aberto)","Em aberto")),IF(I141&lt;=H141,"No prazo","Fora do prazo")))</f>
        <v/>
      </c>
    </row>
    <row r="142">
      <c r="A142" t="inlineStr">
        <is>
          <t>PV1141</t>
        </is>
      </c>
      <c r="B142" s="22" t="n">
        <v>45695</v>
      </c>
      <c r="C142" t="inlineStr">
        <is>
          <t>C013</t>
        </is>
      </c>
      <c r="D142" t="inlineStr">
        <is>
          <t>Produto B 5kg</t>
        </is>
      </c>
      <c r="E142" s="23" t="n">
        <v>7.4</v>
      </c>
      <c r="F142" s="24" t="n">
        <v>36354.05</v>
      </c>
      <c r="G142" t="inlineStr">
        <is>
          <t>CIF</t>
        </is>
      </c>
      <c r="H142" s="22" t="n">
        <v>45725</v>
      </c>
      <c r="I142" s="22" t="n">
        <v>45725</v>
      </c>
      <c r="J142" s="21">
        <f>IF(C142="","",IFERROR(INDEX(Clientes!$B:$B,MATCH(C142,Clientes!$A:$A,0)),"Cód. não cadastrado"))</f>
        <v/>
      </c>
      <c r="K142" s="18">
        <f>IF(B142="","",YEAR(B142))</f>
        <v/>
      </c>
      <c r="L142" s="18">
        <f>IF(B142="","",MONTH(B142))</f>
        <v/>
      </c>
      <c r="M142" s="18">
        <f>IF(OR(B142="",I142=""),"",I142-B142)</f>
        <v/>
      </c>
      <c r="N142" s="21">
        <f>IF(B142="","",IF(I142="",IF(H142="","",IF(TODAY()&gt;H142,"Atrasado (em aberto)","Em aberto")),IF(I142&lt;=H142,"No prazo","Fora do prazo")))</f>
        <v/>
      </c>
    </row>
    <row r="143">
      <c r="A143" t="inlineStr">
        <is>
          <t>PV1142</t>
        </is>
      </c>
      <c r="B143" s="22" t="n">
        <v>45761</v>
      </c>
      <c r="C143" t="inlineStr">
        <is>
          <t>C013</t>
        </is>
      </c>
      <c r="D143" t="inlineStr">
        <is>
          <t>Produto C granel 25kg</t>
        </is>
      </c>
      <c r="E143" s="23" t="n">
        <v>7.6</v>
      </c>
      <c r="F143" s="24" t="n">
        <v>16829.23</v>
      </c>
      <c r="G143" t="inlineStr">
        <is>
          <t>FOB</t>
        </is>
      </c>
      <c r="H143" s="22" t="n">
        <v>45791</v>
      </c>
      <c r="I143" s="22" t="n">
        <v>45788</v>
      </c>
      <c r="J143" s="21">
        <f>IF(C143="","",IFERROR(INDEX(Clientes!$B:$B,MATCH(C143,Clientes!$A:$A,0)),"Cód. não cadastrado"))</f>
        <v/>
      </c>
      <c r="K143" s="18">
        <f>IF(B143="","",YEAR(B143))</f>
        <v/>
      </c>
      <c r="L143" s="18">
        <f>IF(B143="","",MONTH(B143))</f>
        <v/>
      </c>
      <c r="M143" s="18">
        <f>IF(OR(B143="",I143=""),"",I143-B143)</f>
        <v/>
      </c>
      <c r="N143" s="21">
        <f>IF(B143="","",IF(I143="",IF(H143="","",IF(TODAY()&gt;H143,"Atrasado (em aberto)","Em aberto")),IF(I143&lt;=H143,"No prazo","Fora do prazo")))</f>
        <v/>
      </c>
    </row>
    <row r="144">
      <c r="A144" t="inlineStr">
        <is>
          <t>PV1143</t>
        </is>
      </c>
      <c r="B144" s="22" t="n">
        <v>45823</v>
      </c>
      <c r="C144" t="inlineStr">
        <is>
          <t>C013</t>
        </is>
      </c>
      <c r="D144" t="inlineStr">
        <is>
          <t>Produto A 1kg</t>
        </is>
      </c>
      <c r="E144" s="23" t="n">
        <v>4.5</v>
      </c>
      <c r="F144" s="24" t="n">
        <v>48627.91</v>
      </c>
      <c r="G144" t="inlineStr">
        <is>
          <t>CIF</t>
        </is>
      </c>
      <c r="H144" s="22" t="n">
        <v>45853</v>
      </c>
      <c r="I144" s="22" t="n">
        <v>45847</v>
      </c>
      <c r="J144" s="21">
        <f>IF(C144="","",IFERROR(INDEX(Clientes!$B:$B,MATCH(C144,Clientes!$A:$A,0)),"Cód. não cadastrado"))</f>
        <v/>
      </c>
      <c r="K144" s="18">
        <f>IF(B144="","",YEAR(B144))</f>
        <v/>
      </c>
      <c r="L144" s="18">
        <f>IF(B144="","",MONTH(B144))</f>
        <v/>
      </c>
      <c r="M144" s="18">
        <f>IF(OR(B144="",I144=""),"",I144-B144)</f>
        <v/>
      </c>
      <c r="N144" s="21">
        <f>IF(B144="","",IF(I144="",IF(H144="","",IF(TODAY()&gt;H144,"Atrasado (em aberto)","Em aberto")),IF(I144&lt;=H144,"No prazo","Fora do prazo")))</f>
        <v/>
      </c>
    </row>
    <row r="145">
      <c r="A145" t="inlineStr">
        <is>
          <t>PV1144</t>
        </is>
      </c>
      <c r="B145" s="22" t="n">
        <v>45880</v>
      </c>
      <c r="C145" t="inlineStr">
        <is>
          <t>C013</t>
        </is>
      </c>
      <c r="D145" t="inlineStr">
        <is>
          <t>Produto B 5kg</t>
        </is>
      </c>
      <c r="E145" s="23" t="n">
        <v>5</v>
      </c>
      <c r="F145" s="24" t="n">
        <v>57919.31</v>
      </c>
      <c r="G145" t="inlineStr">
        <is>
          <t>FOB</t>
        </is>
      </c>
      <c r="H145" s="22" t="n">
        <v>45910</v>
      </c>
      <c r="I145" s="22" t="n">
        <v>45910</v>
      </c>
      <c r="J145" s="21">
        <f>IF(C145="","",IFERROR(INDEX(Clientes!$B:$B,MATCH(C145,Clientes!$A:$A,0)),"Cód. não cadastrado"))</f>
        <v/>
      </c>
      <c r="K145" s="18">
        <f>IF(B145="","",YEAR(B145))</f>
        <v/>
      </c>
      <c r="L145" s="18">
        <f>IF(B145="","",MONTH(B145))</f>
        <v/>
      </c>
      <c r="M145" s="18">
        <f>IF(OR(B145="",I145=""),"",I145-B145)</f>
        <v/>
      </c>
      <c r="N145" s="21">
        <f>IF(B145="","",IF(I145="",IF(H145="","",IF(TODAY()&gt;H145,"Atrasado (em aberto)","Em aberto")),IF(I145&lt;=H145,"No prazo","Fora do prazo")))</f>
        <v/>
      </c>
    </row>
    <row r="146">
      <c r="A146" t="inlineStr">
        <is>
          <t>PV1145</t>
        </is>
      </c>
      <c r="B146" s="22" t="n">
        <v>45939</v>
      </c>
      <c r="C146" t="inlineStr">
        <is>
          <t>C013</t>
        </is>
      </c>
      <c r="D146" t="inlineStr">
        <is>
          <t>Produto C granel 25kg</t>
        </is>
      </c>
      <c r="E146" s="23" t="n">
        <v>7.1</v>
      </c>
      <c r="F146" s="24" t="n">
        <v>56590.26</v>
      </c>
      <c r="G146" t="inlineStr">
        <is>
          <t>CFR</t>
        </is>
      </c>
      <c r="H146" s="22" t="n">
        <v>45969</v>
      </c>
      <c r="I146" s="22" t="n">
        <v>45974</v>
      </c>
      <c r="J146" s="21">
        <f>IF(C146="","",IFERROR(INDEX(Clientes!$B:$B,MATCH(C146,Clientes!$A:$A,0)),"Cód. não cadastrado"))</f>
        <v/>
      </c>
      <c r="K146" s="18">
        <f>IF(B146="","",YEAR(B146))</f>
        <v/>
      </c>
      <c r="L146" s="18">
        <f>IF(B146="","",MONTH(B146))</f>
        <v/>
      </c>
      <c r="M146" s="18">
        <f>IF(OR(B146="",I146=""),"",I146-B146)</f>
        <v/>
      </c>
      <c r="N146" s="21">
        <f>IF(B146="","",IF(I146="",IF(H146="","",IF(TODAY()&gt;H146,"Atrasado (em aberto)","Em aberto")),IF(I146&lt;=H146,"No prazo","Fora do prazo")))</f>
        <v/>
      </c>
    </row>
    <row r="147">
      <c r="A147" t="inlineStr">
        <is>
          <t>PV1146</t>
        </is>
      </c>
      <c r="B147" s="22" t="n">
        <v>45992</v>
      </c>
      <c r="C147" t="inlineStr">
        <is>
          <t>C013</t>
        </is>
      </c>
      <c r="D147" t="inlineStr">
        <is>
          <t>Produto C granel 25kg</t>
        </is>
      </c>
      <c r="E147" s="23" t="n">
        <v>8.5</v>
      </c>
      <c r="F147" s="24" t="n">
        <v>43529.1</v>
      </c>
      <c r="G147" t="inlineStr">
        <is>
          <t>FOB</t>
        </is>
      </c>
      <c r="H147" s="22" t="n">
        <v>46022</v>
      </c>
      <c r="I147" s="22" t="n">
        <v>46027</v>
      </c>
      <c r="J147" s="21">
        <f>IF(C147="","",IFERROR(INDEX(Clientes!$B:$B,MATCH(C147,Clientes!$A:$A,0)),"Cód. não cadastrado"))</f>
        <v/>
      </c>
      <c r="K147" s="18">
        <f>IF(B147="","",YEAR(B147))</f>
        <v/>
      </c>
      <c r="L147" s="18">
        <f>IF(B147="","",MONTH(B147))</f>
        <v/>
      </c>
      <c r="M147" s="18">
        <f>IF(OR(B147="",I147=""),"",I147-B147)</f>
        <v/>
      </c>
      <c r="N147" s="21">
        <f>IF(B147="","",IF(I147="",IF(H147="","",IF(TODAY()&gt;H147,"Atrasado (em aberto)","Em aberto")),IF(I147&lt;=H147,"No prazo","Fora do prazo")))</f>
        <v/>
      </c>
    </row>
    <row r="148">
      <c r="A148" t="inlineStr">
        <is>
          <t>PV1147</t>
        </is>
      </c>
      <c r="B148" s="22" t="n">
        <v>46026</v>
      </c>
      <c r="C148" t="inlineStr">
        <is>
          <t>C013</t>
        </is>
      </c>
      <c r="D148" t="inlineStr">
        <is>
          <t>Produto C granel 25kg</t>
        </is>
      </c>
      <c r="E148" s="23" t="n">
        <v>8.699999999999999</v>
      </c>
      <c r="F148" s="24" t="n">
        <v>57925.98</v>
      </c>
      <c r="G148" t="inlineStr">
        <is>
          <t>CFR</t>
        </is>
      </c>
      <c r="H148" s="22" t="n">
        <v>46056</v>
      </c>
      <c r="I148" s="22" t="n">
        <v>46056</v>
      </c>
      <c r="J148" s="21">
        <f>IF(C148="","",IFERROR(INDEX(Clientes!$B:$B,MATCH(C148,Clientes!$A:$A,0)),"Cód. não cadastrado"))</f>
        <v/>
      </c>
      <c r="K148" s="18">
        <f>IF(B148="","",YEAR(B148))</f>
        <v/>
      </c>
      <c r="L148" s="18">
        <f>IF(B148="","",MONTH(B148))</f>
        <v/>
      </c>
      <c r="M148" s="18">
        <f>IF(OR(B148="",I148=""),"",I148-B148)</f>
        <v/>
      </c>
      <c r="N148" s="21">
        <f>IF(B148="","",IF(I148="",IF(H148="","",IF(TODAY()&gt;H148,"Atrasado (em aberto)","Em aberto")),IF(I148&lt;=H148,"No prazo","Fora do prazo")))</f>
        <v/>
      </c>
    </row>
    <row r="149">
      <c r="A149" t="inlineStr">
        <is>
          <t>PV1148</t>
        </is>
      </c>
      <c r="B149" s="22" t="n">
        <v>46095</v>
      </c>
      <c r="C149" t="inlineStr">
        <is>
          <t>C013</t>
        </is>
      </c>
      <c r="D149" t="inlineStr">
        <is>
          <t>Produto B 5kg</t>
        </is>
      </c>
      <c r="E149" s="23" t="n">
        <v>3.8</v>
      </c>
      <c r="F149" s="24" t="n">
        <v>37344.33</v>
      </c>
      <c r="G149" t="inlineStr">
        <is>
          <t>FOB</t>
        </is>
      </c>
      <c r="H149" s="22" t="n">
        <v>46125</v>
      </c>
      <c r="I149" s="22" t="n">
        <v>46134</v>
      </c>
      <c r="J149" s="21">
        <f>IF(C149="","",IFERROR(INDEX(Clientes!$B:$B,MATCH(C149,Clientes!$A:$A,0)),"Cód. não cadastrado"))</f>
        <v/>
      </c>
      <c r="K149" s="18">
        <f>IF(B149="","",YEAR(B149))</f>
        <v/>
      </c>
      <c r="L149" s="18">
        <f>IF(B149="","",MONTH(B149))</f>
        <v/>
      </c>
      <c r="M149" s="18">
        <f>IF(OR(B149="",I149=""),"",I149-B149)</f>
        <v/>
      </c>
      <c r="N149" s="21">
        <f>IF(B149="","",IF(I149="",IF(H149="","",IF(TODAY()&gt;H149,"Atrasado (em aberto)","Em aberto")),IF(I149&lt;=H149,"No prazo","Fora do prazo")))</f>
        <v/>
      </c>
    </row>
    <row r="150">
      <c r="A150" t="inlineStr">
        <is>
          <t>PV1149</t>
        </is>
      </c>
      <c r="B150" s="22" t="n">
        <v>46166</v>
      </c>
      <c r="C150" t="inlineStr">
        <is>
          <t>C013</t>
        </is>
      </c>
      <c r="D150" t="inlineStr">
        <is>
          <t>Produto C granel 25kg</t>
        </is>
      </c>
      <c r="E150" s="23" t="n">
        <v>7.6</v>
      </c>
      <c r="F150" s="24" t="n">
        <v>42326.44</v>
      </c>
      <c r="G150" t="inlineStr">
        <is>
          <t>CFR</t>
        </is>
      </c>
      <c r="H150" s="22" t="n">
        <v>46196</v>
      </c>
      <c r="I150" s="22" t="n">
        <v>46196</v>
      </c>
      <c r="J150" s="21">
        <f>IF(C150="","",IFERROR(INDEX(Clientes!$B:$B,MATCH(C150,Clientes!$A:$A,0)),"Cód. não cadastrado"))</f>
        <v/>
      </c>
      <c r="K150" s="18">
        <f>IF(B150="","",YEAR(B150))</f>
        <v/>
      </c>
      <c r="L150" s="18">
        <f>IF(B150="","",MONTH(B150))</f>
        <v/>
      </c>
      <c r="M150" s="18">
        <f>IF(OR(B150="",I150=""),"",I150-B150)</f>
        <v/>
      </c>
      <c r="N150" s="21">
        <f>IF(B150="","",IF(I150="",IF(H150="","",IF(TODAY()&gt;H150,"Atrasado (em aberto)","Em aberto")),IF(I150&lt;=H150,"No prazo","Fora do prazo")))</f>
        <v/>
      </c>
    </row>
    <row r="151">
      <c r="A151" t="inlineStr">
        <is>
          <t>PV1150</t>
        </is>
      </c>
      <c r="B151" s="22" t="n">
        <v>46218</v>
      </c>
      <c r="C151" t="inlineStr">
        <is>
          <t>C013</t>
        </is>
      </c>
      <c r="D151" t="inlineStr">
        <is>
          <t>Produto C granel 25kg</t>
        </is>
      </c>
      <c r="E151" s="23" t="n">
        <v>3.5</v>
      </c>
      <c r="F151" s="24" t="n">
        <v>23879.03</v>
      </c>
      <c r="G151" t="inlineStr">
        <is>
          <t>FOB</t>
        </is>
      </c>
      <c r="H151" s="22" t="n">
        <v>46248</v>
      </c>
      <c r="I151" s="22" t="n">
        <v>46248</v>
      </c>
      <c r="J151" s="21">
        <f>IF(C151="","",IFERROR(INDEX(Clientes!$B:$B,MATCH(C151,Clientes!$A:$A,0)),"Cód. não cadastrado"))</f>
        <v/>
      </c>
      <c r="K151" s="18">
        <f>IF(B151="","",YEAR(B151))</f>
        <v/>
      </c>
      <c r="L151" s="18">
        <f>IF(B151="","",MONTH(B151))</f>
        <v/>
      </c>
      <c r="M151" s="18">
        <f>IF(OR(B151="",I151=""),"",I151-B151)</f>
        <v/>
      </c>
      <c r="N151" s="21">
        <f>IF(B151="","",IF(I151="",IF(H151="","",IF(TODAY()&gt;H151,"Atrasado (em aberto)","Em aberto")),IF(I151&lt;=H151,"No prazo","Fora do prazo")))</f>
        <v/>
      </c>
    </row>
    <row r="152">
      <c r="A152" t="inlineStr">
        <is>
          <t>PV1151</t>
        </is>
      </c>
      <c r="B152" s="22" t="n">
        <v>46268</v>
      </c>
      <c r="C152" t="inlineStr">
        <is>
          <t>C013</t>
        </is>
      </c>
      <c r="D152" t="inlineStr">
        <is>
          <t>Produto A 1kg</t>
        </is>
      </c>
      <c r="E152" s="23" t="n">
        <v>5.9</v>
      </c>
      <c r="F152" s="24" t="n">
        <v>39507.75</v>
      </c>
      <c r="G152" t="inlineStr">
        <is>
          <t>FOB</t>
        </is>
      </c>
      <c r="H152" s="22" t="n">
        <v>46298</v>
      </c>
      <c r="I152" s="22" t="n"/>
      <c r="J152" s="21">
        <f>IF(C152="","",IFERROR(INDEX(Clientes!$B:$B,MATCH(C152,Clientes!$A:$A,0)),"Cód. não cadastrado"))</f>
        <v/>
      </c>
      <c r="K152" s="18">
        <f>IF(B152="","",YEAR(B152))</f>
        <v/>
      </c>
      <c r="L152" s="18">
        <f>IF(B152="","",MONTH(B152))</f>
        <v/>
      </c>
      <c r="M152" s="18">
        <f>IF(OR(B152="",I152=""),"",I152-B152)</f>
        <v/>
      </c>
      <c r="N152" s="21">
        <f>IF(B152="","",IF(I152="",IF(H152="","",IF(TODAY()&gt;H152,"Atrasado (em aberto)","Em aberto")),IF(I152&lt;=H152,"No prazo","Fora do prazo")))</f>
        <v/>
      </c>
    </row>
    <row r="153">
      <c r="A153" t="inlineStr">
        <is>
          <t>PV1152</t>
        </is>
      </c>
      <c r="B153" s="22" t="n">
        <v>45692</v>
      </c>
      <c r="C153" t="inlineStr">
        <is>
          <t>C014</t>
        </is>
      </c>
      <c r="D153" t="inlineStr">
        <is>
          <t>Produto B 5kg</t>
        </is>
      </c>
      <c r="E153" s="23" t="n">
        <v>6.7</v>
      </c>
      <c r="F153" s="24" t="n">
        <v>24375.35</v>
      </c>
      <c r="G153" t="inlineStr">
        <is>
          <t>CFR</t>
        </is>
      </c>
      <c r="H153" s="22" t="n">
        <v>45722</v>
      </c>
      <c r="I153" s="22" t="n">
        <v>45716</v>
      </c>
      <c r="J153" s="21">
        <f>IF(C153="","",IFERROR(INDEX(Clientes!$B:$B,MATCH(C153,Clientes!$A:$A,0)),"Cód. não cadastrado"))</f>
        <v/>
      </c>
      <c r="K153" s="18">
        <f>IF(B153="","",YEAR(B153))</f>
        <v/>
      </c>
      <c r="L153" s="18">
        <f>IF(B153="","",MONTH(B153))</f>
        <v/>
      </c>
      <c r="M153" s="18">
        <f>IF(OR(B153="",I153=""),"",I153-B153)</f>
        <v/>
      </c>
      <c r="N153" s="21">
        <f>IF(B153="","",IF(I153="",IF(H153="","",IF(TODAY()&gt;H153,"Atrasado (em aberto)","Em aberto")),IF(I153&lt;=H153,"No prazo","Fora do prazo")))</f>
        <v/>
      </c>
    </row>
    <row r="154">
      <c r="A154" t="inlineStr">
        <is>
          <t>PV1153</t>
        </is>
      </c>
      <c r="B154" s="22" t="n">
        <v>45793</v>
      </c>
      <c r="C154" t="inlineStr">
        <is>
          <t>C014</t>
        </is>
      </c>
      <c r="D154" t="inlineStr">
        <is>
          <t>Produto B 5kg</t>
        </is>
      </c>
      <c r="E154" s="23" t="n">
        <v>4</v>
      </c>
      <c r="F154" s="24" t="n">
        <v>20981.9</v>
      </c>
      <c r="G154" t="inlineStr">
        <is>
          <t>CFR</t>
        </is>
      </c>
      <c r="H154" s="22" t="n">
        <v>45823</v>
      </c>
      <c r="I154" s="22" t="n">
        <v>45828</v>
      </c>
      <c r="J154" s="21">
        <f>IF(C154="","",IFERROR(INDEX(Clientes!$B:$B,MATCH(C154,Clientes!$A:$A,0)),"Cód. não cadastrado"))</f>
        <v/>
      </c>
      <c r="K154" s="18">
        <f>IF(B154="","",YEAR(B154))</f>
        <v/>
      </c>
      <c r="L154" s="18">
        <f>IF(B154="","",MONTH(B154))</f>
        <v/>
      </c>
      <c r="M154" s="18">
        <f>IF(OR(B154="",I154=""),"",I154-B154)</f>
        <v/>
      </c>
      <c r="N154" s="21">
        <f>IF(B154="","",IF(I154="",IF(H154="","",IF(TODAY()&gt;H154,"Atrasado (em aberto)","Em aberto")),IF(I154&lt;=H154,"No prazo","Fora do prazo")))</f>
        <v/>
      </c>
    </row>
    <row r="155">
      <c r="A155" t="inlineStr">
        <is>
          <t>PV1154</t>
        </is>
      </c>
      <c r="B155" s="22" t="n">
        <v>45889</v>
      </c>
      <c r="C155" t="inlineStr">
        <is>
          <t>C014</t>
        </is>
      </c>
      <c r="D155" t="inlineStr">
        <is>
          <t>Produto A 1kg</t>
        </is>
      </c>
      <c r="E155" s="23" t="n">
        <v>7.5</v>
      </c>
      <c r="F155" s="24" t="n">
        <v>53114.42</v>
      </c>
      <c r="G155" t="inlineStr">
        <is>
          <t>CIF</t>
        </is>
      </c>
      <c r="H155" s="22" t="n">
        <v>45919</v>
      </c>
      <c r="I155" s="22" t="n">
        <v>45924</v>
      </c>
      <c r="J155" s="21">
        <f>IF(C155="","",IFERROR(INDEX(Clientes!$B:$B,MATCH(C155,Clientes!$A:$A,0)),"Cód. não cadastrado"))</f>
        <v/>
      </c>
      <c r="K155" s="18">
        <f>IF(B155="","",YEAR(B155))</f>
        <v/>
      </c>
      <c r="L155" s="18">
        <f>IF(B155="","",MONTH(B155))</f>
        <v/>
      </c>
      <c r="M155" s="18">
        <f>IF(OR(B155="",I155=""),"",I155-B155)</f>
        <v/>
      </c>
      <c r="N155" s="21">
        <f>IF(B155="","",IF(I155="",IF(H155="","",IF(TODAY()&gt;H155,"Atrasado (em aberto)","Em aberto")),IF(I155&lt;=H155,"No prazo","Fora do prazo")))</f>
        <v/>
      </c>
    </row>
    <row r="156">
      <c r="A156" t="inlineStr">
        <is>
          <t>PV1155</t>
        </is>
      </c>
      <c r="B156" s="22" t="n">
        <v>45986</v>
      </c>
      <c r="C156" t="inlineStr">
        <is>
          <t>C014</t>
        </is>
      </c>
      <c r="D156" t="inlineStr">
        <is>
          <t>Produto B 5kg</t>
        </is>
      </c>
      <c r="E156" s="23" t="n">
        <v>4.8</v>
      </c>
      <c r="F156" s="24" t="n">
        <v>40509.79</v>
      </c>
      <c r="G156" t="inlineStr">
        <is>
          <t>CFR</t>
        </is>
      </c>
      <c r="H156" s="22" t="n">
        <v>46016</v>
      </c>
      <c r="I156" s="22" t="n">
        <v>46010</v>
      </c>
      <c r="J156" s="21">
        <f>IF(C156="","",IFERROR(INDEX(Clientes!$B:$B,MATCH(C156,Clientes!$A:$A,0)),"Cód. não cadastrado"))</f>
        <v/>
      </c>
      <c r="K156" s="18">
        <f>IF(B156="","",YEAR(B156))</f>
        <v/>
      </c>
      <c r="L156" s="18">
        <f>IF(B156="","",MONTH(B156))</f>
        <v/>
      </c>
      <c r="M156" s="18">
        <f>IF(OR(B156="",I156=""),"",I156-B156)</f>
        <v/>
      </c>
      <c r="N156" s="21">
        <f>IF(B156="","",IF(I156="",IF(H156="","",IF(TODAY()&gt;H156,"Atrasado (em aberto)","Em aberto")),IF(I156&lt;=H156,"No prazo","Fora do prazo")))</f>
        <v/>
      </c>
    </row>
    <row r="157">
      <c r="A157" t="inlineStr">
        <is>
          <t>PV1156</t>
        </is>
      </c>
      <c r="B157" s="22" t="n">
        <v>46060</v>
      </c>
      <c r="C157" t="inlineStr">
        <is>
          <t>C014</t>
        </is>
      </c>
      <c r="D157" t="inlineStr">
        <is>
          <t>Produto A 1kg</t>
        </is>
      </c>
      <c r="E157" s="23" t="n">
        <v>4.1</v>
      </c>
      <c r="F157" s="24" t="n">
        <v>25597.68</v>
      </c>
      <c r="G157" t="inlineStr">
        <is>
          <t>CFR</t>
        </is>
      </c>
      <c r="H157" s="22" t="n">
        <v>46090</v>
      </c>
      <c r="I157" s="22" t="n">
        <v>46090</v>
      </c>
      <c r="J157" s="21">
        <f>IF(C157="","",IFERROR(INDEX(Clientes!$B:$B,MATCH(C157,Clientes!$A:$A,0)),"Cód. não cadastrado"))</f>
        <v/>
      </c>
      <c r="K157" s="18">
        <f>IF(B157="","",YEAR(B157))</f>
        <v/>
      </c>
      <c r="L157" s="18">
        <f>IF(B157="","",MONTH(B157))</f>
        <v/>
      </c>
      <c r="M157" s="18">
        <f>IF(OR(B157="",I157=""),"",I157-B157)</f>
        <v/>
      </c>
      <c r="N157" s="21">
        <f>IF(B157="","",IF(I157="",IF(H157="","",IF(TODAY()&gt;H157,"Atrasado (em aberto)","Em aberto")),IF(I157&lt;=H157,"No prazo","Fora do prazo")))</f>
        <v/>
      </c>
    </row>
    <row r="158">
      <c r="A158" t="inlineStr">
        <is>
          <t>PV1157</t>
        </is>
      </c>
      <c r="B158" s="22" t="n">
        <v>46161</v>
      </c>
      <c r="C158" t="inlineStr">
        <is>
          <t>C014</t>
        </is>
      </c>
      <c r="D158" t="inlineStr">
        <is>
          <t>Produto B 5kg</t>
        </is>
      </c>
      <c r="E158" s="23" t="n">
        <v>3.4</v>
      </c>
      <c r="F158" s="24" t="n">
        <v>26324.42</v>
      </c>
      <c r="G158" t="inlineStr">
        <is>
          <t>FOB</t>
        </is>
      </c>
      <c r="H158" s="22" t="n">
        <v>46191</v>
      </c>
      <c r="I158" s="22" t="n">
        <v>46188</v>
      </c>
      <c r="J158" s="21">
        <f>IF(C158="","",IFERROR(INDEX(Clientes!$B:$B,MATCH(C158,Clientes!$A:$A,0)),"Cód. não cadastrado"))</f>
        <v/>
      </c>
      <c r="K158" s="18">
        <f>IF(B158="","",YEAR(B158))</f>
        <v/>
      </c>
      <c r="L158" s="18">
        <f>IF(B158="","",MONTH(B158))</f>
        <v/>
      </c>
      <c r="M158" s="18">
        <f>IF(OR(B158="",I158=""),"",I158-B158)</f>
        <v/>
      </c>
      <c r="N158" s="21">
        <f>IF(B158="","",IF(I158="",IF(H158="","",IF(TODAY()&gt;H158,"Atrasado (em aberto)","Em aberto")),IF(I158&lt;=H158,"No prazo","Fora do prazo")))</f>
        <v/>
      </c>
    </row>
    <row r="159">
      <c r="A159" t="inlineStr">
        <is>
          <t>PV1158</t>
        </is>
      </c>
      <c r="B159" s="22" t="n">
        <v>46242</v>
      </c>
      <c r="C159" t="inlineStr">
        <is>
          <t>C014</t>
        </is>
      </c>
      <c r="D159" t="inlineStr">
        <is>
          <t>Produto A 1kg</t>
        </is>
      </c>
      <c r="E159" s="23" t="n">
        <v>6.9</v>
      </c>
      <c r="F159" s="24" t="n">
        <v>59593</v>
      </c>
      <c r="G159" t="inlineStr">
        <is>
          <t>FOB</t>
        </is>
      </c>
      <c r="H159" s="22" t="n">
        <v>46272</v>
      </c>
      <c r="I159" s="22" t="n">
        <v>46277</v>
      </c>
      <c r="J159" s="21">
        <f>IF(C159="","",IFERROR(INDEX(Clientes!$B:$B,MATCH(C159,Clientes!$A:$A,0)),"Cód. não cadastrado"))</f>
        <v/>
      </c>
      <c r="K159" s="18">
        <f>IF(B159="","",YEAR(B159))</f>
        <v/>
      </c>
      <c r="L159" s="18">
        <f>IF(B159="","",MONTH(B159))</f>
        <v/>
      </c>
      <c r="M159" s="18">
        <f>IF(OR(B159="",I159=""),"",I159-B159)</f>
        <v/>
      </c>
      <c r="N159" s="21">
        <f>IF(B159="","",IF(I159="",IF(H159="","",IF(TODAY()&gt;H159,"Atrasado (em aberto)","Em aberto")),IF(I159&lt;=H159,"No prazo","Fora do prazo")))</f>
        <v/>
      </c>
    </row>
    <row r="160">
      <c r="A160" t="inlineStr">
        <is>
          <t>PV1159</t>
        </is>
      </c>
      <c r="B160" s="22" t="n">
        <v>45673</v>
      </c>
      <c r="C160" t="inlineStr">
        <is>
          <t>C015</t>
        </is>
      </c>
      <c r="D160" t="inlineStr">
        <is>
          <t>Produto A 1kg</t>
        </is>
      </c>
      <c r="E160" s="23" t="n">
        <v>8</v>
      </c>
      <c r="F160" s="24" t="n">
        <v>56146.9</v>
      </c>
      <c r="G160" t="inlineStr">
        <is>
          <t>FOB</t>
        </is>
      </c>
      <c r="H160" s="22" t="n">
        <v>45703</v>
      </c>
      <c r="I160" s="22" t="n">
        <v>45712</v>
      </c>
      <c r="J160" s="21">
        <f>IF(C160="","",IFERROR(INDEX(Clientes!$B:$B,MATCH(C160,Clientes!$A:$A,0)),"Cód. não cadastrado"))</f>
        <v/>
      </c>
      <c r="K160" s="18">
        <f>IF(B160="","",YEAR(B160))</f>
        <v/>
      </c>
      <c r="L160" s="18">
        <f>IF(B160="","",MONTH(B160))</f>
        <v/>
      </c>
      <c r="M160" s="18">
        <f>IF(OR(B160="",I160=""),"",I160-B160)</f>
        <v/>
      </c>
      <c r="N160" s="21">
        <f>IF(B160="","",IF(I160="",IF(H160="","",IF(TODAY()&gt;H160,"Atrasado (em aberto)","Em aberto")),IF(I160&lt;=H160,"No prazo","Fora do prazo")))</f>
        <v/>
      </c>
    </row>
    <row r="161">
      <c r="A161" t="inlineStr">
        <is>
          <t>PV1160</t>
        </is>
      </c>
      <c r="B161" s="22" t="n">
        <v>45726</v>
      </c>
      <c r="C161" t="inlineStr">
        <is>
          <t>C015</t>
        </is>
      </c>
      <c r="D161" t="inlineStr">
        <is>
          <t>Produto A 1kg</t>
        </is>
      </c>
      <c r="E161" s="23" t="n">
        <v>3.3</v>
      </c>
      <c r="F161" s="24" t="n">
        <v>42022.2</v>
      </c>
      <c r="G161" t="inlineStr">
        <is>
          <t>CIF</t>
        </is>
      </c>
      <c r="H161" s="22" t="n">
        <v>45756</v>
      </c>
      <c r="I161" s="22" t="n">
        <v>45753</v>
      </c>
      <c r="J161" s="21">
        <f>IF(C161="","",IFERROR(INDEX(Clientes!$B:$B,MATCH(C161,Clientes!$A:$A,0)),"Cód. não cadastrado"))</f>
        <v/>
      </c>
      <c r="K161" s="18">
        <f>IF(B161="","",YEAR(B161))</f>
        <v/>
      </c>
      <c r="L161" s="18">
        <f>IF(B161="","",MONTH(B161))</f>
        <v/>
      </c>
      <c r="M161" s="18">
        <f>IF(OR(B161="",I161=""),"",I161-B161)</f>
        <v/>
      </c>
      <c r="N161" s="21">
        <f>IF(B161="","",IF(I161="",IF(H161="","",IF(TODAY()&gt;H161,"Atrasado (em aberto)","Em aberto")),IF(I161&lt;=H161,"No prazo","Fora do prazo")))</f>
        <v/>
      </c>
    </row>
    <row r="162">
      <c r="A162" t="inlineStr">
        <is>
          <t>PV1161</t>
        </is>
      </c>
      <c r="B162" s="22" t="n">
        <v>45784</v>
      </c>
      <c r="C162" t="inlineStr">
        <is>
          <t>C015</t>
        </is>
      </c>
      <c r="D162" t="inlineStr">
        <is>
          <t>Produto B 5kg</t>
        </is>
      </c>
      <c r="E162" s="23" t="n">
        <v>6.1</v>
      </c>
      <c r="F162" s="24" t="n">
        <v>22999.16</v>
      </c>
      <c r="G162" t="inlineStr">
        <is>
          <t>CIF</t>
        </is>
      </c>
      <c r="H162" s="22" t="n">
        <v>45814</v>
      </c>
      <c r="I162" s="22" t="n">
        <v>45808</v>
      </c>
      <c r="J162" s="21">
        <f>IF(C162="","",IFERROR(INDEX(Clientes!$B:$B,MATCH(C162,Clientes!$A:$A,0)),"Cód. não cadastrado"))</f>
        <v/>
      </c>
      <c r="K162" s="18">
        <f>IF(B162="","",YEAR(B162))</f>
        <v/>
      </c>
      <c r="L162" s="18">
        <f>IF(B162="","",MONTH(B162))</f>
        <v/>
      </c>
      <c r="M162" s="18">
        <f>IF(OR(B162="",I162=""),"",I162-B162)</f>
        <v/>
      </c>
      <c r="N162" s="21">
        <f>IF(B162="","",IF(I162="",IF(H162="","",IF(TODAY()&gt;H162,"Atrasado (em aberto)","Em aberto")),IF(I162&lt;=H162,"No prazo","Fora do prazo")))</f>
        <v/>
      </c>
    </row>
    <row r="163">
      <c r="A163" t="inlineStr">
        <is>
          <t>PV1162</t>
        </is>
      </c>
      <c r="B163" s="22" t="n">
        <v>45847</v>
      </c>
      <c r="C163" t="inlineStr">
        <is>
          <t>C015</t>
        </is>
      </c>
      <c r="D163" t="inlineStr">
        <is>
          <t>Produto C granel 25kg</t>
        </is>
      </c>
      <c r="E163" s="23" t="n">
        <v>8.699999999999999</v>
      </c>
      <c r="F163" s="24" t="n">
        <v>19760.1</v>
      </c>
      <c r="G163" t="inlineStr">
        <is>
          <t>CIF</t>
        </is>
      </c>
      <c r="H163" s="22" t="n">
        <v>45877</v>
      </c>
      <c r="I163" s="22" t="n">
        <v>45886</v>
      </c>
      <c r="J163" s="21">
        <f>IF(C163="","",IFERROR(INDEX(Clientes!$B:$B,MATCH(C163,Clientes!$A:$A,0)),"Cód. não cadastrado"))</f>
        <v/>
      </c>
      <c r="K163" s="18">
        <f>IF(B163="","",YEAR(B163))</f>
        <v/>
      </c>
      <c r="L163" s="18">
        <f>IF(B163="","",MONTH(B163))</f>
        <v/>
      </c>
      <c r="M163" s="18">
        <f>IF(OR(B163="",I163=""),"",I163-B163)</f>
        <v/>
      </c>
      <c r="N163" s="21">
        <f>IF(B163="","",IF(I163="",IF(H163="","",IF(TODAY()&gt;H163,"Atrasado (em aberto)","Em aberto")),IF(I163&lt;=H163,"No prazo","Fora do prazo")))</f>
        <v/>
      </c>
    </row>
    <row r="164">
      <c r="A164" t="inlineStr">
        <is>
          <t>PV1163</t>
        </is>
      </c>
      <c r="B164" s="22" t="n">
        <v>45923</v>
      </c>
      <c r="C164" t="inlineStr">
        <is>
          <t>C015</t>
        </is>
      </c>
      <c r="D164" t="inlineStr">
        <is>
          <t>Produto B 5kg</t>
        </is>
      </c>
      <c r="E164" s="23" t="n">
        <v>4.3</v>
      </c>
      <c r="F164" s="24" t="n">
        <v>31591.88</v>
      </c>
      <c r="G164" t="inlineStr">
        <is>
          <t>FOB</t>
        </is>
      </c>
      <c r="H164" s="22" t="n">
        <v>45953</v>
      </c>
      <c r="I164" s="22" t="n">
        <v>45955</v>
      </c>
      <c r="J164" s="21">
        <f>IF(C164="","",IFERROR(INDEX(Clientes!$B:$B,MATCH(C164,Clientes!$A:$A,0)),"Cód. não cadastrado"))</f>
        <v/>
      </c>
      <c r="K164" s="18">
        <f>IF(B164="","",YEAR(B164))</f>
        <v/>
      </c>
      <c r="L164" s="18">
        <f>IF(B164="","",MONTH(B164))</f>
        <v/>
      </c>
      <c r="M164" s="18">
        <f>IF(OR(B164="",I164=""),"",I164-B164)</f>
        <v/>
      </c>
      <c r="N164" s="21">
        <f>IF(B164="","",IF(I164="",IF(H164="","",IF(TODAY()&gt;H164,"Atrasado (em aberto)","Em aberto")),IF(I164&lt;=H164,"No prazo","Fora do prazo")))</f>
        <v/>
      </c>
    </row>
    <row r="165">
      <c r="A165" t="inlineStr">
        <is>
          <t>PV1164</t>
        </is>
      </c>
      <c r="B165" s="22" t="n">
        <v>45963</v>
      </c>
      <c r="C165" t="inlineStr">
        <is>
          <t>C015</t>
        </is>
      </c>
      <c r="D165" t="inlineStr">
        <is>
          <t>Produto B 5kg</t>
        </is>
      </c>
      <c r="E165" s="23" t="n">
        <v>3.2</v>
      </c>
      <c r="F165" s="24" t="n">
        <v>47950.28</v>
      </c>
      <c r="G165" t="inlineStr">
        <is>
          <t>FOB</t>
        </is>
      </c>
      <c r="H165" s="22" t="n">
        <v>45993</v>
      </c>
      <c r="I165" s="22" t="n">
        <v>45990</v>
      </c>
      <c r="J165" s="21">
        <f>IF(C165="","",IFERROR(INDEX(Clientes!$B:$B,MATCH(C165,Clientes!$A:$A,0)),"Cód. não cadastrado"))</f>
        <v/>
      </c>
      <c r="K165" s="18">
        <f>IF(B165="","",YEAR(B165))</f>
        <v/>
      </c>
      <c r="L165" s="18">
        <f>IF(B165="","",MONTH(B165))</f>
        <v/>
      </c>
      <c r="M165" s="18">
        <f>IF(OR(B165="",I165=""),"",I165-B165)</f>
        <v/>
      </c>
      <c r="N165" s="21">
        <f>IF(B165="","",IF(I165="",IF(H165="","",IF(TODAY()&gt;H165,"Atrasado (em aberto)","Em aberto")),IF(I165&lt;=H165,"No prazo","Fora do prazo")))</f>
        <v/>
      </c>
    </row>
    <row r="166">
      <c r="A166" t="inlineStr">
        <is>
          <t>PV1165</t>
        </is>
      </c>
      <c r="B166" s="22" t="n">
        <v>46036</v>
      </c>
      <c r="C166" t="inlineStr">
        <is>
          <t>C015</t>
        </is>
      </c>
      <c r="D166" t="inlineStr">
        <is>
          <t>Produto B 5kg</t>
        </is>
      </c>
      <c r="E166" s="23" t="n">
        <v>4.1</v>
      </c>
      <c r="F166" s="24" t="n">
        <v>29048.81</v>
      </c>
      <c r="G166" t="inlineStr">
        <is>
          <t>FOB</t>
        </is>
      </c>
      <c r="H166" s="22" t="n">
        <v>46066</v>
      </c>
      <c r="I166" s="22" t="n">
        <v>46071</v>
      </c>
      <c r="J166" s="21">
        <f>IF(C166="","",IFERROR(INDEX(Clientes!$B:$B,MATCH(C166,Clientes!$A:$A,0)),"Cód. não cadastrado"))</f>
        <v/>
      </c>
      <c r="K166" s="18">
        <f>IF(B166="","",YEAR(B166))</f>
        <v/>
      </c>
      <c r="L166" s="18">
        <f>IF(B166="","",MONTH(B166))</f>
        <v/>
      </c>
      <c r="M166" s="18">
        <f>IF(OR(B166="",I166=""),"",I166-B166)</f>
        <v/>
      </c>
      <c r="N166" s="21">
        <f>IF(B166="","",IF(I166="",IF(H166="","",IF(TODAY()&gt;H166,"Atrasado (em aberto)","Em aberto")),IF(I166&lt;=H166,"No prazo","Fora do prazo")))</f>
        <v/>
      </c>
    </row>
    <row r="167">
      <c r="A167" t="inlineStr">
        <is>
          <t>PV1166</t>
        </is>
      </c>
      <c r="B167" s="22" t="n">
        <v>46158</v>
      </c>
      <c r="C167" t="inlineStr">
        <is>
          <t>C015</t>
        </is>
      </c>
      <c r="D167" t="inlineStr">
        <is>
          <t>Produto B 5kg</t>
        </is>
      </c>
      <c r="E167" s="23" t="n">
        <v>3.6</v>
      </c>
      <c r="F167" s="24" t="n">
        <v>32788.35</v>
      </c>
      <c r="G167" t="inlineStr">
        <is>
          <t>CIF</t>
        </is>
      </c>
      <c r="H167" s="22" t="n">
        <v>46188</v>
      </c>
      <c r="I167" s="22" t="n">
        <v>46182</v>
      </c>
      <c r="J167" s="21">
        <f>IF(C167="","",IFERROR(INDEX(Clientes!$B:$B,MATCH(C167,Clientes!$A:$A,0)),"Cód. não cadastrado"))</f>
        <v/>
      </c>
      <c r="K167" s="18">
        <f>IF(B167="","",YEAR(B167))</f>
        <v/>
      </c>
      <c r="L167" s="18">
        <f>IF(B167="","",MONTH(B167))</f>
        <v/>
      </c>
      <c r="M167" s="18">
        <f>IF(OR(B167="",I167=""),"",I167-B167)</f>
        <v/>
      </c>
      <c r="N167" s="21">
        <f>IF(B167="","",IF(I167="",IF(H167="","",IF(TODAY()&gt;H167,"Atrasado (em aberto)","Em aberto")),IF(I167&lt;=H167,"No prazo","Fora do prazo")))</f>
        <v/>
      </c>
    </row>
    <row r="168">
      <c r="A168" t="inlineStr">
        <is>
          <t>PV1167</t>
        </is>
      </c>
      <c r="B168" s="22" t="n">
        <v>46286</v>
      </c>
      <c r="C168" t="inlineStr">
        <is>
          <t>C015</t>
        </is>
      </c>
      <c r="D168" t="inlineStr">
        <is>
          <t>Produto B 5kg</t>
        </is>
      </c>
      <c r="E168" s="23" t="n">
        <v>7.2</v>
      </c>
      <c r="F168" s="24" t="n">
        <v>33440.5</v>
      </c>
      <c r="G168" t="inlineStr">
        <is>
          <t>CFR</t>
        </is>
      </c>
      <c r="H168" s="22" t="n">
        <v>46316</v>
      </c>
      <c r="I168" s="22" t="n"/>
      <c r="J168" s="21">
        <f>IF(C168="","",IFERROR(INDEX(Clientes!$B:$B,MATCH(C168,Clientes!$A:$A,0)),"Cód. não cadastrado"))</f>
        <v/>
      </c>
      <c r="K168" s="18">
        <f>IF(B168="","",YEAR(B168))</f>
        <v/>
      </c>
      <c r="L168" s="18">
        <f>IF(B168="","",MONTH(B168))</f>
        <v/>
      </c>
      <c r="M168" s="18">
        <f>IF(OR(B168="",I168=""),"",I168-B168)</f>
        <v/>
      </c>
      <c r="N168" s="21">
        <f>IF(B168="","",IF(I168="",IF(H168="","",IF(TODAY()&gt;H168,"Atrasado (em aberto)","Em aberto")),IF(I168&lt;=H168,"No prazo","Fora do prazo")))</f>
        <v/>
      </c>
    </row>
    <row r="169">
      <c r="A169" t="inlineStr">
        <is>
          <t>PV1168</t>
        </is>
      </c>
      <c r="B169" s="22" t="n">
        <v>45671</v>
      </c>
      <c r="C169" t="inlineStr">
        <is>
          <t>C016</t>
        </is>
      </c>
      <c r="D169" t="inlineStr">
        <is>
          <t>Produto B 5kg</t>
        </is>
      </c>
      <c r="E169" s="23" t="n">
        <v>7.5</v>
      </c>
      <c r="F169" s="24" t="n">
        <v>54766.27</v>
      </c>
      <c r="G169" t="inlineStr">
        <is>
          <t>CFR</t>
        </is>
      </c>
      <c r="H169" s="22" t="n">
        <v>45701</v>
      </c>
      <c r="I169" s="22" t="n">
        <v>45695</v>
      </c>
      <c r="J169" s="21">
        <f>IF(C169="","",IFERROR(INDEX(Clientes!$B:$B,MATCH(C169,Clientes!$A:$A,0)),"Cód. não cadastrado"))</f>
        <v/>
      </c>
      <c r="K169" s="18">
        <f>IF(B169="","",YEAR(B169))</f>
        <v/>
      </c>
      <c r="L169" s="18">
        <f>IF(B169="","",MONTH(B169))</f>
        <v/>
      </c>
      <c r="M169" s="18">
        <f>IF(OR(B169="",I169=""),"",I169-B169)</f>
        <v/>
      </c>
      <c r="N169" s="21">
        <f>IF(B169="","",IF(I169="",IF(H169="","",IF(TODAY()&gt;H169,"Atrasado (em aberto)","Em aberto")),IF(I169&lt;=H169,"No prazo","Fora do prazo")))</f>
        <v/>
      </c>
    </row>
    <row r="170">
      <c r="A170" t="inlineStr">
        <is>
          <t>PV1169</t>
        </is>
      </c>
      <c r="B170" s="22" t="n">
        <v>45702</v>
      </c>
      <c r="C170" t="inlineStr">
        <is>
          <t>C016</t>
        </is>
      </c>
      <c r="D170" t="inlineStr">
        <is>
          <t>Produto B 5kg</t>
        </is>
      </c>
      <c r="E170" s="23" t="n">
        <v>6.9</v>
      </c>
      <c r="F170" s="24" t="n">
        <v>32582.9</v>
      </c>
      <c r="G170" t="inlineStr">
        <is>
          <t>CFR</t>
        </is>
      </c>
      <c r="H170" s="22" t="n">
        <v>45732</v>
      </c>
      <c r="I170" s="22" t="n">
        <v>45726</v>
      </c>
      <c r="J170" s="21">
        <f>IF(C170="","",IFERROR(INDEX(Clientes!$B:$B,MATCH(C170,Clientes!$A:$A,0)),"Cód. não cadastrado"))</f>
        <v/>
      </c>
      <c r="K170" s="18">
        <f>IF(B170="","",YEAR(B170))</f>
        <v/>
      </c>
      <c r="L170" s="18">
        <f>IF(B170="","",MONTH(B170))</f>
        <v/>
      </c>
      <c r="M170" s="18">
        <f>IF(OR(B170="",I170=""),"",I170-B170)</f>
        <v/>
      </c>
      <c r="N170" s="21">
        <f>IF(B170="","",IF(I170="",IF(H170="","",IF(TODAY()&gt;H170,"Atrasado (em aberto)","Em aberto")),IF(I170&lt;=H170,"No prazo","Fora do prazo")))</f>
        <v/>
      </c>
    </row>
    <row r="171">
      <c r="A171" t="inlineStr">
        <is>
          <t>PV1170</t>
        </is>
      </c>
      <c r="B171" s="22" t="n">
        <v>45723</v>
      </c>
      <c r="C171" t="inlineStr">
        <is>
          <t>C016</t>
        </is>
      </c>
      <c r="D171" t="inlineStr">
        <is>
          <t>Produto B 5kg</t>
        </is>
      </c>
      <c r="E171" s="23" t="n">
        <v>8.4</v>
      </c>
      <c r="F171" s="24" t="n">
        <v>34068.97</v>
      </c>
      <c r="G171" t="inlineStr">
        <is>
          <t>FOB</t>
        </is>
      </c>
      <c r="H171" s="22" t="n">
        <v>45753</v>
      </c>
      <c r="I171" s="22" t="n">
        <v>45747</v>
      </c>
      <c r="J171" s="21">
        <f>IF(C171="","",IFERROR(INDEX(Clientes!$B:$B,MATCH(C171,Clientes!$A:$A,0)),"Cód. não cadastrado"))</f>
        <v/>
      </c>
      <c r="K171" s="18">
        <f>IF(B171="","",YEAR(B171))</f>
        <v/>
      </c>
      <c r="L171" s="18">
        <f>IF(B171="","",MONTH(B171))</f>
        <v/>
      </c>
      <c r="M171" s="18">
        <f>IF(OR(B171="",I171=""),"",I171-B171)</f>
        <v/>
      </c>
      <c r="N171" s="21">
        <f>IF(B171="","",IF(I171="",IF(H171="","",IF(TODAY()&gt;H171,"Atrasado (em aberto)","Em aberto")),IF(I171&lt;=H171,"No prazo","Fora do prazo")))</f>
        <v/>
      </c>
    </row>
    <row r="172">
      <c r="A172" t="inlineStr">
        <is>
          <t>PV1171</t>
        </is>
      </c>
      <c r="B172" s="22" t="n">
        <v>45760</v>
      </c>
      <c r="C172" t="inlineStr">
        <is>
          <t>C016</t>
        </is>
      </c>
      <c r="D172" t="inlineStr">
        <is>
          <t>Produto B 5kg</t>
        </is>
      </c>
      <c r="E172" s="23" t="n">
        <v>5.8</v>
      </c>
      <c r="F172" s="24" t="n">
        <v>22314.51</v>
      </c>
      <c r="G172" t="inlineStr">
        <is>
          <t>FOB</t>
        </is>
      </c>
      <c r="H172" s="22" t="n">
        <v>45790</v>
      </c>
      <c r="I172" s="22" t="n">
        <v>45792</v>
      </c>
      <c r="J172" s="21">
        <f>IF(C172="","",IFERROR(INDEX(Clientes!$B:$B,MATCH(C172,Clientes!$A:$A,0)),"Cód. não cadastrado"))</f>
        <v/>
      </c>
      <c r="K172" s="18">
        <f>IF(B172="","",YEAR(B172))</f>
        <v/>
      </c>
      <c r="L172" s="18">
        <f>IF(B172="","",MONTH(B172))</f>
        <v/>
      </c>
      <c r="M172" s="18">
        <f>IF(OR(B172="",I172=""),"",I172-B172)</f>
        <v/>
      </c>
      <c r="N172" s="21">
        <f>IF(B172="","",IF(I172="",IF(H172="","",IF(TODAY()&gt;H172,"Atrasado (em aberto)","Em aberto")),IF(I172&lt;=H172,"No prazo","Fora do prazo")))</f>
        <v/>
      </c>
    </row>
    <row r="173">
      <c r="A173" t="inlineStr">
        <is>
          <t>PV1172</t>
        </is>
      </c>
      <c r="B173" s="22" t="n">
        <v>45779</v>
      </c>
      <c r="C173" t="inlineStr">
        <is>
          <t>C016</t>
        </is>
      </c>
      <c r="D173" t="inlineStr">
        <is>
          <t>Produto A 1kg</t>
        </is>
      </c>
      <c r="E173" s="23" t="n">
        <v>6.8</v>
      </c>
      <c r="F173" s="24" t="n">
        <v>55940.75</v>
      </c>
      <c r="G173" t="inlineStr">
        <is>
          <t>FOB</t>
        </is>
      </c>
      <c r="H173" s="22" t="n">
        <v>45809</v>
      </c>
      <c r="I173" s="22" t="n">
        <v>45811</v>
      </c>
      <c r="J173" s="21">
        <f>IF(C173="","",IFERROR(INDEX(Clientes!$B:$B,MATCH(C173,Clientes!$A:$A,0)),"Cód. não cadastrado"))</f>
        <v/>
      </c>
      <c r="K173" s="18">
        <f>IF(B173="","",YEAR(B173))</f>
        <v/>
      </c>
      <c r="L173" s="18">
        <f>IF(B173="","",MONTH(B173))</f>
        <v/>
      </c>
      <c r="M173" s="18">
        <f>IF(OR(B173="",I173=""),"",I173-B173)</f>
        <v/>
      </c>
      <c r="N173" s="21">
        <f>IF(B173="","",IF(I173="",IF(H173="","",IF(TODAY()&gt;H173,"Atrasado (em aberto)","Em aberto")),IF(I173&lt;=H173,"No prazo","Fora do prazo")))</f>
        <v/>
      </c>
    </row>
    <row r="174">
      <c r="A174" t="inlineStr">
        <is>
          <t>PV1173</t>
        </is>
      </c>
      <c r="B174" s="22" t="n">
        <v>45827</v>
      </c>
      <c r="C174" t="inlineStr">
        <is>
          <t>C016</t>
        </is>
      </c>
      <c r="D174" t="inlineStr">
        <is>
          <t>Produto B 5kg</t>
        </is>
      </c>
      <c r="E174" s="23" t="n">
        <v>7.4</v>
      </c>
      <c r="F174" s="24" t="n">
        <v>22725.85</v>
      </c>
      <c r="G174" t="inlineStr">
        <is>
          <t>CFR</t>
        </is>
      </c>
      <c r="H174" s="22" t="n">
        <v>45857</v>
      </c>
      <c r="I174" s="22" t="n">
        <v>45859</v>
      </c>
      <c r="J174" s="21">
        <f>IF(C174="","",IFERROR(INDEX(Clientes!$B:$B,MATCH(C174,Clientes!$A:$A,0)),"Cód. não cadastrado"))</f>
        <v/>
      </c>
      <c r="K174" s="18">
        <f>IF(B174="","",YEAR(B174))</f>
        <v/>
      </c>
      <c r="L174" s="18">
        <f>IF(B174="","",MONTH(B174))</f>
        <v/>
      </c>
      <c r="M174" s="18">
        <f>IF(OR(B174="",I174=""),"",I174-B174)</f>
        <v/>
      </c>
      <c r="N174" s="21">
        <f>IF(B174="","",IF(I174="",IF(H174="","",IF(TODAY()&gt;H174,"Atrasado (em aberto)","Em aberto")),IF(I174&lt;=H174,"No prazo","Fora do prazo")))</f>
        <v/>
      </c>
    </row>
    <row r="175">
      <c r="A175" t="inlineStr">
        <is>
          <t>PV1174</t>
        </is>
      </c>
      <c r="B175" s="22" t="n">
        <v>45848</v>
      </c>
      <c r="C175" t="inlineStr">
        <is>
          <t>C016</t>
        </is>
      </c>
      <c r="D175" t="inlineStr">
        <is>
          <t>Produto C granel 25kg</t>
        </is>
      </c>
      <c r="E175" s="23" t="n">
        <v>4</v>
      </c>
      <c r="F175" s="24" t="n">
        <v>18019.35</v>
      </c>
      <c r="G175" t="inlineStr">
        <is>
          <t>CFR</t>
        </is>
      </c>
      <c r="H175" s="22" t="n">
        <v>45878</v>
      </c>
      <c r="I175" s="22" t="n">
        <v>45875</v>
      </c>
      <c r="J175" s="21">
        <f>IF(C175="","",IFERROR(INDEX(Clientes!$B:$B,MATCH(C175,Clientes!$A:$A,0)),"Cód. não cadastrado"))</f>
        <v/>
      </c>
      <c r="K175" s="18">
        <f>IF(B175="","",YEAR(B175))</f>
        <v/>
      </c>
      <c r="L175" s="18">
        <f>IF(B175="","",MONTH(B175))</f>
        <v/>
      </c>
      <c r="M175" s="18">
        <f>IF(OR(B175="",I175=""),"",I175-B175)</f>
        <v/>
      </c>
      <c r="N175" s="21">
        <f>IF(B175="","",IF(I175="",IF(H175="","",IF(TODAY()&gt;H175,"Atrasado (em aberto)","Em aberto")),IF(I175&lt;=H175,"No prazo","Fora do prazo")))</f>
        <v/>
      </c>
    </row>
    <row r="176">
      <c r="A176" t="inlineStr">
        <is>
          <t>PV1175</t>
        </is>
      </c>
      <c r="B176" s="22" t="n">
        <v>45885</v>
      </c>
      <c r="C176" t="inlineStr">
        <is>
          <t>C016</t>
        </is>
      </c>
      <c r="D176" t="inlineStr">
        <is>
          <t>Produto A 1kg</t>
        </is>
      </c>
      <c r="E176" s="23" t="n">
        <v>4.8</v>
      </c>
      <c r="F176" s="24" t="n">
        <v>52678.15</v>
      </c>
      <c r="G176" t="inlineStr">
        <is>
          <t>FOB</t>
        </is>
      </c>
      <c r="H176" s="22" t="n">
        <v>45915</v>
      </c>
      <c r="I176" s="22" t="n">
        <v>45924</v>
      </c>
      <c r="J176" s="21">
        <f>IF(C176="","",IFERROR(INDEX(Clientes!$B:$B,MATCH(C176,Clientes!$A:$A,0)),"Cód. não cadastrado"))</f>
        <v/>
      </c>
      <c r="K176" s="18">
        <f>IF(B176="","",YEAR(B176))</f>
        <v/>
      </c>
      <c r="L176" s="18">
        <f>IF(B176="","",MONTH(B176))</f>
        <v/>
      </c>
      <c r="M176" s="18">
        <f>IF(OR(B176="",I176=""),"",I176-B176)</f>
        <v/>
      </c>
      <c r="N176" s="21">
        <f>IF(B176="","",IF(I176="",IF(H176="","",IF(TODAY()&gt;H176,"Atrasado (em aberto)","Em aberto")),IF(I176&lt;=H176,"No prazo","Fora do prazo")))</f>
        <v/>
      </c>
    </row>
    <row r="177">
      <c r="A177" t="inlineStr">
        <is>
          <t>PV1176</t>
        </is>
      </c>
      <c r="B177" s="22" t="n">
        <v>45916</v>
      </c>
      <c r="C177" t="inlineStr">
        <is>
          <t>C016</t>
        </is>
      </c>
      <c r="D177" t="inlineStr">
        <is>
          <t>Produto A 1kg</t>
        </is>
      </c>
      <c r="E177" s="23" t="n">
        <v>6.6</v>
      </c>
      <c r="F177" s="24" t="n">
        <v>43636.55</v>
      </c>
      <c r="G177" t="inlineStr">
        <is>
          <t>FOB</t>
        </is>
      </c>
      <c r="H177" s="22" t="n">
        <v>45946</v>
      </c>
      <c r="I177" s="22" t="n">
        <v>45946</v>
      </c>
      <c r="J177" s="21">
        <f>IF(C177="","",IFERROR(INDEX(Clientes!$B:$B,MATCH(C177,Clientes!$A:$A,0)),"Cód. não cadastrado"))</f>
        <v/>
      </c>
      <c r="K177" s="18">
        <f>IF(B177="","",YEAR(B177))</f>
        <v/>
      </c>
      <c r="L177" s="18">
        <f>IF(B177="","",MONTH(B177))</f>
        <v/>
      </c>
      <c r="M177" s="18">
        <f>IF(OR(B177="",I177=""),"",I177-B177)</f>
        <v/>
      </c>
      <c r="N177" s="21">
        <f>IF(B177="","",IF(I177="",IF(H177="","",IF(TODAY()&gt;H177,"Atrasado (em aberto)","Em aberto")),IF(I177&lt;=H177,"No prazo","Fora do prazo")))</f>
        <v/>
      </c>
    </row>
    <row r="178">
      <c r="A178" t="inlineStr">
        <is>
          <t>PV1177</t>
        </is>
      </c>
      <c r="B178" s="22" t="n">
        <v>45953</v>
      </c>
      <c r="C178" t="inlineStr">
        <is>
          <t>C016</t>
        </is>
      </c>
      <c r="D178" t="inlineStr">
        <is>
          <t>Produto C granel 25kg</t>
        </is>
      </c>
      <c r="E178" s="23" t="n">
        <v>7.9</v>
      </c>
      <c r="F178" s="24" t="n">
        <v>22212.43</v>
      </c>
      <c r="G178" t="inlineStr">
        <is>
          <t>FOB</t>
        </is>
      </c>
      <c r="H178" s="22" t="n">
        <v>45983</v>
      </c>
      <c r="I178" s="22" t="n">
        <v>45985</v>
      </c>
      <c r="J178" s="21">
        <f>IF(C178="","",IFERROR(INDEX(Clientes!$B:$B,MATCH(C178,Clientes!$A:$A,0)),"Cód. não cadastrado"))</f>
        <v/>
      </c>
      <c r="K178" s="18">
        <f>IF(B178="","",YEAR(B178))</f>
        <v/>
      </c>
      <c r="L178" s="18">
        <f>IF(B178="","",MONTH(B178))</f>
        <v/>
      </c>
      <c r="M178" s="18">
        <f>IF(OR(B178="",I178=""),"",I178-B178)</f>
        <v/>
      </c>
      <c r="N178" s="21">
        <f>IF(B178="","",IF(I178="",IF(H178="","",IF(TODAY()&gt;H178,"Atrasado (em aberto)","Em aberto")),IF(I178&lt;=H178,"No prazo","Fora do prazo")))</f>
        <v/>
      </c>
    </row>
    <row r="179">
      <c r="A179" t="inlineStr">
        <is>
          <t>PV1178</t>
        </is>
      </c>
      <c r="B179" s="22" t="n">
        <v>45981</v>
      </c>
      <c r="C179" t="inlineStr">
        <is>
          <t>C016</t>
        </is>
      </c>
      <c r="D179" t="inlineStr">
        <is>
          <t>Produto C granel 25kg</t>
        </is>
      </c>
      <c r="E179" s="23" t="n">
        <v>8.1</v>
      </c>
      <c r="F179" s="24" t="n">
        <v>52313.45</v>
      </c>
      <c r="G179" t="inlineStr">
        <is>
          <t>FOB</t>
        </is>
      </c>
      <c r="H179" s="22" t="n">
        <v>46011</v>
      </c>
      <c r="I179" s="22" t="n">
        <v>46011</v>
      </c>
      <c r="J179" s="21">
        <f>IF(C179="","",IFERROR(INDEX(Clientes!$B:$B,MATCH(C179,Clientes!$A:$A,0)),"Cód. não cadastrado"))</f>
        <v/>
      </c>
      <c r="K179" s="18">
        <f>IF(B179="","",YEAR(B179))</f>
        <v/>
      </c>
      <c r="L179" s="18">
        <f>IF(B179="","",MONTH(B179))</f>
        <v/>
      </c>
      <c r="M179" s="18">
        <f>IF(OR(B179="",I179=""),"",I179-B179)</f>
        <v/>
      </c>
      <c r="N179" s="21">
        <f>IF(B179="","",IF(I179="",IF(H179="","",IF(TODAY()&gt;H179,"Atrasado (em aberto)","Em aberto")),IF(I179&lt;=H179,"No prazo","Fora do prazo")))</f>
        <v/>
      </c>
    </row>
    <row r="180">
      <c r="A180" t="inlineStr">
        <is>
          <t>PV1179</t>
        </is>
      </c>
      <c r="B180" s="22" t="n">
        <v>46010</v>
      </c>
      <c r="C180" t="inlineStr">
        <is>
          <t>C016</t>
        </is>
      </c>
      <c r="D180" t="inlineStr">
        <is>
          <t>Produto A 1kg</t>
        </is>
      </c>
      <c r="E180" s="23" t="n">
        <v>5.4</v>
      </c>
      <c r="F180" s="24" t="n">
        <v>38305.16</v>
      </c>
      <c r="G180" t="inlineStr">
        <is>
          <t>CFR</t>
        </is>
      </c>
      <c r="H180" s="22" t="n">
        <v>46040</v>
      </c>
      <c r="I180" s="22" t="n">
        <v>46037</v>
      </c>
      <c r="J180" s="21">
        <f>IF(C180="","",IFERROR(INDEX(Clientes!$B:$B,MATCH(C180,Clientes!$A:$A,0)),"Cód. não cadastrado"))</f>
        <v/>
      </c>
      <c r="K180" s="18">
        <f>IF(B180="","",YEAR(B180))</f>
        <v/>
      </c>
      <c r="L180" s="18">
        <f>IF(B180="","",MONTH(B180))</f>
        <v/>
      </c>
      <c r="M180" s="18">
        <f>IF(OR(B180="",I180=""),"",I180-B180)</f>
        <v/>
      </c>
      <c r="N180" s="21">
        <f>IF(B180="","",IF(I180="",IF(H180="","",IF(TODAY()&gt;H180,"Atrasado (em aberto)","Em aberto")),IF(I180&lt;=H180,"No prazo","Fora do prazo")))</f>
        <v/>
      </c>
    </row>
    <row r="181">
      <c r="A181" t="inlineStr">
        <is>
          <t>PV1180</t>
        </is>
      </c>
      <c r="B181" s="22" t="n">
        <v>46077</v>
      </c>
      <c r="C181" t="inlineStr">
        <is>
          <t>C016</t>
        </is>
      </c>
      <c r="D181" t="inlineStr">
        <is>
          <t>Produto A 1kg</t>
        </is>
      </c>
      <c r="E181" s="23" t="n">
        <v>3.2</v>
      </c>
      <c r="F181" s="24" t="n">
        <v>40305.45</v>
      </c>
      <c r="G181" t="inlineStr">
        <is>
          <t>CIF</t>
        </is>
      </c>
      <c r="H181" s="22" t="n">
        <v>46107</v>
      </c>
      <c r="I181" s="22" t="n">
        <v>46116</v>
      </c>
      <c r="J181" s="21">
        <f>IF(C181="","",IFERROR(INDEX(Clientes!$B:$B,MATCH(C181,Clientes!$A:$A,0)),"Cód. não cadastrado"))</f>
        <v/>
      </c>
      <c r="K181" s="18">
        <f>IF(B181="","",YEAR(B181))</f>
        <v/>
      </c>
      <c r="L181" s="18">
        <f>IF(B181="","",MONTH(B181))</f>
        <v/>
      </c>
      <c r="M181" s="18">
        <f>IF(OR(B181="",I181=""),"",I181-B181)</f>
        <v/>
      </c>
      <c r="N181" s="21">
        <f>IF(B181="","",IF(I181="",IF(H181="","",IF(TODAY()&gt;H181,"Atrasado (em aberto)","Em aberto")),IF(I181&lt;=H181,"No prazo","Fora do prazo")))</f>
        <v/>
      </c>
    </row>
    <row r="182">
      <c r="A182" t="inlineStr">
        <is>
          <t>PV1181</t>
        </is>
      </c>
      <c r="B182" s="22" t="n">
        <v>46116</v>
      </c>
      <c r="C182" t="inlineStr">
        <is>
          <t>C016</t>
        </is>
      </c>
      <c r="D182" t="inlineStr">
        <is>
          <t>Produto C granel 25kg</t>
        </is>
      </c>
      <c r="E182" s="23" t="n">
        <v>5.7</v>
      </c>
      <c r="F182" s="24" t="n">
        <v>53205.43</v>
      </c>
      <c r="G182" t="inlineStr">
        <is>
          <t>CFR</t>
        </is>
      </c>
      <c r="H182" s="22" t="n">
        <v>46146</v>
      </c>
      <c r="I182" s="22" t="n">
        <v>46146</v>
      </c>
      <c r="J182" s="21">
        <f>IF(C182="","",IFERROR(INDEX(Clientes!$B:$B,MATCH(C182,Clientes!$A:$A,0)),"Cód. não cadastrado"))</f>
        <v/>
      </c>
      <c r="K182" s="18">
        <f>IF(B182="","",YEAR(B182))</f>
        <v/>
      </c>
      <c r="L182" s="18">
        <f>IF(B182="","",MONTH(B182))</f>
        <v/>
      </c>
      <c r="M182" s="18">
        <f>IF(OR(B182="",I182=""),"",I182-B182)</f>
        <v/>
      </c>
      <c r="N182" s="21">
        <f>IF(B182="","",IF(I182="",IF(H182="","",IF(TODAY()&gt;H182,"Atrasado (em aberto)","Em aberto")),IF(I182&lt;=H182,"No prazo","Fora do prazo")))</f>
        <v/>
      </c>
    </row>
    <row r="183">
      <c r="A183" t="inlineStr">
        <is>
          <t>PV1182</t>
        </is>
      </c>
      <c r="B183" s="22" t="n">
        <v>46152</v>
      </c>
      <c r="C183" t="inlineStr">
        <is>
          <t>C016</t>
        </is>
      </c>
      <c r="D183" t="inlineStr">
        <is>
          <t>Produto A 1kg</t>
        </is>
      </c>
      <c r="E183" s="23" t="n">
        <v>5.6</v>
      </c>
      <c r="F183" s="24" t="n">
        <v>44647.92</v>
      </c>
      <c r="G183" t="inlineStr">
        <is>
          <t>CFR</t>
        </is>
      </c>
      <c r="H183" s="22" t="n">
        <v>46182</v>
      </c>
      <c r="I183" s="22" t="n">
        <v>46184</v>
      </c>
      <c r="J183" s="21">
        <f>IF(C183="","",IFERROR(INDEX(Clientes!$B:$B,MATCH(C183,Clientes!$A:$A,0)),"Cód. não cadastrado"))</f>
        <v/>
      </c>
      <c r="K183" s="18">
        <f>IF(B183="","",YEAR(B183))</f>
        <v/>
      </c>
      <c r="L183" s="18">
        <f>IF(B183="","",MONTH(B183))</f>
        <v/>
      </c>
      <c r="M183" s="18">
        <f>IF(OR(B183="",I183=""),"",I183-B183)</f>
        <v/>
      </c>
      <c r="N183" s="21">
        <f>IF(B183="","",IF(I183="",IF(H183="","",IF(TODAY()&gt;H183,"Atrasado (em aberto)","Em aberto")),IF(I183&lt;=H183,"No prazo","Fora do prazo")))</f>
        <v/>
      </c>
    </row>
    <row r="184">
      <c r="A184" t="inlineStr">
        <is>
          <t>PV1183</t>
        </is>
      </c>
      <c r="B184" s="22" t="n">
        <v>46179</v>
      </c>
      <c r="C184" t="inlineStr">
        <is>
          <t>C016</t>
        </is>
      </c>
      <c r="D184" t="inlineStr">
        <is>
          <t>Produto A 1kg</t>
        </is>
      </c>
      <c r="E184" s="23" t="n">
        <v>6.7</v>
      </c>
      <c r="F184" s="24" t="n">
        <v>37027.57</v>
      </c>
      <c r="G184" t="inlineStr">
        <is>
          <t>FOB</t>
        </is>
      </c>
      <c r="H184" s="22" t="n">
        <v>46209</v>
      </c>
      <c r="I184" s="22" t="n">
        <v>46203</v>
      </c>
      <c r="J184" s="21">
        <f>IF(C184="","",IFERROR(INDEX(Clientes!$B:$B,MATCH(C184,Clientes!$A:$A,0)),"Cód. não cadastrado"))</f>
        <v/>
      </c>
      <c r="K184" s="18">
        <f>IF(B184="","",YEAR(B184))</f>
        <v/>
      </c>
      <c r="L184" s="18">
        <f>IF(B184="","",MONTH(B184))</f>
        <v/>
      </c>
      <c r="M184" s="18">
        <f>IF(OR(B184="",I184=""),"",I184-B184)</f>
        <v/>
      </c>
      <c r="N184" s="21">
        <f>IF(B184="","",IF(I184="",IF(H184="","",IF(TODAY()&gt;H184,"Atrasado (em aberto)","Em aberto")),IF(I184&lt;=H184,"No prazo","Fora do prazo")))</f>
        <v/>
      </c>
    </row>
    <row r="185">
      <c r="A185" t="inlineStr">
        <is>
          <t>PV1184</t>
        </is>
      </c>
      <c r="B185" s="22" t="n">
        <v>46223</v>
      </c>
      <c r="C185" t="inlineStr">
        <is>
          <t>C016</t>
        </is>
      </c>
      <c r="D185" t="inlineStr">
        <is>
          <t>Produto B 5kg</t>
        </is>
      </c>
      <c r="E185" s="23" t="n">
        <v>8</v>
      </c>
      <c r="F185" s="24" t="n">
        <v>51473.82</v>
      </c>
      <c r="G185" t="inlineStr">
        <is>
          <t>CFR</t>
        </is>
      </c>
      <c r="H185" s="22" t="n">
        <v>46253</v>
      </c>
      <c r="I185" s="22" t="n">
        <v>46262</v>
      </c>
      <c r="J185" s="21">
        <f>IF(C185="","",IFERROR(INDEX(Clientes!$B:$B,MATCH(C185,Clientes!$A:$A,0)),"Cód. não cadastrado"))</f>
        <v/>
      </c>
      <c r="K185" s="18">
        <f>IF(B185="","",YEAR(B185))</f>
        <v/>
      </c>
      <c r="L185" s="18">
        <f>IF(B185="","",MONTH(B185))</f>
        <v/>
      </c>
      <c r="M185" s="18">
        <f>IF(OR(B185="",I185=""),"",I185-B185)</f>
        <v/>
      </c>
      <c r="N185" s="21">
        <f>IF(B185="","",IF(I185="",IF(H185="","",IF(TODAY()&gt;H185,"Atrasado (em aberto)","Em aberto")),IF(I185&lt;=H185,"No prazo","Fora do prazo")))</f>
        <v/>
      </c>
    </row>
    <row r="186">
      <c r="A186" t="inlineStr">
        <is>
          <t>PV1185</t>
        </is>
      </c>
      <c r="B186" s="22" t="n">
        <v>45759</v>
      </c>
      <c r="C186" t="inlineStr">
        <is>
          <t>C017</t>
        </is>
      </c>
      <c r="D186" t="inlineStr">
        <is>
          <t>Produto B 5kg</t>
        </is>
      </c>
      <c r="E186" s="23" t="n">
        <v>6</v>
      </c>
      <c r="F186" s="24" t="n">
        <v>44569.31</v>
      </c>
      <c r="G186" t="inlineStr">
        <is>
          <t>FOB</t>
        </is>
      </c>
      <c r="H186" s="22" t="n">
        <v>45789</v>
      </c>
      <c r="I186" s="22" t="n">
        <v>45783</v>
      </c>
      <c r="J186" s="21">
        <f>IF(C186="","",IFERROR(INDEX(Clientes!$B:$B,MATCH(C186,Clientes!$A:$A,0)),"Cód. não cadastrado"))</f>
        <v/>
      </c>
      <c r="K186" s="18">
        <f>IF(B186="","",YEAR(B186))</f>
        <v/>
      </c>
      <c r="L186" s="18">
        <f>IF(B186="","",MONTH(B186))</f>
        <v/>
      </c>
      <c r="M186" s="18">
        <f>IF(OR(B186="",I186=""),"",I186-B186)</f>
        <v/>
      </c>
      <c r="N186" s="21">
        <f>IF(B186="","",IF(I186="",IF(H186="","",IF(TODAY()&gt;H186,"Atrasado (em aberto)","Em aberto")),IF(I186&lt;=H186,"No prazo","Fora do prazo")))</f>
        <v/>
      </c>
    </row>
    <row r="187">
      <c r="A187" t="inlineStr">
        <is>
          <t>PV1186</t>
        </is>
      </c>
      <c r="B187" s="22" t="n">
        <v>45890</v>
      </c>
      <c r="C187" t="inlineStr">
        <is>
          <t>C017</t>
        </is>
      </c>
      <c r="D187" t="inlineStr">
        <is>
          <t>Produto A 1kg</t>
        </is>
      </c>
      <c r="E187" s="23" t="n">
        <v>8.5</v>
      </c>
      <c r="F187" s="24" t="n">
        <v>29117.66</v>
      </c>
      <c r="G187" t="inlineStr">
        <is>
          <t>CIF</t>
        </is>
      </c>
      <c r="H187" s="22" t="n">
        <v>45920</v>
      </c>
      <c r="I187" s="22" t="n">
        <v>45917</v>
      </c>
      <c r="J187" s="21">
        <f>IF(C187="","",IFERROR(INDEX(Clientes!$B:$B,MATCH(C187,Clientes!$A:$A,0)),"Cód. não cadastrado"))</f>
        <v/>
      </c>
      <c r="K187" s="18">
        <f>IF(B187="","",YEAR(B187))</f>
        <v/>
      </c>
      <c r="L187" s="18">
        <f>IF(B187="","",MONTH(B187))</f>
        <v/>
      </c>
      <c r="M187" s="18">
        <f>IF(OR(B187="",I187=""),"",I187-B187)</f>
        <v/>
      </c>
      <c r="N187" s="21">
        <f>IF(B187="","",IF(I187="",IF(H187="","",IF(TODAY()&gt;H187,"Atrasado (em aberto)","Em aberto")),IF(I187&lt;=H187,"No prazo","Fora do prazo")))</f>
        <v/>
      </c>
    </row>
    <row r="188">
      <c r="A188" t="inlineStr">
        <is>
          <t>PV1187</t>
        </is>
      </c>
      <c r="B188" s="22" t="n">
        <v>46008</v>
      </c>
      <c r="C188" t="inlineStr">
        <is>
          <t>C017</t>
        </is>
      </c>
      <c r="D188" t="inlineStr">
        <is>
          <t>Produto A 1kg</t>
        </is>
      </c>
      <c r="E188" s="23" t="n">
        <v>7.5</v>
      </c>
      <c r="F188" s="24" t="n">
        <v>55269.04</v>
      </c>
      <c r="G188" t="inlineStr">
        <is>
          <t>CIF</t>
        </is>
      </c>
      <c r="H188" s="22" t="n">
        <v>46038</v>
      </c>
      <c r="I188" s="22" t="n">
        <v>46032</v>
      </c>
      <c r="J188" s="21">
        <f>IF(C188="","",IFERROR(INDEX(Clientes!$B:$B,MATCH(C188,Clientes!$A:$A,0)),"Cód. não cadastrado"))</f>
        <v/>
      </c>
      <c r="K188" s="18">
        <f>IF(B188="","",YEAR(B188))</f>
        <v/>
      </c>
      <c r="L188" s="18">
        <f>IF(B188="","",MONTH(B188))</f>
        <v/>
      </c>
      <c r="M188" s="18">
        <f>IF(OR(B188="",I188=""),"",I188-B188)</f>
        <v/>
      </c>
      <c r="N188" s="21">
        <f>IF(B188="","",IF(I188="",IF(H188="","",IF(TODAY()&gt;H188,"Atrasado (em aberto)","Em aberto")),IF(I188&lt;=H188,"No prazo","Fora do prazo")))</f>
        <v/>
      </c>
    </row>
    <row r="189">
      <c r="A189" t="inlineStr">
        <is>
          <t>PV1188</t>
        </is>
      </c>
      <c r="B189" s="22" t="n">
        <v>45664</v>
      </c>
      <c r="C189" t="inlineStr">
        <is>
          <t>C018</t>
        </is>
      </c>
      <c r="D189" t="inlineStr">
        <is>
          <t>Produto B 5kg</t>
        </is>
      </c>
      <c r="E189" s="23" t="n">
        <v>4.7</v>
      </c>
      <c r="F189" s="24" t="n">
        <v>51494.77</v>
      </c>
      <c r="G189" t="inlineStr">
        <is>
          <t>FOB</t>
        </is>
      </c>
      <c r="H189" s="22" t="n">
        <v>45694</v>
      </c>
      <c r="I189" s="22" t="n">
        <v>45691</v>
      </c>
      <c r="J189" s="21">
        <f>IF(C189="","",IFERROR(INDEX(Clientes!$B:$B,MATCH(C189,Clientes!$A:$A,0)),"Cód. não cadastrado"))</f>
        <v/>
      </c>
      <c r="K189" s="18">
        <f>IF(B189="","",YEAR(B189))</f>
        <v/>
      </c>
      <c r="L189" s="18">
        <f>IF(B189="","",MONTH(B189))</f>
        <v/>
      </c>
      <c r="M189" s="18">
        <f>IF(OR(B189="",I189=""),"",I189-B189)</f>
        <v/>
      </c>
      <c r="N189" s="21">
        <f>IF(B189="","",IF(I189="",IF(H189="","",IF(TODAY()&gt;H189,"Atrasado (em aberto)","Em aberto")),IF(I189&lt;=H189,"No prazo","Fora do prazo")))</f>
        <v/>
      </c>
    </row>
    <row r="190">
      <c r="A190" t="inlineStr">
        <is>
          <t>PV1189</t>
        </is>
      </c>
      <c r="B190" s="22" t="n">
        <v>45710</v>
      </c>
      <c r="C190" t="inlineStr">
        <is>
          <t>C018</t>
        </is>
      </c>
      <c r="D190" t="inlineStr">
        <is>
          <t>Produto C granel 25kg</t>
        </is>
      </c>
      <c r="E190" s="23" t="n">
        <v>8.6</v>
      </c>
      <c r="F190" s="24" t="n">
        <v>17948.23</v>
      </c>
      <c r="G190" t="inlineStr">
        <is>
          <t>CFR</t>
        </is>
      </c>
      <c r="H190" s="22" t="n">
        <v>45740</v>
      </c>
      <c r="I190" s="22" t="n">
        <v>45749</v>
      </c>
      <c r="J190" s="21">
        <f>IF(C190="","",IFERROR(INDEX(Clientes!$B:$B,MATCH(C190,Clientes!$A:$A,0)),"Cód. não cadastrado"))</f>
        <v/>
      </c>
      <c r="K190" s="18">
        <f>IF(B190="","",YEAR(B190))</f>
        <v/>
      </c>
      <c r="L190" s="18">
        <f>IF(B190="","",MONTH(B190))</f>
        <v/>
      </c>
      <c r="M190" s="18">
        <f>IF(OR(B190="",I190=""),"",I190-B190)</f>
        <v/>
      </c>
      <c r="N190" s="21">
        <f>IF(B190="","",IF(I190="",IF(H190="","",IF(TODAY()&gt;H190,"Atrasado (em aberto)","Em aberto")),IF(I190&lt;=H190,"No prazo","Fora do prazo")))</f>
        <v/>
      </c>
    </row>
    <row r="191">
      <c r="A191" t="inlineStr">
        <is>
          <t>PV1190</t>
        </is>
      </c>
      <c r="B191" s="22" t="n">
        <v>45736</v>
      </c>
      <c r="C191" t="inlineStr">
        <is>
          <t>C018</t>
        </is>
      </c>
      <c r="D191" t="inlineStr">
        <is>
          <t>Produto B 5kg</t>
        </is>
      </c>
      <c r="E191" s="23" t="n">
        <v>4</v>
      </c>
      <c r="F191" s="24" t="n">
        <v>55344.18</v>
      </c>
      <c r="G191" t="inlineStr">
        <is>
          <t>CFR</t>
        </is>
      </c>
      <c r="H191" s="22" t="n">
        <v>45766</v>
      </c>
      <c r="I191" s="22" t="n">
        <v>45775</v>
      </c>
      <c r="J191" s="21">
        <f>IF(C191="","",IFERROR(INDEX(Clientes!$B:$B,MATCH(C191,Clientes!$A:$A,0)),"Cód. não cadastrado"))</f>
        <v/>
      </c>
      <c r="K191" s="18">
        <f>IF(B191="","",YEAR(B191))</f>
        <v/>
      </c>
      <c r="L191" s="18">
        <f>IF(B191="","",MONTH(B191))</f>
        <v/>
      </c>
      <c r="M191" s="18">
        <f>IF(OR(B191="",I191=""),"",I191-B191)</f>
        <v/>
      </c>
      <c r="N191" s="21">
        <f>IF(B191="","",IF(I191="",IF(H191="","",IF(TODAY()&gt;H191,"Atrasado (em aberto)","Em aberto")),IF(I191&lt;=H191,"No prazo","Fora do prazo")))</f>
        <v/>
      </c>
    </row>
    <row r="192">
      <c r="A192" t="inlineStr">
        <is>
          <t>PV1191</t>
        </is>
      </c>
      <c r="B192" s="22" t="n">
        <v>45762</v>
      </c>
      <c r="C192" t="inlineStr">
        <is>
          <t>C018</t>
        </is>
      </c>
      <c r="D192" t="inlineStr">
        <is>
          <t>Produto B 5kg</t>
        </is>
      </c>
      <c r="E192" s="23" t="n">
        <v>6</v>
      </c>
      <c r="F192" s="24" t="n">
        <v>56395.85</v>
      </c>
      <c r="G192" t="inlineStr">
        <is>
          <t>FOB</t>
        </is>
      </c>
      <c r="H192" s="22" t="n">
        <v>45792</v>
      </c>
      <c r="I192" s="22" t="n">
        <v>45789</v>
      </c>
      <c r="J192" s="21">
        <f>IF(C192="","",IFERROR(INDEX(Clientes!$B:$B,MATCH(C192,Clientes!$A:$A,0)),"Cód. não cadastrado"))</f>
        <v/>
      </c>
      <c r="K192" s="18">
        <f>IF(B192="","",YEAR(B192))</f>
        <v/>
      </c>
      <c r="L192" s="18">
        <f>IF(B192="","",MONTH(B192))</f>
        <v/>
      </c>
      <c r="M192" s="18">
        <f>IF(OR(B192="",I192=""),"",I192-B192)</f>
        <v/>
      </c>
      <c r="N192" s="21">
        <f>IF(B192="","",IF(I192="",IF(H192="","",IF(TODAY()&gt;H192,"Atrasado (em aberto)","Em aberto")),IF(I192&lt;=H192,"No prazo","Fora do prazo")))</f>
        <v/>
      </c>
    </row>
    <row r="193">
      <c r="A193" t="inlineStr">
        <is>
          <t>PV1192</t>
        </is>
      </c>
      <c r="B193" s="22" t="n">
        <v>45796</v>
      </c>
      <c r="C193" t="inlineStr">
        <is>
          <t>C018</t>
        </is>
      </c>
      <c r="D193" t="inlineStr">
        <is>
          <t>Produto C granel 25kg</t>
        </is>
      </c>
      <c r="E193" s="23" t="n">
        <v>6</v>
      </c>
      <c r="F193" s="24" t="n">
        <v>29358.49</v>
      </c>
      <c r="G193" t="inlineStr">
        <is>
          <t>FOB</t>
        </is>
      </c>
      <c r="H193" s="22" t="n">
        <v>45826</v>
      </c>
      <c r="I193" s="22" t="n">
        <v>45826</v>
      </c>
      <c r="J193" s="21">
        <f>IF(C193="","",IFERROR(INDEX(Clientes!$B:$B,MATCH(C193,Clientes!$A:$A,0)),"Cód. não cadastrado"))</f>
        <v/>
      </c>
      <c r="K193" s="18">
        <f>IF(B193="","",YEAR(B193))</f>
        <v/>
      </c>
      <c r="L193" s="18">
        <f>IF(B193="","",MONTH(B193))</f>
        <v/>
      </c>
      <c r="M193" s="18">
        <f>IF(OR(B193="",I193=""),"",I193-B193)</f>
        <v/>
      </c>
      <c r="N193" s="21">
        <f>IF(B193="","",IF(I193="",IF(H193="","",IF(TODAY()&gt;H193,"Atrasado (em aberto)","Em aberto")),IF(I193&lt;=H193,"No prazo","Fora do prazo")))</f>
        <v/>
      </c>
    </row>
    <row r="194">
      <c r="A194" t="inlineStr">
        <is>
          <t>PV1193</t>
        </is>
      </c>
      <c r="B194" s="22" t="n">
        <v>45815</v>
      </c>
      <c r="C194" t="inlineStr">
        <is>
          <t>C018</t>
        </is>
      </c>
      <c r="D194" t="inlineStr">
        <is>
          <t>Produto B 5kg</t>
        </is>
      </c>
      <c r="E194" s="23" t="n">
        <v>4</v>
      </c>
      <c r="F194" s="24" t="n">
        <v>57138.17</v>
      </c>
      <c r="G194" t="inlineStr">
        <is>
          <t>CIF</t>
        </is>
      </c>
      <c r="H194" s="22" t="n">
        <v>45845</v>
      </c>
      <c r="I194" s="22" t="n">
        <v>45842</v>
      </c>
      <c r="J194" s="21">
        <f>IF(C194="","",IFERROR(INDEX(Clientes!$B:$B,MATCH(C194,Clientes!$A:$A,0)),"Cód. não cadastrado"))</f>
        <v/>
      </c>
      <c r="K194" s="18">
        <f>IF(B194="","",YEAR(B194))</f>
        <v/>
      </c>
      <c r="L194" s="18">
        <f>IF(B194="","",MONTH(B194))</f>
        <v/>
      </c>
      <c r="M194" s="18">
        <f>IF(OR(B194="",I194=""),"",I194-B194)</f>
        <v/>
      </c>
      <c r="N194" s="21">
        <f>IF(B194="","",IF(I194="",IF(H194="","",IF(TODAY()&gt;H194,"Atrasado (em aberto)","Em aberto")),IF(I194&lt;=H194,"No prazo","Fora do prazo")))</f>
        <v/>
      </c>
    </row>
    <row r="195">
      <c r="A195" t="inlineStr">
        <is>
          <t>PV1194</t>
        </is>
      </c>
      <c r="B195" s="22" t="n">
        <v>45849</v>
      </c>
      <c r="C195" t="inlineStr">
        <is>
          <t>C018</t>
        </is>
      </c>
      <c r="D195" t="inlineStr">
        <is>
          <t>Produto A 1kg</t>
        </is>
      </c>
      <c r="E195" s="23" t="n">
        <v>7.8</v>
      </c>
      <c r="F195" s="24" t="n">
        <v>26895.34</v>
      </c>
      <c r="G195" t="inlineStr">
        <is>
          <t>CIF</t>
        </is>
      </c>
      <c r="H195" s="22" t="n">
        <v>45879</v>
      </c>
      <c r="I195" s="22" t="n">
        <v>45879</v>
      </c>
      <c r="J195" s="21">
        <f>IF(C195="","",IFERROR(INDEX(Clientes!$B:$B,MATCH(C195,Clientes!$A:$A,0)),"Cód. não cadastrado"))</f>
        <v/>
      </c>
      <c r="K195" s="18">
        <f>IF(B195="","",YEAR(B195))</f>
        <v/>
      </c>
      <c r="L195" s="18">
        <f>IF(B195="","",MONTH(B195))</f>
        <v/>
      </c>
      <c r="M195" s="18">
        <f>IF(OR(B195="",I195=""),"",I195-B195)</f>
        <v/>
      </c>
      <c r="N195" s="21">
        <f>IF(B195="","",IF(I195="",IF(H195="","",IF(TODAY()&gt;H195,"Atrasado (em aberto)","Em aberto")),IF(I195&lt;=H195,"No prazo","Fora do prazo")))</f>
        <v/>
      </c>
    </row>
    <row r="196">
      <c r="A196" t="inlineStr">
        <is>
          <t>PV1195</t>
        </is>
      </c>
      <c r="B196" s="22" t="n">
        <v>45871</v>
      </c>
      <c r="C196" t="inlineStr">
        <is>
          <t>C018</t>
        </is>
      </c>
      <c r="D196" t="inlineStr">
        <is>
          <t>Produto B 5kg</t>
        </is>
      </c>
      <c r="E196" s="23" t="n">
        <v>8.800000000000001</v>
      </c>
      <c r="F196" s="24" t="n">
        <v>35386.74</v>
      </c>
      <c r="G196" t="inlineStr">
        <is>
          <t>CIF</t>
        </is>
      </c>
      <c r="H196" s="22" t="n">
        <v>45901</v>
      </c>
      <c r="I196" s="22" t="n">
        <v>45906</v>
      </c>
      <c r="J196" s="21">
        <f>IF(C196="","",IFERROR(INDEX(Clientes!$B:$B,MATCH(C196,Clientes!$A:$A,0)),"Cód. não cadastrado"))</f>
        <v/>
      </c>
      <c r="K196" s="18">
        <f>IF(B196="","",YEAR(B196))</f>
        <v/>
      </c>
      <c r="L196" s="18">
        <f>IF(B196="","",MONTH(B196))</f>
        <v/>
      </c>
      <c r="M196" s="18">
        <f>IF(OR(B196="",I196=""),"",I196-B196)</f>
        <v/>
      </c>
      <c r="N196" s="21">
        <f>IF(B196="","",IF(I196="",IF(H196="","",IF(TODAY()&gt;H196,"Atrasado (em aberto)","Em aberto")),IF(I196&lt;=H196,"No prazo","Fora do prazo")))</f>
        <v/>
      </c>
    </row>
    <row r="197">
      <c r="A197" t="inlineStr">
        <is>
          <t>PV1196</t>
        </is>
      </c>
      <c r="B197" s="22" t="n">
        <v>45919</v>
      </c>
      <c r="C197" t="inlineStr">
        <is>
          <t>C018</t>
        </is>
      </c>
      <c r="D197" t="inlineStr">
        <is>
          <t>Produto A 1kg</t>
        </is>
      </c>
      <c r="E197" s="23" t="n">
        <v>4.5</v>
      </c>
      <c r="F197" s="24" t="n">
        <v>39106.56</v>
      </c>
      <c r="G197" t="inlineStr">
        <is>
          <t>CFR</t>
        </is>
      </c>
      <c r="H197" s="22" t="n">
        <v>45949</v>
      </c>
      <c r="I197" s="22" t="n">
        <v>45954</v>
      </c>
      <c r="J197" s="21">
        <f>IF(C197="","",IFERROR(INDEX(Clientes!$B:$B,MATCH(C197,Clientes!$A:$A,0)),"Cód. não cadastrado"))</f>
        <v/>
      </c>
      <c r="K197" s="18">
        <f>IF(B197="","",YEAR(B197))</f>
        <v/>
      </c>
      <c r="L197" s="18">
        <f>IF(B197="","",MONTH(B197))</f>
        <v/>
      </c>
      <c r="M197" s="18">
        <f>IF(OR(B197="",I197=""),"",I197-B197)</f>
        <v/>
      </c>
      <c r="N197" s="21">
        <f>IF(B197="","",IF(I197="",IF(H197="","",IF(TODAY()&gt;H197,"Atrasado (em aberto)","Em aberto")),IF(I197&lt;=H197,"No prazo","Fora do prazo")))</f>
        <v/>
      </c>
    </row>
    <row r="198">
      <c r="A198" t="inlineStr">
        <is>
          <t>PV1197</t>
        </is>
      </c>
      <c r="B198" s="22" t="n">
        <v>45954</v>
      </c>
      <c r="C198" t="inlineStr">
        <is>
          <t>C018</t>
        </is>
      </c>
      <c r="D198" t="inlineStr">
        <is>
          <t>Produto B 5kg</t>
        </is>
      </c>
      <c r="E198" s="23" t="n">
        <v>4.6</v>
      </c>
      <c r="F198" s="24" t="n">
        <v>59572.42</v>
      </c>
      <c r="G198" t="inlineStr">
        <is>
          <t>CIF</t>
        </is>
      </c>
      <c r="H198" s="22" t="n">
        <v>45984</v>
      </c>
      <c r="I198" s="22" t="n">
        <v>45993</v>
      </c>
      <c r="J198" s="21">
        <f>IF(C198="","",IFERROR(INDEX(Clientes!$B:$B,MATCH(C198,Clientes!$A:$A,0)),"Cód. não cadastrado"))</f>
        <v/>
      </c>
      <c r="K198" s="18">
        <f>IF(B198="","",YEAR(B198))</f>
        <v/>
      </c>
      <c r="L198" s="18">
        <f>IF(B198="","",MONTH(B198))</f>
        <v/>
      </c>
      <c r="M198" s="18">
        <f>IF(OR(B198="",I198=""),"",I198-B198)</f>
        <v/>
      </c>
      <c r="N198" s="21">
        <f>IF(B198="","",IF(I198="",IF(H198="","",IF(TODAY()&gt;H198,"Atrasado (em aberto)","Em aberto")),IF(I198&lt;=H198,"No prazo","Fora do prazo")))</f>
        <v/>
      </c>
    </row>
    <row r="199">
      <c r="A199" t="inlineStr">
        <is>
          <t>PV1198</t>
        </is>
      </c>
      <c r="B199" s="22" t="n">
        <v>45966</v>
      </c>
      <c r="C199" t="inlineStr">
        <is>
          <t>C018</t>
        </is>
      </c>
      <c r="D199" t="inlineStr">
        <is>
          <t>Produto B 5kg</t>
        </is>
      </c>
      <c r="E199" s="23" t="n">
        <v>7.6</v>
      </c>
      <c r="F199" s="24" t="n">
        <v>34902.67</v>
      </c>
      <c r="G199" t="inlineStr">
        <is>
          <t>FOB</t>
        </is>
      </c>
      <c r="H199" s="22" t="n">
        <v>45996</v>
      </c>
      <c r="I199" s="22" t="n">
        <v>45996</v>
      </c>
      <c r="J199" s="21">
        <f>IF(C199="","",IFERROR(INDEX(Clientes!$B:$B,MATCH(C199,Clientes!$A:$A,0)),"Cód. não cadastrado"))</f>
        <v/>
      </c>
      <c r="K199" s="18">
        <f>IF(B199="","",YEAR(B199))</f>
        <v/>
      </c>
      <c r="L199" s="18">
        <f>IF(B199="","",MONTH(B199))</f>
        <v/>
      </c>
      <c r="M199" s="18">
        <f>IF(OR(B199="",I199=""),"",I199-B199)</f>
        <v/>
      </c>
      <c r="N199" s="21">
        <f>IF(B199="","",IF(I199="",IF(H199="","",IF(TODAY()&gt;H199,"Atrasado (em aberto)","Em aberto")),IF(I199&lt;=H199,"No prazo","Fora do prazo")))</f>
        <v/>
      </c>
    </row>
    <row r="200">
      <c r="A200" t="inlineStr">
        <is>
          <t>PV1199</t>
        </is>
      </c>
      <c r="B200" s="22" t="n">
        <v>46011</v>
      </c>
      <c r="C200" t="inlineStr">
        <is>
          <t>C018</t>
        </is>
      </c>
      <c r="D200" t="inlineStr">
        <is>
          <t>Produto A 1kg</t>
        </is>
      </c>
      <c r="E200" s="23" t="n">
        <v>4.8</v>
      </c>
      <c r="F200" s="24" t="n">
        <v>38224.8</v>
      </c>
      <c r="G200" t="inlineStr">
        <is>
          <t>CFR</t>
        </is>
      </c>
      <c r="H200" s="22" t="n">
        <v>46041</v>
      </c>
      <c r="I200" s="22" t="n">
        <v>46046</v>
      </c>
      <c r="J200" s="21">
        <f>IF(C200="","",IFERROR(INDEX(Clientes!$B:$B,MATCH(C200,Clientes!$A:$A,0)),"Cód. não cadastrado"))</f>
        <v/>
      </c>
      <c r="K200" s="18">
        <f>IF(B200="","",YEAR(B200))</f>
        <v/>
      </c>
      <c r="L200" s="18">
        <f>IF(B200="","",MONTH(B200))</f>
        <v/>
      </c>
      <c r="M200" s="18">
        <f>IF(OR(B200="",I200=""),"",I200-B200)</f>
        <v/>
      </c>
      <c r="N200" s="21">
        <f>IF(B200="","",IF(I200="",IF(H200="","",IF(TODAY()&gt;H200,"Atrasado (em aberto)","Em aberto")),IF(I200&lt;=H200,"No prazo","Fora do prazo")))</f>
        <v/>
      </c>
    </row>
    <row r="201">
      <c r="A201" t="inlineStr">
        <is>
          <t>PV1200</t>
        </is>
      </c>
      <c r="B201" s="22" t="n">
        <v>46046</v>
      </c>
      <c r="C201" t="inlineStr">
        <is>
          <t>C018</t>
        </is>
      </c>
      <c r="D201" t="inlineStr">
        <is>
          <t>Produto A 1kg</t>
        </is>
      </c>
      <c r="E201" s="23" t="n">
        <v>3.9</v>
      </c>
      <c r="F201" s="24" t="n">
        <v>42722.34</v>
      </c>
      <c r="G201" t="inlineStr">
        <is>
          <t>CFR</t>
        </is>
      </c>
      <c r="H201" s="22" t="n">
        <v>46076</v>
      </c>
      <c r="I201" s="22" t="n">
        <v>46070</v>
      </c>
      <c r="J201" s="21">
        <f>IF(C201="","",IFERROR(INDEX(Clientes!$B:$B,MATCH(C201,Clientes!$A:$A,0)),"Cód. não cadastrado"))</f>
        <v/>
      </c>
      <c r="K201" s="18">
        <f>IF(B201="","",YEAR(B201))</f>
        <v/>
      </c>
      <c r="L201" s="18">
        <f>IF(B201="","",MONTH(B201))</f>
        <v/>
      </c>
      <c r="M201" s="18">
        <f>IF(OR(B201="",I201=""),"",I201-B201)</f>
        <v/>
      </c>
      <c r="N201" s="21">
        <f>IF(B201="","",IF(I201="",IF(H201="","",IF(TODAY()&gt;H201,"Atrasado (em aberto)","Em aberto")),IF(I201&lt;=H201,"No prazo","Fora do prazo")))</f>
        <v/>
      </c>
    </row>
    <row r="202">
      <c r="A202" t="inlineStr">
        <is>
          <t>PV1201</t>
        </is>
      </c>
      <c r="B202" s="22" t="n">
        <v>46065</v>
      </c>
      <c r="C202" t="inlineStr">
        <is>
          <t>C018</t>
        </is>
      </c>
      <c r="D202" t="inlineStr">
        <is>
          <t>Produto A 1kg</t>
        </is>
      </c>
      <c r="E202" s="23" t="n">
        <v>5.9</v>
      </c>
      <c r="F202" s="24" t="n">
        <v>42563.37</v>
      </c>
      <c r="G202" t="inlineStr">
        <is>
          <t>FOB</t>
        </is>
      </c>
      <c r="H202" s="22" t="n">
        <v>46095</v>
      </c>
      <c r="I202" s="22" t="n">
        <v>46089</v>
      </c>
      <c r="J202" s="21">
        <f>IF(C202="","",IFERROR(INDEX(Clientes!$B:$B,MATCH(C202,Clientes!$A:$A,0)),"Cód. não cadastrado"))</f>
        <v/>
      </c>
      <c r="K202" s="18">
        <f>IF(B202="","",YEAR(B202))</f>
        <v/>
      </c>
      <c r="L202" s="18">
        <f>IF(B202="","",MONTH(B202))</f>
        <v/>
      </c>
      <c r="M202" s="18">
        <f>IF(OR(B202="",I202=""),"",I202-B202)</f>
        <v/>
      </c>
      <c r="N202" s="21">
        <f>IF(B202="","",IF(I202="",IF(H202="","",IF(TODAY()&gt;H202,"Atrasado (em aberto)","Em aberto")),IF(I202&lt;=H202,"No prazo","Fora do prazo")))</f>
        <v/>
      </c>
    </row>
    <row r="203">
      <c r="A203" t="inlineStr">
        <is>
          <t>PV1202</t>
        </is>
      </c>
      <c r="B203" s="22" t="n">
        <v>46146</v>
      </c>
      <c r="C203" t="inlineStr">
        <is>
          <t>C018</t>
        </is>
      </c>
      <c r="D203" t="inlineStr">
        <is>
          <t>Produto B 5kg</t>
        </is>
      </c>
      <c r="E203" s="23" t="n">
        <v>6.2</v>
      </c>
      <c r="F203" s="24" t="n">
        <v>33595.73</v>
      </c>
      <c r="G203" t="inlineStr">
        <is>
          <t>CFR</t>
        </is>
      </c>
      <c r="H203" s="22" t="n">
        <v>46176</v>
      </c>
      <c r="I203" s="22" t="n">
        <v>46178</v>
      </c>
      <c r="J203" s="21">
        <f>IF(C203="","",IFERROR(INDEX(Clientes!$B:$B,MATCH(C203,Clientes!$A:$A,0)),"Cód. não cadastrado"))</f>
        <v/>
      </c>
      <c r="K203" s="18">
        <f>IF(B203="","",YEAR(B203))</f>
        <v/>
      </c>
      <c r="L203" s="18">
        <f>IF(B203="","",MONTH(B203))</f>
        <v/>
      </c>
      <c r="M203" s="18">
        <f>IF(OR(B203="",I203=""),"",I203-B203)</f>
        <v/>
      </c>
      <c r="N203" s="21">
        <f>IF(B203="","",IF(I203="",IF(H203="","",IF(TODAY()&gt;H203,"Atrasado (em aberto)","Em aberto")),IF(I203&lt;=H203,"No prazo","Fora do prazo")))</f>
        <v/>
      </c>
    </row>
    <row r="204">
      <c r="A204" t="inlineStr">
        <is>
          <t>PV1203</t>
        </is>
      </c>
      <c r="B204" s="22" t="n">
        <v>46180</v>
      </c>
      <c r="C204" t="inlineStr">
        <is>
          <t>C018</t>
        </is>
      </c>
      <c r="D204" t="inlineStr">
        <is>
          <t>Produto C granel 25kg</t>
        </is>
      </c>
      <c r="E204" s="23" t="n">
        <v>8</v>
      </c>
      <c r="F204" s="24" t="n">
        <v>22138.05</v>
      </c>
      <c r="G204" t="inlineStr">
        <is>
          <t>FOB</t>
        </is>
      </c>
      <c r="H204" s="22" t="n">
        <v>46210</v>
      </c>
      <c r="I204" s="22" t="n">
        <v>46210</v>
      </c>
      <c r="J204" s="21">
        <f>IF(C204="","",IFERROR(INDEX(Clientes!$B:$B,MATCH(C204,Clientes!$A:$A,0)),"Cód. não cadastrado"))</f>
        <v/>
      </c>
      <c r="K204" s="18">
        <f>IF(B204="","",YEAR(B204))</f>
        <v/>
      </c>
      <c r="L204" s="18">
        <f>IF(B204="","",MONTH(B204))</f>
        <v/>
      </c>
      <c r="M204" s="18">
        <f>IF(OR(B204="",I204=""),"",I204-B204)</f>
        <v/>
      </c>
      <c r="N204" s="21">
        <f>IF(B204="","",IF(I204="",IF(H204="","",IF(TODAY()&gt;H204,"Atrasado (em aberto)","Em aberto")),IF(I204&lt;=H204,"No prazo","Fora do prazo")))</f>
        <v/>
      </c>
    </row>
    <row r="205">
      <c r="A205" t="inlineStr">
        <is>
          <t>PV1204</t>
        </is>
      </c>
      <c r="B205" s="22" t="n">
        <v>46211</v>
      </c>
      <c r="C205" t="inlineStr">
        <is>
          <t>C018</t>
        </is>
      </c>
      <c r="D205" t="inlineStr">
        <is>
          <t>Produto A 1kg</t>
        </is>
      </c>
      <c r="E205" s="23" t="n">
        <v>5.7</v>
      </c>
      <c r="F205" s="24" t="n">
        <v>17865.09</v>
      </c>
      <c r="G205" t="inlineStr">
        <is>
          <t>FOB</t>
        </is>
      </c>
      <c r="H205" s="22" t="n">
        <v>46241</v>
      </c>
      <c r="I205" s="22" t="n">
        <v>46246</v>
      </c>
      <c r="J205" s="21">
        <f>IF(C205="","",IFERROR(INDEX(Clientes!$B:$B,MATCH(C205,Clientes!$A:$A,0)),"Cód. não cadastrado"))</f>
        <v/>
      </c>
      <c r="K205" s="18">
        <f>IF(B205="","",YEAR(B205))</f>
        <v/>
      </c>
      <c r="L205" s="18">
        <f>IF(B205="","",MONTH(B205))</f>
        <v/>
      </c>
      <c r="M205" s="18">
        <f>IF(OR(B205="",I205=""),"",I205-B205)</f>
        <v/>
      </c>
      <c r="N205" s="21">
        <f>IF(B205="","",IF(I205="",IF(H205="","",IF(TODAY()&gt;H205,"Atrasado (em aberto)","Em aberto")),IF(I205&lt;=H205,"No prazo","Fora do prazo")))</f>
        <v/>
      </c>
    </row>
    <row r="206">
      <c r="A206" t="inlineStr">
        <is>
          <t>PV1205</t>
        </is>
      </c>
      <c r="B206" s="22" t="n">
        <v>46260</v>
      </c>
      <c r="C206" t="inlineStr">
        <is>
          <t>C018</t>
        </is>
      </c>
      <c r="D206" t="inlineStr">
        <is>
          <t>Produto B 5kg</t>
        </is>
      </c>
      <c r="E206" s="23" t="n">
        <v>7.9</v>
      </c>
      <c r="F206" s="24" t="n">
        <v>58521.09</v>
      </c>
      <c r="G206" t="inlineStr">
        <is>
          <t>FOB</t>
        </is>
      </c>
      <c r="H206" s="22" t="n">
        <v>46290</v>
      </c>
      <c r="I206" s="22" t="n">
        <v>46290</v>
      </c>
      <c r="J206" s="21">
        <f>IF(C206="","",IFERROR(INDEX(Clientes!$B:$B,MATCH(C206,Clientes!$A:$A,0)),"Cód. não cadastrado"))</f>
        <v/>
      </c>
      <c r="K206" s="18">
        <f>IF(B206="","",YEAR(B206))</f>
        <v/>
      </c>
      <c r="L206" s="18">
        <f>IF(B206="","",MONTH(B206))</f>
        <v/>
      </c>
      <c r="M206" s="18">
        <f>IF(OR(B206="",I206=""),"",I206-B206)</f>
        <v/>
      </c>
      <c r="N206" s="21">
        <f>IF(B206="","",IF(I206="",IF(H206="","",IF(TODAY()&gt;H206,"Atrasado (em aberto)","Em aberto")),IF(I206&lt;=H206,"No prazo","Fora do prazo")))</f>
        <v/>
      </c>
    </row>
    <row r="207">
      <c r="A207" t="inlineStr">
        <is>
          <t>PV1206</t>
        </is>
      </c>
      <c r="B207" s="22" t="n">
        <v>46283</v>
      </c>
      <c r="C207" t="inlineStr">
        <is>
          <t>C018</t>
        </is>
      </c>
      <c r="D207" t="inlineStr">
        <is>
          <t>Produto C granel 25kg</t>
        </is>
      </c>
      <c r="E207" s="23" t="n">
        <v>6.9</v>
      </c>
      <c r="F207" s="24" t="n">
        <v>34968.94</v>
      </c>
      <c r="G207" t="inlineStr">
        <is>
          <t>CIF</t>
        </is>
      </c>
      <c r="H207" s="22" t="n">
        <v>46313</v>
      </c>
      <c r="I207" s="22" t="n"/>
      <c r="J207" s="21">
        <f>IF(C207="","",IFERROR(INDEX(Clientes!$B:$B,MATCH(C207,Clientes!$A:$A,0)),"Cód. não cadastrado"))</f>
        <v/>
      </c>
      <c r="K207" s="18">
        <f>IF(B207="","",YEAR(B207))</f>
        <v/>
      </c>
      <c r="L207" s="18">
        <f>IF(B207="","",MONTH(B207))</f>
        <v/>
      </c>
      <c r="M207" s="18">
        <f>IF(OR(B207="",I207=""),"",I207-B207)</f>
        <v/>
      </c>
      <c r="N207" s="21">
        <f>IF(B207="","",IF(I207="",IF(H207="","",IF(TODAY()&gt;H207,"Atrasado (em aberto)","Em aberto")),IF(I207&lt;=H207,"No prazo","Fora do prazo")))</f>
        <v/>
      </c>
    </row>
    <row r="208">
      <c r="A208" t="inlineStr">
        <is>
          <t>PV1207</t>
        </is>
      </c>
      <c r="B208" s="22" t="n">
        <v>45732</v>
      </c>
      <c r="C208" t="inlineStr">
        <is>
          <t>C019</t>
        </is>
      </c>
      <c r="D208" t="inlineStr">
        <is>
          <t>Produto A 1kg</t>
        </is>
      </c>
      <c r="E208" s="23" t="n">
        <v>8.4</v>
      </c>
      <c r="F208" s="24" t="n">
        <v>16980.09</v>
      </c>
      <c r="G208" t="inlineStr">
        <is>
          <t>CIF</t>
        </is>
      </c>
      <c r="H208" s="22" t="n">
        <v>45762</v>
      </c>
      <c r="I208" s="22" t="n">
        <v>45759</v>
      </c>
      <c r="J208" s="21">
        <f>IF(C208="","",IFERROR(INDEX(Clientes!$B:$B,MATCH(C208,Clientes!$A:$A,0)),"Cód. não cadastrado"))</f>
        <v/>
      </c>
      <c r="K208" s="18">
        <f>IF(B208="","",YEAR(B208))</f>
        <v/>
      </c>
      <c r="L208" s="18">
        <f>IF(B208="","",MONTH(B208))</f>
        <v/>
      </c>
      <c r="M208" s="18">
        <f>IF(OR(B208="",I208=""),"",I208-B208)</f>
        <v/>
      </c>
      <c r="N208" s="21">
        <f>IF(B208="","",IF(I208="",IF(H208="","",IF(TODAY()&gt;H208,"Atrasado (em aberto)","Em aberto")),IF(I208&lt;=H208,"No prazo","Fora do prazo")))</f>
        <v/>
      </c>
    </row>
    <row r="209">
      <c r="A209" t="inlineStr">
        <is>
          <t>PV1208</t>
        </is>
      </c>
      <c r="B209" s="22" t="n">
        <v>45809</v>
      </c>
      <c r="C209" t="inlineStr">
        <is>
          <t>C019</t>
        </is>
      </c>
      <c r="D209" t="inlineStr">
        <is>
          <t>Produto A 1kg</t>
        </is>
      </c>
      <c r="E209" s="23" t="n">
        <v>4.4</v>
      </c>
      <c r="F209" s="24" t="n">
        <v>17627.06</v>
      </c>
      <c r="G209" t="inlineStr">
        <is>
          <t>FOB</t>
        </is>
      </c>
      <c r="H209" s="22" t="n">
        <v>45839</v>
      </c>
      <c r="I209" s="22" t="n">
        <v>45839</v>
      </c>
      <c r="J209" s="21">
        <f>IF(C209="","",IFERROR(INDEX(Clientes!$B:$B,MATCH(C209,Clientes!$A:$A,0)),"Cód. não cadastrado"))</f>
        <v/>
      </c>
      <c r="K209" s="18">
        <f>IF(B209="","",YEAR(B209))</f>
        <v/>
      </c>
      <c r="L209" s="18">
        <f>IF(B209="","",MONTH(B209))</f>
        <v/>
      </c>
      <c r="M209" s="18">
        <f>IF(OR(B209="",I209=""),"",I209-B209)</f>
        <v/>
      </c>
      <c r="N209" s="21">
        <f>IF(B209="","",IF(I209="",IF(H209="","",IF(TODAY()&gt;H209,"Atrasado (em aberto)","Em aberto")),IF(I209&lt;=H209,"No prazo","Fora do prazo")))</f>
        <v/>
      </c>
    </row>
    <row r="210">
      <c r="A210" t="inlineStr">
        <is>
          <t>PV1209</t>
        </is>
      </c>
      <c r="B210" s="22" t="n">
        <v>45901</v>
      </c>
      <c r="C210" t="inlineStr">
        <is>
          <t>C019</t>
        </is>
      </c>
      <c r="D210" t="inlineStr">
        <is>
          <t>Produto C granel 25kg</t>
        </is>
      </c>
      <c r="E210" s="23" t="n">
        <v>6.9</v>
      </c>
      <c r="F210" s="24" t="n">
        <v>23876.62</v>
      </c>
      <c r="G210" t="inlineStr">
        <is>
          <t>CFR</t>
        </is>
      </c>
      <c r="H210" s="22" t="n">
        <v>45931</v>
      </c>
      <c r="I210" s="22" t="n">
        <v>45933</v>
      </c>
      <c r="J210" s="21">
        <f>IF(C210="","",IFERROR(INDEX(Clientes!$B:$B,MATCH(C210,Clientes!$A:$A,0)),"Cód. não cadastrado"))</f>
        <v/>
      </c>
      <c r="K210" s="18">
        <f>IF(B210="","",YEAR(B210))</f>
        <v/>
      </c>
      <c r="L210" s="18">
        <f>IF(B210="","",MONTH(B210))</f>
        <v/>
      </c>
      <c r="M210" s="18">
        <f>IF(OR(B210="",I210=""),"",I210-B210)</f>
        <v/>
      </c>
      <c r="N210" s="21">
        <f>IF(B210="","",IF(I210="",IF(H210="","",IF(TODAY()&gt;H210,"Atrasado (em aberto)","Em aberto")),IF(I210&lt;=H210,"No prazo","Fora do prazo")))</f>
        <v/>
      </c>
    </row>
    <row r="211">
      <c r="A211" t="inlineStr">
        <is>
          <t>PV1210</t>
        </is>
      </c>
      <c r="B211" s="22" t="n">
        <v>45998</v>
      </c>
      <c r="C211" t="inlineStr">
        <is>
          <t>C019</t>
        </is>
      </c>
      <c r="D211" t="inlineStr">
        <is>
          <t>Produto C granel 25kg</t>
        </is>
      </c>
      <c r="E211" s="23" t="n">
        <v>6.9</v>
      </c>
      <c r="F211" s="24" t="n">
        <v>44141.85</v>
      </c>
      <c r="G211" t="inlineStr">
        <is>
          <t>CFR</t>
        </is>
      </c>
      <c r="H211" s="22" t="n">
        <v>46028</v>
      </c>
      <c r="I211" s="22" t="n">
        <v>46030</v>
      </c>
      <c r="J211" s="21">
        <f>IF(C211="","",IFERROR(INDEX(Clientes!$B:$B,MATCH(C211,Clientes!$A:$A,0)),"Cód. não cadastrado"))</f>
        <v/>
      </c>
      <c r="K211" s="18">
        <f>IF(B211="","",YEAR(B211))</f>
        <v/>
      </c>
      <c r="L211" s="18">
        <f>IF(B211="","",MONTH(B211))</f>
        <v/>
      </c>
      <c r="M211" s="18">
        <f>IF(OR(B211="",I211=""),"",I211-B211)</f>
        <v/>
      </c>
      <c r="N211" s="21">
        <f>IF(B211="","",IF(I211="",IF(H211="","",IF(TODAY()&gt;H211,"Atrasado (em aberto)","Em aberto")),IF(I211&lt;=H211,"No prazo","Fora do prazo")))</f>
        <v/>
      </c>
    </row>
    <row r="212">
      <c r="A212" t="inlineStr">
        <is>
          <t>PV1211</t>
        </is>
      </c>
      <c r="B212" s="22" t="n">
        <v>46183</v>
      </c>
      <c r="C212" t="inlineStr">
        <is>
          <t>C019</t>
        </is>
      </c>
      <c r="D212" t="inlineStr">
        <is>
          <t>Produto A 1kg</t>
        </is>
      </c>
      <c r="E212" s="23" t="n">
        <v>9</v>
      </c>
      <c r="F212" s="24" t="n">
        <v>47593.77</v>
      </c>
      <c r="G212" t="inlineStr">
        <is>
          <t>CFR</t>
        </is>
      </c>
      <c r="H212" s="22" t="n">
        <v>46213</v>
      </c>
      <c r="I212" s="22" t="n">
        <v>46218</v>
      </c>
      <c r="J212" s="21">
        <f>IF(C212="","",IFERROR(INDEX(Clientes!$B:$B,MATCH(C212,Clientes!$A:$A,0)),"Cód. não cadastrado"))</f>
        <v/>
      </c>
      <c r="K212" s="18">
        <f>IF(B212="","",YEAR(B212))</f>
        <v/>
      </c>
      <c r="L212" s="18">
        <f>IF(B212="","",MONTH(B212))</f>
        <v/>
      </c>
      <c r="M212" s="18">
        <f>IF(OR(B212="",I212=""),"",I212-B212)</f>
        <v/>
      </c>
      <c r="N212" s="21">
        <f>IF(B212="","",IF(I212="",IF(H212="","",IF(TODAY()&gt;H212,"Atrasado (em aberto)","Em aberto")),IF(I212&lt;=H212,"No prazo","Fora do prazo")))</f>
        <v/>
      </c>
    </row>
    <row r="213">
      <c r="A213" t="inlineStr">
        <is>
          <t>PV1212</t>
        </is>
      </c>
      <c r="B213" s="22" t="n">
        <v>46266</v>
      </c>
      <c r="C213" t="inlineStr">
        <is>
          <t>C019</t>
        </is>
      </c>
      <c r="D213" t="inlineStr">
        <is>
          <t>Produto B 5kg</t>
        </is>
      </c>
      <c r="E213" s="23" t="n">
        <v>7.5</v>
      </c>
      <c r="F213" s="24" t="n">
        <v>35936.95</v>
      </c>
      <c r="G213" t="inlineStr">
        <is>
          <t>CIF</t>
        </is>
      </c>
      <c r="H213" s="22" t="n">
        <v>46296</v>
      </c>
      <c r="I213" s="22" t="n"/>
      <c r="J213" s="21">
        <f>IF(C213="","",IFERROR(INDEX(Clientes!$B:$B,MATCH(C213,Clientes!$A:$A,0)),"Cód. não cadastrado"))</f>
        <v/>
      </c>
      <c r="K213" s="18">
        <f>IF(B213="","",YEAR(B213))</f>
        <v/>
      </c>
      <c r="L213" s="18">
        <f>IF(B213="","",MONTH(B213))</f>
        <v/>
      </c>
      <c r="M213" s="18">
        <f>IF(OR(B213="",I213=""),"",I213-B213)</f>
        <v/>
      </c>
      <c r="N213" s="21">
        <f>IF(B213="","",IF(I213="",IF(H213="","",IF(TODAY()&gt;H213,"Atrasado (em aberto)","Em aberto")),IF(I213&lt;=H213,"No prazo","Fora do prazo")))</f>
        <v/>
      </c>
    </row>
    <row r="214">
      <c r="A214" t="inlineStr">
        <is>
          <t>PV1213</t>
        </is>
      </c>
      <c r="B214" s="22" t="n">
        <v>45694</v>
      </c>
      <c r="C214" t="inlineStr">
        <is>
          <t>C020</t>
        </is>
      </c>
      <c r="D214" t="inlineStr">
        <is>
          <t>Produto A 1kg</t>
        </is>
      </c>
      <c r="E214" s="23" t="n">
        <v>4.6</v>
      </c>
      <c r="F214" s="24" t="n">
        <v>43980.89</v>
      </c>
      <c r="G214" t="inlineStr">
        <is>
          <t>FOB</t>
        </is>
      </c>
      <c r="H214" s="22" t="n">
        <v>45724</v>
      </c>
      <c r="I214" s="22" t="n">
        <v>45721</v>
      </c>
      <c r="J214" s="21">
        <f>IF(C214="","",IFERROR(INDEX(Clientes!$B:$B,MATCH(C214,Clientes!$A:$A,0)),"Cód. não cadastrado"))</f>
        <v/>
      </c>
      <c r="K214" s="18">
        <f>IF(B214="","",YEAR(B214))</f>
        <v/>
      </c>
      <c r="L214" s="18">
        <f>IF(B214="","",MONTH(B214))</f>
        <v/>
      </c>
      <c r="M214" s="18">
        <f>IF(OR(B214="",I214=""),"",I214-B214)</f>
        <v/>
      </c>
      <c r="N214" s="21">
        <f>IF(B214="","",IF(I214="",IF(H214="","",IF(TODAY()&gt;H214,"Atrasado (em aberto)","Em aberto")),IF(I214&lt;=H214,"No prazo","Fora do prazo")))</f>
        <v/>
      </c>
    </row>
    <row r="215">
      <c r="A215" t="inlineStr">
        <is>
          <t>PV1214</t>
        </is>
      </c>
      <c r="B215" s="22" t="n">
        <v>45758</v>
      </c>
      <c r="C215" t="inlineStr">
        <is>
          <t>C020</t>
        </is>
      </c>
      <c r="D215" t="inlineStr">
        <is>
          <t>Produto C granel 25kg</t>
        </is>
      </c>
      <c r="E215" s="23" t="n">
        <v>8.699999999999999</v>
      </c>
      <c r="F215" s="24" t="n">
        <v>26848.43</v>
      </c>
      <c r="G215" t="inlineStr">
        <is>
          <t>FOB</t>
        </is>
      </c>
      <c r="H215" s="22" t="n">
        <v>45788</v>
      </c>
      <c r="I215" s="22" t="n">
        <v>45793</v>
      </c>
      <c r="J215" s="21">
        <f>IF(C215="","",IFERROR(INDEX(Clientes!$B:$B,MATCH(C215,Clientes!$A:$A,0)),"Cód. não cadastrado"))</f>
        <v/>
      </c>
      <c r="K215" s="18">
        <f>IF(B215="","",YEAR(B215))</f>
        <v/>
      </c>
      <c r="L215" s="18">
        <f>IF(B215="","",MONTH(B215))</f>
        <v/>
      </c>
      <c r="M215" s="18">
        <f>IF(OR(B215="",I215=""),"",I215-B215)</f>
        <v/>
      </c>
      <c r="N215" s="21">
        <f>IF(B215="","",IF(I215="",IF(H215="","",IF(TODAY()&gt;H215,"Atrasado (em aberto)","Em aberto")),IF(I215&lt;=H215,"No prazo","Fora do prazo")))</f>
        <v/>
      </c>
    </row>
    <row r="216">
      <c r="A216" t="inlineStr">
        <is>
          <t>PV1215</t>
        </is>
      </c>
      <c r="B216" s="22" t="n">
        <v>45817</v>
      </c>
      <c r="C216" t="inlineStr">
        <is>
          <t>C020</t>
        </is>
      </c>
      <c r="D216" t="inlineStr">
        <is>
          <t>Produto C granel 25kg</t>
        </is>
      </c>
      <c r="E216" s="23" t="n">
        <v>7.1</v>
      </c>
      <c r="F216" s="24" t="n">
        <v>45858.02</v>
      </c>
      <c r="G216" t="inlineStr">
        <is>
          <t>CIF</t>
        </is>
      </c>
      <c r="H216" s="22" t="n">
        <v>45847</v>
      </c>
      <c r="I216" s="22" t="n">
        <v>45852</v>
      </c>
      <c r="J216" s="21">
        <f>IF(C216="","",IFERROR(INDEX(Clientes!$B:$B,MATCH(C216,Clientes!$A:$A,0)),"Cód. não cadastrado"))</f>
        <v/>
      </c>
      <c r="K216" s="18">
        <f>IF(B216="","",YEAR(B216))</f>
        <v/>
      </c>
      <c r="L216" s="18">
        <f>IF(B216="","",MONTH(B216))</f>
        <v/>
      </c>
      <c r="M216" s="18">
        <f>IF(OR(B216="",I216=""),"",I216-B216)</f>
        <v/>
      </c>
      <c r="N216" s="21">
        <f>IF(B216="","",IF(I216="",IF(H216="","",IF(TODAY()&gt;H216,"Atrasado (em aberto)","Em aberto")),IF(I216&lt;=H216,"No prazo","Fora do prazo")))</f>
        <v/>
      </c>
    </row>
    <row r="217">
      <c r="A217" t="inlineStr">
        <is>
          <t>PV1216</t>
        </is>
      </c>
      <c r="B217" s="22" t="n">
        <v>45878</v>
      </c>
      <c r="C217" t="inlineStr">
        <is>
          <t>C020</t>
        </is>
      </c>
      <c r="D217" t="inlineStr">
        <is>
          <t>Produto C granel 25kg</t>
        </is>
      </c>
      <c r="E217" s="23" t="n">
        <v>8.6</v>
      </c>
      <c r="F217" s="24" t="n">
        <v>55238.01</v>
      </c>
      <c r="G217" t="inlineStr">
        <is>
          <t>FOB</t>
        </is>
      </c>
      <c r="H217" s="22" t="n">
        <v>45908</v>
      </c>
      <c r="I217" s="22" t="n">
        <v>45908</v>
      </c>
      <c r="J217" s="21">
        <f>IF(C217="","",IFERROR(INDEX(Clientes!$B:$B,MATCH(C217,Clientes!$A:$A,0)),"Cód. não cadastrado"))</f>
        <v/>
      </c>
      <c r="K217" s="18">
        <f>IF(B217="","",YEAR(B217))</f>
        <v/>
      </c>
      <c r="L217" s="18">
        <f>IF(B217="","",MONTH(B217))</f>
        <v/>
      </c>
      <c r="M217" s="18">
        <f>IF(OR(B217="",I217=""),"",I217-B217)</f>
        <v/>
      </c>
      <c r="N217" s="21">
        <f>IF(B217="","",IF(I217="",IF(H217="","",IF(TODAY()&gt;H217,"Atrasado (em aberto)","Em aberto")),IF(I217&lt;=H217,"No prazo","Fora do prazo")))</f>
        <v/>
      </c>
    </row>
    <row r="218">
      <c r="A218" t="inlineStr">
        <is>
          <t>PV1217</t>
        </is>
      </c>
      <c r="B218" s="22" t="n">
        <v>45947</v>
      </c>
      <c r="C218" t="inlineStr">
        <is>
          <t>C020</t>
        </is>
      </c>
      <c r="D218" t="inlineStr">
        <is>
          <t>Produto A 1kg</t>
        </is>
      </c>
      <c r="E218" s="23" t="n">
        <v>4.6</v>
      </c>
      <c r="F218" s="24" t="n">
        <v>25624.92</v>
      </c>
      <c r="G218" t="inlineStr">
        <is>
          <t>CIF</t>
        </is>
      </c>
      <c r="H218" s="22" t="n">
        <v>45977</v>
      </c>
      <c r="I218" s="22" t="n">
        <v>45971</v>
      </c>
      <c r="J218" s="21">
        <f>IF(C218="","",IFERROR(INDEX(Clientes!$B:$B,MATCH(C218,Clientes!$A:$A,0)),"Cód. não cadastrado"))</f>
        <v/>
      </c>
      <c r="K218" s="18">
        <f>IF(B218="","",YEAR(B218))</f>
        <v/>
      </c>
      <c r="L218" s="18">
        <f>IF(B218="","",MONTH(B218))</f>
        <v/>
      </c>
      <c r="M218" s="18">
        <f>IF(OR(B218="",I218=""),"",I218-B218)</f>
        <v/>
      </c>
      <c r="N218" s="21">
        <f>IF(B218="","",IF(I218="",IF(H218="","",IF(TODAY()&gt;H218,"Atrasado (em aberto)","Em aberto")),IF(I218&lt;=H218,"No prazo","Fora do prazo")))</f>
        <v/>
      </c>
    </row>
    <row r="219">
      <c r="A219" t="inlineStr">
        <is>
          <t>PV1218</t>
        </is>
      </c>
      <c r="B219" s="22" t="n">
        <v>45998</v>
      </c>
      <c r="C219" t="inlineStr">
        <is>
          <t>C020</t>
        </is>
      </c>
      <c r="D219" t="inlineStr">
        <is>
          <t>Produto C granel 25kg</t>
        </is>
      </c>
      <c r="E219" s="23" t="n">
        <v>8.5</v>
      </c>
      <c r="F219" s="24" t="n">
        <v>23637.16</v>
      </c>
      <c r="G219" t="inlineStr">
        <is>
          <t>CFR</t>
        </is>
      </c>
      <c r="H219" s="22" t="n">
        <v>46028</v>
      </c>
      <c r="I219" s="22" t="n">
        <v>46025</v>
      </c>
      <c r="J219" s="21">
        <f>IF(C219="","",IFERROR(INDEX(Clientes!$B:$B,MATCH(C219,Clientes!$A:$A,0)),"Cód. não cadastrado"))</f>
        <v/>
      </c>
      <c r="K219" s="18">
        <f>IF(B219="","",YEAR(B219))</f>
        <v/>
      </c>
      <c r="L219" s="18">
        <f>IF(B219="","",MONTH(B219))</f>
        <v/>
      </c>
      <c r="M219" s="18">
        <f>IF(OR(B219="",I219=""),"",I219-B219)</f>
        <v/>
      </c>
      <c r="N219" s="21">
        <f>IF(B219="","",IF(I219="",IF(H219="","",IF(TODAY()&gt;H219,"Atrasado (em aberto)","Em aberto")),IF(I219&lt;=H219,"No prazo","Fora do prazo")))</f>
        <v/>
      </c>
    </row>
    <row r="220">
      <c r="A220" t="inlineStr">
        <is>
          <t>PV1219</t>
        </is>
      </c>
      <c r="B220" s="22" t="n">
        <v>46066</v>
      </c>
      <c r="C220" t="inlineStr">
        <is>
          <t>C020</t>
        </is>
      </c>
      <c r="D220" t="inlineStr">
        <is>
          <t>Produto C granel 25kg</t>
        </is>
      </c>
      <c r="E220" s="23" t="n">
        <v>8.5</v>
      </c>
      <c r="F220" s="24" t="n">
        <v>59174.73</v>
      </c>
      <c r="G220" t="inlineStr">
        <is>
          <t>CIF</t>
        </is>
      </c>
      <c r="H220" s="22" t="n">
        <v>46096</v>
      </c>
      <c r="I220" s="22" t="n">
        <v>46105</v>
      </c>
      <c r="J220" s="21">
        <f>IF(C220="","",IFERROR(INDEX(Clientes!$B:$B,MATCH(C220,Clientes!$A:$A,0)),"Cód. não cadastrado"))</f>
        <v/>
      </c>
      <c r="K220" s="18">
        <f>IF(B220="","",YEAR(B220))</f>
        <v/>
      </c>
      <c r="L220" s="18">
        <f>IF(B220="","",MONTH(B220))</f>
        <v/>
      </c>
      <c r="M220" s="18">
        <f>IF(OR(B220="",I220=""),"",I220-B220)</f>
        <v/>
      </c>
      <c r="N220" s="21">
        <f>IF(B220="","",IF(I220="",IF(H220="","",IF(TODAY()&gt;H220,"Atrasado (em aberto)","Em aberto")),IF(I220&lt;=H220,"No prazo","Fora do prazo")))</f>
        <v/>
      </c>
    </row>
    <row r="221">
      <c r="A221" t="inlineStr">
        <is>
          <t>PV1220</t>
        </is>
      </c>
      <c r="B221" s="22" t="n">
        <v>46129</v>
      </c>
      <c r="C221" t="inlineStr">
        <is>
          <t>C020</t>
        </is>
      </c>
      <c r="D221" t="inlineStr">
        <is>
          <t>Produto A 1kg</t>
        </is>
      </c>
      <c r="E221" s="23" t="n">
        <v>8.1</v>
      </c>
      <c r="F221" s="24" t="n">
        <v>34674.63</v>
      </c>
      <c r="G221" t="inlineStr">
        <is>
          <t>CIF</t>
        </is>
      </c>
      <c r="H221" s="22" t="n">
        <v>46159</v>
      </c>
      <c r="I221" s="22" t="n">
        <v>46164</v>
      </c>
      <c r="J221" s="21">
        <f>IF(C221="","",IFERROR(INDEX(Clientes!$B:$B,MATCH(C221,Clientes!$A:$A,0)),"Cód. não cadastrado"))</f>
        <v/>
      </c>
      <c r="K221" s="18">
        <f>IF(B221="","",YEAR(B221))</f>
        <v/>
      </c>
      <c r="L221" s="18">
        <f>IF(B221="","",MONTH(B221))</f>
        <v/>
      </c>
      <c r="M221" s="18">
        <f>IF(OR(B221="",I221=""),"",I221-B221)</f>
        <v/>
      </c>
      <c r="N221" s="21">
        <f>IF(B221="","",IF(I221="",IF(H221="","",IF(TODAY()&gt;H221,"Atrasado (em aberto)","Em aberto")),IF(I221&lt;=H221,"No prazo","Fora do prazo")))</f>
        <v/>
      </c>
    </row>
    <row r="222">
      <c r="A222" t="inlineStr">
        <is>
          <t>PV1221</t>
        </is>
      </c>
      <c r="B222" s="22" t="n">
        <v>46183</v>
      </c>
      <c r="C222" t="inlineStr">
        <is>
          <t>C020</t>
        </is>
      </c>
      <c r="D222" t="inlineStr">
        <is>
          <t>Produto A 1kg</t>
        </is>
      </c>
      <c r="E222" s="23" t="n">
        <v>5.3</v>
      </c>
      <c r="F222" s="24" t="n">
        <v>41339.95</v>
      </c>
      <c r="G222" t="inlineStr">
        <is>
          <t>CIF</t>
        </is>
      </c>
      <c r="H222" s="22" t="n">
        <v>46213</v>
      </c>
      <c r="I222" s="22" t="n">
        <v>46222</v>
      </c>
      <c r="J222" s="21">
        <f>IF(C222="","",IFERROR(INDEX(Clientes!$B:$B,MATCH(C222,Clientes!$A:$A,0)),"Cód. não cadastrado"))</f>
        <v/>
      </c>
      <c r="K222" s="18">
        <f>IF(B222="","",YEAR(B222))</f>
        <v/>
      </c>
      <c r="L222" s="18">
        <f>IF(B222="","",MONTH(B222))</f>
        <v/>
      </c>
      <c r="M222" s="18">
        <f>IF(OR(B222="",I222=""),"",I222-B222)</f>
        <v/>
      </c>
      <c r="N222" s="21">
        <f>IF(B222="","",IF(I222="",IF(H222="","",IF(TODAY()&gt;H222,"Atrasado (em aberto)","Em aberto")),IF(I222&lt;=H222,"No prazo","Fora do prazo")))</f>
        <v/>
      </c>
    </row>
    <row r="223">
      <c r="A223" t="inlineStr">
        <is>
          <t>PV1222</t>
        </is>
      </c>
      <c r="B223" s="22" t="n">
        <v>46239</v>
      </c>
      <c r="C223" t="inlineStr">
        <is>
          <t>C020</t>
        </is>
      </c>
      <c r="D223" t="inlineStr">
        <is>
          <t>Produto A 1kg</t>
        </is>
      </c>
      <c r="E223" s="23" t="n">
        <v>3.7</v>
      </c>
      <c r="F223" s="24" t="n">
        <v>42988.61</v>
      </c>
      <c r="G223" t="inlineStr">
        <is>
          <t>FOB</t>
        </is>
      </c>
      <c r="H223" s="22" t="n">
        <v>46269</v>
      </c>
      <c r="I223" s="22" t="n">
        <v>46263</v>
      </c>
      <c r="J223" s="21">
        <f>IF(C223="","",IFERROR(INDEX(Clientes!$B:$B,MATCH(C223,Clientes!$A:$A,0)),"Cód. não cadastrado"))</f>
        <v/>
      </c>
      <c r="K223" s="18">
        <f>IF(B223="","",YEAR(B223))</f>
        <v/>
      </c>
      <c r="L223" s="18">
        <f>IF(B223="","",MONTH(B223))</f>
        <v/>
      </c>
      <c r="M223" s="18">
        <f>IF(OR(B223="",I223=""),"",I223-B223)</f>
        <v/>
      </c>
      <c r="N223" s="21">
        <f>IF(B223="","",IF(I223="",IF(H223="","",IF(TODAY()&gt;H223,"Atrasado (em aberto)","Em aberto")),IF(I223&lt;=H223,"No prazo","Fora do prazo")))</f>
        <v/>
      </c>
    </row>
    <row r="224">
      <c r="A224" t="inlineStr">
        <is>
          <t>PV1223</t>
        </is>
      </c>
      <c r="B224" s="22" t="n">
        <v>45693</v>
      </c>
      <c r="C224" t="inlineStr">
        <is>
          <t>C021</t>
        </is>
      </c>
      <c r="D224" t="inlineStr">
        <is>
          <t>Produto A 1kg</t>
        </is>
      </c>
      <c r="E224" s="23" t="n">
        <v>3.2</v>
      </c>
      <c r="F224" s="24" t="n">
        <v>21228.1</v>
      </c>
      <c r="G224" t="inlineStr">
        <is>
          <t>CIF</t>
        </is>
      </c>
      <c r="H224" s="22" t="n">
        <v>45723</v>
      </c>
      <c r="I224" s="22" t="n">
        <v>45728</v>
      </c>
      <c r="J224" s="21">
        <f>IF(C224="","",IFERROR(INDEX(Clientes!$B:$B,MATCH(C224,Clientes!$A:$A,0)),"Cód. não cadastrado"))</f>
        <v/>
      </c>
      <c r="K224" s="18">
        <f>IF(B224="","",YEAR(B224))</f>
        <v/>
      </c>
      <c r="L224" s="18">
        <f>IF(B224="","",MONTH(B224))</f>
        <v/>
      </c>
      <c r="M224" s="18">
        <f>IF(OR(B224="",I224=""),"",I224-B224)</f>
        <v/>
      </c>
      <c r="N224" s="21">
        <f>IF(B224="","",IF(I224="",IF(H224="","",IF(TODAY()&gt;H224,"Atrasado (em aberto)","Em aberto")),IF(I224&lt;=H224,"No prazo","Fora do prazo")))</f>
        <v/>
      </c>
    </row>
    <row r="225">
      <c r="A225" t="inlineStr">
        <is>
          <t>PV1224</t>
        </is>
      </c>
      <c r="B225" s="22" t="n">
        <v>45798</v>
      </c>
      <c r="C225" t="inlineStr">
        <is>
          <t>C021</t>
        </is>
      </c>
      <c r="D225" t="inlineStr">
        <is>
          <t>Produto C granel 25kg</t>
        </is>
      </c>
      <c r="E225" s="23" t="n">
        <v>3.4</v>
      </c>
      <c r="F225" s="24" t="n">
        <v>17101.01</v>
      </c>
      <c r="G225" t="inlineStr">
        <is>
          <t>CIF</t>
        </is>
      </c>
      <c r="H225" s="22" t="n">
        <v>45828</v>
      </c>
      <c r="I225" s="22" t="n">
        <v>45822</v>
      </c>
      <c r="J225" s="21">
        <f>IF(C225="","",IFERROR(INDEX(Clientes!$B:$B,MATCH(C225,Clientes!$A:$A,0)),"Cód. não cadastrado"))</f>
        <v/>
      </c>
      <c r="K225" s="18">
        <f>IF(B225="","",YEAR(B225))</f>
        <v/>
      </c>
      <c r="L225" s="18">
        <f>IF(B225="","",MONTH(B225))</f>
        <v/>
      </c>
      <c r="M225" s="18">
        <f>IF(OR(B225="",I225=""),"",I225-B225)</f>
        <v/>
      </c>
      <c r="N225" s="21">
        <f>IF(B225="","",IF(I225="",IF(H225="","",IF(TODAY()&gt;H225,"Atrasado (em aberto)","Em aberto")),IF(I225&lt;=H225,"No prazo","Fora do prazo")))</f>
        <v/>
      </c>
    </row>
    <row r="226">
      <c r="A226" t="inlineStr">
        <is>
          <t>PV1225</t>
        </is>
      </c>
      <c r="B226" s="22" t="n">
        <v>45894</v>
      </c>
      <c r="C226" t="inlineStr">
        <is>
          <t>C021</t>
        </is>
      </c>
      <c r="D226" t="inlineStr">
        <is>
          <t>Produto A 1kg</t>
        </is>
      </c>
      <c r="E226" s="23" t="n">
        <v>7.9</v>
      </c>
      <c r="F226" s="24" t="n">
        <v>51880.35</v>
      </c>
      <c r="G226" t="inlineStr">
        <is>
          <t>CIF</t>
        </is>
      </c>
      <c r="H226" s="22" t="n">
        <v>45924</v>
      </c>
      <c r="I226" s="22" t="n">
        <v>45924</v>
      </c>
      <c r="J226" s="21">
        <f>IF(C226="","",IFERROR(INDEX(Clientes!$B:$B,MATCH(C226,Clientes!$A:$A,0)),"Cód. não cadastrado"))</f>
        <v/>
      </c>
      <c r="K226" s="18">
        <f>IF(B226="","",YEAR(B226))</f>
        <v/>
      </c>
      <c r="L226" s="18">
        <f>IF(B226="","",MONTH(B226))</f>
        <v/>
      </c>
      <c r="M226" s="18">
        <f>IF(OR(B226="",I226=""),"",I226-B226)</f>
        <v/>
      </c>
      <c r="N226" s="21">
        <f>IF(B226="","",IF(I226="",IF(H226="","",IF(TODAY()&gt;H226,"Atrasado (em aberto)","Em aberto")),IF(I226&lt;=H226,"No prazo","Fora do prazo")))</f>
        <v/>
      </c>
    </row>
    <row r="227">
      <c r="A227" t="inlineStr">
        <is>
          <t>PV1226</t>
        </is>
      </c>
      <c r="B227" s="22" t="n">
        <v>45964</v>
      </c>
      <c r="C227" t="inlineStr">
        <is>
          <t>C021</t>
        </is>
      </c>
      <c r="D227" t="inlineStr">
        <is>
          <t>Produto C granel 25kg</t>
        </is>
      </c>
      <c r="E227" s="23" t="n">
        <v>8.699999999999999</v>
      </c>
      <c r="F227" s="24" t="n">
        <v>19820.22</v>
      </c>
      <c r="G227" t="inlineStr">
        <is>
          <t>FOB</t>
        </is>
      </c>
      <c r="H227" s="22" t="n">
        <v>45994</v>
      </c>
      <c r="I227" s="22" t="n">
        <v>46003</v>
      </c>
      <c r="J227" s="21">
        <f>IF(C227="","",IFERROR(INDEX(Clientes!$B:$B,MATCH(C227,Clientes!$A:$A,0)),"Cód. não cadastrado"))</f>
        <v/>
      </c>
      <c r="K227" s="18">
        <f>IF(B227="","",YEAR(B227))</f>
        <v/>
      </c>
      <c r="L227" s="18">
        <f>IF(B227="","",MONTH(B227))</f>
        <v/>
      </c>
      <c r="M227" s="18">
        <f>IF(OR(B227="",I227=""),"",I227-B227)</f>
        <v/>
      </c>
      <c r="N227" s="21">
        <f>IF(B227="","",IF(I227="",IF(H227="","",IF(TODAY()&gt;H227,"Atrasado (em aberto)","Em aberto")),IF(I227&lt;=H227,"No prazo","Fora do prazo")))</f>
        <v/>
      </c>
    </row>
    <row r="228">
      <c r="A228" t="inlineStr">
        <is>
          <t>PV1227</t>
        </is>
      </c>
      <c r="B228" s="22" t="n">
        <v>46229</v>
      </c>
      <c r="C228" t="inlineStr">
        <is>
          <t>C021</t>
        </is>
      </c>
      <c r="D228" t="inlineStr">
        <is>
          <t>Produto C granel 25kg</t>
        </is>
      </c>
      <c r="E228" s="23" t="n">
        <v>3.5</v>
      </c>
      <c r="F228" s="24" t="n">
        <v>48814.19</v>
      </c>
      <c r="G228" t="inlineStr">
        <is>
          <t>CIF</t>
        </is>
      </c>
      <c r="H228" s="22" t="n">
        <v>46259</v>
      </c>
      <c r="I228" s="22" t="n">
        <v>46268</v>
      </c>
      <c r="J228" s="21">
        <f>IF(C228="","",IFERROR(INDEX(Clientes!$B:$B,MATCH(C228,Clientes!$A:$A,0)),"Cód. não cadastrado"))</f>
        <v/>
      </c>
      <c r="K228" s="18">
        <f>IF(B228="","",YEAR(B228))</f>
        <v/>
      </c>
      <c r="L228" s="18">
        <f>IF(B228="","",MONTH(B228))</f>
        <v/>
      </c>
      <c r="M228" s="18">
        <f>IF(OR(B228="",I228=""),"",I228-B228)</f>
        <v/>
      </c>
      <c r="N228" s="21">
        <f>IF(B228="","",IF(I228="",IF(H228="","",IF(TODAY()&gt;H228,"Atrasado (em aberto)","Em aberto")),IF(I228&lt;=H228,"No prazo","Fora do prazo")))</f>
        <v/>
      </c>
    </row>
    <row r="229">
      <c r="A229" t="inlineStr">
        <is>
          <t>PV1228</t>
        </is>
      </c>
      <c r="B229" s="22" t="n">
        <v>45704</v>
      </c>
      <c r="C229" t="inlineStr">
        <is>
          <t>C022</t>
        </is>
      </c>
      <c r="D229" t="inlineStr">
        <is>
          <t>Produto A 1kg</t>
        </is>
      </c>
      <c r="E229" s="23" t="n">
        <v>3.6</v>
      </c>
      <c r="F229" s="24" t="n">
        <v>49081.38</v>
      </c>
      <c r="G229" t="inlineStr">
        <is>
          <t>FOB</t>
        </is>
      </c>
      <c r="H229" s="22" t="n">
        <v>45734</v>
      </c>
      <c r="I229" s="22" t="n">
        <v>45728</v>
      </c>
      <c r="J229" s="21">
        <f>IF(C229="","",IFERROR(INDEX(Clientes!$B:$B,MATCH(C229,Clientes!$A:$A,0)),"Cód. não cadastrado"))</f>
        <v/>
      </c>
      <c r="K229" s="18">
        <f>IF(B229="","",YEAR(B229))</f>
        <v/>
      </c>
      <c r="L229" s="18">
        <f>IF(B229="","",MONTH(B229))</f>
        <v/>
      </c>
      <c r="M229" s="18">
        <f>IF(OR(B229="",I229=""),"",I229-B229)</f>
        <v/>
      </c>
      <c r="N229" s="21">
        <f>IF(B229="","",IF(I229="",IF(H229="","",IF(TODAY()&gt;H229,"Atrasado (em aberto)","Em aberto")),IF(I229&lt;=H229,"No prazo","Fora do prazo")))</f>
        <v/>
      </c>
    </row>
    <row r="230">
      <c r="A230" t="inlineStr">
        <is>
          <t>PV1229</t>
        </is>
      </c>
      <c r="B230" s="22" t="n">
        <v>45787</v>
      </c>
      <c r="C230" t="inlineStr">
        <is>
          <t>C022</t>
        </is>
      </c>
      <c r="D230" t="inlineStr">
        <is>
          <t>Produto B 5kg</t>
        </is>
      </c>
      <c r="E230" s="23" t="n">
        <v>5.5</v>
      </c>
      <c r="F230" s="24" t="n">
        <v>15941.33</v>
      </c>
      <c r="G230" t="inlineStr">
        <is>
          <t>CFR</t>
        </is>
      </c>
      <c r="H230" s="22" t="n">
        <v>45817</v>
      </c>
      <c r="I230" s="22" t="n">
        <v>45817</v>
      </c>
      <c r="J230" s="21">
        <f>IF(C230="","",IFERROR(INDEX(Clientes!$B:$B,MATCH(C230,Clientes!$A:$A,0)),"Cód. não cadastrado"))</f>
        <v/>
      </c>
      <c r="K230" s="18">
        <f>IF(B230="","",YEAR(B230))</f>
        <v/>
      </c>
      <c r="L230" s="18">
        <f>IF(B230="","",MONTH(B230))</f>
        <v/>
      </c>
      <c r="M230" s="18">
        <f>IF(OR(B230="",I230=""),"",I230-B230)</f>
        <v/>
      </c>
      <c r="N230" s="21">
        <f>IF(B230="","",IF(I230="",IF(H230="","",IF(TODAY()&gt;H230,"Atrasado (em aberto)","Em aberto")),IF(I230&lt;=H230,"No prazo","Fora do prazo")))</f>
        <v/>
      </c>
    </row>
    <row r="231">
      <c r="A231" t="inlineStr">
        <is>
          <t>PV1230</t>
        </is>
      </c>
      <c r="B231" s="22" t="n">
        <v>45879</v>
      </c>
      <c r="C231" t="inlineStr">
        <is>
          <t>C022</t>
        </is>
      </c>
      <c r="D231" t="inlineStr">
        <is>
          <t>Produto C granel 25kg</t>
        </is>
      </c>
      <c r="E231" s="23" t="n">
        <v>7.6</v>
      </c>
      <c r="F231" s="24" t="n">
        <v>55965.04</v>
      </c>
      <c r="G231" t="inlineStr">
        <is>
          <t>CIF</t>
        </is>
      </c>
      <c r="H231" s="22" t="n">
        <v>45909</v>
      </c>
      <c r="I231" s="22" t="n">
        <v>45903</v>
      </c>
      <c r="J231" s="21">
        <f>IF(C231="","",IFERROR(INDEX(Clientes!$B:$B,MATCH(C231,Clientes!$A:$A,0)),"Cód. não cadastrado"))</f>
        <v/>
      </c>
      <c r="K231" s="18">
        <f>IF(B231="","",YEAR(B231))</f>
        <v/>
      </c>
      <c r="L231" s="18">
        <f>IF(B231="","",MONTH(B231))</f>
        <v/>
      </c>
      <c r="M231" s="18">
        <f>IF(OR(B231="",I231=""),"",I231-B231)</f>
        <v/>
      </c>
      <c r="N231" s="21">
        <f>IF(B231="","",IF(I231="",IF(H231="","",IF(TODAY()&gt;H231,"Atrasado (em aberto)","Em aberto")),IF(I231&lt;=H231,"No prazo","Fora do prazo")))</f>
        <v/>
      </c>
    </row>
    <row r="232">
      <c r="A232" t="inlineStr">
        <is>
          <t>PV1231</t>
        </is>
      </c>
      <c r="B232" s="22" t="n">
        <v>45978</v>
      </c>
      <c r="C232" t="inlineStr">
        <is>
          <t>C022</t>
        </is>
      </c>
      <c r="D232" t="inlineStr">
        <is>
          <t>Produto B 5kg</t>
        </is>
      </c>
      <c r="E232" s="23" t="n">
        <v>6.7</v>
      </c>
      <c r="F232" s="24" t="n">
        <v>16394.16</v>
      </c>
      <c r="G232" t="inlineStr">
        <is>
          <t>CFR</t>
        </is>
      </c>
      <c r="H232" s="22" t="n">
        <v>46008</v>
      </c>
      <c r="I232" s="22" t="n">
        <v>46008</v>
      </c>
      <c r="J232" s="21">
        <f>IF(C232="","",IFERROR(INDEX(Clientes!$B:$B,MATCH(C232,Clientes!$A:$A,0)),"Cód. não cadastrado"))</f>
        <v/>
      </c>
      <c r="K232" s="18">
        <f>IF(B232="","",YEAR(B232))</f>
        <v/>
      </c>
      <c r="L232" s="18">
        <f>IF(B232="","",MONTH(B232))</f>
        <v/>
      </c>
      <c r="M232" s="18">
        <f>IF(OR(B232="",I232=""),"",I232-B232)</f>
        <v/>
      </c>
      <c r="N232" s="21">
        <f>IF(B232="","",IF(I232="",IF(H232="","",IF(TODAY()&gt;H232,"Atrasado (em aberto)","Em aberto")),IF(I232&lt;=H232,"No prazo","Fora do prazo")))</f>
        <v/>
      </c>
    </row>
    <row r="233">
      <c r="A233" t="inlineStr">
        <is>
          <t>PV1232</t>
        </is>
      </c>
      <c r="B233" s="22" t="n">
        <v>46047</v>
      </c>
      <c r="C233" t="inlineStr">
        <is>
          <t>C022</t>
        </is>
      </c>
      <c r="D233" t="inlineStr">
        <is>
          <t>Produto B 5kg</t>
        </is>
      </c>
      <c r="E233" s="23" t="n">
        <v>5.8</v>
      </c>
      <c r="F233" s="24" t="n">
        <v>17165.27</v>
      </c>
      <c r="G233" t="inlineStr">
        <is>
          <t>CIF</t>
        </is>
      </c>
      <c r="H233" s="22" t="n">
        <v>46077</v>
      </c>
      <c r="I233" s="22" t="n">
        <v>46071</v>
      </c>
      <c r="J233" s="21">
        <f>IF(C233="","",IFERROR(INDEX(Clientes!$B:$B,MATCH(C233,Clientes!$A:$A,0)),"Cód. não cadastrado"))</f>
        <v/>
      </c>
      <c r="K233" s="18">
        <f>IF(B233="","",YEAR(B233))</f>
        <v/>
      </c>
      <c r="L233" s="18">
        <f>IF(B233="","",MONTH(B233))</f>
        <v/>
      </c>
      <c r="M233" s="18">
        <f>IF(OR(B233="",I233=""),"",I233-B233)</f>
        <v/>
      </c>
      <c r="N233" s="21">
        <f>IF(B233="","",IF(I233="",IF(H233="","",IF(TODAY()&gt;H233,"Atrasado (em aberto)","Em aberto")),IF(I233&lt;=H233,"No prazo","Fora do prazo")))</f>
        <v/>
      </c>
    </row>
    <row r="234">
      <c r="A234" t="inlineStr">
        <is>
          <t>PV1233</t>
        </is>
      </c>
      <c r="B234" s="22" t="n">
        <v>46115</v>
      </c>
      <c r="C234" t="inlineStr">
        <is>
          <t>C022</t>
        </is>
      </c>
      <c r="D234" t="inlineStr">
        <is>
          <t>Produto B 5kg</t>
        </is>
      </c>
      <c r="E234" s="23" t="n">
        <v>4</v>
      </c>
      <c r="F234" s="24" t="n">
        <v>15058.46</v>
      </c>
      <c r="G234" t="inlineStr">
        <is>
          <t>FOB</t>
        </is>
      </c>
      <c r="H234" s="22" t="n">
        <v>46145</v>
      </c>
      <c r="I234" s="22" t="n">
        <v>46147</v>
      </c>
      <c r="J234" s="21">
        <f>IF(C234="","",IFERROR(INDEX(Clientes!$B:$B,MATCH(C234,Clientes!$A:$A,0)),"Cód. não cadastrado"))</f>
        <v/>
      </c>
      <c r="K234" s="18">
        <f>IF(B234="","",YEAR(B234))</f>
        <v/>
      </c>
      <c r="L234" s="18">
        <f>IF(B234="","",MONTH(B234))</f>
        <v/>
      </c>
      <c r="M234" s="18">
        <f>IF(OR(B234="",I234=""),"",I234-B234)</f>
        <v/>
      </c>
      <c r="N234" s="21">
        <f>IF(B234="","",IF(I234="",IF(H234="","",IF(TODAY()&gt;H234,"Atrasado (em aberto)","Em aberto")),IF(I234&lt;=H234,"No prazo","Fora do prazo")))</f>
        <v/>
      </c>
    </row>
    <row r="235">
      <c r="A235" t="inlineStr">
        <is>
          <t>PV1234</t>
        </is>
      </c>
      <c r="B235" s="22" t="n">
        <v>46228</v>
      </c>
      <c r="C235" t="inlineStr">
        <is>
          <t>C022</t>
        </is>
      </c>
      <c r="D235" t="inlineStr">
        <is>
          <t>Produto A 1kg</t>
        </is>
      </c>
      <c r="E235" s="23" t="n">
        <v>5.1</v>
      </c>
      <c r="F235" s="24" t="n">
        <v>19306.01</v>
      </c>
      <c r="G235" t="inlineStr">
        <is>
          <t>CIF</t>
        </is>
      </c>
      <c r="H235" s="22" t="n">
        <v>46258</v>
      </c>
      <c r="I235" s="22" t="n">
        <v>46252</v>
      </c>
      <c r="J235" s="21">
        <f>IF(C235="","",IFERROR(INDEX(Clientes!$B:$B,MATCH(C235,Clientes!$A:$A,0)),"Cód. não cadastrado"))</f>
        <v/>
      </c>
      <c r="K235" s="18">
        <f>IF(B235="","",YEAR(B235))</f>
        <v/>
      </c>
      <c r="L235" s="18">
        <f>IF(B235="","",MONTH(B235))</f>
        <v/>
      </c>
      <c r="M235" s="18">
        <f>IF(OR(B235="",I235=""),"",I235-B235)</f>
        <v/>
      </c>
      <c r="N235" s="21">
        <f>IF(B235="","",IF(I235="",IF(H235="","",IF(TODAY()&gt;H235,"Atrasado (em aberto)","Em aberto")),IF(I235&lt;=H235,"No prazo","Fora do prazo")))</f>
        <v/>
      </c>
    </row>
    <row r="236">
      <c r="A236" t="inlineStr">
        <is>
          <t>PV1235</t>
        </is>
      </c>
      <c r="B236" s="22" t="n">
        <v>46192</v>
      </c>
      <c r="C236" t="inlineStr">
        <is>
          <t>C023</t>
        </is>
      </c>
      <c r="D236" t="inlineStr">
        <is>
          <t>Produto C granel 25kg</t>
        </is>
      </c>
      <c r="E236" s="23" t="n">
        <v>4.6</v>
      </c>
      <c r="F236" s="24" t="n">
        <v>57474.15</v>
      </c>
      <c r="G236" t="inlineStr">
        <is>
          <t>CFR</t>
        </is>
      </c>
      <c r="H236" s="22" t="n">
        <v>46222</v>
      </c>
      <c r="I236" s="22" t="n">
        <v>46222</v>
      </c>
      <c r="J236" s="21">
        <f>IF(C236="","",IFERROR(INDEX(Clientes!$B:$B,MATCH(C236,Clientes!$A:$A,0)),"Cód. não cadastrado"))</f>
        <v/>
      </c>
      <c r="K236" s="18">
        <f>IF(B236="","",YEAR(B236))</f>
        <v/>
      </c>
      <c r="L236" s="18">
        <f>IF(B236="","",MONTH(B236))</f>
        <v/>
      </c>
      <c r="M236" s="18">
        <f>IF(OR(B236="",I236=""),"",I236-B236)</f>
        <v/>
      </c>
      <c r="N236" s="21">
        <f>IF(B236="","",IF(I236="",IF(H236="","",IF(TODAY()&gt;H236,"Atrasado (em aberto)","Em aberto")),IF(I236&lt;=H236,"No prazo","Fora do prazo")))</f>
        <v/>
      </c>
    </row>
    <row r="237">
      <c r="A237" t="inlineStr">
        <is>
          <t>PV1236</t>
        </is>
      </c>
      <c r="B237" s="22" t="n">
        <v>46257</v>
      </c>
      <c r="C237" t="inlineStr">
        <is>
          <t>C023</t>
        </is>
      </c>
      <c r="D237" t="inlineStr">
        <is>
          <t>Produto B 5kg</t>
        </is>
      </c>
      <c r="E237" s="23" t="n">
        <v>4</v>
      </c>
      <c r="F237" s="24" t="n">
        <v>57242.01</v>
      </c>
      <c r="G237" t="inlineStr">
        <is>
          <t>FOB</t>
        </is>
      </c>
      <c r="H237" s="22" t="n">
        <v>46287</v>
      </c>
      <c r="I237" s="22" t="n">
        <v>46284</v>
      </c>
      <c r="J237" s="21">
        <f>IF(C237="","",IFERROR(INDEX(Clientes!$B:$B,MATCH(C237,Clientes!$A:$A,0)),"Cód. não cadastrado"))</f>
        <v/>
      </c>
      <c r="K237" s="18">
        <f>IF(B237="","",YEAR(B237))</f>
        <v/>
      </c>
      <c r="L237" s="18">
        <f>IF(B237="","",MONTH(B237))</f>
        <v/>
      </c>
      <c r="M237" s="18">
        <f>IF(OR(B237="",I237=""),"",I237-B237)</f>
        <v/>
      </c>
      <c r="N237" s="21">
        <f>IF(B237="","",IF(I237="",IF(H237="","",IF(TODAY()&gt;H237,"Atrasado (em aberto)","Em aberto")),IF(I237&lt;=H237,"No prazo","Fora do prazo")))</f>
        <v/>
      </c>
    </row>
    <row r="238">
      <c r="A238" t="inlineStr">
        <is>
          <t>PV1237</t>
        </is>
      </c>
      <c r="B238" s="22" t="n">
        <v>46257</v>
      </c>
      <c r="C238" t="inlineStr">
        <is>
          <t>C024</t>
        </is>
      </c>
      <c r="D238" t="inlineStr">
        <is>
          <t>Produto A 1kg</t>
        </is>
      </c>
      <c r="E238" s="23" t="n">
        <v>6.8</v>
      </c>
      <c r="F238" s="24" t="n">
        <v>31002.77</v>
      </c>
      <c r="G238" t="inlineStr">
        <is>
          <t>CFR</t>
        </is>
      </c>
      <c r="H238" s="22" t="n">
        <v>46287</v>
      </c>
      <c r="I238" s="22" t="n">
        <v>46289</v>
      </c>
      <c r="J238" s="21">
        <f>IF(C238="","",IFERROR(INDEX(Clientes!$B:$B,MATCH(C238,Clientes!$A:$A,0)),"Cód. não cadastrado"))</f>
        <v/>
      </c>
      <c r="K238" s="18">
        <f>IF(B238="","",YEAR(B238))</f>
        <v/>
      </c>
      <c r="L238" s="18">
        <f>IF(B238="","",MONTH(B238))</f>
        <v/>
      </c>
      <c r="M238" s="18">
        <f>IF(OR(B238="",I238=""),"",I238-B238)</f>
        <v/>
      </c>
      <c r="N238" s="21">
        <f>IF(B238="","",IF(I238="",IF(H238="","",IF(TODAY()&gt;H238,"Atrasado (em aberto)","Em aberto")),IF(I238&lt;=H238,"No prazo","Fora do prazo")))</f>
        <v/>
      </c>
    </row>
    <row r="239">
      <c r="A239" t="inlineStr">
        <is>
          <t>PV1238</t>
        </is>
      </c>
      <c r="B239" s="22" t="n">
        <v>46258</v>
      </c>
      <c r="C239" t="inlineStr">
        <is>
          <t>C025</t>
        </is>
      </c>
      <c r="D239" t="inlineStr">
        <is>
          <t>Produto B 5kg</t>
        </is>
      </c>
      <c r="E239" s="23" t="n">
        <v>8.300000000000001</v>
      </c>
      <c r="F239" s="24" t="n">
        <v>16132.83</v>
      </c>
      <c r="G239" t="inlineStr">
        <is>
          <t>FOB</t>
        </is>
      </c>
      <c r="H239" s="22" t="n">
        <v>46288</v>
      </c>
      <c r="I239" s="22" t="n">
        <v>46282</v>
      </c>
      <c r="J239" s="21">
        <f>IF(C239="","",IFERROR(INDEX(Clientes!$B:$B,MATCH(C239,Clientes!$A:$A,0)),"Cód. não cadastrado"))</f>
        <v/>
      </c>
      <c r="K239" s="18">
        <f>IF(B239="","",YEAR(B239))</f>
        <v/>
      </c>
      <c r="L239" s="18">
        <f>IF(B239="","",MONTH(B239))</f>
        <v/>
      </c>
      <c r="M239" s="18">
        <f>IF(OR(B239="",I239=""),"",I239-B239)</f>
        <v/>
      </c>
      <c r="N239" s="21">
        <f>IF(B239="","",IF(I239="",IF(H239="","",IF(TODAY()&gt;H239,"Atrasado (em aberto)","Em aberto")),IF(I239&lt;=H239,"No prazo","Fora do prazo")))</f>
        <v/>
      </c>
    </row>
    <row r="240">
      <c r="A240" t="inlineStr">
        <is>
          <t>PV1239</t>
        </is>
      </c>
      <c r="B240" s="22" t="n">
        <v>46221</v>
      </c>
      <c r="C240" t="inlineStr">
        <is>
          <t>C026</t>
        </is>
      </c>
      <c r="D240" t="inlineStr">
        <is>
          <t>Produto A 1kg</t>
        </is>
      </c>
      <c r="E240" s="23" t="n">
        <v>5.3</v>
      </c>
      <c r="F240" s="24" t="n">
        <v>54779.04</v>
      </c>
      <c r="G240" t="inlineStr">
        <is>
          <t>FOB</t>
        </is>
      </c>
      <c r="H240" s="22" t="n">
        <v>46251</v>
      </c>
      <c r="I240" s="22" t="n">
        <v>46253</v>
      </c>
      <c r="J240" s="21">
        <f>IF(C240="","",IFERROR(INDEX(Clientes!$B:$B,MATCH(C240,Clientes!$A:$A,0)),"Cód. não cadastrado"))</f>
        <v/>
      </c>
      <c r="K240" s="18">
        <f>IF(B240="","",YEAR(B240))</f>
        <v/>
      </c>
      <c r="L240" s="18">
        <f>IF(B240="","",MONTH(B240))</f>
        <v/>
      </c>
      <c r="M240" s="18">
        <f>IF(OR(B240="",I240=""),"",I240-B240)</f>
        <v/>
      </c>
      <c r="N240" s="21">
        <f>IF(B240="","",IF(I240="",IF(H240="","",IF(TODAY()&gt;H240,"Atrasado (em aberto)","Em aberto")),IF(I240&lt;=H240,"No prazo","Fora do prazo")))</f>
        <v/>
      </c>
    </row>
    <row r="241">
      <c r="B241" s="22" t="n"/>
      <c r="E241" s="23" t="n"/>
      <c r="F241" s="24" t="n"/>
      <c r="H241" s="22" t="n"/>
      <c r="I241" s="22" t="n"/>
      <c r="J241" s="21">
        <f>IF(C241="","",IFERROR(INDEX(Clientes!$B:$B,MATCH(C241,Clientes!$A:$A,0)),"Cód. não cadastrado"))</f>
        <v/>
      </c>
      <c r="K241" s="18">
        <f>IF(B241="","",YEAR(B241))</f>
        <v/>
      </c>
      <c r="L241" s="18">
        <f>IF(B241="","",MONTH(B241))</f>
        <v/>
      </c>
      <c r="M241" s="18">
        <f>IF(OR(B241="",I241=""),"",I241-B241)</f>
        <v/>
      </c>
      <c r="N241" s="21">
        <f>IF(B241="","",IF(I241="",IF(H241="","",IF(TODAY()&gt;H241,"Atrasado (em aberto)","Em aberto")),IF(I241&lt;=H241,"No prazo","Fora do prazo")))</f>
        <v/>
      </c>
    </row>
    <row r="242">
      <c r="B242" s="22" t="n"/>
      <c r="E242" s="23" t="n"/>
      <c r="F242" s="24" t="n"/>
      <c r="H242" s="22" t="n"/>
      <c r="I242" s="22" t="n"/>
      <c r="J242" s="21">
        <f>IF(C242="","",IFERROR(INDEX(Clientes!$B:$B,MATCH(C242,Clientes!$A:$A,0)),"Cód. não cadastrado"))</f>
        <v/>
      </c>
      <c r="K242" s="18">
        <f>IF(B242="","",YEAR(B242))</f>
        <v/>
      </c>
      <c r="L242" s="18">
        <f>IF(B242="","",MONTH(B242))</f>
        <v/>
      </c>
      <c r="M242" s="18">
        <f>IF(OR(B242="",I242=""),"",I242-B242)</f>
        <v/>
      </c>
      <c r="N242" s="21">
        <f>IF(B242="","",IF(I242="",IF(H242="","",IF(TODAY()&gt;H242,"Atrasado (em aberto)","Em aberto")),IF(I242&lt;=H242,"No prazo","Fora do prazo")))</f>
        <v/>
      </c>
    </row>
    <row r="243">
      <c r="B243" s="22" t="n"/>
      <c r="E243" s="23" t="n"/>
      <c r="F243" s="24" t="n"/>
      <c r="H243" s="22" t="n"/>
      <c r="I243" s="22" t="n"/>
      <c r="J243" s="21">
        <f>IF(C243="","",IFERROR(INDEX(Clientes!$B:$B,MATCH(C243,Clientes!$A:$A,0)),"Cód. não cadastrado"))</f>
        <v/>
      </c>
      <c r="K243" s="18">
        <f>IF(B243="","",YEAR(B243))</f>
        <v/>
      </c>
      <c r="L243" s="18">
        <f>IF(B243="","",MONTH(B243))</f>
        <v/>
      </c>
      <c r="M243" s="18">
        <f>IF(OR(B243="",I243=""),"",I243-B243)</f>
        <v/>
      </c>
      <c r="N243" s="21">
        <f>IF(B243="","",IF(I243="",IF(H243="","",IF(TODAY()&gt;H243,"Atrasado (em aberto)","Em aberto")),IF(I243&lt;=H243,"No prazo","Fora do prazo")))</f>
        <v/>
      </c>
    </row>
    <row r="244">
      <c r="B244" s="22" t="n"/>
      <c r="E244" s="23" t="n"/>
      <c r="F244" s="24" t="n"/>
      <c r="H244" s="22" t="n"/>
      <c r="I244" s="22" t="n"/>
      <c r="J244" s="21">
        <f>IF(C244="","",IFERROR(INDEX(Clientes!$B:$B,MATCH(C244,Clientes!$A:$A,0)),"Cód. não cadastrado"))</f>
        <v/>
      </c>
      <c r="K244" s="18">
        <f>IF(B244="","",YEAR(B244))</f>
        <v/>
      </c>
      <c r="L244" s="18">
        <f>IF(B244="","",MONTH(B244))</f>
        <v/>
      </c>
      <c r="M244" s="18">
        <f>IF(OR(B244="",I244=""),"",I244-B244)</f>
        <v/>
      </c>
      <c r="N244" s="21">
        <f>IF(B244="","",IF(I244="",IF(H244="","",IF(TODAY()&gt;H244,"Atrasado (em aberto)","Em aberto")),IF(I244&lt;=H244,"No prazo","Fora do prazo")))</f>
        <v/>
      </c>
    </row>
    <row r="245">
      <c r="B245" s="22" t="n"/>
      <c r="E245" s="23" t="n"/>
      <c r="F245" s="24" t="n"/>
      <c r="H245" s="22" t="n"/>
      <c r="I245" s="22" t="n"/>
      <c r="J245" s="21">
        <f>IF(C245="","",IFERROR(INDEX(Clientes!$B:$B,MATCH(C245,Clientes!$A:$A,0)),"Cód. não cadastrado"))</f>
        <v/>
      </c>
      <c r="K245" s="18">
        <f>IF(B245="","",YEAR(B245))</f>
        <v/>
      </c>
      <c r="L245" s="18">
        <f>IF(B245="","",MONTH(B245))</f>
        <v/>
      </c>
      <c r="M245" s="18">
        <f>IF(OR(B245="",I245=""),"",I245-B245)</f>
        <v/>
      </c>
      <c r="N245" s="21">
        <f>IF(B245="","",IF(I245="",IF(H245="","",IF(TODAY()&gt;H245,"Atrasado (em aberto)","Em aberto")),IF(I245&lt;=H245,"No prazo","Fora do prazo")))</f>
        <v/>
      </c>
    </row>
    <row r="246">
      <c r="B246" s="22" t="n"/>
      <c r="E246" s="23" t="n"/>
      <c r="F246" s="24" t="n"/>
      <c r="H246" s="22" t="n"/>
      <c r="I246" s="22" t="n"/>
      <c r="J246" s="21">
        <f>IF(C246="","",IFERROR(INDEX(Clientes!$B:$B,MATCH(C246,Clientes!$A:$A,0)),"Cód. não cadastrado"))</f>
        <v/>
      </c>
      <c r="K246" s="18">
        <f>IF(B246="","",YEAR(B246))</f>
        <v/>
      </c>
      <c r="L246" s="18">
        <f>IF(B246="","",MONTH(B246))</f>
        <v/>
      </c>
      <c r="M246" s="18">
        <f>IF(OR(B246="",I246=""),"",I246-B246)</f>
        <v/>
      </c>
      <c r="N246" s="21">
        <f>IF(B246="","",IF(I246="",IF(H246="","",IF(TODAY()&gt;H246,"Atrasado (em aberto)","Em aberto")),IF(I246&lt;=H246,"No prazo","Fora do prazo")))</f>
        <v/>
      </c>
    </row>
    <row r="247">
      <c r="B247" s="22" t="n"/>
      <c r="E247" s="23" t="n"/>
      <c r="F247" s="24" t="n"/>
      <c r="H247" s="22" t="n"/>
      <c r="I247" s="22" t="n"/>
      <c r="J247" s="21">
        <f>IF(C247="","",IFERROR(INDEX(Clientes!$B:$B,MATCH(C247,Clientes!$A:$A,0)),"Cód. não cadastrado"))</f>
        <v/>
      </c>
      <c r="K247" s="18">
        <f>IF(B247="","",YEAR(B247))</f>
        <v/>
      </c>
      <c r="L247" s="18">
        <f>IF(B247="","",MONTH(B247))</f>
        <v/>
      </c>
      <c r="M247" s="18">
        <f>IF(OR(B247="",I247=""),"",I247-B247)</f>
        <v/>
      </c>
      <c r="N247" s="21">
        <f>IF(B247="","",IF(I247="",IF(H247="","",IF(TODAY()&gt;H247,"Atrasado (em aberto)","Em aberto")),IF(I247&lt;=H247,"No prazo","Fora do prazo")))</f>
        <v/>
      </c>
    </row>
    <row r="248">
      <c r="B248" s="22" t="n"/>
      <c r="E248" s="23" t="n"/>
      <c r="F248" s="24" t="n"/>
      <c r="H248" s="22" t="n"/>
      <c r="I248" s="22" t="n"/>
      <c r="J248" s="21">
        <f>IF(C248="","",IFERROR(INDEX(Clientes!$B:$B,MATCH(C248,Clientes!$A:$A,0)),"Cód. não cadastrado"))</f>
        <v/>
      </c>
      <c r="K248" s="18">
        <f>IF(B248="","",YEAR(B248))</f>
        <v/>
      </c>
      <c r="L248" s="18">
        <f>IF(B248="","",MONTH(B248))</f>
        <v/>
      </c>
      <c r="M248" s="18">
        <f>IF(OR(B248="",I248=""),"",I248-B248)</f>
        <v/>
      </c>
      <c r="N248" s="21">
        <f>IF(B248="","",IF(I248="",IF(H248="","",IF(TODAY()&gt;H248,"Atrasado (em aberto)","Em aberto")),IF(I248&lt;=H248,"No prazo","Fora do prazo")))</f>
        <v/>
      </c>
    </row>
    <row r="249">
      <c r="B249" s="22" t="n"/>
      <c r="E249" s="23" t="n"/>
      <c r="F249" s="24" t="n"/>
      <c r="H249" s="22" t="n"/>
      <c r="I249" s="22" t="n"/>
      <c r="J249" s="21">
        <f>IF(C249="","",IFERROR(INDEX(Clientes!$B:$B,MATCH(C249,Clientes!$A:$A,0)),"Cód. não cadastrado"))</f>
        <v/>
      </c>
      <c r="K249" s="18">
        <f>IF(B249="","",YEAR(B249))</f>
        <v/>
      </c>
      <c r="L249" s="18">
        <f>IF(B249="","",MONTH(B249))</f>
        <v/>
      </c>
      <c r="M249" s="18">
        <f>IF(OR(B249="",I249=""),"",I249-B249)</f>
        <v/>
      </c>
      <c r="N249" s="21">
        <f>IF(B249="","",IF(I249="",IF(H249="","",IF(TODAY()&gt;H249,"Atrasado (em aberto)","Em aberto")),IF(I249&lt;=H249,"No prazo","Fora do prazo")))</f>
        <v/>
      </c>
    </row>
    <row r="250">
      <c r="B250" s="22" t="n"/>
      <c r="E250" s="23" t="n"/>
      <c r="F250" s="24" t="n"/>
      <c r="H250" s="22" t="n"/>
      <c r="I250" s="22" t="n"/>
      <c r="J250" s="21">
        <f>IF(C250="","",IFERROR(INDEX(Clientes!$B:$B,MATCH(C250,Clientes!$A:$A,0)),"Cód. não cadastrado"))</f>
        <v/>
      </c>
      <c r="K250" s="18">
        <f>IF(B250="","",YEAR(B250))</f>
        <v/>
      </c>
      <c r="L250" s="18">
        <f>IF(B250="","",MONTH(B250))</f>
        <v/>
      </c>
      <c r="M250" s="18">
        <f>IF(OR(B250="",I250=""),"",I250-B250)</f>
        <v/>
      </c>
      <c r="N250" s="21">
        <f>IF(B250="","",IF(I250="",IF(H250="","",IF(TODAY()&gt;H250,"Atrasado (em aberto)","Em aberto")),IF(I250&lt;=H250,"No prazo","Fora do prazo")))</f>
        <v/>
      </c>
    </row>
    <row r="251">
      <c r="B251" s="22" t="n"/>
      <c r="E251" s="23" t="n"/>
      <c r="F251" s="24" t="n"/>
      <c r="H251" s="22" t="n"/>
      <c r="I251" s="22" t="n"/>
      <c r="J251" s="21">
        <f>IF(C251="","",IFERROR(INDEX(Clientes!$B:$B,MATCH(C251,Clientes!$A:$A,0)),"Cód. não cadastrado"))</f>
        <v/>
      </c>
      <c r="K251" s="18">
        <f>IF(B251="","",YEAR(B251))</f>
        <v/>
      </c>
      <c r="L251" s="18">
        <f>IF(B251="","",MONTH(B251))</f>
        <v/>
      </c>
      <c r="M251" s="18">
        <f>IF(OR(B251="",I251=""),"",I251-B251)</f>
        <v/>
      </c>
      <c r="N251" s="21">
        <f>IF(B251="","",IF(I251="",IF(H251="","",IF(TODAY()&gt;H251,"Atrasado (em aberto)","Em aberto")),IF(I251&lt;=H251,"No prazo","Fora do prazo")))</f>
        <v/>
      </c>
    </row>
    <row r="252">
      <c r="B252" s="22" t="n"/>
      <c r="E252" s="23" t="n"/>
      <c r="F252" s="24" t="n"/>
      <c r="H252" s="22" t="n"/>
      <c r="I252" s="22" t="n"/>
      <c r="J252" s="21">
        <f>IF(C252="","",IFERROR(INDEX(Clientes!$B:$B,MATCH(C252,Clientes!$A:$A,0)),"Cód. não cadastrado"))</f>
        <v/>
      </c>
      <c r="K252" s="18">
        <f>IF(B252="","",YEAR(B252))</f>
        <v/>
      </c>
      <c r="L252" s="18">
        <f>IF(B252="","",MONTH(B252))</f>
        <v/>
      </c>
      <c r="M252" s="18">
        <f>IF(OR(B252="",I252=""),"",I252-B252)</f>
        <v/>
      </c>
      <c r="N252" s="21">
        <f>IF(B252="","",IF(I252="",IF(H252="","",IF(TODAY()&gt;H252,"Atrasado (em aberto)","Em aberto")),IF(I252&lt;=H252,"No prazo","Fora do prazo")))</f>
        <v/>
      </c>
    </row>
    <row r="253">
      <c r="B253" s="22" t="n"/>
      <c r="E253" s="23" t="n"/>
      <c r="F253" s="24" t="n"/>
      <c r="H253" s="22" t="n"/>
      <c r="I253" s="22" t="n"/>
      <c r="J253" s="21">
        <f>IF(C253="","",IFERROR(INDEX(Clientes!$B:$B,MATCH(C253,Clientes!$A:$A,0)),"Cód. não cadastrado"))</f>
        <v/>
      </c>
      <c r="K253" s="18">
        <f>IF(B253="","",YEAR(B253))</f>
        <v/>
      </c>
      <c r="L253" s="18">
        <f>IF(B253="","",MONTH(B253))</f>
        <v/>
      </c>
      <c r="M253" s="18">
        <f>IF(OR(B253="",I253=""),"",I253-B253)</f>
        <v/>
      </c>
      <c r="N253" s="21">
        <f>IF(B253="","",IF(I253="",IF(H253="","",IF(TODAY()&gt;H253,"Atrasado (em aberto)","Em aberto")),IF(I253&lt;=H253,"No prazo","Fora do prazo")))</f>
        <v/>
      </c>
    </row>
    <row r="254">
      <c r="B254" s="22" t="n"/>
      <c r="E254" s="23" t="n"/>
      <c r="F254" s="24" t="n"/>
      <c r="H254" s="22" t="n"/>
      <c r="I254" s="22" t="n"/>
      <c r="J254" s="21">
        <f>IF(C254="","",IFERROR(INDEX(Clientes!$B:$B,MATCH(C254,Clientes!$A:$A,0)),"Cód. não cadastrado"))</f>
        <v/>
      </c>
      <c r="K254" s="18">
        <f>IF(B254="","",YEAR(B254))</f>
        <v/>
      </c>
      <c r="L254" s="18">
        <f>IF(B254="","",MONTH(B254))</f>
        <v/>
      </c>
      <c r="M254" s="18">
        <f>IF(OR(B254="",I254=""),"",I254-B254)</f>
        <v/>
      </c>
      <c r="N254" s="21">
        <f>IF(B254="","",IF(I254="",IF(H254="","",IF(TODAY()&gt;H254,"Atrasado (em aberto)","Em aberto")),IF(I254&lt;=H254,"No prazo","Fora do prazo")))</f>
        <v/>
      </c>
    </row>
    <row r="255">
      <c r="B255" s="22" t="n"/>
      <c r="E255" s="23" t="n"/>
      <c r="F255" s="24" t="n"/>
      <c r="H255" s="22" t="n"/>
      <c r="I255" s="22" t="n"/>
      <c r="J255" s="21">
        <f>IF(C255="","",IFERROR(INDEX(Clientes!$B:$B,MATCH(C255,Clientes!$A:$A,0)),"Cód. não cadastrado"))</f>
        <v/>
      </c>
      <c r="K255" s="18">
        <f>IF(B255="","",YEAR(B255))</f>
        <v/>
      </c>
      <c r="L255" s="18">
        <f>IF(B255="","",MONTH(B255))</f>
        <v/>
      </c>
      <c r="M255" s="18">
        <f>IF(OR(B255="",I255=""),"",I255-B255)</f>
        <v/>
      </c>
      <c r="N255" s="21">
        <f>IF(B255="","",IF(I255="",IF(H255="","",IF(TODAY()&gt;H255,"Atrasado (em aberto)","Em aberto")),IF(I255&lt;=H255,"No prazo","Fora do prazo")))</f>
        <v/>
      </c>
    </row>
    <row r="256">
      <c r="B256" s="22" t="n"/>
      <c r="E256" s="23" t="n"/>
      <c r="F256" s="24" t="n"/>
      <c r="H256" s="22" t="n"/>
      <c r="I256" s="22" t="n"/>
      <c r="J256" s="21">
        <f>IF(C256="","",IFERROR(INDEX(Clientes!$B:$B,MATCH(C256,Clientes!$A:$A,0)),"Cód. não cadastrado"))</f>
        <v/>
      </c>
      <c r="K256" s="18">
        <f>IF(B256="","",YEAR(B256))</f>
        <v/>
      </c>
      <c r="L256" s="18">
        <f>IF(B256="","",MONTH(B256))</f>
        <v/>
      </c>
      <c r="M256" s="18">
        <f>IF(OR(B256="",I256=""),"",I256-B256)</f>
        <v/>
      </c>
      <c r="N256" s="21">
        <f>IF(B256="","",IF(I256="",IF(H256="","",IF(TODAY()&gt;H256,"Atrasado (em aberto)","Em aberto")),IF(I256&lt;=H256,"No prazo","Fora do prazo")))</f>
        <v/>
      </c>
    </row>
    <row r="257">
      <c r="B257" s="22" t="n"/>
      <c r="E257" s="23" t="n"/>
      <c r="F257" s="24" t="n"/>
      <c r="H257" s="22" t="n"/>
      <c r="I257" s="22" t="n"/>
      <c r="J257" s="21">
        <f>IF(C257="","",IFERROR(INDEX(Clientes!$B:$B,MATCH(C257,Clientes!$A:$A,0)),"Cód. não cadastrado"))</f>
        <v/>
      </c>
      <c r="K257" s="18">
        <f>IF(B257="","",YEAR(B257))</f>
        <v/>
      </c>
      <c r="L257" s="18">
        <f>IF(B257="","",MONTH(B257))</f>
        <v/>
      </c>
      <c r="M257" s="18">
        <f>IF(OR(B257="",I257=""),"",I257-B257)</f>
        <v/>
      </c>
      <c r="N257" s="21">
        <f>IF(B257="","",IF(I257="",IF(H257="","",IF(TODAY()&gt;H257,"Atrasado (em aberto)","Em aberto")),IF(I257&lt;=H257,"No prazo","Fora do prazo")))</f>
        <v/>
      </c>
    </row>
    <row r="258">
      <c r="B258" s="22" t="n"/>
      <c r="E258" s="23" t="n"/>
      <c r="F258" s="24" t="n"/>
      <c r="H258" s="22" t="n"/>
      <c r="I258" s="22" t="n"/>
      <c r="J258" s="21">
        <f>IF(C258="","",IFERROR(INDEX(Clientes!$B:$B,MATCH(C258,Clientes!$A:$A,0)),"Cód. não cadastrado"))</f>
        <v/>
      </c>
      <c r="K258" s="18">
        <f>IF(B258="","",YEAR(B258))</f>
        <v/>
      </c>
      <c r="L258" s="18">
        <f>IF(B258="","",MONTH(B258))</f>
        <v/>
      </c>
      <c r="M258" s="18">
        <f>IF(OR(B258="",I258=""),"",I258-B258)</f>
        <v/>
      </c>
      <c r="N258" s="21">
        <f>IF(B258="","",IF(I258="",IF(H258="","",IF(TODAY()&gt;H258,"Atrasado (em aberto)","Em aberto")),IF(I258&lt;=H258,"No prazo","Fora do prazo")))</f>
        <v/>
      </c>
    </row>
    <row r="259">
      <c r="B259" s="22" t="n"/>
      <c r="E259" s="23" t="n"/>
      <c r="F259" s="24" t="n"/>
      <c r="H259" s="22" t="n"/>
      <c r="I259" s="22" t="n"/>
      <c r="J259" s="21">
        <f>IF(C259="","",IFERROR(INDEX(Clientes!$B:$B,MATCH(C259,Clientes!$A:$A,0)),"Cód. não cadastrado"))</f>
        <v/>
      </c>
      <c r="K259" s="18">
        <f>IF(B259="","",YEAR(B259))</f>
        <v/>
      </c>
      <c r="L259" s="18">
        <f>IF(B259="","",MONTH(B259))</f>
        <v/>
      </c>
      <c r="M259" s="18">
        <f>IF(OR(B259="",I259=""),"",I259-B259)</f>
        <v/>
      </c>
      <c r="N259" s="21">
        <f>IF(B259="","",IF(I259="",IF(H259="","",IF(TODAY()&gt;H259,"Atrasado (em aberto)","Em aberto")),IF(I259&lt;=H259,"No prazo","Fora do prazo")))</f>
        <v/>
      </c>
    </row>
    <row r="260">
      <c r="B260" s="22" t="n"/>
      <c r="E260" s="23" t="n"/>
      <c r="F260" s="24" t="n"/>
      <c r="H260" s="22" t="n"/>
      <c r="I260" s="22" t="n"/>
      <c r="J260" s="21">
        <f>IF(C260="","",IFERROR(INDEX(Clientes!$B:$B,MATCH(C260,Clientes!$A:$A,0)),"Cód. não cadastrado"))</f>
        <v/>
      </c>
      <c r="K260" s="18">
        <f>IF(B260="","",YEAR(B260))</f>
        <v/>
      </c>
      <c r="L260" s="18">
        <f>IF(B260="","",MONTH(B260))</f>
        <v/>
      </c>
      <c r="M260" s="18">
        <f>IF(OR(B260="",I260=""),"",I260-B260)</f>
        <v/>
      </c>
      <c r="N260" s="21">
        <f>IF(B260="","",IF(I260="",IF(H260="","",IF(TODAY()&gt;H260,"Atrasado (em aberto)","Em aberto")),IF(I260&lt;=H260,"No prazo","Fora do prazo")))</f>
        <v/>
      </c>
    </row>
    <row r="261">
      <c r="B261" s="22" t="n"/>
      <c r="E261" s="23" t="n"/>
      <c r="F261" s="24" t="n"/>
      <c r="H261" s="22" t="n"/>
      <c r="I261" s="22" t="n"/>
      <c r="J261" s="21">
        <f>IF(C261="","",IFERROR(INDEX(Clientes!$B:$B,MATCH(C261,Clientes!$A:$A,0)),"Cód. não cadastrado"))</f>
        <v/>
      </c>
      <c r="K261" s="18">
        <f>IF(B261="","",YEAR(B261))</f>
        <v/>
      </c>
      <c r="L261" s="18">
        <f>IF(B261="","",MONTH(B261))</f>
        <v/>
      </c>
      <c r="M261" s="18">
        <f>IF(OR(B261="",I261=""),"",I261-B261)</f>
        <v/>
      </c>
      <c r="N261" s="21">
        <f>IF(B261="","",IF(I261="",IF(H261="","",IF(TODAY()&gt;H261,"Atrasado (em aberto)","Em aberto")),IF(I261&lt;=H261,"No prazo","Fora do prazo")))</f>
        <v/>
      </c>
    </row>
    <row r="262">
      <c r="B262" s="22" t="n"/>
      <c r="E262" s="23" t="n"/>
      <c r="F262" s="24" t="n"/>
      <c r="H262" s="22" t="n"/>
      <c r="I262" s="22" t="n"/>
      <c r="J262" s="21">
        <f>IF(C262="","",IFERROR(INDEX(Clientes!$B:$B,MATCH(C262,Clientes!$A:$A,0)),"Cód. não cadastrado"))</f>
        <v/>
      </c>
      <c r="K262" s="18">
        <f>IF(B262="","",YEAR(B262))</f>
        <v/>
      </c>
      <c r="L262" s="18">
        <f>IF(B262="","",MONTH(B262))</f>
        <v/>
      </c>
      <c r="M262" s="18">
        <f>IF(OR(B262="",I262=""),"",I262-B262)</f>
        <v/>
      </c>
      <c r="N262" s="21">
        <f>IF(B262="","",IF(I262="",IF(H262="","",IF(TODAY()&gt;H262,"Atrasado (em aberto)","Em aberto")),IF(I262&lt;=H262,"No prazo","Fora do prazo")))</f>
        <v/>
      </c>
    </row>
    <row r="263">
      <c r="B263" s="22" t="n"/>
      <c r="E263" s="23" t="n"/>
      <c r="F263" s="24" t="n"/>
      <c r="H263" s="22" t="n"/>
      <c r="I263" s="22" t="n"/>
      <c r="J263" s="21">
        <f>IF(C263="","",IFERROR(INDEX(Clientes!$B:$B,MATCH(C263,Clientes!$A:$A,0)),"Cód. não cadastrado"))</f>
        <v/>
      </c>
      <c r="K263" s="18">
        <f>IF(B263="","",YEAR(B263))</f>
        <v/>
      </c>
      <c r="L263" s="18">
        <f>IF(B263="","",MONTH(B263))</f>
        <v/>
      </c>
      <c r="M263" s="18">
        <f>IF(OR(B263="",I263=""),"",I263-B263)</f>
        <v/>
      </c>
      <c r="N263" s="21">
        <f>IF(B263="","",IF(I263="",IF(H263="","",IF(TODAY()&gt;H263,"Atrasado (em aberto)","Em aberto")),IF(I263&lt;=H263,"No prazo","Fora do prazo")))</f>
        <v/>
      </c>
    </row>
    <row r="264">
      <c r="B264" s="22" t="n"/>
      <c r="E264" s="23" t="n"/>
      <c r="F264" s="24" t="n"/>
      <c r="H264" s="22" t="n"/>
      <c r="I264" s="22" t="n"/>
      <c r="J264" s="21">
        <f>IF(C264="","",IFERROR(INDEX(Clientes!$B:$B,MATCH(C264,Clientes!$A:$A,0)),"Cód. não cadastrado"))</f>
        <v/>
      </c>
      <c r="K264" s="18">
        <f>IF(B264="","",YEAR(B264))</f>
        <v/>
      </c>
      <c r="L264" s="18">
        <f>IF(B264="","",MONTH(B264))</f>
        <v/>
      </c>
      <c r="M264" s="18">
        <f>IF(OR(B264="",I264=""),"",I264-B264)</f>
        <v/>
      </c>
      <c r="N264" s="21">
        <f>IF(B264="","",IF(I264="",IF(H264="","",IF(TODAY()&gt;H264,"Atrasado (em aberto)","Em aberto")),IF(I264&lt;=H264,"No prazo","Fora do prazo")))</f>
        <v/>
      </c>
    </row>
    <row r="265">
      <c r="B265" s="22" t="n"/>
      <c r="E265" s="23" t="n"/>
      <c r="F265" s="24" t="n"/>
      <c r="H265" s="22" t="n"/>
      <c r="I265" s="22" t="n"/>
      <c r="J265" s="21">
        <f>IF(C265="","",IFERROR(INDEX(Clientes!$B:$B,MATCH(C265,Clientes!$A:$A,0)),"Cód. não cadastrado"))</f>
        <v/>
      </c>
      <c r="K265" s="18">
        <f>IF(B265="","",YEAR(B265))</f>
        <v/>
      </c>
      <c r="L265" s="18">
        <f>IF(B265="","",MONTH(B265))</f>
        <v/>
      </c>
      <c r="M265" s="18">
        <f>IF(OR(B265="",I265=""),"",I265-B265)</f>
        <v/>
      </c>
      <c r="N265" s="21">
        <f>IF(B265="","",IF(I265="",IF(H265="","",IF(TODAY()&gt;H265,"Atrasado (em aberto)","Em aberto")),IF(I265&lt;=H265,"No prazo","Fora do prazo")))</f>
        <v/>
      </c>
    </row>
    <row r="266">
      <c r="B266" s="22" t="n"/>
      <c r="E266" s="23" t="n"/>
      <c r="F266" s="24" t="n"/>
      <c r="H266" s="22" t="n"/>
      <c r="I266" s="22" t="n"/>
      <c r="J266" s="21">
        <f>IF(C266="","",IFERROR(INDEX(Clientes!$B:$B,MATCH(C266,Clientes!$A:$A,0)),"Cód. não cadastrado"))</f>
        <v/>
      </c>
      <c r="K266" s="18">
        <f>IF(B266="","",YEAR(B266))</f>
        <v/>
      </c>
      <c r="L266" s="18">
        <f>IF(B266="","",MONTH(B266))</f>
        <v/>
      </c>
      <c r="M266" s="18">
        <f>IF(OR(B266="",I266=""),"",I266-B266)</f>
        <v/>
      </c>
      <c r="N266" s="21">
        <f>IF(B266="","",IF(I266="",IF(H266="","",IF(TODAY()&gt;H266,"Atrasado (em aberto)","Em aberto")),IF(I266&lt;=H266,"No prazo","Fora do prazo")))</f>
        <v/>
      </c>
    </row>
    <row r="267">
      <c r="B267" s="22" t="n"/>
      <c r="E267" s="23" t="n"/>
      <c r="F267" s="24" t="n"/>
      <c r="H267" s="22" t="n"/>
      <c r="I267" s="22" t="n"/>
      <c r="J267" s="21">
        <f>IF(C267="","",IFERROR(INDEX(Clientes!$B:$B,MATCH(C267,Clientes!$A:$A,0)),"Cód. não cadastrado"))</f>
        <v/>
      </c>
      <c r="K267" s="18">
        <f>IF(B267="","",YEAR(B267))</f>
        <v/>
      </c>
      <c r="L267" s="18">
        <f>IF(B267="","",MONTH(B267))</f>
        <v/>
      </c>
      <c r="M267" s="18">
        <f>IF(OR(B267="",I267=""),"",I267-B267)</f>
        <v/>
      </c>
      <c r="N267" s="21">
        <f>IF(B267="","",IF(I267="",IF(H267="","",IF(TODAY()&gt;H267,"Atrasado (em aberto)","Em aberto")),IF(I267&lt;=H267,"No prazo","Fora do prazo")))</f>
        <v/>
      </c>
    </row>
    <row r="268">
      <c r="B268" s="22" t="n"/>
      <c r="E268" s="23" t="n"/>
      <c r="F268" s="24" t="n"/>
      <c r="H268" s="22" t="n"/>
      <c r="I268" s="22" t="n"/>
      <c r="J268" s="21">
        <f>IF(C268="","",IFERROR(INDEX(Clientes!$B:$B,MATCH(C268,Clientes!$A:$A,0)),"Cód. não cadastrado"))</f>
        <v/>
      </c>
      <c r="K268" s="18">
        <f>IF(B268="","",YEAR(B268))</f>
        <v/>
      </c>
      <c r="L268" s="18">
        <f>IF(B268="","",MONTH(B268))</f>
        <v/>
      </c>
      <c r="M268" s="18">
        <f>IF(OR(B268="",I268=""),"",I268-B268)</f>
        <v/>
      </c>
      <c r="N268" s="21">
        <f>IF(B268="","",IF(I268="",IF(H268="","",IF(TODAY()&gt;H268,"Atrasado (em aberto)","Em aberto")),IF(I268&lt;=H268,"No prazo","Fora do prazo")))</f>
        <v/>
      </c>
    </row>
    <row r="269">
      <c r="B269" s="22" t="n"/>
      <c r="E269" s="23" t="n"/>
      <c r="F269" s="24" t="n"/>
      <c r="H269" s="22" t="n"/>
      <c r="I269" s="22" t="n"/>
      <c r="J269" s="21">
        <f>IF(C269="","",IFERROR(INDEX(Clientes!$B:$B,MATCH(C269,Clientes!$A:$A,0)),"Cód. não cadastrado"))</f>
        <v/>
      </c>
      <c r="K269" s="18">
        <f>IF(B269="","",YEAR(B269))</f>
        <v/>
      </c>
      <c r="L269" s="18">
        <f>IF(B269="","",MONTH(B269))</f>
        <v/>
      </c>
      <c r="M269" s="18">
        <f>IF(OR(B269="",I269=""),"",I269-B269)</f>
        <v/>
      </c>
      <c r="N269" s="21">
        <f>IF(B269="","",IF(I269="",IF(H269="","",IF(TODAY()&gt;H269,"Atrasado (em aberto)","Em aberto")),IF(I269&lt;=H269,"No prazo","Fora do prazo")))</f>
        <v/>
      </c>
    </row>
    <row r="270">
      <c r="B270" s="22" t="n"/>
      <c r="E270" s="23" t="n"/>
      <c r="F270" s="24" t="n"/>
      <c r="H270" s="22" t="n"/>
      <c r="I270" s="22" t="n"/>
      <c r="J270" s="21">
        <f>IF(C270="","",IFERROR(INDEX(Clientes!$B:$B,MATCH(C270,Clientes!$A:$A,0)),"Cód. não cadastrado"))</f>
        <v/>
      </c>
      <c r="K270" s="18">
        <f>IF(B270="","",YEAR(B270))</f>
        <v/>
      </c>
      <c r="L270" s="18">
        <f>IF(B270="","",MONTH(B270))</f>
        <v/>
      </c>
      <c r="M270" s="18">
        <f>IF(OR(B270="",I270=""),"",I270-B270)</f>
        <v/>
      </c>
      <c r="N270" s="21">
        <f>IF(B270="","",IF(I270="",IF(H270="","",IF(TODAY()&gt;H270,"Atrasado (em aberto)","Em aberto")),IF(I270&lt;=H270,"No prazo","Fora do prazo")))</f>
        <v/>
      </c>
    </row>
    <row r="271">
      <c r="B271" s="22" t="n"/>
      <c r="E271" s="23" t="n"/>
      <c r="F271" s="24" t="n"/>
      <c r="H271" s="22" t="n"/>
      <c r="I271" s="22" t="n"/>
      <c r="J271" s="21">
        <f>IF(C271="","",IFERROR(INDEX(Clientes!$B:$B,MATCH(C271,Clientes!$A:$A,0)),"Cód. não cadastrado"))</f>
        <v/>
      </c>
      <c r="K271" s="18">
        <f>IF(B271="","",YEAR(B271))</f>
        <v/>
      </c>
      <c r="L271" s="18">
        <f>IF(B271="","",MONTH(B271))</f>
        <v/>
      </c>
      <c r="M271" s="18">
        <f>IF(OR(B271="",I271=""),"",I271-B271)</f>
        <v/>
      </c>
      <c r="N271" s="21">
        <f>IF(B271="","",IF(I271="",IF(H271="","",IF(TODAY()&gt;H271,"Atrasado (em aberto)","Em aberto")),IF(I271&lt;=H271,"No prazo","Fora do prazo")))</f>
        <v/>
      </c>
    </row>
    <row r="272">
      <c r="B272" s="22" t="n"/>
      <c r="E272" s="23" t="n"/>
      <c r="F272" s="24" t="n"/>
      <c r="H272" s="22" t="n"/>
      <c r="I272" s="22" t="n"/>
      <c r="J272" s="21">
        <f>IF(C272="","",IFERROR(INDEX(Clientes!$B:$B,MATCH(C272,Clientes!$A:$A,0)),"Cód. não cadastrado"))</f>
        <v/>
      </c>
      <c r="K272" s="18">
        <f>IF(B272="","",YEAR(B272))</f>
        <v/>
      </c>
      <c r="L272" s="18">
        <f>IF(B272="","",MONTH(B272))</f>
        <v/>
      </c>
      <c r="M272" s="18">
        <f>IF(OR(B272="",I272=""),"",I272-B272)</f>
        <v/>
      </c>
      <c r="N272" s="21">
        <f>IF(B272="","",IF(I272="",IF(H272="","",IF(TODAY()&gt;H272,"Atrasado (em aberto)","Em aberto")),IF(I272&lt;=H272,"No prazo","Fora do prazo")))</f>
        <v/>
      </c>
    </row>
    <row r="273">
      <c r="B273" s="22" t="n"/>
      <c r="E273" s="23" t="n"/>
      <c r="F273" s="24" t="n"/>
      <c r="H273" s="22" t="n"/>
      <c r="I273" s="22" t="n"/>
      <c r="J273" s="21">
        <f>IF(C273="","",IFERROR(INDEX(Clientes!$B:$B,MATCH(C273,Clientes!$A:$A,0)),"Cód. não cadastrado"))</f>
        <v/>
      </c>
      <c r="K273" s="18">
        <f>IF(B273="","",YEAR(B273))</f>
        <v/>
      </c>
      <c r="L273" s="18">
        <f>IF(B273="","",MONTH(B273))</f>
        <v/>
      </c>
      <c r="M273" s="18">
        <f>IF(OR(B273="",I273=""),"",I273-B273)</f>
        <v/>
      </c>
      <c r="N273" s="21">
        <f>IF(B273="","",IF(I273="",IF(H273="","",IF(TODAY()&gt;H273,"Atrasado (em aberto)","Em aberto")),IF(I273&lt;=H273,"No prazo","Fora do prazo")))</f>
        <v/>
      </c>
    </row>
    <row r="274">
      <c r="B274" s="22" t="n"/>
      <c r="E274" s="23" t="n"/>
      <c r="F274" s="24" t="n"/>
      <c r="H274" s="22" t="n"/>
      <c r="I274" s="22" t="n"/>
      <c r="J274" s="21">
        <f>IF(C274="","",IFERROR(INDEX(Clientes!$B:$B,MATCH(C274,Clientes!$A:$A,0)),"Cód. não cadastrado"))</f>
        <v/>
      </c>
      <c r="K274" s="18">
        <f>IF(B274="","",YEAR(B274))</f>
        <v/>
      </c>
      <c r="L274" s="18">
        <f>IF(B274="","",MONTH(B274))</f>
        <v/>
      </c>
      <c r="M274" s="18">
        <f>IF(OR(B274="",I274=""),"",I274-B274)</f>
        <v/>
      </c>
      <c r="N274" s="21">
        <f>IF(B274="","",IF(I274="",IF(H274="","",IF(TODAY()&gt;H274,"Atrasado (em aberto)","Em aberto")),IF(I274&lt;=H274,"No prazo","Fora do prazo")))</f>
        <v/>
      </c>
    </row>
    <row r="275">
      <c r="B275" s="22" t="n"/>
      <c r="E275" s="23" t="n"/>
      <c r="F275" s="24" t="n"/>
      <c r="H275" s="22" t="n"/>
      <c r="I275" s="22" t="n"/>
      <c r="J275" s="21">
        <f>IF(C275="","",IFERROR(INDEX(Clientes!$B:$B,MATCH(C275,Clientes!$A:$A,0)),"Cód. não cadastrado"))</f>
        <v/>
      </c>
      <c r="K275" s="18">
        <f>IF(B275="","",YEAR(B275))</f>
        <v/>
      </c>
      <c r="L275" s="18">
        <f>IF(B275="","",MONTH(B275))</f>
        <v/>
      </c>
      <c r="M275" s="18">
        <f>IF(OR(B275="",I275=""),"",I275-B275)</f>
        <v/>
      </c>
      <c r="N275" s="21">
        <f>IF(B275="","",IF(I275="",IF(H275="","",IF(TODAY()&gt;H275,"Atrasado (em aberto)","Em aberto")),IF(I275&lt;=H275,"No prazo","Fora do prazo")))</f>
        <v/>
      </c>
    </row>
    <row r="276">
      <c r="B276" s="22" t="n"/>
      <c r="E276" s="23" t="n"/>
      <c r="F276" s="24" t="n"/>
      <c r="H276" s="22" t="n"/>
      <c r="I276" s="22" t="n"/>
      <c r="J276" s="21">
        <f>IF(C276="","",IFERROR(INDEX(Clientes!$B:$B,MATCH(C276,Clientes!$A:$A,0)),"Cód. não cadastrado"))</f>
        <v/>
      </c>
      <c r="K276" s="18">
        <f>IF(B276="","",YEAR(B276))</f>
        <v/>
      </c>
      <c r="L276" s="18">
        <f>IF(B276="","",MONTH(B276))</f>
        <v/>
      </c>
      <c r="M276" s="18">
        <f>IF(OR(B276="",I276=""),"",I276-B276)</f>
        <v/>
      </c>
      <c r="N276" s="21">
        <f>IF(B276="","",IF(I276="",IF(H276="","",IF(TODAY()&gt;H276,"Atrasado (em aberto)","Em aberto")),IF(I276&lt;=H276,"No prazo","Fora do prazo")))</f>
        <v/>
      </c>
    </row>
    <row r="277">
      <c r="B277" s="22" t="n"/>
      <c r="E277" s="23" t="n"/>
      <c r="F277" s="24" t="n"/>
      <c r="H277" s="22" t="n"/>
      <c r="I277" s="22" t="n"/>
      <c r="J277" s="21">
        <f>IF(C277="","",IFERROR(INDEX(Clientes!$B:$B,MATCH(C277,Clientes!$A:$A,0)),"Cód. não cadastrado"))</f>
        <v/>
      </c>
      <c r="K277" s="18">
        <f>IF(B277="","",YEAR(B277))</f>
        <v/>
      </c>
      <c r="L277" s="18">
        <f>IF(B277="","",MONTH(B277))</f>
        <v/>
      </c>
      <c r="M277" s="18">
        <f>IF(OR(B277="",I277=""),"",I277-B277)</f>
        <v/>
      </c>
      <c r="N277" s="21">
        <f>IF(B277="","",IF(I277="",IF(H277="","",IF(TODAY()&gt;H277,"Atrasado (em aberto)","Em aberto")),IF(I277&lt;=H277,"No prazo","Fora do prazo")))</f>
        <v/>
      </c>
    </row>
    <row r="278">
      <c r="B278" s="22" t="n"/>
      <c r="E278" s="23" t="n"/>
      <c r="F278" s="24" t="n"/>
      <c r="H278" s="22" t="n"/>
      <c r="I278" s="22" t="n"/>
      <c r="J278" s="21">
        <f>IF(C278="","",IFERROR(INDEX(Clientes!$B:$B,MATCH(C278,Clientes!$A:$A,0)),"Cód. não cadastrado"))</f>
        <v/>
      </c>
      <c r="K278" s="18">
        <f>IF(B278="","",YEAR(B278))</f>
        <v/>
      </c>
      <c r="L278" s="18">
        <f>IF(B278="","",MONTH(B278))</f>
        <v/>
      </c>
      <c r="M278" s="18">
        <f>IF(OR(B278="",I278=""),"",I278-B278)</f>
        <v/>
      </c>
      <c r="N278" s="21">
        <f>IF(B278="","",IF(I278="",IF(H278="","",IF(TODAY()&gt;H278,"Atrasado (em aberto)","Em aberto")),IF(I278&lt;=H278,"No prazo","Fora do prazo")))</f>
        <v/>
      </c>
    </row>
    <row r="279">
      <c r="B279" s="22" t="n"/>
      <c r="E279" s="23" t="n"/>
      <c r="F279" s="24" t="n"/>
      <c r="H279" s="22" t="n"/>
      <c r="I279" s="22" t="n"/>
      <c r="J279" s="21">
        <f>IF(C279="","",IFERROR(INDEX(Clientes!$B:$B,MATCH(C279,Clientes!$A:$A,0)),"Cód. não cadastrado"))</f>
        <v/>
      </c>
      <c r="K279" s="18">
        <f>IF(B279="","",YEAR(B279))</f>
        <v/>
      </c>
      <c r="L279" s="18">
        <f>IF(B279="","",MONTH(B279))</f>
        <v/>
      </c>
      <c r="M279" s="18">
        <f>IF(OR(B279="",I279=""),"",I279-B279)</f>
        <v/>
      </c>
      <c r="N279" s="21">
        <f>IF(B279="","",IF(I279="",IF(H279="","",IF(TODAY()&gt;H279,"Atrasado (em aberto)","Em aberto")),IF(I279&lt;=H279,"No prazo","Fora do prazo")))</f>
        <v/>
      </c>
    </row>
    <row r="280">
      <c r="B280" s="22" t="n"/>
      <c r="E280" s="23" t="n"/>
      <c r="F280" s="24" t="n"/>
      <c r="H280" s="22" t="n"/>
      <c r="I280" s="22" t="n"/>
      <c r="J280" s="21">
        <f>IF(C280="","",IFERROR(INDEX(Clientes!$B:$B,MATCH(C280,Clientes!$A:$A,0)),"Cód. não cadastrado"))</f>
        <v/>
      </c>
      <c r="K280" s="18">
        <f>IF(B280="","",YEAR(B280))</f>
        <v/>
      </c>
      <c r="L280" s="18">
        <f>IF(B280="","",MONTH(B280))</f>
        <v/>
      </c>
      <c r="M280" s="18">
        <f>IF(OR(B280="",I280=""),"",I280-B280)</f>
        <v/>
      </c>
      <c r="N280" s="21">
        <f>IF(B280="","",IF(I280="",IF(H280="","",IF(TODAY()&gt;H280,"Atrasado (em aberto)","Em aberto")),IF(I280&lt;=H280,"No prazo","Fora do prazo")))</f>
        <v/>
      </c>
    </row>
    <row r="281">
      <c r="B281" s="22" t="n"/>
      <c r="E281" s="23" t="n"/>
      <c r="F281" s="24" t="n"/>
      <c r="H281" s="22" t="n"/>
      <c r="I281" s="22" t="n"/>
      <c r="J281" s="21">
        <f>IF(C281="","",IFERROR(INDEX(Clientes!$B:$B,MATCH(C281,Clientes!$A:$A,0)),"Cód. não cadastrado"))</f>
        <v/>
      </c>
      <c r="K281" s="18">
        <f>IF(B281="","",YEAR(B281))</f>
        <v/>
      </c>
      <c r="L281" s="18">
        <f>IF(B281="","",MONTH(B281))</f>
        <v/>
      </c>
      <c r="M281" s="18">
        <f>IF(OR(B281="",I281=""),"",I281-B281)</f>
        <v/>
      </c>
      <c r="N281" s="21">
        <f>IF(B281="","",IF(I281="",IF(H281="","",IF(TODAY()&gt;H281,"Atrasado (em aberto)","Em aberto")),IF(I281&lt;=H281,"No prazo","Fora do prazo")))</f>
        <v/>
      </c>
    </row>
    <row r="282">
      <c r="B282" s="22" t="n"/>
      <c r="E282" s="23" t="n"/>
      <c r="F282" s="24" t="n"/>
      <c r="H282" s="22" t="n"/>
      <c r="I282" s="22" t="n"/>
      <c r="J282" s="21">
        <f>IF(C282="","",IFERROR(INDEX(Clientes!$B:$B,MATCH(C282,Clientes!$A:$A,0)),"Cód. não cadastrado"))</f>
        <v/>
      </c>
      <c r="K282" s="18">
        <f>IF(B282="","",YEAR(B282))</f>
        <v/>
      </c>
      <c r="L282" s="18">
        <f>IF(B282="","",MONTH(B282))</f>
        <v/>
      </c>
      <c r="M282" s="18">
        <f>IF(OR(B282="",I282=""),"",I282-B282)</f>
        <v/>
      </c>
      <c r="N282" s="21">
        <f>IF(B282="","",IF(I282="",IF(H282="","",IF(TODAY()&gt;H282,"Atrasado (em aberto)","Em aberto")),IF(I282&lt;=H282,"No prazo","Fora do prazo")))</f>
        <v/>
      </c>
    </row>
    <row r="283">
      <c r="B283" s="22" t="n"/>
      <c r="E283" s="23" t="n"/>
      <c r="F283" s="24" t="n"/>
      <c r="H283" s="22" t="n"/>
      <c r="I283" s="22" t="n"/>
      <c r="J283" s="21">
        <f>IF(C283="","",IFERROR(INDEX(Clientes!$B:$B,MATCH(C283,Clientes!$A:$A,0)),"Cód. não cadastrado"))</f>
        <v/>
      </c>
      <c r="K283" s="18">
        <f>IF(B283="","",YEAR(B283))</f>
        <v/>
      </c>
      <c r="L283" s="18">
        <f>IF(B283="","",MONTH(B283))</f>
        <v/>
      </c>
      <c r="M283" s="18">
        <f>IF(OR(B283="",I283=""),"",I283-B283)</f>
        <v/>
      </c>
      <c r="N283" s="21">
        <f>IF(B283="","",IF(I283="",IF(H283="","",IF(TODAY()&gt;H283,"Atrasado (em aberto)","Em aberto")),IF(I283&lt;=H283,"No prazo","Fora do prazo")))</f>
        <v/>
      </c>
    </row>
    <row r="284">
      <c r="B284" s="22" t="n"/>
      <c r="E284" s="23" t="n"/>
      <c r="F284" s="24" t="n"/>
      <c r="H284" s="22" t="n"/>
      <c r="I284" s="22" t="n"/>
      <c r="J284" s="21">
        <f>IF(C284="","",IFERROR(INDEX(Clientes!$B:$B,MATCH(C284,Clientes!$A:$A,0)),"Cód. não cadastrado"))</f>
        <v/>
      </c>
      <c r="K284" s="18">
        <f>IF(B284="","",YEAR(B284))</f>
        <v/>
      </c>
      <c r="L284" s="18">
        <f>IF(B284="","",MONTH(B284))</f>
        <v/>
      </c>
      <c r="M284" s="18">
        <f>IF(OR(B284="",I284=""),"",I284-B284)</f>
        <v/>
      </c>
      <c r="N284" s="21">
        <f>IF(B284="","",IF(I284="",IF(H284="","",IF(TODAY()&gt;H284,"Atrasado (em aberto)","Em aberto")),IF(I284&lt;=H284,"No prazo","Fora do prazo")))</f>
        <v/>
      </c>
    </row>
    <row r="285">
      <c r="B285" s="22" t="n"/>
      <c r="E285" s="23" t="n"/>
      <c r="F285" s="24" t="n"/>
      <c r="H285" s="22" t="n"/>
      <c r="I285" s="22" t="n"/>
      <c r="J285" s="21">
        <f>IF(C285="","",IFERROR(INDEX(Clientes!$B:$B,MATCH(C285,Clientes!$A:$A,0)),"Cód. não cadastrado"))</f>
        <v/>
      </c>
      <c r="K285" s="18">
        <f>IF(B285="","",YEAR(B285))</f>
        <v/>
      </c>
      <c r="L285" s="18">
        <f>IF(B285="","",MONTH(B285))</f>
        <v/>
      </c>
      <c r="M285" s="18">
        <f>IF(OR(B285="",I285=""),"",I285-B285)</f>
        <v/>
      </c>
      <c r="N285" s="21">
        <f>IF(B285="","",IF(I285="",IF(H285="","",IF(TODAY()&gt;H285,"Atrasado (em aberto)","Em aberto")),IF(I285&lt;=H285,"No prazo","Fora do prazo")))</f>
        <v/>
      </c>
    </row>
    <row r="286">
      <c r="B286" s="22" t="n"/>
      <c r="E286" s="23" t="n"/>
      <c r="F286" s="24" t="n"/>
      <c r="H286" s="22" t="n"/>
      <c r="I286" s="22" t="n"/>
      <c r="J286" s="21">
        <f>IF(C286="","",IFERROR(INDEX(Clientes!$B:$B,MATCH(C286,Clientes!$A:$A,0)),"Cód. não cadastrado"))</f>
        <v/>
      </c>
      <c r="K286" s="18">
        <f>IF(B286="","",YEAR(B286))</f>
        <v/>
      </c>
      <c r="L286" s="18">
        <f>IF(B286="","",MONTH(B286))</f>
        <v/>
      </c>
      <c r="M286" s="18">
        <f>IF(OR(B286="",I286=""),"",I286-B286)</f>
        <v/>
      </c>
      <c r="N286" s="21">
        <f>IF(B286="","",IF(I286="",IF(H286="","",IF(TODAY()&gt;H286,"Atrasado (em aberto)","Em aberto")),IF(I286&lt;=H286,"No prazo","Fora do prazo")))</f>
        <v/>
      </c>
    </row>
    <row r="287">
      <c r="B287" s="22" t="n"/>
      <c r="E287" s="23" t="n"/>
      <c r="F287" s="24" t="n"/>
      <c r="H287" s="22" t="n"/>
      <c r="I287" s="22" t="n"/>
      <c r="J287" s="21">
        <f>IF(C287="","",IFERROR(INDEX(Clientes!$B:$B,MATCH(C287,Clientes!$A:$A,0)),"Cód. não cadastrado"))</f>
        <v/>
      </c>
      <c r="K287" s="18">
        <f>IF(B287="","",YEAR(B287))</f>
        <v/>
      </c>
      <c r="L287" s="18">
        <f>IF(B287="","",MONTH(B287))</f>
        <v/>
      </c>
      <c r="M287" s="18">
        <f>IF(OR(B287="",I287=""),"",I287-B287)</f>
        <v/>
      </c>
      <c r="N287" s="21">
        <f>IF(B287="","",IF(I287="",IF(H287="","",IF(TODAY()&gt;H287,"Atrasado (em aberto)","Em aberto")),IF(I287&lt;=H287,"No prazo","Fora do prazo")))</f>
        <v/>
      </c>
    </row>
    <row r="288">
      <c r="B288" s="22" t="n"/>
      <c r="E288" s="23" t="n"/>
      <c r="F288" s="24" t="n"/>
      <c r="H288" s="22" t="n"/>
      <c r="I288" s="22" t="n"/>
      <c r="J288" s="21">
        <f>IF(C288="","",IFERROR(INDEX(Clientes!$B:$B,MATCH(C288,Clientes!$A:$A,0)),"Cód. não cadastrado"))</f>
        <v/>
      </c>
      <c r="K288" s="18">
        <f>IF(B288="","",YEAR(B288))</f>
        <v/>
      </c>
      <c r="L288" s="18">
        <f>IF(B288="","",MONTH(B288))</f>
        <v/>
      </c>
      <c r="M288" s="18">
        <f>IF(OR(B288="",I288=""),"",I288-B288)</f>
        <v/>
      </c>
      <c r="N288" s="21">
        <f>IF(B288="","",IF(I288="",IF(H288="","",IF(TODAY()&gt;H288,"Atrasado (em aberto)","Em aberto")),IF(I288&lt;=H288,"No prazo","Fora do prazo")))</f>
        <v/>
      </c>
    </row>
    <row r="289">
      <c r="B289" s="22" t="n"/>
      <c r="E289" s="23" t="n"/>
      <c r="F289" s="24" t="n"/>
      <c r="H289" s="22" t="n"/>
      <c r="I289" s="22" t="n"/>
      <c r="J289" s="21">
        <f>IF(C289="","",IFERROR(INDEX(Clientes!$B:$B,MATCH(C289,Clientes!$A:$A,0)),"Cód. não cadastrado"))</f>
        <v/>
      </c>
      <c r="K289" s="18">
        <f>IF(B289="","",YEAR(B289))</f>
        <v/>
      </c>
      <c r="L289" s="18">
        <f>IF(B289="","",MONTH(B289))</f>
        <v/>
      </c>
      <c r="M289" s="18">
        <f>IF(OR(B289="",I289=""),"",I289-B289)</f>
        <v/>
      </c>
      <c r="N289" s="21">
        <f>IF(B289="","",IF(I289="",IF(H289="","",IF(TODAY()&gt;H289,"Atrasado (em aberto)","Em aberto")),IF(I289&lt;=H289,"No prazo","Fora do prazo")))</f>
        <v/>
      </c>
    </row>
    <row r="290">
      <c r="B290" s="22" t="n"/>
      <c r="E290" s="23" t="n"/>
      <c r="F290" s="24" t="n"/>
      <c r="H290" s="22" t="n"/>
      <c r="I290" s="22" t="n"/>
      <c r="J290" s="21">
        <f>IF(C290="","",IFERROR(INDEX(Clientes!$B:$B,MATCH(C290,Clientes!$A:$A,0)),"Cód. não cadastrado"))</f>
        <v/>
      </c>
      <c r="K290" s="18">
        <f>IF(B290="","",YEAR(B290))</f>
        <v/>
      </c>
      <c r="L290" s="18">
        <f>IF(B290="","",MONTH(B290))</f>
        <v/>
      </c>
      <c r="M290" s="18">
        <f>IF(OR(B290="",I290=""),"",I290-B290)</f>
        <v/>
      </c>
      <c r="N290" s="21">
        <f>IF(B290="","",IF(I290="",IF(H290="","",IF(TODAY()&gt;H290,"Atrasado (em aberto)","Em aberto")),IF(I290&lt;=H290,"No prazo","Fora do prazo")))</f>
        <v/>
      </c>
    </row>
    <row r="291">
      <c r="B291" s="22" t="n"/>
      <c r="E291" s="23" t="n"/>
      <c r="F291" s="24" t="n"/>
      <c r="H291" s="22" t="n"/>
      <c r="I291" s="22" t="n"/>
      <c r="J291" s="21">
        <f>IF(C291="","",IFERROR(INDEX(Clientes!$B:$B,MATCH(C291,Clientes!$A:$A,0)),"Cód. não cadastrado"))</f>
        <v/>
      </c>
      <c r="K291" s="18">
        <f>IF(B291="","",YEAR(B291))</f>
        <v/>
      </c>
      <c r="L291" s="18">
        <f>IF(B291="","",MONTH(B291))</f>
        <v/>
      </c>
      <c r="M291" s="18">
        <f>IF(OR(B291="",I291=""),"",I291-B291)</f>
        <v/>
      </c>
      <c r="N291" s="21">
        <f>IF(B291="","",IF(I291="",IF(H291="","",IF(TODAY()&gt;H291,"Atrasado (em aberto)","Em aberto")),IF(I291&lt;=H291,"No prazo","Fora do prazo")))</f>
        <v/>
      </c>
    </row>
    <row r="292">
      <c r="B292" s="22" t="n"/>
      <c r="E292" s="23" t="n"/>
      <c r="F292" s="24" t="n"/>
      <c r="H292" s="22" t="n"/>
      <c r="I292" s="22" t="n"/>
      <c r="J292" s="21">
        <f>IF(C292="","",IFERROR(INDEX(Clientes!$B:$B,MATCH(C292,Clientes!$A:$A,0)),"Cód. não cadastrado"))</f>
        <v/>
      </c>
      <c r="K292" s="18">
        <f>IF(B292="","",YEAR(B292))</f>
        <v/>
      </c>
      <c r="L292" s="18">
        <f>IF(B292="","",MONTH(B292))</f>
        <v/>
      </c>
      <c r="M292" s="18">
        <f>IF(OR(B292="",I292=""),"",I292-B292)</f>
        <v/>
      </c>
      <c r="N292" s="21">
        <f>IF(B292="","",IF(I292="",IF(H292="","",IF(TODAY()&gt;H292,"Atrasado (em aberto)","Em aberto")),IF(I292&lt;=H292,"No prazo","Fora do prazo")))</f>
        <v/>
      </c>
    </row>
    <row r="293">
      <c r="B293" s="22" t="n"/>
      <c r="E293" s="23" t="n"/>
      <c r="F293" s="24" t="n"/>
      <c r="H293" s="22" t="n"/>
      <c r="I293" s="22" t="n"/>
      <c r="J293" s="21">
        <f>IF(C293="","",IFERROR(INDEX(Clientes!$B:$B,MATCH(C293,Clientes!$A:$A,0)),"Cód. não cadastrado"))</f>
        <v/>
      </c>
      <c r="K293" s="18">
        <f>IF(B293="","",YEAR(B293))</f>
        <v/>
      </c>
      <c r="L293" s="18">
        <f>IF(B293="","",MONTH(B293))</f>
        <v/>
      </c>
      <c r="M293" s="18">
        <f>IF(OR(B293="",I293=""),"",I293-B293)</f>
        <v/>
      </c>
      <c r="N293" s="21">
        <f>IF(B293="","",IF(I293="",IF(H293="","",IF(TODAY()&gt;H293,"Atrasado (em aberto)","Em aberto")),IF(I293&lt;=H293,"No prazo","Fora do prazo")))</f>
        <v/>
      </c>
    </row>
    <row r="294">
      <c r="B294" s="22" t="n"/>
      <c r="E294" s="23" t="n"/>
      <c r="F294" s="24" t="n"/>
      <c r="H294" s="22" t="n"/>
      <c r="I294" s="22" t="n"/>
      <c r="J294" s="21">
        <f>IF(C294="","",IFERROR(INDEX(Clientes!$B:$B,MATCH(C294,Clientes!$A:$A,0)),"Cód. não cadastrado"))</f>
        <v/>
      </c>
      <c r="K294" s="18">
        <f>IF(B294="","",YEAR(B294))</f>
        <v/>
      </c>
      <c r="L294" s="18">
        <f>IF(B294="","",MONTH(B294))</f>
        <v/>
      </c>
      <c r="M294" s="18">
        <f>IF(OR(B294="",I294=""),"",I294-B294)</f>
        <v/>
      </c>
      <c r="N294" s="21">
        <f>IF(B294="","",IF(I294="",IF(H294="","",IF(TODAY()&gt;H294,"Atrasado (em aberto)","Em aberto")),IF(I294&lt;=H294,"No prazo","Fora do prazo")))</f>
        <v/>
      </c>
    </row>
    <row r="295">
      <c r="B295" s="22" t="n"/>
      <c r="E295" s="23" t="n"/>
      <c r="F295" s="24" t="n"/>
      <c r="H295" s="22" t="n"/>
      <c r="I295" s="22" t="n"/>
      <c r="J295" s="21">
        <f>IF(C295="","",IFERROR(INDEX(Clientes!$B:$B,MATCH(C295,Clientes!$A:$A,0)),"Cód. não cadastrado"))</f>
        <v/>
      </c>
      <c r="K295" s="18">
        <f>IF(B295="","",YEAR(B295))</f>
        <v/>
      </c>
      <c r="L295" s="18">
        <f>IF(B295="","",MONTH(B295))</f>
        <v/>
      </c>
      <c r="M295" s="18">
        <f>IF(OR(B295="",I295=""),"",I295-B295)</f>
        <v/>
      </c>
      <c r="N295" s="21">
        <f>IF(B295="","",IF(I295="",IF(H295="","",IF(TODAY()&gt;H295,"Atrasado (em aberto)","Em aberto")),IF(I295&lt;=H295,"No prazo","Fora do prazo")))</f>
        <v/>
      </c>
    </row>
    <row r="296">
      <c r="B296" s="22" t="n"/>
      <c r="E296" s="23" t="n"/>
      <c r="F296" s="24" t="n"/>
      <c r="H296" s="22" t="n"/>
      <c r="I296" s="22" t="n"/>
      <c r="J296" s="21">
        <f>IF(C296="","",IFERROR(INDEX(Clientes!$B:$B,MATCH(C296,Clientes!$A:$A,0)),"Cód. não cadastrado"))</f>
        <v/>
      </c>
      <c r="K296" s="18">
        <f>IF(B296="","",YEAR(B296))</f>
        <v/>
      </c>
      <c r="L296" s="18">
        <f>IF(B296="","",MONTH(B296))</f>
        <v/>
      </c>
      <c r="M296" s="18">
        <f>IF(OR(B296="",I296=""),"",I296-B296)</f>
        <v/>
      </c>
      <c r="N296" s="21">
        <f>IF(B296="","",IF(I296="",IF(H296="","",IF(TODAY()&gt;H296,"Atrasado (em aberto)","Em aberto")),IF(I296&lt;=H296,"No prazo","Fora do prazo")))</f>
        <v/>
      </c>
    </row>
    <row r="297">
      <c r="B297" s="22" t="n"/>
      <c r="E297" s="23" t="n"/>
      <c r="F297" s="24" t="n"/>
      <c r="H297" s="22" t="n"/>
      <c r="I297" s="22" t="n"/>
      <c r="J297" s="21">
        <f>IF(C297="","",IFERROR(INDEX(Clientes!$B:$B,MATCH(C297,Clientes!$A:$A,0)),"Cód. não cadastrado"))</f>
        <v/>
      </c>
      <c r="K297" s="18">
        <f>IF(B297="","",YEAR(B297))</f>
        <v/>
      </c>
      <c r="L297" s="18">
        <f>IF(B297="","",MONTH(B297))</f>
        <v/>
      </c>
      <c r="M297" s="18">
        <f>IF(OR(B297="",I297=""),"",I297-B297)</f>
        <v/>
      </c>
      <c r="N297" s="21">
        <f>IF(B297="","",IF(I297="",IF(H297="","",IF(TODAY()&gt;H297,"Atrasado (em aberto)","Em aberto")),IF(I297&lt;=H297,"No prazo","Fora do prazo")))</f>
        <v/>
      </c>
    </row>
    <row r="298">
      <c r="B298" s="22" t="n"/>
      <c r="E298" s="23" t="n"/>
      <c r="F298" s="24" t="n"/>
      <c r="H298" s="22" t="n"/>
      <c r="I298" s="22" t="n"/>
      <c r="J298" s="21">
        <f>IF(C298="","",IFERROR(INDEX(Clientes!$B:$B,MATCH(C298,Clientes!$A:$A,0)),"Cód. não cadastrado"))</f>
        <v/>
      </c>
      <c r="K298" s="18">
        <f>IF(B298="","",YEAR(B298))</f>
        <v/>
      </c>
      <c r="L298" s="18">
        <f>IF(B298="","",MONTH(B298))</f>
        <v/>
      </c>
      <c r="M298" s="18">
        <f>IF(OR(B298="",I298=""),"",I298-B298)</f>
        <v/>
      </c>
      <c r="N298" s="21">
        <f>IF(B298="","",IF(I298="",IF(H298="","",IF(TODAY()&gt;H298,"Atrasado (em aberto)","Em aberto")),IF(I298&lt;=H298,"No prazo","Fora do prazo")))</f>
        <v/>
      </c>
    </row>
    <row r="299">
      <c r="B299" s="22" t="n"/>
      <c r="E299" s="23" t="n"/>
      <c r="F299" s="24" t="n"/>
      <c r="H299" s="22" t="n"/>
      <c r="I299" s="22" t="n"/>
      <c r="J299" s="21">
        <f>IF(C299="","",IFERROR(INDEX(Clientes!$B:$B,MATCH(C299,Clientes!$A:$A,0)),"Cód. não cadastrado"))</f>
        <v/>
      </c>
      <c r="K299" s="18">
        <f>IF(B299="","",YEAR(B299))</f>
        <v/>
      </c>
      <c r="L299" s="18">
        <f>IF(B299="","",MONTH(B299))</f>
        <v/>
      </c>
      <c r="M299" s="18">
        <f>IF(OR(B299="",I299=""),"",I299-B299)</f>
        <v/>
      </c>
      <c r="N299" s="21">
        <f>IF(B299="","",IF(I299="",IF(H299="","",IF(TODAY()&gt;H299,"Atrasado (em aberto)","Em aberto")),IF(I299&lt;=H299,"No prazo","Fora do prazo")))</f>
        <v/>
      </c>
    </row>
    <row r="300">
      <c r="B300" s="22" t="n"/>
      <c r="E300" s="23" t="n"/>
      <c r="F300" s="24" t="n"/>
      <c r="H300" s="22" t="n"/>
      <c r="I300" s="22" t="n"/>
      <c r="J300" s="21">
        <f>IF(C300="","",IFERROR(INDEX(Clientes!$B:$B,MATCH(C300,Clientes!$A:$A,0)),"Cód. não cadastrado"))</f>
        <v/>
      </c>
      <c r="K300" s="18">
        <f>IF(B300="","",YEAR(B300))</f>
        <v/>
      </c>
      <c r="L300" s="18">
        <f>IF(B300="","",MONTH(B300))</f>
        <v/>
      </c>
      <c r="M300" s="18">
        <f>IF(OR(B300="",I300=""),"",I300-B300)</f>
        <v/>
      </c>
      <c r="N300" s="21">
        <f>IF(B300="","",IF(I300="",IF(H300="","",IF(TODAY()&gt;H300,"Atrasado (em aberto)","Em aberto")),IF(I300&lt;=H300,"No prazo","Fora do prazo")))</f>
        <v/>
      </c>
    </row>
    <row r="301">
      <c r="B301" s="22" t="n"/>
      <c r="E301" s="23" t="n"/>
      <c r="F301" s="24" t="n"/>
      <c r="H301" s="22" t="n"/>
      <c r="I301" s="22" t="n"/>
      <c r="J301" s="21">
        <f>IF(C301="","",IFERROR(INDEX(Clientes!$B:$B,MATCH(C301,Clientes!$A:$A,0)),"Cód. não cadastrado"))</f>
        <v/>
      </c>
      <c r="K301" s="18">
        <f>IF(B301="","",YEAR(B301))</f>
        <v/>
      </c>
      <c r="L301" s="18">
        <f>IF(B301="","",MONTH(B301))</f>
        <v/>
      </c>
      <c r="M301" s="18">
        <f>IF(OR(B301="",I301=""),"",I301-B301)</f>
        <v/>
      </c>
      <c r="N301" s="21">
        <f>IF(B301="","",IF(I301="",IF(H301="","",IF(TODAY()&gt;H301,"Atrasado (em aberto)","Em aberto")),IF(I301&lt;=H301,"No prazo","Fora do prazo")))</f>
        <v/>
      </c>
    </row>
    <row r="302">
      <c r="B302" s="22" t="n"/>
      <c r="E302" s="23" t="n"/>
      <c r="F302" s="24" t="n"/>
      <c r="H302" s="22" t="n"/>
      <c r="I302" s="22" t="n"/>
      <c r="J302" s="21">
        <f>IF(C302="","",IFERROR(INDEX(Clientes!$B:$B,MATCH(C302,Clientes!$A:$A,0)),"Cód. não cadastrado"))</f>
        <v/>
      </c>
      <c r="K302" s="18">
        <f>IF(B302="","",YEAR(B302))</f>
        <v/>
      </c>
      <c r="L302" s="18">
        <f>IF(B302="","",MONTH(B302))</f>
        <v/>
      </c>
      <c r="M302" s="18">
        <f>IF(OR(B302="",I302=""),"",I302-B302)</f>
        <v/>
      </c>
      <c r="N302" s="21">
        <f>IF(B302="","",IF(I302="",IF(H302="","",IF(TODAY()&gt;H302,"Atrasado (em aberto)","Em aberto")),IF(I302&lt;=H302,"No prazo","Fora do prazo")))</f>
        <v/>
      </c>
    </row>
    <row r="303">
      <c r="B303" s="22" t="n"/>
      <c r="E303" s="23" t="n"/>
      <c r="F303" s="24" t="n"/>
      <c r="H303" s="22" t="n"/>
      <c r="I303" s="22" t="n"/>
      <c r="J303" s="21">
        <f>IF(C303="","",IFERROR(INDEX(Clientes!$B:$B,MATCH(C303,Clientes!$A:$A,0)),"Cód. não cadastrado"))</f>
        <v/>
      </c>
      <c r="K303" s="18">
        <f>IF(B303="","",YEAR(B303))</f>
        <v/>
      </c>
      <c r="L303" s="18">
        <f>IF(B303="","",MONTH(B303))</f>
        <v/>
      </c>
      <c r="M303" s="18">
        <f>IF(OR(B303="",I303=""),"",I303-B303)</f>
        <v/>
      </c>
      <c r="N303" s="21">
        <f>IF(B303="","",IF(I303="",IF(H303="","",IF(TODAY()&gt;H303,"Atrasado (em aberto)","Em aberto")),IF(I303&lt;=H303,"No prazo","Fora do prazo")))</f>
        <v/>
      </c>
    </row>
    <row r="304">
      <c r="B304" s="22" t="n"/>
      <c r="E304" s="23" t="n"/>
      <c r="F304" s="24" t="n"/>
      <c r="H304" s="22" t="n"/>
      <c r="I304" s="22" t="n"/>
      <c r="J304" s="21">
        <f>IF(C304="","",IFERROR(INDEX(Clientes!$B:$B,MATCH(C304,Clientes!$A:$A,0)),"Cód. não cadastrado"))</f>
        <v/>
      </c>
      <c r="K304" s="18">
        <f>IF(B304="","",YEAR(B304))</f>
        <v/>
      </c>
      <c r="L304" s="18">
        <f>IF(B304="","",MONTH(B304))</f>
        <v/>
      </c>
      <c r="M304" s="18">
        <f>IF(OR(B304="",I304=""),"",I304-B304)</f>
        <v/>
      </c>
      <c r="N304" s="21">
        <f>IF(B304="","",IF(I304="",IF(H304="","",IF(TODAY()&gt;H304,"Atrasado (em aberto)","Em aberto")),IF(I304&lt;=H304,"No prazo","Fora do prazo")))</f>
        <v/>
      </c>
    </row>
    <row r="305">
      <c r="B305" s="22" t="n"/>
      <c r="E305" s="23" t="n"/>
      <c r="F305" s="24" t="n"/>
      <c r="H305" s="22" t="n"/>
      <c r="I305" s="22" t="n"/>
      <c r="J305" s="21">
        <f>IF(C305="","",IFERROR(INDEX(Clientes!$B:$B,MATCH(C305,Clientes!$A:$A,0)),"Cód. não cadastrado"))</f>
        <v/>
      </c>
      <c r="K305" s="18">
        <f>IF(B305="","",YEAR(B305))</f>
        <v/>
      </c>
      <c r="L305" s="18">
        <f>IF(B305="","",MONTH(B305))</f>
        <v/>
      </c>
      <c r="M305" s="18">
        <f>IF(OR(B305="",I305=""),"",I305-B305)</f>
        <v/>
      </c>
      <c r="N305" s="21">
        <f>IF(B305="","",IF(I305="",IF(H305="","",IF(TODAY()&gt;H305,"Atrasado (em aberto)","Em aberto")),IF(I305&lt;=H305,"No prazo","Fora do prazo")))</f>
        <v/>
      </c>
    </row>
    <row r="306">
      <c r="B306" s="22" t="n"/>
      <c r="E306" s="23" t="n"/>
      <c r="F306" s="24" t="n"/>
      <c r="H306" s="22" t="n"/>
      <c r="I306" s="22" t="n"/>
      <c r="J306" s="21">
        <f>IF(C306="","",IFERROR(INDEX(Clientes!$B:$B,MATCH(C306,Clientes!$A:$A,0)),"Cód. não cadastrado"))</f>
        <v/>
      </c>
      <c r="K306" s="18">
        <f>IF(B306="","",YEAR(B306))</f>
        <v/>
      </c>
      <c r="L306" s="18">
        <f>IF(B306="","",MONTH(B306))</f>
        <v/>
      </c>
      <c r="M306" s="18">
        <f>IF(OR(B306="",I306=""),"",I306-B306)</f>
        <v/>
      </c>
      <c r="N306" s="21">
        <f>IF(B306="","",IF(I306="",IF(H306="","",IF(TODAY()&gt;H306,"Atrasado (em aberto)","Em aberto")),IF(I306&lt;=H306,"No prazo","Fora do prazo")))</f>
        <v/>
      </c>
    </row>
    <row r="307">
      <c r="B307" s="22" t="n"/>
      <c r="E307" s="23" t="n"/>
      <c r="F307" s="24" t="n"/>
      <c r="H307" s="22" t="n"/>
      <c r="I307" s="22" t="n"/>
      <c r="J307" s="21">
        <f>IF(C307="","",IFERROR(INDEX(Clientes!$B:$B,MATCH(C307,Clientes!$A:$A,0)),"Cód. não cadastrado"))</f>
        <v/>
      </c>
      <c r="K307" s="18">
        <f>IF(B307="","",YEAR(B307))</f>
        <v/>
      </c>
      <c r="L307" s="18">
        <f>IF(B307="","",MONTH(B307))</f>
        <v/>
      </c>
      <c r="M307" s="18">
        <f>IF(OR(B307="",I307=""),"",I307-B307)</f>
        <v/>
      </c>
      <c r="N307" s="21">
        <f>IF(B307="","",IF(I307="",IF(H307="","",IF(TODAY()&gt;H307,"Atrasado (em aberto)","Em aberto")),IF(I307&lt;=H307,"No prazo","Fora do prazo")))</f>
        <v/>
      </c>
    </row>
    <row r="308">
      <c r="B308" s="22" t="n"/>
      <c r="E308" s="23" t="n"/>
      <c r="F308" s="24" t="n"/>
      <c r="H308" s="22" t="n"/>
      <c r="I308" s="22" t="n"/>
      <c r="J308" s="21">
        <f>IF(C308="","",IFERROR(INDEX(Clientes!$B:$B,MATCH(C308,Clientes!$A:$A,0)),"Cód. não cadastrado"))</f>
        <v/>
      </c>
      <c r="K308" s="18">
        <f>IF(B308="","",YEAR(B308))</f>
        <v/>
      </c>
      <c r="L308" s="18">
        <f>IF(B308="","",MONTH(B308))</f>
        <v/>
      </c>
      <c r="M308" s="18">
        <f>IF(OR(B308="",I308=""),"",I308-B308)</f>
        <v/>
      </c>
      <c r="N308" s="21">
        <f>IF(B308="","",IF(I308="",IF(H308="","",IF(TODAY()&gt;H308,"Atrasado (em aberto)","Em aberto")),IF(I308&lt;=H308,"No prazo","Fora do prazo")))</f>
        <v/>
      </c>
    </row>
    <row r="309">
      <c r="B309" s="22" t="n"/>
      <c r="E309" s="23" t="n"/>
      <c r="F309" s="24" t="n"/>
      <c r="H309" s="22" t="n"/>
      <c r="I309" s="22" t="n"/>
      <c r="J309" s="21">
        <f>IF(C309="","",IFERROR(INDEX(Clientes!$B:$B,MATCH(C309,Clientes!$A:$A,0)),"Cód. não cadastrado"))</f>
        <v/>
      </c>
      <c r="K309" s="18">
        <f>IF(B309="","",YEAR(B309))</f>
        <v/>
      </c>
      <c r="L309" s="18">
        <f>IF(B309="","",MONTH(B309))</f>
        <v/>
      </c>
      <c r="M309" s="18">
        <f>IF(OR(B309="",I309=""),"",I309-B309)</f>
        <v/>
      </c>
      <c r="N309" s="21">
        <f>IF(B309="","",IF(I309="",IF(H309="","",IF(TODAY()&gt;H309,"Atrasado (em aberto)","Em aberto")),IF(I309&lt;=H309,"No prazo","Fora do prazo")))</f>
        <v/>
      </c>
    </row>
    <row r="310">
      <c r="B310" s="22" t="n"/>
      <c r="E310" s="23" t="n"/>
      <c r="F310" s="24" t="n"/>
      <c r="H310" s="22" t="n"/>
      <c r="I310" s="22" t="n"/>
      <c r="J310" s="21">
        <f>IF(C310="","",IFERROR(INDEX(Clientes!$B:$B,MATCH(C310,Clientes!$A:$A,0)),"Cód. não cadastrado"))</f>
        <v/>
      </c>
      <c r="K310" s="18">
        <f>IF(B310="","",YEAR(B310))</f>
        <v/>
      </c>
      <c r="L310" s="18">
        <f>IF(B310="","",MONTH(B310))</f>
        <v/>
      </c>
      <c r="M310" s="18">
        <f>IF(OR(B310="",I310=""),"",I310-B310)</f>
        <v/>
      </c>
      <c r="N310" s="21">
        <f>IF(B310="","",IF(I310="",IF(H310="","",IF(TODAY()&gt;H310,"Atrasado (em aberto)","Em aberto")),IF(I310&lt;=H310,"No prazo","Fora do prazo")))</f>
        <v/>
      </c>
    </row>
    <row r="311">
      <c r="B311" s="22" t="n"/>
      <c r="E311" s="23" t="n"/>
      <c r="F311" s="24" t="n"/>
      <c r="H311" s="22" t="n"/>
      <c r="I311" s="22" t="n"/>
      <c r="J311" s="21">
        <f>IF(C311="","",IFERROR(INDEX(Clientes!$B:$B,MATCH(C311,Clientes!$A:$A,0)),"Cód. não cadastrado"))</f>
        <v/>
      </c>
      <c r="K311" s="18">
        <f>IF(B311="","",YEAR(B311))</f>
        <v/>
      </c>
      <c r="L311" s="18">
        <f>IF(B311="","",MONTH(B311))</f>
        <v/>
      </c>
      <c r="M311" s="18">
        <f>IF(OR(B311="",I311=""),"",I311-B311)</f>
        <v/>
      </c>
      <c r="N311" s="21">
        <f>IF(B311="","",IF(I311="",IF(H311="","",IF(TODAY()&gt;H311,"Atrasado (em aberto)","Em aberto")),IF(I311&lt;=H311,"No prazo","Fora do prazo")))</f>
        <v/>
      </c>
    </row>
    <row r="312">
      <c r="B312" s="22" t="n"/>
      <c r="E312" s="23" t="n"/>
      <c r="F312" s="24" t="n"/>
      <c r="H312" s="22" t="n"/>
      <c r="I312" s="22" t="n"/>
      <c r="J312" s="21">
        <f>IF(C312="","",IFERROR(INDEX(Clientes!$B:$B,MATCH(C312,Clientes!$A:$A,0)),"Cód. não cadastrado"))</f>
        <v/>
      </c>
      <c r="K312" s="18">
        <f>IF(B312="","",YEAR(B312))</f>
        <v/>
      </c>
      <c r="L312" s="18">
        <f>IF(B312="","",MONTH(B312))</f>
        <v/>
      </c>
      <c r="M312" s="18">
        <f>IF(OR(B312="",I312=""),"",I312-B312)</f>
        <v/>
      </c>
      <c r="N312" s="21">
        <f>IF(B312="","",IF(I312="",IF(H312="","",IF(TODAY()&gt;H312,"Atrasado (em aberto)","Em aberto")),IF(I312&lt;=H312,"No prazo","Fora do prazo")))</f>
        <v/>
      </c>
    </row>
    <row r="313">
      <c r="B313" s="22" t="n"/>
      <c r="E313" s="23" t="n"/>
      <c r="F313" s="24" t="n"/>
      <c r="H313" s="22" t="n"/>
      <c r="I313" s="22" t="n"/>
      <c r="J313" s="21">
        <f>IF(C313="","",IFERROR(INDEX(Clientes!$B:$B,MATCH(C313,Clientes!$A:$A,0)),"Cód. não cadastrado"))</f>
        <v/>
      </c>
      <c r="K313" s="18">
        <f>IF(B313="","",YEAR(B313))</f>
        <v/>
      </c>
      <c r="L313" s="18">
        <f>IF(B313="","",MONTH(B313))</f>
        <v/>
      </c>
      <c r="M313" s="18">
        <f>IF(OR(B313="",I313=""),"",I313-B313)</f>
        <v/>
      </c>
      <c r="N313" s="21">
        <f>IF(B313="","",IF(I313="",IF(H313="","",IF(TODAY()&gt;H313,"Atrasado (em aberto)","Em aberto")),IF(I313&lt;=H313,"No prazo","Fora do prazo")))</f>
        <v/>
      </c>
    </row>
    <row r="314">
      <c r="B314" s="22" t="n"/>
      <c r="E314" s="23" t="n"/>
      <c r="F314" s="24" t="n"/>
      <c r="H314" s="22" t="n"/>
      <c r="I314" s="22" t="n"/>
      <c r="J314" s="21">
        <f>IF(C314="","",IFERROR(INDEX(Clientes!$B:$B,MATCH(C314,Clientes!$A:$A,0)),"Cód. não cadastrado"))</f>
        <v/>
      </c>
      <c r="K314" s="18">
        <f>IF(B314="","",YEAR(B314))</f>
        <v/>
      </c>
      <c r="L314" s="18">
        <f>IF(B314="","",MONTH(B314))</f>
        <v/>
      </c>
      <c r="M314" s="18">
        <f>IF(OR(B314="",I314=""),"",I314-B314)</f>
        <v/>
      </c>
      <c r="N314" s="21">
        <f>IF(B314="","",IF(I314="",IF(H314="","",IF(TODAY()&gt;H314,"Atrasado (em aberto)","Em aberto")),IF(I314&lt;=H314,"No prazo","Fora do prazo")))</f>
        <v/>
      </c>
    </row>
    <row r="315">
      <c r="B315" s="22" t="n"/>
      <c r="E315" s="23" t="n"/>
      <c r="F315" s="24" t="n"/>
      <c r="H315" s="22" t="n"/>
      <c r="I315" s="22" t="n"/>
      <c r="J315" s="21">
        <f>IF(C315="","",IFERROR(INDEX(Clientes!$B:$B,MATCH(C315,Clientes!$A:$A,0)),"Cód. não cadastrado"))</f>
        <v/>
      </c>
      <c r="K315" s="18">
        <f>IF(B315="","",YEAR(B315))</f>
        <v/>
      </c>
      <c r="L315" s="18">
        <f>IF(B315="","",MONTH(B315))</f>
        <v/>
      </c>
      <c r="M315" s="18">
        <f>IF(OR(B315="",I315=""),"",I315-B315)</f>
        <v/>
      </c>
      <c r="N315" s="21">
        <f>IF(B315="","",IF(I315="",IF(H315="","",IF(TODAY()&gt;H315,"Atrasado (em aberto)","Em aberto")),IF(I315&lt;=H315,"No prazo","Fora do prazo")))</f>
        <v/>
      </c>
    </row>
    <row r="316">
      <c r="B316" s="22" t="n"/>
      <c r="E316" s="23" t="n"/>
      <c r="F316" s="24" t="n"/>
      <c r="H316" s="22" t="n"/>
      <c r="I316" s="22" t="n"/>
      <c r="J316" s="21">
        <f>IF(C316="","",IFERROR(INDEX(Clientes!$B:$B,MATCH(C316,Clientes!$A:$A,0)),"Cód. não cadastrado"))</f>
        <v/>
      </c>
      <c r="K316" s="18">
        <f>IF(B316="","",YEAR(B316))</f>
        <v/>
      </c>
      <c r="L316" s="18">
        <f>IF(B316="","",MONTH(B316))</f>
        <v/>
      </c>
      <c r="M316" s="18">
        <f>IF(OR(B316="",I316=""),"",I316-B316)</f>
        <v/>
      </c>
      <c r="N316" s="21">
        <f>IF(B316="","",IF(I316="",IF(H316="","",IF(TODAY()&gt;H316,"Atrasado (em aberto)","Em aberto")),IF(I316&lt;=H316,"No prazo","Fora do prazo")))</f>
        <v/>
      </c>
    </row>
    <row r="317">
      <c r="B317" s="22" t="n"/>
      <c r="E317" s="23" t="n"/>
      <c r="F317" s="24" t="n"/>
      <c r="H317" s="22" t="n"/>
      <c r="I317" s="22" t="n"/>
      <c r="J317" s="21">
        <f>IF(C317="","",IFERROR(INDEX(Clientes!$B:$B,MATCH(C317,Clientes!$A:$A,0)),"Cód. não cadastrado"))</f>
        <v/>
      </c>
      <c r="K317" s="18">
        <f>IF(B317="","",YEAR(B317))</f>
        <v/>
      </c>
      <c r="L317" s="18">
        <f>IF(B317="","",MONTH(B317))</f>
        <v/>
      </c>
      <c r="M317" s="18">
        <f>IF(OR(B317="",I317=""),"",I317-B317)</f>
        <v/>
      </c>
      <c r="N317" s="21">
        <f>IF(B317="","",IF(I317="",IF(H317="","",IF(TODAY()&gt;H317,"Atrasado (em aberto)","Em aberto")),IF(I317&lt;=H317,"No prazo","Fora do prazo")))</f>
        <v/>
      </c>
    </row>
    <row r="318">
      <c r="B318" s="22" t="n"/>
      <c r="E318" s="23" t="n"/>
      <c r="F318" s="24" t="n"/>
      <c r="H318" s="22" t="n"/>
      <c r="I318" s="22" t="n"/>
      <c r="J318" s="21">
        <f>IF(C318="","",IFERROR(INDEX(Clientes!$B:$B,MATCH(C318,Clientes!$A:$A,0)),"Cód. não cadastrado"))</f>
        <v/>
      </c>
      <c r="K318" s="18">
        <f>IF(B318="","",YEAR(B318))</f>
        <v/>
      </c>
      <c r="L318" s="18">
        <f>IF(B318="","",MONTH(B318))</f>
        <v/>
      </c>
      <c r="M318" s="18">
        <f>IF(OR(B318="",I318=""),"",I318-B318)</f>
        <v/>
      </c>
      <c r="N318" s="21">
        <f>IF(B318="","",IF(I318="",IF(H318="","",IF(TODAY()&gt;H318,"Atrasado (em aberto)","Em aberto")),IF(I318&lt;=H318,"No prazo","Fora do prazo")))</f>
        <v/>
      </c>
    </row>
    <row r="319">
      <c r="B319" s="22" t="n"/>
      <c r="E319" s="23" t="n"/>
      <c r="F319" s="24" t="n"/>
      <c r="H319" s="22" t="n"/>
      <c r="I319" s="22" t="n"/>
      <c r="J319" s="21">
        <f>IF(C319="","",IFERROR(INDEX(Clientes!$B:$B,MATCH(C319,Clientes!$A:$A,0)),"Cód. não cadastrado"))</f>
        <v/>
      </c>
      <c r="K319" s="18">
        <f>IF(B319="","",YEAR(B319))</f>
        <v/>
      </c>
      <c r="L319" s="18">
        <f>IF(B319="","",MONTH(B319))</f>
        <v/>
      </c>
      <c r="M319" s="18">
        <f>IF(OR(B319="",I319=""),"",I319-B319)</f>
        <v/>
      </c>
      <c r="N319" s="21">
        <f>IF(B319="","",IF(I319="",IF(H319="","",IF(TODAY()&gt;H319,"Atrasado (em aberto)","Em aberto")),IF(I319&lt;=H319,"No prazo","Fora do prazo")))</f>
        <v/>
      </c>
    </row>
    <row r="320">
      <c r="B320" s="22" t="n"/>
      <c r="E320" s="23" t="n"/>
      <c r="F320" s="24" t="n"/>
      <c r="H320" s="22" t="n"/>
      <c r="I320" s="22" t="n"/>
      <c r="J320" s="21">
        <f>IF(C320="","",IFERROR(INDEX(Clientes!$B:$B,MATCH(C320,Clientes!$A:$A,0)),"Cód. não cadastrado"))</f>
        <v/>
      </c>
      <c r="K320" s="18">
        <f>IF(B320="","",YEAR(B320))</f>
        <v/>
      </c>
      <c r="L320" s="18">
        <f>IF(B320="","",MONTH(B320))</f>
        <v/>
      </c>
      <c r="M320" s="18">
        <f>IF(OR(B320="",I320=""),"",I320-B320)</f>
        <v/>
      </c>
      <c r="N320" s="21">
        <f>IF(B320="","",IF(I320="",IF(H320="","",IF(TODAY()&gt;H320,"Atrasado (em aberto)","Em aberto")),IF(I320&lt;=H320,"No prazo","Fora do prazo")))</f>
        <v/>
      </c>
    </row>
    <row r="321">
      <c r="B321" s="22" t="n"/>
      <c r="E321" s="23" t="n"/>
      <c r="F321" s="24" t="n"/>
      <c r="H321" s="22" t="n"/>
      <c r="I321" s="22" t="n"/>
      <c r="J321" s="21">
        <f>IF(C321="","",IFERROR(INDEX(Clientes!$B:$B,MATCH(C321,Clientes!$A:$A,0)),"Cód. não cadastrado"))</f>
        <v/>
      </c>
      <c r="K321" s="18">
        <f>IF(B321="","",YEAR(B321))</f>
        <v/>
      </c>
      <c r="L321" s="18">
        <f>IF(B321="","",MONTH(B321))</f>
        <v/>
      </c>
      <c r="M321" s="18">
        <f>IF(OR(B321="",I321=""),"",I321-B321)</f>
        <v/>
      </c>
      <c r="N321" s="21">
        <f>IF(B321="","",IF(I321="",IF(H321="","",IF(TODAY()&gt;H321,"Atrasado (em aberto)","Em aberto")),IF(I321&lt;=H321,"No prazo","Fora do prazo")))</f>
        <v/>
      </c>
    </row>
    <row r="322">
      <c r="B322" s="22" t="n"/>
      <c r="E322" s="23" t="n"/>
      <c r="F322" s="24" t="n"/>
      <c r="H322" s="22" t="n"/>
      <c r="I322" s="22" t="n"/>
      <c r="J322" s="21">
        <f>IF(C322="","",IFERROR(INDEX(Clientes!$B:$B,MATCH(C322,Clientes!$A:$A,0)),"Cód. não cadastrado"))</f>
        <v/>
      </c>
      <c r="K322" s="18">
        <f>IF(B322="","",YEAR(B322))</f>
        <v/>
      </c>
      <c r="L322" s="18">
        <f>IF(B322="","",MONTH(B322))</f>
        <v/>
      </c>
      <c r="M322" s="18">
        <f>IF(OR(B322="",I322=""),"",I322-B322)</f>
        <v/>
      </c>
      <c r="N322" s="21">
        <f>IF(B322="","",IF(I322="",IF(H322="","",IF(TODAY()&gt;H322,"Atrasado (em aberto)","Em aberto")),IF(I322&lt;=H322,"No prazo","Fora do prazo")))</f>
        <v/>
      </c>
    </row>
    <row r="323">
      <c r="B323" s="22" t="n"/>
      <c r="E323" s="23" t="n"/>
      <c r="F323" s="24" t="n"/>
      <c r="H323" s="22" t="n"/>
      <c r="I323" s="22" t="n"/>
      <c r="J323" s="21">
        <f>IF(C323="","",IFERROR(INDEX(Clientes!$B:$B,MATCH(C323,Clientes!$A:$A,0)),"Cód. não cadastrado"))</f>
        <v/>
      </c>
      <c r="K323" s="18">
        <f>IF(B323="","",YEAR(B323))</f>
        <v/>
      </c>
      <c r="L323" s="18">
        <f>IF(B323="","",MONTH(B323))</f>
        <v/>
      </c>
      <c r="M323" s="18">
        <f>IF(OR(B323="",I323=""),"",I323-B323)</f>
        <v/>
      </c>
      <c r="N323" s="21">
        <f>IF(B323="","",IF(I323="",IF(H323="","",IF(TODAY()&gt;H323,"Atrasado (em aberto)","Em aberto")),IF(I323&lt;=H323,"No prazo","Fora do prazo")))</f>
        <v/>
      </c>
    </row>
    <row r="324">
      <c r="B324" s="22" t="n"/>
      <c r="E324" s="23" t="n"/>
      <c r="F324" s="24" t="n"/>
      <c r="H324" s="22" t="n"/>
      <c r="I324" s="22" t="n"/>
      <c r="J324" s="21">
        <f>IF(C324="","",IFERROR(INDEX(Clientes!$B:$B,MATCH(C324,Clientes!$A:$A,0)),"Cód. não cadastrado"))</f>
        <v/>
      </c>
      <c r="K324" s="18">
        <f>IF(B324="","",YEAR(B324))</f>
        <v/>
      </c>
      <c r="L324" s="18">
        <f>IF(B324="","",MONTH(B324))</f>
        <v/>
      </c>
      <c r="M324" s="18">
        <f>IF(OR(B324="",I324=""),"",I324-B324)</f>
        <v/>
      </c>
      <c r="N324" s="21">
        <f>IF(B324="","",IF(I324="",IF(H324="","",IF(TODAY()&gt;H324,"Atrasado (em aberto)","Em aberto")),IF(I324&lt;=H324,"No prazo","Fora do prazo")))</f>
        <v/>
      </c>
    </row>
    <row r="325">
      <c r="B325" s="22" t="n"/>
      <c r="E325" s="23" t="n"/>
      <c r="F325" s="24" t="n"/>
      <c r="H325" s="22" t="n"/>
      <c r="I325" s="22" t="n"/>
      <c r="J325" s="21">
        <f>IF(C325="","",IFERROR(INDEX(Clientes!$B:$B,MATCH(C325,Clientes!$A:$A,0)),"Cód. não cadastrado"))</f>
        <v/>
      </c>
      <c r="K325" s="18">
        <f>IF(B325="","",YEAR(B325))</f>
        <v/>
      </c>
      <c r="L325" s="18">
        <f>IF(B325="","",MONTH(B325))</f>
        <v/>
      </c>
      <c r="M325" s="18">
        <f>IF(OR(B325="",I325=""),"",I325-B325)</f>
        <v/>
      </c>
      <c r="N325" s="21">
        <f>IF(B325="","",IF(I325="",IF(H325="","",IF(TODAY()&gt;H325,"Atrasado (em aberto)","Em aberto")),IF(I325&lt;=H325,"No prazo","Fora do prazo")))</f>
        <v/>
      </c>
    </row>
    <row r="326">
      <c r="B326" s="22" t="n"/>
      <c r="E326" s="23" t="n"/>
      <c r="F326" s="24" t="n"/>
      <c r="H326" s="22" t="n"/>
      <c r="I326" s="22" t="n"/>
      <c r="J326" s="21">
        <f>IF(C326="","",IFERROR(INDEX(Clientes!$B:$B,MATCH(C326,Clientes!$A:$A,0)),"Cód. não cadastrado"))</f>
        <v/>
      </c>
      <c r="K326" s="18">
        <f>IF(B326="","",YEAR(B326))</f>
        <v/>
      </c>
      <c r="L326" s="18">
        <f>IF(B326="","",MONTH(B326))</f>
        <v/>
      </c>
      <c r="M326" s="18">
        <f>IF(OR(B326="",I326=""),"",I326-B326)</f>
        <v/>
      </c>
      <c r="N326" s="21">
        <f>IF(B326="","",IF(I326="",IF(H326="","",IF(TODAY()&gt;H326,"Atrasado (em aberto)","Em aberto")),IF(I326&lt;=H326,"No prazo","Fora do prazo")))</f>
        <v/>
      </c>
    </row>
    <row r="327">
      <c r="B327" s="22" t="n"/>
      <c r="E327" s="23" t="n"/>
      <c r="F327" s="24" t="n"/>
      <c r="H327" s="22" t="n"/>
      <c r="I327" s="22" t="n"/>
      <c r="J327" s="21">
        <f>IF(C327="","",IFERROR(INDEX(Clientes!$B:$B,MATCH(C327,Clientes!$A:$A,0)),"Cód. não cadastrado"))</f>
        <v/>
      </c>
      <c r="K327" s="18">
        <f>IF(B327="","",YEAR(B327))</f>
        <v/>
      </c>
      <c r="L327" s="18">
        <f>IF(B327="","",MONTH(B327))</f>
        <v/>
      </c>
      <c r="M327" s="18">
        <f>IF(OR(B327="",I327=""),"",I327-B327)</f>
        <v/>
      </c>
      <c r="N327" s="21">
        <f>IF(B327="","",IF(I327="",IF(H327="","",IF(TODAY()&gt;H327,"Atrasado (em aberto)","Em aberto")),IF(I327&lt;=H327,"No prazo","Fora do prazo")))</f>
        <v/>
      </c>
    </row>
    <row r="328">
      <c r="B328" s="22" t="n"/>
      <c r="E328" s="23" t="n"/>
      <c r="F328" s="24" t="n"/>
      <c r="H328" s="22" t="n"/>
      <c r="I328" s="22" t="n"/>
      <c r="J328" s="21">
        <f>IF(C328="","",IFERROR(INDEX(Clientes!$B:$B,MATCH(C328,Clientes!$A:$A,0)),"Cód. não cadastrado"))</f>
        <v/>
      </c>
      <c r="K328" s="18">
        <f>IF(B328="","",YEAR(B328))</f>
        <v/>
      </c>
      <c r="L328" s="18">
        <f>IF(B328="","",MONTH(B328))</f>
        <v/>
      </c>
      <c r="M328" s="18">
        <f>IF(OR(B328="",I328=""),"",I328-B328)</f>
        <v/>
      </c>
      <c r="N328" s="21">
        <f>IF(B328="","",IF(I328="",IF(H328="","",IF(TODAY()&gt;H328,"Atrasado (em aberto)","Em aberto")),IF(I328&lt;=H328,"No prazo","Fora do prazo")))</f>
        <v/>
      </c>
    </row>
    <row r="329">
      <c r="B329" s="22" t="n"/>
      <c r="E329" s="23" t="n"/>
      <c r="F329" s="24" t="n"/>
      <c r="H329" s="22" t="n"/>
      <c r="I329" s="22" t="n"/>
      <c r="J329" s="21">
        <f>IF(C329="","",IFERROR(INDEX(Clientes!$B:$B,MATCH(C329,Clientes!$A:$A,0)),"Cód. não cadastrado"))</f>
        <v/>
      </c>
      <c r="K329" s="18">
        <f>IF(B329="","",YEAR(B329))</f>
        <v/>
      </c>
      <c r="L329" s="18">
        <f>IF(B329="","",MONTH(B329))</f>
        <v/>
      </c>
      <c r="M329" s="18">
        <f>IF(OR(B329="",I329=""),"",I329-B329)</f>
        <v/>
      </c>
      <c r="N329" s="21">
        <f>IF(B329="","",IF(I329="",IF(H329="","",IF(TODAY()&gt;H329,"Atrasado (em aberto)","Em aberto")),IF(I329&lt;=H329,"No prazo","Fora do prazo")))</f>
        <v/>
      </c>
    </row>
    <row r="330">
      <c r="B330" s="22" t="n"/>
      <c r="E330" s="23" t="n"/>
      <c r="F330" s="24" t="n"/>
      <c r="H330" s="22" t="n"/>
      <c r="I330" s="22" t="n"/>
      <c r="J330" s="21">
        <f>IF(C330="","",IFERROR(INDEX(Clientes!$B:$B,MATCH(C330,Clientes!$A:$A,0)),"Cód. não cadastrado"))</f>
        <v/>
      </c>
      <c r="K330" s="18">
        <f>IF(B330="","",YEAR(B330))</f>
        <v/>
      </c>
      <c r="L330" s="18">
        <f>IF(B330="","",MONTH(B330))</f>
        <v/>
      </c>
      <c r="M330" s="18">
        <f>IF(OR(B330="",I330=""),"",I330-B330)</f>
        <v/>
      </c>
      <c r="N330" s="21">
        <f>IF(B330="","",IF(I330="",IF(H330="","",IF(TODAY()&gt;H330,"Atrasado (em aberto)","Em aberto")),IF(I330&lt;=H330,"No prazo","Fora do prazo")))</f>
        <v/>
      </c>
    </row>
    <row r="331">
      <c r="B331" s="22" t="n"/>
      <c r="E331" s="23" t="n"/>
      <c r="F331" s="24" t="n"/>
      <c r="H331" s="22" t="n"/>
      <c r="I331" s="22" t="n"/>
      <c r="J331" s="21">
        <f>IF(C331="","",IFERROR(INDEX(Clientes!$B:$B,MATCH(C331,Clientes!$A:$A,0)),"Cód. não cadastrado"))</f>
        <v/>
      </c>
      <c r="K331" s="18">
        <f>IF(B331="","",YEAR(B331))</f>
        <v/>
      </c>
      <c r="L331" s="18">
        <f>IF(B331="","",MONTH(B331))</f>
        <v/>
      </c>
      <c r="M331" s="18">
        <f>IF(OR(B331="",I331=""),"",I331-B331)</f>
        <v/>
      </c>
      <c r="N331" s="21">
        <f>IF(B331="","",IF(I331="",IF(H331="","",IF(TODAY()&gt;H331,"Atrasado (em aberto)","Em aberto")),IF(I331&lt;=H331,"No prazo","Fora do prazo")))</f>
        <v/>
      </c>
    </row>
    <row r="332">
      <c r="B332" s="22" t="n"/>
      <c r="E332" s="23" t="n"/>
      <c r="F332" s="24" t="n"/>
      <c r="H332" s="22" t="n"/>
      <c r="I332" s="22" t="n"/>
      <c r="J332" s="21">
        <f>IF(C332="","",IFERROR(INDEX(Clientes!$B:$B,MATCH(C332,Clientes!$A:$A,0)),"Cód. não cadastrado"))</f>
        <v/>
      </c>
      <c r="K332" s="18">
        <f>IF(B332="","",YEAR(B332))</f>
        <v/>
      </c>
      <c r="L332" s="18">
        <f>IF(B332="","",MONTH(B332))</f>
        <v/>
      </c>
      <c r="M332" s="18">
        <f>IF(OR(B332="",I332=""),"",I332-B332)</f>
        <v/>
      </c>
      <c r="N332" s="21">
        <f>IF(B332="","",IF(I332="",IF(H332="","",IF(TODAY()&gt;H332,"Atrasado (em aberto)","Em aberto")),IF(I332&lt;=H332,"No prazo","Fora do prazo")))</f>
        <v/>
      </c>
    </row>
    <row r="333">
      <c r="B333" s="22" t="n"/>
      <c r="E333" s="23" t="n"/>
      <c r="F333" s="24" t="n"/>
      <c r="H333" s="22" t="n"/>
      <c r="I333" s="22" t="n"/>
      <c r="J333" s="21">
        <f>IF(C333="","",IFERROR(INDEX(Clientes!$B:$B,MATCH(C333,Clientes!$A:$A,0)),"Cód. não cadastrado"))</f>
        <v/>
      </c>
      <c r="K333" s="18">
        <f>IF(B333="","",YEAR(B333))</f>
        <v/>
      </c>
      <c r="L333" s="18">
        <f>IF(B333="","",MONTH(B333))</f>
        <v/>
      </c>
      <c r="M333" s="18">
        <f>IF(OR(B333="",I333=""),"",I333-B333)</f>
        <v/>
      </c>
      <c r="N333" s="21">
        <f>IF(B333="","",IF(I333="",IF(H333="","",IF(TODAY()&gt;H333,"Atrasado (em aberto)","Em aberto")),IF(I333&lt;=H333,"No prazo","Fora do prazo")))</f>
        <v/>
      </c>
    </row>
    <row r="334">
      <c r="B334" s="22" t="n"/>
      <c r="E334" s="23" t="n"/>
      <c r="F334" s="24" t="n"/>
      <c r="H334" s="22" t="n"/>
      <c r="I334" s="22" t="n"/>
      <c r="J334" s="21">
        <f>IF(C334="","",IFERROR(INDEX(Clientes!$B:$B,MATCH(C334,Clientes!$A:$A,0)),"Cód. não cadastrado"))</f>
        <v/>
      </c>
      <c r="K334" s="18">
        <f>IF(B334="","",YEAR(B334))</f>
        <v/>
      </c>
      <c r="L334" s="18">
        <f>IF(B334="","",MONTH(B334))</f>
        <v/>
      </c>
      <c r="M334" s="18">
        <f>IF(OR(B334="",I334=""),"",I334-B334)</f>
        <v/>
      </c>
      <c r="N334" s="21">
        <f>IF(B334="","",IF(I334="",IF(H334="","",IF(TODAY()&gt;H334,"Atrasado (em aberto)","Em aberto")),IF(I334&lt;=H334,"No prazo","Fora do prazo")))</f>
        <v/>
      </c>
    </row>
    <row r="335">
      <c r="B335" s="22" t="n"/>
      <c r="E335" s="23" t="n"/>
      <c r="F335" s="24" t="n"/>
      <c r="H335" s="22" t="n"/>
      <c r="I335" s="22" t="n"/>
      <c r="J335" s="21">
        <f>IF(C335="","",IFERROR(INDEX(Clientes!$B:$B,MATCH(C335,Clientes!$A:$A,0)),"Cód. não cadastrado"))</f>
        <v/>
      </c>
      <c r="K335" s="18">
        <f>IF(B335="","",YEAR(B335))</f>
        <v/>
      </c>
      <c r="L335" s="18">
        <f>IF(B335="","",MONTH(B335))</f>
        <v/>
      </c>
      <c r="M335" s="18">
        <f>IF(OR(B335="",I335=""),"",I335-B335)</f>
        <v/>
      </c>
      <c r="N335" s="21">
        <f>IF(B335="","",IF(I335="",IF(H335="","",IF(TODAY()&gt;H335,"Atrasado (em aberto)","Em aberto")),IF(I335&lt;=H335,"No prazo","Fora do prazo")))</f>
        <v/>
      </c>
    </row>
    <row r="336">
      <c r="B336" s="22" t="n"/>
      <c r="E336" s="23" t="n"/>
      <c r="F336" s="24" t="n"/>
      <c r="H336" s="22" t="n"/>
      <c r="I336" s="22" t="n"/>
      <c r="J336" s="21">
        <f>IF(C336="","",IFERROR(INDEX(Clientes!$B:$B,MATCH(C336,Clientes!$A:$A,0)),"Cód. não cadastrado"))</f>
        <v/>
      </c>
      <c r="K336" s="18">
        <f>IF(B336="","",YEAR(B336))</f>
        <v/>
      </c>
      <c r="L336" s="18">
        <f>IF(B336="","",MONTH(B336))</f>
        <v/>
      </c>
      <c r="M336" s="18">
        <f>IF(OR(B336="",I336=""),"",I336-B336)</f>
        <v/>
      </c>
      <c r="N336" s="21">
        <f>IF(B336="","",IF(I336="",IF(H336="","",IF(TODAY()&gt;H336,"Atrasado (em aberto)","Em aberto")),IF(I336&lt;=H336,"No prazo","Fora do prazo")))</f>
        <v/>
      </c>
    </row>
    <row r="337">
      <c r="B337" s="22" t="n"/>
      <c r="E337" s="23" t="n"/>
      <c r="F337" s="24" t="n"/>
      <c r="H337" s="22" t="n"/>
      <c r="I337" s="22" t="n"/>
      <c r="J337" s="21">
        <f>IF(C337="","",IFERROR(INDEX(Clientes!$B:$B,MATCH(C337,Clientes!$A:$A,0)),"Cód. não cadastrado"))</f>
        <v/>
      </c>
      <c r="K337" s="18">
        <f>IF(B337="","",YEAR(B337))</f>
        <v/>
      </c>
      <c r="L337" s="18">
        <f>IF(B337="","",MONTH(B337))</f>
        <v/>
      </c>
      <c r="M337" s="18">
        <f>IF(OR(B337="",I337=""),"",I337-B337)</f>
        <v/>
      </c>
      <c r="N337" s="21">
        <f>IF(B337="","",IF(I337="",IF(H337="","",IF(TODAY()&gt;H337,"Atrasado (em aberto)","Em aberto")),IF(I337&lt;=H337,"No prazo","Fora do prazo")))</f>
        <v/>
      </c>
    </row>
    <row r="338">
      <c r="B338" s="22" t="n"/>
      <c r="E338" s="23" t="n"/>
      <c r="F338" s="24" t="n"/>
      <c r="H338" s="22" t="n"/>
      <c r="I338" s="22" t="n"/>
      <c r="J338" s="21">
        <f>IF(C338="","",IFERROR(INDEX(Clientes!$B:$B,MATCH(C338,Clientes!$A:$A,0)),"Cód. não cadastrado"))</f>
        <v/>
      </c>
      <c r="K338" s="18">
        <f>IF(B338="","",YEAR(B338))</f>
        <v/>
      </c>
      <c r="L338" s="18">
        <f>IF(B338="","",MONTH(B338))</f>
        <v/>
      </c>
      <c r="M338" s="18">
        <f>IF(OR(B338="",I338=""),"",I338-B338)</f>
        <v/>
      </c>
      <c r="N338" s="21">
        <f>IF(B338="","",IF(I338="",IF(H338="","",IF(TODAY()&gt;H338,"Atrasado (em aberto)","Em aberto")),IF(I338&lt;=H338,"No prazo","Fora do prazo")))</f>
        <v/>
      </c>
    </row>
    <row r="339">
      <c r="B339" s="22" t="n"/>
      <c r="E339" s="23" t="n"/>
      <c r="F339" s="24" t="n"/>
      <c r="H339" s="22" t="n"/>
      <c r="I339" s="22" t="n"/>
      <c r="J339" s="21">
        <f>IF(C339="","",IFERROR(INDEX(Clientes!$B:$B,MATCH(C339,Clientes!$A:$A,0)),"Cód. não cadastrado"))</f>
        <v/>
      </c>
      <c r="K339" s="18">
        <f>IF(B339="","",YEAR(B339))</f>
        <v/>
      </c>
      <c r="L339" s="18">
        <f>IF(B339="","",MONTH(B339))</f>
        <v/>
      </c>
      <c r="M339" s="18">
        <f>IF(OR(B339="",I339=""),"",I339-B339)</f>
        <v/>
      </c>
      <c r="N339" s="21">
        <f>IF(B339="","",IF(I339="",IF(H339="","",IF(TODAY()&gt;H339,"Atrasado (em aberto)","Em aberto")),IF(I339&lt;=H339,"No prazo","Fora do prazo")))</f>
        <v/>
      </c>
    </row>
    <row r="340">
      <c r="B340" s="22" t="n"/>
      <c r="E340" s="23" t="n"/>
      <c r="F340" s="24" t="n"/>
      <c r="H340" s="22" t="n"/>
      <c r="I340" s="22" t="n"/>
      <c r="J340" s="21">
        <f>IF(C340="","",IFERROR(INDEX(Clientes!$B:$B,MATCH(C340,Clientes!$A:$A,0)),"Cód. não cadastrado"))</f>
        <v/>
      </c>
      <c r="K340" s="18">
        <f>IF(B340="","",YEAR(B340))</f>
        <v/>
      </c>
      <c r="L340" s="18">
        <f>IF(B340="","",MONTH(B340))</f>
        <v/>
      </c>
      <c r="M340" s="18">
        <f>IF(OR(B340="",I340=""),"",I340-B340)</f>
        <v/>
      </c>
      <c r="N340" s="21">
        <f>IF(B340="","",IF(I340="",IF(H340="","",IF(TODAY()&gt;H340,"Atrasado (em aberto)","Em aberto")),IF(I340&lt;=H340,"No prazo","Fora do prazo")))</f>
        <v/>
      </c>
    </row>
    <row r="341">
      <c r="B341" s="22" t="n"/>
      <c r="E341" s="23" t="n"/>
      <c r="F341" s="24" t="n"/>
      <c r="H341" s="22" t="n"/>
      <c r="I341" s="22" t="n"/>
      <c r="J341" s="21">
        <f>IF(C341="","",IFERROR(INDEX(Clientes!$B:$B,MATCH(C341,Clientes!$A:$A,0)),"Cód. não cadastrado"))</f>
        <v/>
      </c>
      <c r="K341" s="18">
        <f>IF(B341="","",YEAR(B341))</f>
        <v/>
      </c>
      <c r="L341" s="18">
        <f>IF(B341="","",MONTH(B341))</f>
        <v/>
      </c>
      <c r="M341" s="18">
        <f>IF(OR(B341="",I341=""),"",I341-B341)</f>
        <v/>
      </c>
      <c r="N341" s="21">
        <f>IF(B341="","",IF(I341="",IF(H341="","",IF(TODAY()&gt;H341,"Atrasado (em aberto)","Em aberto")),IF(I341&lt;=H341,"No prazo","Fora do prazo")))</f>
        <v/>
      </c>
    </row>
    <row r="342">
      <c r="B342" s="22" t="n"/>
      <c r="E342" s="23" t="n"/>
      <c r="F342" s="24" t="n"/>
      <c r="H342" s="22" t="n"/>
      <c r="I342" s="22" t="n"/>
      <c r="J342" s="21">
        <f>IF(C342="","",IFERROR(INDEX(Clientes!$B:$B,MATCH(C342,Clientes!$A:$A,0)),"Cód. não cadastrado"))</f>
        <v/>
      </c>
      <c r="K342" s="18">
        <f>IF(B342="","",YEAR(B342))</f>
        <v/>
      </c>
      <c r="L342" s="18">
        <f>IF(B342="","",MONTH(B342))</f>
        <v/>
      </c>
      <c r="M342" s="18">
        <f>IF(OR(B342="",I342=""),"",I342-B342)</f>
        <v/>
      </c>
      <c r="N342" s="21">
        <f>IF(B342="","",IF(I342="",IF(H342="","",IF(TODAY()&gt;H342,"Atrasado (em aberto)","Em aberto")),IF(I342&lt;=H342,"No prazo","Fora do prazo")))</f>
        <v/>
      </c>
    </row>
    <row r="343">
      <c r="B343" s="22" t="n"/>
      <c r="E343" s="23" t="n"/>
      <c r="F343" s="24" t="n"/>
      <c r="H343" s="22" t="n"/>
      <c r="I343" s="22" t="n"/>
      <c r="J343" s="21">
        <f>IF(C343="","",IFERROR(INDEX(Clientes!$B:$B,MATCH(C343,Clientes!$A:$A,0)),"Cód. não cadastrado"))</f>
        <v/>
      </c>
      <c r="K343" s="18">
        <f>IF(B343="","",YEAR(B343))</f>
        <v/>
      </c>
      <c r="L343" s="18">
        <f>IF(B343="","",MONTH(B343))</f>
        <v/>
      </c>
      <c r="M343" s="18">
        <f>IF(OR(B343="",I343=""),"",I343-B343)</f>
        <v/>
      </c>
      <c r="N343" s="21">
        <f>IF(B343="","",IF(I343="",IF(H343="","",IF(TODAY()&gt;H343,"Atrasado (em aberto)","Em aberto")),IF(I343&lt;=H343,"No prazo","Fora do prazo")))</f>
        <v/>
      </c>
    </row>
    <row r="344">
      <c r="B344" s="22" t="n"/>
      <c r="E344" s="23" t="n"/>
      <c r="F344" s="24" t="n"/>
      <c r="H344" s="22" t="n"/>
      <c r="I344" s="22" t="n"/>
      <c r="J344" s="21">
        <f>IF(C344="","",IFERROR(INDEX(Clientes!$B:$B,MATCH(C344,Clientes!$A:$A,0)),"Cód. não cadastrado"))</f>
        <v/>
      </c>
      <c r="K344" s="18">
        <f>IF(B344="","",YEAR(B344))</f>
        <v/>
      </c>
      <c r="L344" s="18">
        <f>IF(B344="","",MONTH(B344))</f>
        <v/>
      </c>
      <c r="M344" s="18">
        <f>IF(OR(B344="",I344=""),"",I344-B344)</f>
        <v/>
      </c>
      <c r="N344" s="21">
        <f>IF(B344="","",IF(I344="",IF(H344="","",IF(TODAY()&gt;H344,"Atrasado (em aberto)","Em aberto")),IF(I344&lt;=H344,"No prazo","Fora do prazo")))</f>
        <v/>
      </c>
    </row>
    <row r="345">
      <c r="B345" s="22" t="n"/>
      <c r="E345" s="23" t="n"/>
      <c r="F345" s="24" t="n"/>
      <c r="H345" s="22" t="n"/>
      <c r="I345" s="22" t="n"/>
      <c r="J345" s="21">
        <f>IF(C345="","",IFERROR(INDEX(Clientes!$B:$B,MATCH(C345,Clientes!$A:$A,0)),"Cód. não cadastrado"))</f>
        <v/>
      </c>
      <c r="K345" s="18">
        <f>IF(B345="","",YEAR(B345))</f>
        <v/>
      </c>
      <c r="L345" s="18">
        <f>IF(B345="","",MONTH(B345))</f>
        <v/>
      </c>
      <c r="M345" s="18">
        <f>IF(OR(B345="",I345=""),"",I345-B345)</f>
        <v/>
      </c>
      <c r="N345" s="21">
        <f>IF(B345="","",IF(I345="",IF(H345="","",IF(TODAY()&gt;H345,"Atrasado (em aberto)","Em aberto")),IF(I345&lt;=H345,"No prazo","Fora do prazo")))</f>
        <v/>
      </c>
    </row>
    <row r="346">
      <c r="B346" s="22" t="n"/>
      <c r="E346" s="23" t="n"/>
      <c r="F346" s="24" t="n"/>
      <c r="H346" s="22" t="n"/>
      <c r="I346" s="22" t="n"/>
      <c r="J346" s="21">
        <f>IF(C346="","",IFERROR(INDEX(Clientes!$B:$B,MATCH(C346,Clientes!$A:$A,0)),"Cód. não cadastrado"))</f>
        <v/>
      </c>
      <c r="K346" s="18">
        <f>IF(B346="","",YEAR(B346))</f>
        <v/>
      </c>
      <c r="L346" s="18">
        <f>IF(B346="","",MONTH(B346))</f>
        <v/>
      </c>
      <c r="M346" s="18">
        <f>IF(OR(B346="",I346=""),"",I346-B346)</f>
        <v/>
      </c>
      <c r="N346" s="21">
        <f>IF(B346="","",IF(I346="",IF(H346="","",IF(TODAY()&gt;H346,"Atrasado (em aberto)","Em aberto")),IF(I346&lt;=H346,"No prazo","Fora do prazo")))</f>
        <v/>
      </c>
    </row>
    <row r="347">
      <c r="B347" s="22" t="n"/>
      <c r="E347" s="23" t="n"/>
      <c r="F347" s="24" t="n"/>
      <c r="H347" s="22" t="n"/>
      <c r="I347" s="22" t="n"/>
      <c r="J347" s="21">
        <f>IF(C347="","",IFERROR(INDEX(Clientes!$B:$B,MATCH(C347,Clientes!$A:$A,0)),"Cód. não cadastrado"))</f>
        <v/>
      </c>
      <c r="K347" s="18">
        <f>IF(B347="","",YEAR(B347))</f>
        <v/>
      </c>
      <c r="L347" s="18">
        <f>IF(B347="","",MONTH(B347))</f>
        <v/>
      </c>
      <c r="M347" s="18">
        <f>IF(OR(B347="",I347=""),"",I347-B347)</f>
        <v/>
      </c>
      <c r="N347" s="21">
        <f>IF(B347="","",IF(I347="",IF(H347="","",IF(TODAY()&gt;H347,"Atrasado (em aberto)","Em aberto")),IF(I347&lt;=H347,"No prazo","Fora do prazo")))</f>
        <v/>
      </c>
    </row>
    <row r="348">
      <c r="B348" s="22" t="n"/>
      <c r="E348" s="23" t="n"/>
      <c r="F348" s="24" t="n"/>
      <c r="H348" s="22" t="n"/>
      <c r="I348" s="22" t="n"/>
      <c r="J348" s="21">
        <f>IF(C348="","",IFERROR(INDEX(Clientes!$B:$B,MATCH(C348,Clientes!$A:$A,0)),"Cód. não cadastrado"))</f>
        <v/>
      </c>
      <c r="K348" s="18">
        <f>IF(B348="","",YEAR(B348))</f>
        <v/>
      </c>
      <c r="L348" s="18">
        <f>IF(B348="","",MONTH(B348))</f>
        <v/>
      </c>
      <c r="M348" s="18">
        <f>IF(OR(B348="",I348=""),"",I348-B348)</f>
        <v/>
      </c>
      <c r="N348" s="21">
        <f>IF(B348="","",IF(I348="",IF(H348="","",IF(TODAY()&gt;H348,"Atrasado (em aberto)","Em aberto")),IF(I348&lt;=H348,"No prazo","Fora do prazo")))</f>
        <v/>
      </c>
    </row>
    <row r="349">
      <c r="B349" s="22" t="n"/>
      <c r="E349" s="23" t="n"/>
      <c r="F349" s="24" t="n"/>
      <c r="H349" s="22" t="n"/>
      <c r="I349" s="22" t="n"/>
      <c r="J349" s="21">
        <f>IF(C349="","",IFERROR(INDEX(Clientes!$B:$B,MATCH(C349,Clientes!$A:$A,0)),"Cód. não cadastrado"))</f>
        <v/>
      </c>
      <c r="K349" s="18">
        <f>IF(B349="","",YEAR(B349))</f>
        <v/>
      </c>
      <c r="L349" s="18">
        <f>IF(B349="","",MONTH(B349))</f>
        <v/>
      </c>
      <c r="M349" s="18">
        <f>IF(OR(B349="",I349=""),"",I349-B349)</f>
        <v/>
      </c>
      <c r="N349" s="21">
        <f>IF(B349="","",IF(I349="",IF(H349="","",IF(TODAY()&gt;H349,"Atrasado (em aberto)","Em aberto")),IF(I349&lt;=H349,"No prazo","Fora do prazo")))</f>
        <v/>
      </c>
    </row>
    <row r="350">
      <c r="B350" s="22" t="n"/>
      <c r="E350" s="23" t="n"/>
      <c r="F350" s="24" t="n"/>
      <c r="H350" s="22" t="n"/>
      <c r="I350" s="22" t="n"/>
      <c r="J350" s="21">
        <f>IF(C350="","",IFERROR(INDEX(Clientes!$B:$B,MATCH(C350,Clientes!$A:$A,0)),"Cód. não cadastrado"))</f>
        <v/>
      </c>
      <c r="K350" s="18">
        <f>IF(B350="","",YEAR(B350))</f>
        <v/>
      </c>
      <c r="L350" s="18">
        <f>IF(B350="","",MONTH(B350))</f>
        <v/>
      </c>
      <c r="M350" s="18">
        <f>IF(OR(B350="",I350=""),"",I350-B350)</f>
        <v/>
      </c>
      <c r="N350" s="21">
        <f>IF(B350="","",IF(I350="",IF(H350="","",IF(TODAY()&gt;H350,"Atrasado (em aberto)","Em aberto")),IF(I350&lt;=H350,"No prazo","Fora do prazo")))</f>
        <v/>
      </c>
    </row>
    <row r="351">
      <c r="B351" s="22" t="n"/>
      <c r="E351" s="23" t="n"/>
      <c r="F351" s="24" t="n"/>
      <c r="H351" s="22" t="n"/>
      <c r="I351" s="22" t="n"/>
      <c r="J351" s="21">
        <f>IF(C351="","",IFERROR(INDEX(Clientes!$B:$B,MATCH(C351,Clientes!$A:$A,0)),"Cód. não cadastrado"))</f>
        <v/>
      </c>
      <c r="K351" s="18">
        <f>IF(B351="","",YEAR(B351))</f>
        <v/>
      </c>
      <c r="L351" s="18">
        <f>IF(B351="","",MONTH(B351))</f>
        <v/>
      </c>
      <c r="M351" s="18">
        <f>IF(OR(B351="",I351=""),"",I351-B351)</f>
        <v/>
      </c>
      <c r="N351" s="21">
        <f>IF(B351="","",IF(I351="",IF(H351="","",IF(TODAY()&gt;H351,"Atrasado (em aberto)","Em aberto")),IF(I351&lt;=H351,"No prazo","Fora do prazo")))</f>
        <v/>
      </c>
    </row>
    <row r="352">
      <c r="B352" s="22" t="n"/>
      <c r="E352" s="23" t="n"/>
      <c r="F352" s="24" t="n"/>
      <c r="H352" s="22" t="n"/>
      <c r="I352" s="22" t="n"/>
      <c r="J352" s="21">
        <f>IF(C352="","",IFERROR(INDEX(Clientes!$B:$B,MATCH(C352,Clientes!$A:$A,0)),"Cód. não cadastrado"))</f>
        <v/>
      </c>
      <c r="K352" s="18">
        <f>IF(B352="","",YEAR(B352))</f>
        <v/>
      </c>
      <c r="L352" s="18">
        <f>IF(B352="","",MONTH(B352))</f>
        <v/>
      </c>
      <c r="M352" s="18">
        <f>IF(OR(B352="",I352=""),"",I352-B352)</f>
        <v/>
      </c>
      <c r="N352" s="21">
        <f>IF(B352="","",IF(I352="",IF(H352="","",IF(TODAY()&gt;H352,"Atrasado (em aberto)","Em aberto")),IF(I352&lt;=H352,"No prazo","Fora do prazo")))</f>
        <v/>
      </c>
    </row>
    <row r="353">
      <c r="B353" s="22" t="n"/>
      <c r="E353" s="23" t="n"/>
      <c r="F353" s="24" t="n"/>
      <c r="H353" s="22" t="n"/>
      <c r="I353" s="22" t="n"/>
      <c r="J353" s="21">
        <f>IF(C353="","",IFERROR(INDEX(Clientes!$B:$B,MATCH(C353,Clientes!$A:$A,0)),"Cód. não cadastrado"))</f>
        <v/>
      </c>
      <c r="K353" s="18">
        <f>IF(B353="","",YEAR(B353))</f>
        <v/>
      </c>
      <c r="L353" s="18">
        <f>IF(B353="","",MONTH(B353))</f>
        <v/>
      </c>
      <c r="M353" s="18">
        <f>IF(OR(B353="",I353=""),"",I353-B353)</f>
        <v/>
      </c>
      <c r="N353" s="21">
        <f>IF(B353="","",IF(I353="",IF(H353="","",IF(TODAY()&gt;H353,"Atrasado (em aberto)","Em aberto")),IF(I353&lt;=H353,"No prazo","Fora do prazo")))</f>
        <v/>
      </c>
    </row>
    <row r="354">
      <c r="B354" s="22" t="n"/>
      <c r="E354" s="23" t="n"/>
      <c r="F354" s="24" t="n"/>
      <c r="H354" s="22" t="n"/>
      <c r="I354" s="22" t="n"/>
      <c r="J354" s="21">
        <f>IF(C354="","",IFERROR(INDEX(Clientes!$B:$B,MATCH(C354,Clientes!$A:$A,0)),"Cód. não cadastrado"))</f>
        <v/>
      </c>
      <c r="K354" s="18">
        <f>IF(B354="","",YEAR(B354))</f>
        <v/>
      </c>
      <c r="L354" s="18">
        <f>IF(B354="","",MONTH(B354))</f>
        <v/>
      </c>
      <c r="M354" s="18">
        <f>IF(OR(B354="",I354=""),"",I354-B354)</f>
        <v/>
      </c>
      <c r="N354" s="21">
        <f>IF(B354="","",IF(I354="",IF(H354="","",IF(TODAY()&gt;H354,"Atrasado (em aberto)","Em aberto")),IF(I354&lt;=H354,"No prazo","Fora do prazo")))</f>
        <v/>
      </c>
    </row>
    <row r="355">
      <c r="B355" s="22" t="n"/>
      <c r="E355" s="23" t="n"/>
      <c r="F355" s="24" t="n"/>
      <c r="H355" s="22" t="n"/>
      <c r="I355" s="22" t="n"/>
      <c r="J355" s="21">
        <f>IF(C355="","",IFERROR(INDEX(Clientes!$B:$B,MATCH(C355,Clientes!$A:$A,0)),"Cód. não cadastrado"))</f>
        <v/>
      </c>
      <c r="K355" s="18">
        <f>IF(B355="","",YEAR(B355))</f>
        <v/>
      </c>
      <c r="L355" s="18">
        <f>IF(B355="","",MONTH(B355))</f>
        <v/>
      </c>
      <c r="M355" s="18">
        <f>IF(OR(B355="",I355=""),"",I355-B355)</f>
        <v/>
      </c>
      <c r="N355" s="21">
        <f>IF(B355="","",IF(I355="",IF(H355="","",IF(TODAY()&gt;H355,"Atrasado (em aberto)","Em aberto")),IF(I355&lt;=H355,"No prazo","Fora do prazo")))</f>
        <v/>
      </c>
    </row>
    <row r="356">
      <c r="B356" s="22" t="n"/>
      <c r="E356" s="23" t="n"/>
      <c r="F356" s="24" t="n"/>
      <c r="H356" s="22" t="n"/>
      <c r="I356" s="22" t="n"/>
      <c r="J356" s="21">
        <f>IF(C356="","",IFERROR(INDEX(Clientes!$B:$B,MATCH(C356,Clientes!$A:$A,0)),"Cód. não cadastrado"))</f>
        <v/>
      </c>
      <c r="K356" s="18">
        <f>IF(B356="","",YEAR(B356))</f>
        <v/>
      </c>
      <c r="L356" s="18">
        <f>IF(B356="","",MONTH(B356))</f>
        <v/>
      </c>
      <c r="M356" s="18">
        <f>IF(OR(B356="",I356=""),"",I356-B356)</f>
        <v/>
      </c>
      <c r="N356" s="21">
        <f>IF(B356="","",IF(I356="",IF(H356="","",IF(TODAY()&gt;H356,"Atrasado (em aberto)","Em aberto")),IF(I356&lt;=H356,"No prazo","Fora do prazo")))</f>
        <v/>
      </c>
    </row>
    <row r="357">
      <c r="B357" s="22" t="n"/>
      <c r="E357" s="23" t="n"/>
      <c r="F357" s="24" t="n"/>
      <c r="H357" s="22" t="n"/>
      <c r="I357" s="22" t="n"/>
      <c r="J357" s="21">
        <f>IF(C357="","",IFERROR(INDEX(Clientes!$B:$B,MATCH(C357,Clientes!$A:$A,0)),"Cód. não cadastrado"))</f>
        <v/>
      </c>
      <c r="K357" s="18">
        <f>IF(B357="","",YEAR(B357))</f>
        <v/>
      </c>
      <c r="L357" s="18">
        <f>IF(B357="","",MONTH(B357))</f>
        <v/>
      </c>
      <c r="M357" s="18">
        <f>IF(OR(B357="",I357=""),"",I357-B357)</f>
        <v/>
      </c>
      <c r="N357" s="21">
        <f>IF(B357="","",IF(I357="",IF(H357="","",IF(TODAY()&gt;H357,"Atrasado (em aberto)","Em aberto")),IF(I357&lt;=H357,"No prazo","Fora do prazo")))</f>
        <v/>
      </c>
    </row>
    <row r="358">
      <c r="B358" s="22" t="n"/>
      <c r="E358" s="23" t="n"/>
      <c r="F358" s="24" t="n"/>
      <c r="H358" s="22" t="n"/>
      <c r="I358" s="22" t="n"/>
      <c r="J358" s="21">
        <f>IF(C358="","",IFERROR(INDEX(Clientes!$B:$B,MATCH(C358,Clientes!$A:$A,0)),"Cód. não cadastrado"))</f>
        <v/>
      </c>
      <c r="K358" s="18">
        <f>IF(B358="","",YEAR(B358))</f>
        <v/>
      </c>
      <c r="L358" s="18">
        <f>IF(B358="","",MONTH(B358))</f>
        <v/>
      </c>
      <c r="M358" s="18">
        <f>IF(OR(B358="",I358=""),"",I358-B358)</f>
        <v/>
      </c>
      <c r="N358" s="21">
        <f>IF(B358="","",IF(I358="",IF(H358="","",IF(TODAY()&gt;H358,"Atrasado (em aberto)","Em aberto")),IF(I358&lt;=H358,"No prazo","Fora do prazo")))</f>
        <v/>
      </c>
    </row>
    <row r="359">
      <c r="B359" s="22" t="n"/>
      <c r="E359" s="23" t="n"/>
      <c r="F359" s="24" t="n"/>
      <c r="H359" s="22" t="n"/>
      <c r="I359" s="22" t="n"/>
      <c r="J359" s="21">
        <f>IF(C359="","",IFERROR(INDEX(Clientes!$B:$B,MATCH(C359,Clientes!$A:$A,0)),"Cód. não cadastrado"))</f>
        <v/>
      </c>
      <c r="K359" s="18">
        <f>IF(B359="","",YEAR(B359))</f>
        <v/>
      </c>
      <c r="L359" s="18">
        <f>IF(B359="","",MONTH(B359))</f>
        <v/>
      </c>
      <c r="M359" s="18">
        <f>IF(OR(B359="",I359=""),"",I359-B359)</f>
        <v/>
      </c>
      <c r="N359" s="21">
        <f>IF(B359="","",IF(I359="",IF(H359="","",IF(TODAY()&gt;H359,"Atrasado (em aberto)","Em aberto")),IF(I359&lt;=H359,"No prazo","Fora do prazo")))</f>
        <v/>
      </c>
    </row>
    <row r="360">
      <c r="B360" s="22" t="n"/>
      <c r="E360" s="23" t="n"/>
      <c r="F360" s="24" t="n"/>
      <c r="H360" s="22" t="n"/>
      <c r="I360" s="22" t="n"/>
      <c r="J360" s="21">
        <f>IF(C360="","",IFERROR(INDEX(Clientes!$B:$B,MATCH(C360,Clientes!$A:$A,0)),"Cód. não cadastrado"))</f>
        <v/>
      </c>
      <c r="K360" s="18">
        <f>IF(B360="","",YEAR(B360))</f>
        <v/>
      </c>
      <c r="L360" s="18">
        <f>IF(B360="","",MONTH(B360))</f>
        <v/>
      </c>
      <c r="M360" s="18">
        <f>IF(OR(B360="",I360=""),"",I360-B360)</f>
        <v/>
      </c>
      <c r="N360" s="21">
        <f>IF(B360="","",IF(I360="",IF(H360="","",IF(TODAY()&gt;H360,"Atrasado (em aberto)","Em aberto")),IF(I360&lt;=H360,"No prazo","Fora do prazo")))</f>
        <v/>
      </c>
    </row>
    <row r="361">
      <c r="B361" s="22" t="n"/>
      <c r="E361" s="23" t="n"/>
      <c r="F361" s="24" t="n"/>
      <c r="H361" s="22" t="n"/>
      <c r="I361" s="22" t="n"/>
      <c r="J361" s="21">
        <f>IF(C361="","",IFERROR(INDEX(Clientes!$B:$B,MATCH(C361,Clientes!$A:$A,0)),"Cód. não cadastrado"))</f>
        <v/>
      </c>
      <c r="K361" s="18">
        <f>IF(B361="","",YEAR(B361))</f>
        <v/>
      </c>
      <c r="L361" s="18">
        <f>IF(B361="","",MONTH(B361))</f>
        <v/>
      </c>
      <c r="M361" s="18">
        <f>IF(OR(B361="",I361=""),"",I361-B361)</f>
        <v/>
      </c>
      <c r="N361" s="21">
        <f>IF(B361="","",IF(I361="",IF(H361="","",IF(TODAY()&gt;H361,"Atrasado (em aberto)","Em aberto")),IF(I361&lt;=H361,"No prazo","Fora do prazo")))</f>
        <v/>
      </c>
    </row>
    <row r="362">
      <c r="B362" s="22" t="n"/>
      <c r="E362" s="23" t="n"/>
      <c r="F362" s="24" t="n"/>
      <c r="H362" s="22" t="n"/>
      <c r="I362" s="22" t="n"/>
      <c r="J362" s="21">
        <f>IF(C362="","",IFERROR(INDEX(Clientes!$B:$B,MATCH(C362,Clientes!$A:$A,0)),"Cód. não cadastrado"))</f>
        <v/>
      </c>
      <c r="K362" s="18">
        <f>IF(B362="","",YEAR(B362))</f>
        <v/>
      </c>
      <c r="L362" s="18">
        <f>IF(B362="","",MONTH(B362))</f>
        <v/>
      </c>
      <c r="M362" s="18">
        <f>IF(OR(B362="",I362=""),"",I362-B362)</f>
        <v/>
      </c>
      <c r="N362" s="21">
        <f>IF(B362="","",IF(I362="",IF(H362="","",IF(TODAY()&gt;H362,"Atrasado (em aberto)","Em aberto")),IF(I362&lt;=H362,"No prazo","Fora do prazo")))</f>
        <v/>
      </c>
    </row>
    <row r="363">
      <c r="B363" s="22" t="n"/>
      <c r="E363" s="23" t="n"/>
      <c r="F363" s="24" t="n"/>
      <c r="H363" s="22" t="n"/>
      <c r="I363" s="22" t="n"/>
      <c r="J363" s="21">
        <f>IF(C363="","",IFERROR(INDEX(Clientes!$B:$B,MATCH(C363,Clientes!$A:$A,0)),"Cód. não cadastrado"))</f>
        <v/>
      </c>
      <c r="K363" s="18">
        <f>IF(B363="","",YEAR(B363))</f>
        <v/>
      </c>
      <c r="L363" s="18">
        <f>IF(B363="","",MONTH(B363))</f>
        <v/>
      </c>
      <c r="M363" s="18">
        <f>IF(OR(B363="",I363=""),"",I363-B363)</f>
        <v/>
      </c>
      <c r="N363" s="21">
        <f>IF(B363="","",IF(I363="",IF(H363="","",IF(TODAY()&gt;H363,"Atrasado (em aberto)","Em aberto")),IF(I363&lt;=H363,"No prazo","Fora do prazo")))</f>
        <v/>
      </c>
    </row>
    <row r="364">
      <c r="B364" s="22" t="n"/>
      <c r="E364" s="23" t="n"/>
      <c r="F364" s="24" t="n"/>
      <c r="H364" s="22" t="n"/>
      <c r="I364" s="22" t="n"/>
      <c r="J364" s="21">
        <f>IF(C364="","",IFERROR(INDEX(Clientes!$B:$B,MATCH(C364,Clientes!$A:$A,0)),"Cód. não cadastrado"))</f>
        <v/>
      </c>
      <c r="K364" s="18">
        <f>IF(B364="","",YEAR(B364))</f>
        <v/>
      </c>
      <c r="L364" s="18">
        <f>IF(B364="","",MONTH(B364))</f>
        <v/>
      </c>
      <c r="M364" s="18">
        <f>IF(OR(B364="",I364=""),"",I364-B364)</f>
        <v/>
      </c>
      <c r="N364" s="21">
        <f>IF(B364="","",IF(I364="",IF(H364="","",IF(TODAY()&gt;H364,"Atrasado (em aberto)","Em aberto")),IF(I364&lt;=H364,"No prazo","Fora do prazo")))</f>
        <v/>
      </c>
    </row>
    <row r="365">
      <c r="B365" s="22" t="n"/>
      <c r="E365" s="23" t="n"/>
      <c r="F365" s="24" t="n"/>
      <c r="H365" s="22" t="n"/>
      <c r="I365" s="22" t="n"/>
      <c r="J365" s="21">
        <f>IF(C365="","",IFERROR(INDEX(Clientes!$B:$B,MATCH(C365,Clientes!$A:$A,0)),"Cód. não cadastrado"))</f>
        <v/>
      </c>
      <c r="K365" s="18">
        <f>IF(B365="","",YEAR(B365))</f>
        <v/>
      </c>
      <c r="L365" s="18">
        <f>IF(B365="","",MONTH(B365))</f>
        <v/>
      </c>
      <c r="M365" s="18">
        <f>IF(OR(B365="",I365=""),"",I365-B365)</f>
        <v/>
      </c>
      <c r="N365" s="21">
        <f>IF(B365="","",IF(I365="",IF(H365="","",IF(TODAY()&gt;H365,"Atrasado (em aberto)","Em aberto")),IF(I365&lt;=H365,"No prazo","Fora do prazo")))</f>
        <v/>
      </c>
    </row>
    <row r="366">
      <c r="B366" s="22" t="n"/>
      <c r="E366" s="23" t="n"/>
      <c r="F366" s="24" t="n"/>
      <c r="H366" s="22" t="n"/>
      <c r="I366" s="22" t="n"/>
      <c r="J366" s="21">
        <f>IF(C366="","",IFERROR(INDEX(Clientes!$B:$B,MATCH(C366,Clientes!$A:$A,0)),"Cód. não cadastrado"))</f>
        <v/>
      </c>
      <c r="K366" s="18">
        <f>IF(B366="","",YEAR(B366))</f>
        <v/>
      </c>
      <c r="L366" s="18">
        <f>IF(B366="","",MONTH(B366))</f>
        <v/>
      </c>
      <c r="M366" s="18">
        <f>IF(OR(B366="",I366=""),"",I366-B366)</f>
        <v/>
      </c>
      <c r="N366" s="21">
        <f>IF(B366="","",IF(I366="",IF(H366="","",IF(TODAY()&gt;H366,"Atrasado (em aberto)","Em aberto")),IF(I366&lt;=H366,"No prazo","Fora do prazo")))</f>
        <v/>
      </c>
    </row>
    <row r="367">
      <c r="B367" s="22" t="n"/>
      <c r="E367" s="23" t="n"/>
      <c r="F367" s="24" t="n"/>
      <c r="H367" s="22" t="n"/>
      <c r="I367" s="22" t="n"/>
      <c r="J367" s="21">
        <f>IF(C367="","",IFERROR(INDEX(Clientes!$B:$B,MATCH(C367,Clientes!$A:$A,0)),"Cód. não cadastrado"))</f>
        <v/>
      </c>
      <c r="K367" s="18">
        <f>IF(B367="","",YEAR(B367))</f>
        <v/>
      </c>
      <c r="L367" s="18">
        <f>IF(B367="","",MONTH(B367))</f>
        <v/>
      </c>
      <c r="M367" s="18">
        <f>IF(OR(B367="",I367=""),"",I367-B367)</f>
        <v/>
      </c>
      <c r="N367" s="21">
        <f>IF(B367="","",IF(I367="",IF(H367="","",IF(TODAY()&gt;H367,"Atrasado (em aberto)","Em aberto")),IF(I367&lt;=H367,"No prazo","Fora do prazo")))</f>
        <v/>
      </c>
    </row>
    <row r="368">
      <c r="B368" s="22" t="n"/>
      <c r="E368" s="23" t="n"/>
      <c r="F368" s="24" t="n"/>
      <c r="H368" s="22" t="n"/>
      <c r="I368" s="22" t="n"/>
      <c r="J368" s="21">
        <f>IF(C368="","",IFERROR(INDEX(Clientes!$B:$B,MATCH(C368,Clientes!$A:$A,0)),"Cód. não cadastrado"))</f>
        <v/>
      </c>
      <c r="K368" s="18">
        <f>IF(B368="","",YEAR(B368))</f>
        <v/>
      </c>
      <c r="L368" s="18">
        <f>IF(B368="","",MONTH(B368))</f>
        <v/>
      </c>
      <c r="M368" s="18">
        <f>IF(OR(B368="",I368=""),"",I368-B368)</f>
        <v/>
      </c>
      <c r="N368" s="21">
        <f>IF(B368="","",IF(I368="",IF(H368="","",IF(TODAY()&gt;H368,"Atrasado (em aberto)","Em aberto")),IF(I368&lt;=H368,"No prazo","Fora do prazo")))</f>
        <v/>
      </c>
    </row>
    <row r="369">
      <c r="B369" s="22" t="n"/>
      <c r="E369" s="23" t="n"/>
      <c r="F369" s="24" t="n"/>
      <c r="H369" s="22" t="n"/>
      <c r="I369" s="22" t="n"/>
      <c r="J369" s="21">
        <f>IF(C369="","",IFERROR(INDEX(Clientes!$B:$B,MATCH(C369,Clientes!$A:$A,0)),"Cód. não cadastrado"))</f>
        <v/>
      </c>
      <c r="K369" s="18">
        <f>IF(B369="","",YEAR(B369))</f>
        <v/>
      </c>
      <c r="L369" s="18">
        <f>IF(B369="","",MONTH(B369))</f>
        <v/>
      </c>
      <c r="M369" s="18">
        <f>IF(OR(B369="",I369=""),"",I369-B369)</f>
        <v/>
      </c>
      <c r="N369" s="21">
        <f>IF(B369="","",IF(I369="",IF(H369="","",IF(TODAY()&gt;H369,"Atrasado (em aberto)","Em aberto")),IF(I369&lt;=H369,"No prazo","Fora do prazo")))</f>
        <v/>
      </c>
    </row>
    <row r="370">
      <c r="B370" s="22" t="n"/>
      <c r="E370" s="23" t="n"/>
      <c r="F370" s="24" t="n"/>
      <c r="H370" s="22" t="n"/>
      <c r="I370" s="22" t="n"/>
      <c r="J370" s="21">
        <f>IF(C370="","",IFERROR(INDEX(Clientes!$B:$B,MATCH(C370,Clientes!$A:$A,0)),"Cód. não cadastrado"))</f>
        <v/>
      </c>
      <c r="K370" s="18">
        <f>IF(B370="","",YEAR(B370))</f>
        <v/>
      </c>
      <c r="L370" s="18">
        <f>IF(B370="","",MONTH(B370))</f>
        <v/>
      </c>
      <c r="M370" s="18">
        <f>IF(OR(B370="",I370=""),"",I370-B370)</f>
        <v/>
      </c>
      <c r="N370" s="21">
        <f>IF(B370="","",IF(I370="",IF(H370="","",IF(TODAY()&gt;H370,"Atrasado (em aberto)","Em aberto")),IF(I370&lt;=H370,"No prazo","Fora do prazo")))</f>
        <v/>
      </c>
    </row>
    <row r="371">
      <c r="B371" s="22" t="n"/>
      <c r="E371" s="23" t="n"/>
      <c r="F371" s="24" t="n"/>
      <c r="H371" s="22" t="n"/>
      <c r="I371" s="22" t="n"/>
      <c r="J371" s="21">
        <f>IF(C371="","",IFERROR(INDEX(Clientes!$B:$B,MATCH(C371,Clientes!$A:$A,0)),"Cód. não cadastrado"))</f>
        <v/>
      </c>
      <c r="K371" s="18">
        <f>IF(B371="","",YEAR(B371))</f>
        <v/>
      </c>
      <c r="L371" s="18">
        <f>IF(B371="","",MONTH(B371))</f>
        <v/>
      </c>
      <c r="M371" s="18">
        <f>IF(OR(B371="",I371=""),"",I371-B371)</f>
        <v/>
      </c>
      <c r="N371" s="21">
        <f>IF(B371="","",IF(I371="",IF(H371="","",IF(TODAY()&gt;H371,"Atrasado (em aberto)","Em aberto")),IF(I371&lt;=H371,"No prazo","Fora do prazo")))</f>
        <v/>
      </c>
    </row>
    <row r="372">
      <c r="B372" s="22" t="n"/>
      <c r="E372" s="23" t="n"/>
      <c r="F372" s="24" t="n"/>
      <c r="H372" s="22" t="n"/>
      <c r="I372" s="22" t="n"/>
      <c r="J372" s="21">
        <f>IF(C372="","",IFERROR(INDEX(Clientes!$B:$B,MATCH(C372,Clientes!$A:$A,0)),"Cód. não cadastrado"))</f>
        <v/>
      </c>
      <c r="K372" s="18">
        <f>IF(B372="","",YEAR(B372))</f>
        <v/>
      </c>
      <c r="L372" s="18">
        <f>IF(B372="","",MONTH(B372))</f>
        <v/>
      </c>
      <c r="M372" s="18">
        <f>IF(OR(B372="",I372=""),"",I372-B372)</f>
        <v/>
      </c>
      <c r="N372" s="21">
        <f>IF(B372="","",IF(I372="",IF(H372="","",IF(TODAY()&gt;H372,"Atrasado (em aberto)","Em aberto")),IF(I372&lt;=H372,"No prazo","Fora do prazo")))</f>
        <v/>
      </c>
    </row>
    <row r="373">
      <c r="B373" s="22" t="n"/>
      <c r="E373" s="23" t="n"/>
      <c r="F373" s="24" t="n"/>
      <c r="H373" s="22" t="n"/>
      <c r="I373" s="22" t="n"/>
      <c r="J373" s="21">
        <f>IF(C373="","",IFERROR(INDEX(Clientes!$B:$B,MATCH(C373,Clientes!$A:$A,0)),"Cód. não cadastrado"))</f>
        <v/>
      </c>
      <c r="K373" s="18">
        <f>IF(B373="","",YEAR(B373))</f>
        <v/>
      </c>
      <c r="L373" s="18">
        <f>IF(B373="","",MONTH(B373))</f>
        <v/>
      </c>
      <c r="M373" s="18">
        <f>IF(OR(B373="",I373=""),"",I373-B373)</f>
        <v/>
      </c>
      <c r="N373" s="21">
        <f>IF(B373="","",IF(I373="",IF(H373="","",IF(TODAY()&gt;H373,"Atrasado (em aberto)","Em aberto")),IF(I373&lt;=H373,"No prazo","Fora do prazo")))</f>
        <v/>
      </c>
    </row>
    <row r="374">
      <c r="B374" s="22" t="n"/>
      <c r="E374" s="23" t="n"/>
      <c r="F374" s="24" t="n"/>
      <c r="H374" s="22" t="n"/>
      <c r="I374" s="22" t="n"/>
      <c r="J374" s="21">
        <f>IF(C374="","",IFERROR(INDEX(Clientes!$B:$B,MATCH(C374,Clientes!$A:$A,0)),"Cód. não cadastrado"))</f>
        <v/>
      </c>
      <c r="K374" s="18">
        <f>IF(B374="","",YEAR(B374))</f>
        <v/>
      </c>
      <c r="L374" s="18">
        <f>IF(B374="","",MONTH(B374))</f>
        <v/>
      </c>
      <c r="M374" s="18">
        <f>IF(OR(B374="",I374=""),"",I374-B374)</f>
        <v/>
      </c>
      <c r="N374" s="21">
        <f>IF(B374="","",IF(I374="",IF(H374="","",IF(TODAY()&gt;H374,"Atrasado (em aberto)","Em aberto")),IF(I374&lt;=H374,"No prazo","Fora do prazo")))</f>
        <v/>
      </c>
    </row>
    <row r="375">
      <c r="B375" s="22" t="n"/>
      <c r="E375" s="23" t="n"/>
      <c r="F375" s="24" t="n"/>
      <c r="H375" s="22" t="n"/>
      <c r="I375" s="22" t="n"/>
      <c r="J375" s="21">
        <f>IF(C375="","",IFERROR(INDEX(Clientes!$B:$B,MATCH(C375,Clientes!$A:$A,0)),"Cód. não cadastrado"))</f>
        <v/>
      </c>
      <c r="K375" s="18">
        <f>IF(B375="","",YEAR(B375))</f>
        <v/>
      </c>
      <c r="L375" s="18">
        <f>IF(B375="","",MONTH(B375))</f>
        <v/>
      </c>
      <c r="M375" s="18">
        <f>IF(OR(B375="",I375=""),"",I375-B375)</f>
        <v/>
      </c>
      <c r="N375" s="21">
        <f>IF(B375="","",IF(I375="",IF(H375="","",IF(TODAY()&gt;H375,"Atrasado (em aberto)","Em aberto")),IF(I375&lt;=H375,"No prazo","Fora do prazo")))</f>
        <v/>
      </c>
    </row>
    <row r="376">
      <c r="B376" s="22" t="n"/>
      <c r="E376" s="23" t="n"/>
      <c r="F376" s="24" t="n"/>
      <c r="H376" s="22" t="n"/>
      <c r="I376" s="22" t="n"/>
      <c r="J376" s="21">
        <f>IF(C376="","",IFERROR(INDEX(Clientes!$B:$B,MATCH(C376,Clientes!$A:$A,0)),"Cód. não cadastrado"))</f>
        <v/>
      </c>
      <c r="K376" s="18">
        <f>IF(B376="","",YEAR(B376))</f>
        <v/>
      </c>
      <c r="L376" s="18">
        <f>IF(B376="","",MONTH(B376))</f>
        <v/>
      </c>
      <c r="M376" s="18">
        <f>IF(OR(B376="",I376=""),"",I376-B376)</f>
        <v/>
      </c>
      <c r="N376" s="21">
        <f>IF(B376="","",IF(I376="",IF(H376="","",IF(TODAY()&gt;H376,"Atrasado (em aberto)","Em aberto")),IF(I376&lt;=H376,"No prazo","Fora do prazo")))</f>
        <v/>
      </c>
    </row>
    <row r="377">
      <c r="B377" s="22" t="n"/>
      <c r="E377" s="23" t="n"/>
      <c r="F377" s="24" t="n"/>
      <c r="H377" s="22" t="n"/>
      <c r="I377" s="22" t="n"/>
      <c r="J377" s="21">
        <f>IF(C377="","",IFERROR(INDEX(Clientes!$B:$B,MATCH(C377,Clientes!$A:$A,0)),"Cód. não cadastrado"))</f>
        <v/>
      </c>
      <c r="K377" s="18">
        <f>IF(B377="","",YEAR(B377))</f>
        <v/>
      </c>
      <c r="L377" s="18">
        <f>IF(B377="","",MONTH(B377))</f>
        <v/>
      </c>
      <c r="M377" s="18">
        <f>IF(OR(B377="",I377=""),"",I377-B377)</f>
        <v/>
      </c>
      <c r="N377" s="21">
        <f>IF(B377="","",IF(I377="",IF(H377="","",IF(TODAY()&gt;H377,"Atrasado (em aberto)","Em aberto")),IF(I377&lt;=H377,"No prazo","Fora do prazo")))</f>
        <v/>
      </c>
    </row>
    <row r="378">
      <c r="B378" s="22" t="n"/>
      <c r="E378" s="23" t="n"/>
      <c r="F378" s="24" t="n"/>
      <c r="H378" s="22" t="n"/>
      <c r="I378" s="22" t="n"/>
      <c r="J378" s="21">
        <f>IF(C378="","",IFERROR(INDEX(Clientes!$B:$B,MATCH(C378,Clientes!$A:$A,0)),"Cód. não cadastrado"))</f>
        <v/>
      </c>
      <c r="K378" s="18">
        <f>IF(B378="","",YEAR(B378))</f>
        <v/>
      </c>
      <c r="L378" s="18">
        <f>IF(B378="","",MONTH(B378))</f>
        <v/>
      </c>
      <c r="M378" s="18">
        <f>IF(OR(B378="",I378=""),"",I378-B378)</f>
        <v/>
      </c>
      <c r="N378" s="21">
        <f>IF(B378="","",IF(I378="",IF(H378="","",IF(TODAY()&gt;H378,"Atrasado (em aberto)","Em aberto")),IF(I378&lt;=H378,"No prazo","Fora do prazo")))</f>
        <v/>
      </c>
    </row>
    <row r="379">
      <c r="B379" s="22" t="n"/>
      <c r="E379" s="23" t="n"/>
      <c r="F379" s="24" t="n"/>
      <c r="H379" s="22" t="n"/>
      <c r="I379" s="22" t="n"/>
      <c r="J379" s="21">
        <f>IF(C379="","",IFERROR(INDEX(Clientes!$B:$B,MATCH(C379,Clientes!$A:$A,0)),"Cód. não cadastrado"))</f>
        <v/>
      </c>
      <c r="K379" s="18">
        <f>IF(B379="","",YEAR(B379))</f>
        <v/>
      </c>
      <c r="L379" s="18">
        <f>IF(B379="","",MONTH(B379))</f>
        <v/>
      </c>
      <c r="M379" s="18">
        <f>IF(OR(B379="",I379=""),"",I379-B379)</f>
        <v/>
      </c>
      <c r="N379" s="21">
        <f>IF(B379="","",IF(I379="",IF(H379="","",IF(TODAY()&gt;H379,"Atrasado (em aberto)","Em aberto")),IF(I379&lt;=H379,"No prazo","Fora do prazo")))</f>
        <v/>
      </c>
    </row>
    <row r="380">
      <c r="B380" s="22" t="n"/>
      <c r="E380" s="23" t="n"/>
      <c r="F380" s="24" t="n"/>
      <c r="H380" s="22" t="n"/>
      <c r="I380" s="22" t="n"/>
      <c r="J380" s="21">
        <f>IF(C380="","",IFERROR(INDEX(Clientes!$B:$B,MATCH(C380,Clientes!$A:$A,0)),"Cód. não cadastrado"))</f>
        <v/>
      </c>
      <c r="K380" s="18">
        <f>IF(B380="","",YEAR(B380))</f>
        <v/>
      </c>
      <c r="L380" s="18">
        <f>IF(B380="","",MONTH(B380))</f>
        <v/>
      </c>
      <c r="M380" s="18">
        <f>IF(OR(B380="",I380=""),"",I380-B380)</f>
        <v/>
      </c>
      <c r="N380" s="21">
        <f>IF(B380="","",IF(I380="",IF(H380="","",IF(TODAY()&gt;H380,"Atrasado (em aberto)","Em aberto")),IF(I380&lt;=H380,"No prazo","Fora do prazo")))</f>
        <v/>
      </c>
    </row>
    <row r="381">
      <c r="B381" s="22" t="n"/>
      <c r="E381" s="23" t="n"/>
      <c r="F381" s="24" t="n"/>
      <c r="H381" s="22" t="n"/>
      <c r="I381" s="22" t="n"/>
      <c r="J381" s="21">
        <f>IF(C381="","",IFERROR(INDEX(Clientes!$B:$B,MATCH(C381,Clientes!$A:$A,0)),"Cód. não cadastrado"))</f>
        <v/>
      </c>
      <c r="K381" s="18">
        <f>IF(B381="","",YEAR(B381))</f>
        <v/>
      </c>
      <c r="L381" s="18">
        <f>IF(B381="","",MONTH(B381))</f>
        <v/>
      </c>
      <c r="M381" s="18">
        <f>IF(OR(B381="",I381=""),"",I381-B381)</f>
        <v/>
      </c>
      <c r="N381" s="21">
        <f>IF(B381="","",IF(I381="",IF(H381="","",IF(TODAY()&gt;H381,"Atrasado (em aberto)","Em aberto")),IF(I381&lt;=H381,"No prazo","Fora do prazo")))</f>
        <v/>
      </c>
    </row>
    <row r="382">
      <c r="B382" s="22" t="n"/>
      <c r="E382" s="23" t="n"/>
      <c r="F382" s="24" t="n"/>
      <c r="H382" s="22" t="n"/>
      <c r="I382" s="22" t="n"/>
      <c r="J382" s="21">
        <f>IF(C382="","",IFERROR(INDEX(Clientes!$B:$B,MATCH(C382,Clientes!$A:$A,0)),"Cód. não cadastrado"))</f>
        <v/>
      </c>
      <c r="K382" s="18">
        <f>IF(B382="","",YEAR(B382))</f>
        <v/>
      </c>
      <c r="L382" s="18">
        <f>IF(B382="","",MONTH(B382))</f>
        <v/>
      </c>
      <c r="M382" s="18">
        <f>IF(OR(B382="",I382=""),"",I382-B382)</f>
        <v/>
      </c>
      <c r="N382" s="21">
        <f>IF(B382="","",IF(I382="",IF(H382="","",IF(TODAY()&gt;H382,"Atrasado (em aberto)","Em aberto")),IF(I382&lt;=H382,"No prazo","Fora do prazo")))</f>
        <v/>
      </c>
    </row>
    <row r="383">
      <c r="B383" s="22" t="n"/>
      <c r="E383" s="23" t="n"/>
      <c r="F383" s="24" t="n"/>
      <c r="H383" s="22" t="n"/>
      <c r="I383" s="22" t="n"/>
      <c r="J383" s="21">
        <f>IF(C383="","",IFERROR(INDEX(Clientes!$B:$B,MATCH(C383,Clientes!$A:$A,0)),"Cód. não cadastrado"))</f>
        <v/>
      </c>
      <c r="K383" s="18">
        <f>IF(B383="","",YEAR(B383))</f>
        <v/>
      </c>
      <c r="L383" s="18">
        <f>IF(B383="","",MONTH(B383))</f>
        <v/>
      </c>
      <c r="M383" s="18">
        <f>IF(OR(B383="",I383=""),"",I383-B383)</f>
        <v/>
      </c>
      <c r="N383" s="21">
        <f>IF(B383="","",IF(I383="",IF(H383="","",IF(TODAY()&gt;H383,"Atrasado (em aberto)","Em aberto")),IF(I383&lt;=H383,"No prazo","Fora do prazo")))</f>
        <v/>
      </c>
    </row>
    <row r="384">
      <c r="B384" s="22" t="n"/>
      <c r="E384" s="23" t="n"/>
      <c r="F384" s="24" t="n"/>
      <c r="H384" s="22" t="n"/>
      <c r="I384" s="22" t="n"/>
      <c r="J384" s="21">
        <f>IF(C384="","",IFERROR(INDEX(Clientes!$B:$B,MATCH(C384,Clientes!$A:$A,0)),"Cód. não cadastrado"))</f>
        <v/>
      </c>
      <c r="K384" s="18">
        <f>IF(B384="","",YEAR(B384))</f>
        <v/>
      </c>
      <c r="L384" s="18">
        <f>IF(B384="","",MONTH(B384))</f>
        <v/>
      </c>
      <c r="M384" s="18">
        <f>IF(OR(B384="",I384=""),"",I384-B384)</f>
        <v/>
      </c>
      <c r="N384" s="21">
        <f>IF(B384="","",IF(I384="",IF(H384="","",IF(TODAY()&gt;H384,"Atrasado (em aberto)","Em aberto")),IF(I384&lt;=H384,"No prazo","Fora do prazo")))</f>
        <v/>
      </c>
    </row>
    <row r="385">
      <c r="B385" s="22" t="n"/>
      <c r="E385" s="23" t="n"/>
      <c r="F385" s="24" t="n"/>
      <c r="H385" s="22" t="n"/>
      <c r="I385" s="22" t="n"/>
      <c r="J385" s="21">
        <f>IF(C385="","",IFERROR(INDEX(Clientes!$B:$B,MATCH(C385,Clientes!$A:$A,0)),"Cód. não cadastrado"))</f>
        <v/>
      </c>
      <c r="K385" s="18">
        <f>IF(B385="","",YEAR(B385))</f>
        <v/>
      </c>
      <c r="L385" s="18">
        <f>IF(B385="","",MONTH(B385))</f>
        <v/>
      </c>
      <c r="M385" s="18">
        <f>IF(OR(B385="",I385=""),"",I385-B385)</f>
        <v/>
      </c>
      <c r="N385" s="21">
        <f>IF(B385="","",IF(I385="",IF(H385="","",IF(TODAY()&gt;H385,"Atrasado (em aberto)","Em aberto")),IF(I385&lt;=H385,"No prazo","Fora do prazo")))</f>
        <v/>
      </c>
    </row>
    <row r="386">
      <c r="B386" s="22" t="n"/>
      <c r="E386" s="23" t="n"/>
      <c r="F386" s="24" t="n"/>
      <c r="H386" s="22" t="n"/>
      <c r="I386" s="22" t="n"/>
      <c r="J386" s="21">
        <f>IF(C386="","",IFERROR(INDEX(Clientes!$B:$B,MATCH(C386,Clientes!$A:$A,0)),"Cód. não cadastrado"))</f>
        <v/>
      </c>
      <c r="K386" s="18">
        <f>IF(B386="","",YEAR(B386))</f>
        <v/>
      </c>
      <c r="L386" s="18">
        <f>IF(B386="","",MONTH(B386))</f>
        <v/>
      </c>
      <c r="M386" s="18">
        <f>IF(OR(B386="",I386=""),"",I386-B386)</f>
        <v/>
      </c>
      <c r="N386" s="21">
        <f>IF(B386="","",IF(I386="",IF(H386="","",IF(TODAY()&gt;H386,"Atrasado (em aberto)","Em aberto")),IF(I386&lt;=H386,"No prazo","Fora do prazo")))</f>
        <v/>
      </c>
    </row>
    <row r="387">
      <c r="B387" s="22" t="n"/>
      <c r="E387" s="23" t="n"/>
      <c r="F387" s="24" t="n"/>
      <c r="H387" s="22" t="n"/>
      <c r="I387" s="22" t="n"/>
      <c r="J387" s="21">
        <f>IF(C387="","",IFERROR(INDEX(Clientes!$B:$B,MATCH(C387,Clientes!$A:$A,0)),"Cód. não cadastrado"))</f>
        <v/>
      </c>
      <c r="K387" s="18">
        <f>IF(B387="","",YEAR(B387))</f>
        <v/>
      </c>
      <c r="L387" s="18">
        <f>IF(B387="","",MONTH(B387))</f>
        <v/>
      </c>
      <c r="M387" s="18">
        <f>IF(OR(B387="",I387=""),"",I387-B387)</f>
        <v/>
      </c>
      <c r="N387" s="21">
        <f>IF(B387="","",IF(I387="",IF(H387="","",IF(TODAY()&gt;H387,"Atrasado (em aberto)","Em aberto")),IF(I387&lt;=H387,"No prazo","Fora do prazo")))</f>
        <v/>
      </c>
    </row>
    <row r="388">
      <c r="B388" s="22" t="n"/>
      <c r="E388" s="23" t="n"/>
      <c r="F388" s="24" t="n"/>
      <c r="H388" s="22" t="n"/>
      <c r="I388" s="22" t="n"/>
      <c r="J388" s="21">
        <f>IF(C388="","",IFERROR(INDEX(Clientes!$B:$B,MATCH(C388,Clientes!$A:$A,0)),"Cód. não cadastrado"))</f>
        <v/>
      </c>
      <c r="K388" s="18">
        <f>IF(B388="","",YEAR(B388))</f>
        <v/>
      </c>
      <c r="L388" s="18">
        <f>IF(B388="","",MONTH(B388))</f>
        <v/>
      </c>
      <c r="M388" s="18">
        <f>IF(OR(B388="",I388=""),"",I388-B388)</f>
        <v/>
      </c>
      <c r="N388" s="21">
        <f>IF(B388="","",IF(I388="",IF(H388="","",IF(TODAY()&gt;H388,"Atrasado (em aberto)","Em aberto")),IF(I388&lt;=H388,"No prazo","Fora do prazo")))</f>
        <v/>
      </c>
    </row>
    <row r="389">
      <c r="B389" s="22" t="n"/>
      <c r="E389" s="23" t="n"/>
      <c r="F389" s="24" t="n"/>
      <c r="H389" s="22" t="n"/>
      <c r="I389" s="22" t="n"/>
      <c r="J389" s="21">
        <f>IF(C389="","",IFERROR(INDEX(Clientes!$B:$B,MATCH(C389,Clientes!$A:$A,0)),"Cód. não cadastrado"))</f>
        <v/>
      </c>
      <c r="K389" s="18">
        <f>IF(B389="","",YEAR(B389))</f>
        <v/>
      </c>
      <c r="L389" s="18">
        <f>IF(B389="","",MONTH(B389))</f>
        <v/>
      </c>
      <c r="M389" s="18">
        <f>IF(OR(B389="",I389=""),"",I389-B389)</f>
        <v/>
      </c>
      <c r="N389" s="21">
        <f>IF(B389="","",IF(I389="",IF(H389="","",IF(TODAY()&gt;H389,"Atrasado (em aberto)","Em aberto")),IF(I389&lt;=H389,"No prazo","Fora do prazo")))</f>
        <v/>
      </c>
    </row>
    <row r="390">
      <c r="B390" s="22" t="n"/>
      <c r="E390" s="23" t="n"/>
      <c r="F390" s="24" t="n"/>
      <c r="H390" s="22" t="n"/>
      <c r="I390" s="22" t="n"/>
      <c r="J390" s="21">
        <f>IF(C390="","",IFERROR(INDEX(Clientes!$B:$B,MATCH(C390,Clientes!$A:$A,0)),"Cód. não cadastrado"))</f>
        <v/>
      </c>
      <c r="K390" s="18">
        <f>IF(B390="","",YEAR(B390))</f>
        <v/>
      </c>
      <c r="L390" s="18">
        <f>IF(B390="","",MONTH(B390))</f>
        <v/>
      </c>
      <c r="M390" s="18">
        <f>IF(OR(B390="",I390=""),"",I390-B390)</f>
        <v/>
      </c>
      <c r="N390" s="21">
        <f>IF(B390="","",IF(I390="",IF(H390="","",IF(TODAY()&gt;H390,"Atrasado (em aberto)","Em aberto")),IF(I390&lt;=H390,"No prazo","Fora do prazo")))</f>
        <v/>
      </c>
    </row>
    <row r="391">
      <c r="B391" s="22" t="n"/>
      <c r="E391" s="23" t="n"/>
      <c r="F391" s="24" t="n"/>
      <c r="H391" s="22" t="n"/>
      <c r="I391" s="22" t="n"/>
      <c r="J391" s="21">
        <f>IF(C391="","",IFERROR(INDEX(Clientes!$B:$B,MATCH(C391,Clientes!$A:$A,0)),"Cód. não cadastrado"))</f>
        <v/>
      </c>
      <c r="K391" s="18">
        <f>IF(B391="","",YEAR(B391))</f>
        <v/>
      </c>
      <c r="L391" s="18">
        <f>IF(B391="","",MONTH(B391))</f>
        <v/>
      </c>
      <c r="M391" s="18">
        <f>IF(OR(B391="",I391=""),"",I391-B391)</f>
        <v/>
      </c>
      <c r="N391" s="21">
        <f>IF(B391="","",IF(I391="",IF(H391="","",IF(TODAY()&gt;H391,"Atrasado (em aberto)","Em aberto")),IF(I391&lt;=H391,"No prazo","Fora do prazo")))</f>
        <v/>
      </c>
    </row>
    <row r="392">
      <c r="B392" s="22" t="n"/>
      <c r="E392" s="23" t="n"/>
      <c r="F392" s="24" t="n"/>
      <c r="H392" s="22" t="n"/>
      <c r="I392" s="22" t="n"/>
      <c r="J392" s="21">
        <f>IF(C392="","",IFERROR(INDEX(Clientes!$B:$B,MATCH(C392,Clientes!$A:$A,0)),"Cód. não cadastrado"))</f>
        <v/>
      </c>
      <c r="K392" s="18">
        <f>IF(B392="","",YEAR(B392))</f>
        <v/>
      </c>
      <c r="L392" s="18">
        <f>IF(B392="","",MONTH(B392))</f>
        <v/>
      </c>
      <c r="M392" s="18">
        <f>IF(OR(B392="",I392=""),"",I392-B392)</f>
        <v/>
      </c>
      <c r="N392" s="21">
        <f>IF(B392="","",IF(I392="",IF(H392="","",IF(TODAY()&gt;H392,"Atrasado (em aberto)","Em aberto")),IF(I392&lt;=H392,"No prazo","Fora do prazo")))</f>
        <v/>
      </c>
    </row>
    <row r="393">
      <c r="B393" s="22" t="n"/>
      <c r="E393" s="23" t="n"/>
      <c r="F393" s="24" t="n"/>
      <c r="H393" s="22" t="n"/>
      <c r="I393" s="22" t="n"/>
      <c r="J393" s="21">
        <f>IF(C393="","",IFERROR(INDEX(Clientes!$B:$B,MATCH(C393,Clientes!$A:$A,0)),"Cód. não cadastrado"))</f>
        <v/>
      </c>
      <c r="K393" s="18">
        <f>IF(B393="","",YEAR(B393))</f>
        <v/>
      </c>
      <c r="L393" s="18">
        <f>IF(B393="","",MONTH(B393))</f>
        <v/>
      </c>
      <c r="M393" s="18">
        <f>IF(OR(B393="",I393=""),"",I393-B393)</f>
        <v/>
      </c>
      <c r="N393" s="21">
        <f>IF(B393="","",IF(I393="",IF(H393="","",IF(TODAY()&gt;H393,"Atrasado (em aberto)","Em aberto")),IF(I393&lt;=H393,"No prazo","Fora do prazo")))</f>
        <v/>
      </c>
    </row>
    <row r="394">
      <c r="B394" s="22" t="n"/>
      <c r="E394" s="23" t="n"/>
      <c r="F394" s="24" t="n"/>
      <c r="H394" s="22" t="n"/>
      <c r="I394" s="22" t="n"/>
      <c r="J394" s="21">
        <f>IF(C394="","",IFERROR(INDEX(Clientes!$B:$B,MATCH(C394,Clientes!$A:$A,0)),"Cód. não cadastrado"))</f>
        <v/>
      </c>
      <c r="K394" s="18">
        <f>IF(B394="","",YEAR(B394))</f>
        <v/>
      </c>
      <c r="L394" s="18">
        <f>IF(B394="","",MONTH(B394))</f>
        <v/>
      </c>
      <c r="M394" s="18">
        <f>IF(OR(B394="",I394=""),"",I394-B394)</f>
        <v/>
      </c>
      <c r="N394" s="21">
        <f>IF(B394="","",IF(I394="",IF(H394="","",IF(TODAY()&gt;H394,"Atrasado (em aberto)","Em aberto")),IF(I394&lt;=H394,"No prazo","Fora do prazo")))</f>
        <v/>
      </c>
    </row>
    <row r="395">
      <c r="B395" s="22" t="n"/>
      <c r="E395" s="23" t="n"/>
      <c r="F395" s="24" t="n"/>
      <c r="H395" s="22" t="n"/>
      <c r="I395" s="22" t="n"/>
      <c r="J395" s="21">
        <f>IF(C395="","",IFERROR(INDEX(Clientes!$B:$B,MATCH(C395,Clientes!$A:$A,0)),"Cód. não cadastrado"))</f>
        <v/>
      </c>
      <c r="K395" s="18">
        <f>IF(B395="","",YEAR(B395))</f>
        <v/>
      </c>
      <c r="L395" s="18">
        <f>IF(B395="","",MONTH(B395))</f>
        <v/>
      </c>
      <c r="M395" s="18">
        <f>IF(OR(B395="",I395=""),"",I395-B395)</f>
        <v/>
      </c>
      <c r="N395" s="21">
        <f>IF(B395="","",IF(I395="",IF(H395="","",IF(TODAY()&gt;H395,"Atrasado (em aberto)","Em aberto")),IF(I395&lt;=H395,"No prazo","Fora do prazo")))</f>
        <v/>
      </c>
    </row>
    <row r="396">
      <c r="B396" s="22" t="n"/>
      <c r="E396" s="23" t="n"/>
      <c r="F396" s="24" t="n"/>
      <c r="H396" s="22" t="n"/>
      <c r="I396" s="22" t="n"/>
      <c r="J396" s="21">
        <f>IF(C396="","",IFERROR(INDEX(Clientes!$B:$B,MATCH(C396,Clientes!$A:$A,0)),"Cód. não cadastrado"))</f>
        <v/>
      </c>
      <c r="K396" s="18">
        <f>IF(B396="","",YEAR(B396))</f>
        <v/>
      </c>
      <c r="L396" s="18">
        <f>IF(B396="","",MONTH(B396))</f>
        <v/>
      </c>
      <c r="M396" s="18">
        <f>IF(OR(B396="",I396=""),"",I396-B396)</f>
        <v/>
      </c>
      <c r="N396" s="21">
        <f>IF(B396="","",IF(I396="",IF(H396="","",IF(TODAY()&gt;H396,"Atrasado (em aberto)","Em aberto")),IF(I396&lt;=H396,"No prazo","Fora do prazo")))</f>
        <v/>
      </c>
    </row>
    <row r="397">
      <c r="B397" s="22" t="n"/>
      <c r="E397" s="23" t="n"/>
      <c r="F397" s="24" t="n"/>
      <c r="H397" s="22" t="n"/>
      <c r="I397" s="22" t="n"/>
      <c r="J397" s="21">
        <f>IF(C397="","",IFERROR(INDEX(Clientes!$B:$B,MATCH(C397,Clientes!$A:$A,0)),"Cód. não cadastrado"))</f>
        <v/>
      </c>
      <c r="K397" s="18">
        <f>IF(B397="","",YEAR(B397))</f>
        <v/>
      </c>
      <c r="L397" s="18">
        <f>IF(B397="","",MONTH(B397))</f>
        <v/>
      </c>
      <c r="M397" s="18">
        <f>IF(OR(B397="",I397=""),"",I397-B397)</f>
        <v/>
      </c>
      <c r="N397" s="21">
        <f>IF(B397="","",IF(I397="",IF(H397="","",IF(TODAY()&gt;H397,"Atrasado (em aberto)","Em aberto")),IF(I397&lt;=H397,"No prazo","Fora do prazo")))</f>
        <v/>
      </c>
    </row>
    <row r="398">
      <c r="B398" s="22" t="n"/>
      <c r="E398" s="23" t="n"/>
      <c r="F398" s="24" t="n"/>
      <c r="H398" s="22" t="n"/>
      <c r="I398" s="22" t="n"/>
      <c r="J398" s="21">
        <f>IF(C398="","",IFERROR(INDEX(Clientes!$B:$B,MATCH(C398,Clientes!$A:$A,0)),"Cód. não cadastrado"))</f>
        <v/>
      </c>
      <c r="K398" s="18">
        <f>IF(B398="","",YEAR(B398))</f>
        <v/>
      </c>
      <c r="L398" s="18">
        <f>IF(B398="","",MONTH(B398))</f>
        <v/>
      </c>
      <c r="M398" s="18">
        <f>IF(OR(B398="",I398=""),"",I398-B398)</f>
        <v/>
      </c>
      <c r="N398" s="21">
        <f>IF(B398="","",IF(I398="",IF(H398="","",IF(TODAY()&gt;H398,"Atrasado (em aberto)","Em aberto")),IF(I398&lt;=H398,"No prazo","Fora do prazo")))</f>
        <v/>
      </c>
    </row>
    <row r="399">
      <c r="B399" s="22" t="n"/>
      <c r="E399" s="23" t="n"/>
      <c r="F399" s="24" t="n"/>
      <c r="H399" s="22" t="n"/>
      <c r="I399" s="22" t="n"/>
      <c r="J399" s="21">
        <f>IF(C399="","",IFERROR(INDEX(Clientes!$B:$B,MATCH(C399,Clientes!$A:$A,0)),"Cód. não cadastrado"))</f>
        <v/>
      </c>
      <c r="K399" s="18">
        <f>IF(B399="","",YEAR(B399))</f>
        <v/>
      </c>
      <c r="L399" s="18">
        <f>IF(B399="","",MONTH(B399))</f>
        <v/>
      </c>
      <c r="M399" s="18">
        <f>IF(OR(B399="",I399=""),"",I399-B399)</f>
        <v/>
      </c>
      <c r="N399" s="21">
        <f>IF(B399="","",IF(I399="",IF(H399="","",IF(TODAY()&gt;H399,"Atrasado (em aberto)","Em aberto")),IF(I399&lt;=H399,"No prazo","Fora do prazo")))</f>
        <v/>
      </c>
    </row>
    <row r="400">
      <c r="B400" s="22" t="n"/>
      <c r="E400" s="23" t="n"/>
      <c r="F400" s="24" t="n"/>
      <c r="H400" s="22" t="n"/>
      <c r="I400" s="22" t="n"/>
      <c r="J400" s="21">
        <f>IF(C400="","",IFERROR(INDEX(Clientes!$B:$B,MATCH(C400,Clientes!$A:$A,0)),"Cód. não cadastrado"))</f>
        <v/>
      </c>
      <c r="K400" s="18">
        <f>IF(B400="","",YEAR(B400))</f>
        <v/>
      </c>
      <c r="L400" s="18">
        <f>IF(B400="","",MONTH(B400))</f>
        <v/>
      </c>
      <c r="M400" s="18">
        <f>IF(OR(B400="",I400=""),"",I400-B400)</f>
        <v/>
      </c>
      <c r="N400" s="21">
        <f>IF(B400="","",IF(I400="",IF(H400="","",IF(TODAY()&gt;H400,"Atrasado (em aberto)","Em aberto")),IF(I400&lt;=H400,"No prazo","Fora do prazo")))</f>
        <v/>
      </c>
    </row>
    <row r="401">
      <c r="B401" s="22" t="n"/>
      <c r="E401" s="23" t="n"/>
      <c r="F401" s="24" t="n"/>
      <c r="H401" s="22" t="n"/>
      <c r="I401" s="22" t="n"/>
      <c r="J401" s="21">
        <f>IF(C401="","",IFERROR(INDEX(Clientes!$B:$B,MATCH(C401,Clientes!$A:$A,0)),"Cód. não cadastrado"))</f>
        <v/>
      </c>
      <c r="K401" s="18">
        <f>IF(B401="","",YEAR(B401))</f>
        <v/>
      </c>
      <c r="L401" s="18">
        <f>IF(B401="","",MONTH(B401))</f>
        <v/>
      </c>
      <c r="M401" s="18">
        <f>IF(OR(B401="",I401=""),"",I401-B401)</f>
        <v/>
      </c>
      <c r="N401" s="21">
        <f>IF(B401="","",IF(I401="",IF(H401="","",IF(TODAY()&gt;H401,"Atrasado (em aberto)","Em aberto")),IF(I401&lt;=H401,"No prazo","Fora do prazo")))</f>
        <v/>
      </c>
    </row>
    <row r="402">
      <c r="B402" s="22" t="n"/>
      <c r="E402" s="23" t="n"/>
      <c r="F402" s="24" t="n"/>
      <c r="H402" s="22" t="n"/>
      <c r="I402" s="22" t="n"/>
      <c r="J402" s="21">
        <f>IF(C402="","",IFERROR(INDEX(Clientes!$B:$B,MATCH(C402,Clientes!$A:$A,0)),"Cód. não cadastrado"))</f>
        <v/>
      </c>
      <c r="K402" s="18">
        <f>IF(B402="","",YEAR(B402))</f>
        <v/>
      </c>
      <c r="L402" s="18">
        <f>IF(B402="","",MONTH(B402))</f>
        <v/>
      </c>
      <c r="M402" s="18">
        <f>IF(OR(B402="",I402=""),"",I402-B402)</f>
        <v/>
      </c>
      <c r="N402" s="21">
        <f>IF(B402="","",IF(I402="",IF(H402="","",IF(TODAY()&gt;H402,"Atrasado (em aberto)","Em aberto")),IF(I402&lt;=H402,"No prazo","Fora do prazo")))</f>
        <v/>
      </c>
    </row>
    <row r="403">
      <c r="B403" s="22" t="n"/>
      <c r="E403" s="23" t="n"/>
      <c r="F403" s="24" t="n"/>
      <c r="H403" s="22" t="n"/>
      <c r="I403" s="22" t="n"/>
      <c r="J403" s="21">
        <f>IF(C403="","",IFERROR(INDEX(Clientes!$B:$B,MATCH(C403,Clientes!$A:$A,0)),"Cód. não cadastrado"))</f>
        <v/>
      </c>
      <c r="K403" s="18">
        <f>IF(B403="","",YEAR(B403))</f>
        <v/>
      </c>
      <c r="L403" s="18">
        <f>IF(B403="","",MONTH(B403))</f>
        <v/>
      </c>
      <c r="M403" s="18">
        <f>IF(OR(B403="",I403=""),"",I403-B403)</f>
        <v/>
      </c>
      <c r="N403" s="21">
        <f>IF(B403="","",IF(I403="",IF(H403="","",IF(TODAY()&gt;H403,"Atrasado (em aberto)","Em aberto")),IF(I403&lt;=H403,"No prazo","Fora do prazo")))</f>
        <v/>
      </c>
    </row>
    <row r="404">
      <c r="B404" s="22" t="n"/>
      <c r="E404" s="23" t="n"/>
      <c r="F404" s="24" t="n"/>
      <c r="H404" s="22" t="n"/>
      <c r="I404" s="22" t="n"/>
      <c r="J404" s="21">
        <f>IF(C404="","",IFERROR(INDEX(Clientes!$B:$B,MATCH(C404,Clientes!$A:$A,0)),"Cód. não cadastrado"))</f>
        <v/>
      </c>
      <c r="K404" s="18">
        <f>IF(B404="","",YEAR(B404))</f>
        <v/>
      </c>
      <c r="L404" s="18">
        <f>IF(B404="","",MONTH(B404))</f>
        <v/>
      </c>
      <c r="M404" s="18">
        <f>IF(OR(B404="",I404=""),"",I404-B404)</f>
        <v/>
      </c>
      <c r="N404" s="21">
        <f>IF(B404="","",IF(I404="",IF(H404="","",IF(TODAY()&gt;H404,"Atrasado (em aberto)","Em aberto")),IF(I404&lt;=H404,"No prazo","Fora do prazo")))</f>
        <v/>
      </c>
    </row>
    <row r="405">
      <c r="B405" s="22" t="n"/>
      <c r="E405" s="23" t="n"/>
      <c r="F405" s="24" t="n"/>
      <c r="H405" s="22" t="n"/>
      <c r="I405" s="22" t="n"/>
      <c r="J405" s="21">
        <f>IF(C405="","",IFERROR(INDEX(Clientes!$B:$B,MATCH(C405,Clientes!$A:$A,0)),"Cód. não cadastrado"))</f>
        <v/>
      </c>
      <c r="K405" s="18">
        <f>IF(B405="","",YEAR(B405))</f>
        <v/>
      </c>
      <c r="L405" s="18">
        <f>IF(B405="","",MONTH(B405))</f>
        <v/>
      </c>
      <c r="M405" s="18">
        <f>IF(OR(B405="",I405=""),"",I405-B405)</f>
        <v/>
      </c>
      <c r="N405" s="21">
        <f>IF(B405="","",IF(I405="",IF(H405="","",IF(TODAY()&gt;H405,"Atrasado (em aberto)","Em aberto")),IF(I405&lt;=H405,"No prazo","Fora do prazo")))</f>
        <v/>
      </c>
    </row>
    <row r="406">
      <c r="B406" s="22" t="n"/>
      <c r="E406" s="23" t="n"/>
      <c r="F406" s="24" t="n"/>
      <c r="H406" s="22" t="n"/>
      <c r="I406" s="22" t="n"/>
      <c r="J406" s="21">
        <f>IF(C406="","",IFERROR(INDEX(Clientes!$B:$B,MATCH(C406,Clientes!$A:$A,0)),"Cód. não cadastrado"))</f>
        <v/>
      </c>
      <c r="K406" s="18">
        <f>IF(B406="","",YEAR(B406))</f>
        <v/>
      </c>
      <c r="L406" s="18">
        <f>IF(B406="","",MONTH(B406))</f>
        <v/>
      </c>
      <c r="M406" s="18">
        <f>IF(OR(B406="",I406=""),"",I406-B406)</f>
        <v/>
      </c>
      <c r="N406" s="21">
        <f>IF(B406="","",IF(I406="",IF(H406="","",IF(TODAY()&gt;H406,"Atrasado (em aberto)","Em aberto")),IF(I406&lt;=H406,"No prazo","Fora do prazo")))</f>
        <v/>
      </c>
    </row>
    <row r="407">
      <c r="B407" s="22" t="n"/>
      <c r="E407" s="23" t="n"/>
      <c r="F407" s="24" t="n"/>
      <c r="H407" s="22" t="n"/>
      <c r="I407" s="22" t="n"/>
      <c r="J407" s="21">
        <f>IF(C407="","",IFERROR(INDEX(Clientes!$B:$B,MATCH(C407,Clientes!$A:$A,0)),"Cód. não cadastrado"))</f>
        <v/>
      </c>
      <c r="K407" s="18">
        <f>IF(B407="","",YEAR(B407))</f>
        <v/>
      </c>
      <c r="L407" s="18">
        <f>IF(B407="","",MONTH(B407))</f>
        <v/>
      </c>
      <c r="M407" s="18">
        <f>IF(OR(B407="",I407=""),"",I407-B407)</f>
        <v/>
      </c>
      <c r="N407" s="21">
        <f>IF(B407="","",IF(I407="",IF(H407="","",IF(TODAY()&gt;H407,"Atrasado (em aberto)","Em aberto")),IF(I407&lt;=H407,"No prazo","Fora do prazo")))</f>
        <v/>
      </c>
    </row>
    <row r="408">
      <c r="B408" s="22" t="n"/>
      <c r="E408" s="23" t="n"/>
      <c r="F408" s="24" t="n"/>
      <c r="H408" s="22" t="n"/>
      <c r="I408" s="22" t="n"/>
      <c r="J408" s="21">
        <f>IF(C408="","",IFERROR(INDEX(Clientes!$B:$B,MATCH(C408,Clientes!$A:$A,0)),"Cód. não cadastrado"))</f>
        <v/>
      </c>
      <c r="K408" s="18">
        <f>IF(B408="","",YEAR(B408))</f>
        <v/>
      </c>
      <c r="L408" s="18">
        <f>IF(B408="","",MONTH(B408))</f>
        <v/>
      </c>
      <c r="M408" s="18">
        <f>IF(OR(B408="",I408=""),"",I408-B408)</f>
        <v/>
      </c>
      <c r="N408" s="21">
        <f>IF(B408="","",IF(I408="",IF(H408="","",IF(TODAY()&gt;H408,"Atrasado (em aberto)","Em aberto")),IF(I408&lt;=H408,"No prazo","Fora do prazo")))</f>
        <v/>
      </c>
    </row>
    <row r="409">
      <c r="B409" s="22" t="n"/>
      <c r="E409" s="23" t="n"/>
      <c r="F409" s="24" t="n"/>
      <c r="H409" s="22" t="n"/>
      <c r="I409" s="22" t="n"/>
      <c r="J409" s="21">
        <f>IF(C409="","",IFERROR(INDEX(Clientes!$B:$B,MATCH(C409,Clientes!$A:$A,0)),"Cód. não cadastrado"))</f>
        <v/>
      </c>
      <c r="K409" s="18">
        <f>IF(B409="","",YEAR(B409))</f>
        <v/>
      </c>
      <c r="L409" s="18">
        <f>IF(B409="","",MONTH(B409))</f>
        <v/>
      </c>
      <c r="M409" s="18">
        <f>IF(OR(B409="",I409=""),"",I409-B409)</f>
        <v/>
      </c>
      <c r="N409" s="21">
        <f>IF(B409="","",IF(I409="",IF(H409="","",IF(TODAY()&gt;H409,"Atrasado (em aberto)","Em aberto")),IF(I409&lt;=H409,"No prazo","Fora do prazo")))</f>
        <v/>
      </c>
    </row>
    <row r="410">
      <c r="B410" s="22" t="n"/>
      <c r="E410" s="23" t="n"/>
      <c r="F410" s="24" t="n"/>
      <c r="H410" s="22" t="n"/>
      <c r="I410" s="22" t="n"/>
      <c r="J410" s="21">
        <f>IF(C410="","",IFERROR(INDEX(Clientes!$B:$B,MATCH(C410,Clientes!$A:$A,0)),"Cód. não cadastrado"))</f>
        <v/>
      </c>
      <c r="K410" s="18">
        <f>IF(B410="","",YEAR(B410))</f>
        <v/>
      </c>
      <c r="L410" s="18">
        <f>IF(B410="","",MONTH(B410))</f>
        <v/>
      </c>
      <c r="M410" s="18">
        <f>IF(OR(B410="",I410=""),"",I410-B410)</f>
        <v/>
      </c>
      <c r="N410" s="21">
        <f>IF(B410="","",IF(I410="",IF(H410="","",IF(TODAY()&gt;H410,"Atrasado (em aberto)","Em aberto")),IF(I410&lt;=H410,"No prazo","Fora do prazo")))</f>
        <v/>
      </c>
    </row>
    <row r="411">
      <c r="B411" s="22" t="n"/>
      <c r="E411" s="23" t="n"/>
      <c r="F411" s="24" t="n"/>
      <c r="H411" s="22" t="n"/>
      <c r="I411" s="22" t="n"/>
      <c r="J411" s="21">
        <f>IF(C411="","",IFERROR(INDEX(Clientes!$B:$B,MATCH(C411,Clientes!$A:$A,0)),"Cód. não cadastrado"))</f>
        <v/>
      </c>
      <c r="K411" s="18">
        <f>IF(B411="","",YEAR(B411))</f>
        <v/>
      </c>
      <c r="L411" s="18">
        <f>IF(B411="","",MONTH(B411))</f>
        <v/>
      </c>
      <c r="M411" s="18">
        <f>IF(OR(B411="",I411=""),"",I411-B411)</f>
        <v/>
      </c>
      <c r="N411" s="21">
        <f>IF(B411="","",IF(I411="",IF(H411="","",IF(TODAY()&gt;H411,"Atrasado (em aberto)","Em aberto")),IF(I411&lt;=H411,"No prazo","Fora do prazo")))</f>
        <v/>
      </c>
    </row>
    <row r="412">
      <c r="B412" s="22" t="n"/>
      <c r="E412" s="23" t="n"/>
      <c r="F412" s="24" t="n"/>
      <c r="H412" s="22" t="n"/>
      <c r="I412" s="22" t="n"/>
      <c r="J412" s="21">
        <f>IF(C412="","",IFERROR(INDEX(Clientes!$B:$B,MATCH(C412,Clientes!$A:$A,0)),"Cód. não cadastrado"))</f>
        <v/>
      </c>
      <c r="K412" s="18">
        <f>IF(B412="","",YEAR(B412))</f>
        <v/>
      </c>
      <c r="L412" s="18">
        <f>IF(B412="","",MONTH(B412))</f>
        <v/>
      </c>
      <c r="M412" s="18">
        <f>IF(OR(B412="",I412=""),"",I412-B412)</f>
        <v/>
      </c>
      <c r="N412" s="21">
        <f>IF(B412="","",IF(I412="",IF(H412="","",IF(TODAY()&gt;H412,"Atrasado (em aberto)","Em aberto")),IF(I412&lt;=H412,"No prazo","Fora do prazo")))</f>
        <v/>
      </c>
    </row>
    <row r="413">
      <c r="B413" s="22" t="n"/>
      <c r="E413" s="23" t="n"/>
      <c r="F413" s="24" t="n"/>
      <c r="H413" s="22" t="n"/>
      <c r="I413" s="22" t="n"/>
      <c r="J413" s="21">
        <f>IF(C413="","",IFERROR(INDEX(Clientes!$B:$B,MATCH(C413,Clientes!$A:$A,0)),"Cód. não cadastrado"))</f>
        <v/>
      </c>
      <c r="K413" s="18">
        <f>IF(B413="","",YEAR(B413))</f>
        <v/>
      </c>
      <c r="L413" s="18">
        <f>IF(B413="","",MONTH(B413))</f>
        <v/>
      </c>
      <c r="M413" s="18">
        <f>IF(OR(B413="",I413=""),"",I413-B413)</f>
        <v/>
      </c>
      <c r="N413" s="21">
        <f>IF(B413="","",IF(I413="",IF(H413="","",IF(TODAY()&gt;H413,"Atrasado (em aberto)","Em aberto")),IF(I413&lt;=H413,"No prazo","Fora do prazo")))</f>
        <v/>
      </c>
    </row>
    <row r="414">
      <c r="B414" s="22" t="n"/>
      <c r="E414" s="23" t="n"/>
      <c r="F414" s="24" t="n"/>
      <c r="H414" s="22" t="n"/>
      <c r="I414" s="22" t="n"/>
      <c r="J414" s="21">
        <f>IF(C414="","",IFERROR(INDEX(Clientes!$B:$B,MATCH(C414,Clientes!$A:$A,0)),"Cód. não cadastrado"))</f>
        <v/>
      </c>
      <c r="K414" s="18">
        <f>IF(B414="","",YEAR(B414))</f>
        <v/>
      </c>
      <c r="L414" s="18">
        <f>IF(B414="","",MONTH(B414))</f>
        <v/>
      </c>
      <c r="M414" s="18">
        <f>IF(OR(B414="",I414=""),"",I414-B414)</f>
        <v/>
      </c>
      <c r="N414" s="21">
        <f>IF(B414="","",IF(I414="",IF(H414="","",IF(TODAY()&gt;H414,"Atrasado (em aberto)","Em aberto")),IF(I414&lt;=H414,"No prazo","Fora do prazo")))</f>
        <v/>
      </c>
    </row>
    <row r="415">
      <c r="B415" s="22" t="n"/>
      <c r="E415" s="23" t="n"/>
      <c r="F415" s="24" t="n"/>
      <c r="H415" s="22" t="n"/>
      <c r="I415" s="22" t="n"/>
      <c r="J415" s="21">
        <f>IF(C415="","",IFERROR(INDEX(Clientes!$B:$B,MATCH(C415,Clientes!$A:$A,0)),"Cód. não cadastrado"))</f>
        <v/>
      </c>
      <c r="K415" s="18">
        <f>IF(B415="","",YEAR(B415))</f>
        <v/>
      </c>
      <c r="L415" s="18">
        <f>IF(B415="","",MONTH(B415))</f>
        <v/>
      </c>
      <c r="M415" s="18">
        <f>IF(OR(B415="",I415=""),"",I415-B415)</f>
        <v/>
      </c>
      <c r="N415" s="21">
        <f>IF(B415="","",IF(I415="",IF(H415="","",IF(TODAY()&gt;H415,"Atrasado (em aberto)","Em aberto")),IF(I415&lt;=H415,"No prazo","Fora do prazo")))</f>
        <v/>
      </c>
    </row>
    <row r="416">
      <c r="B416" s="22" t="n"/>
      <c r="E416" s="23" t="n"/>
      <c r="F416" s="24" t="n"/>
      <c r="H416" s="22" t="n"/>
      <c r="I416" s="22" t="n"/>
      <c r="J416" s="21">
        <f>IF(C416="","",IFERROR(INDEX(Clientes!$B:$B,MATCH(C416,Clientes!$A:$A,0)),"Cód. não cadastrado"))</f>
        <v/>
      </c>
      <c r="K416" s="18">
        <f>IF(B416="","",YEAR(B416))</f>
        <v/>
      </c>
      <c r="L416" s="18">
        <f>IF(B416="","",MONTH(B416))</f>
        <v/>
      </c>
      <c r="M416" s="18">
        <f>IF(OR(B416="",I416=""),"",I416-B416)</f>
        <v/>
      </c>
      <c r="N416" s="21">
        <f>IF(B416="","",IF(I416="",IF(H416="","",IF(TODAY()&gt;H416,"Atrasado (em aberto)","Em aberto")),IF(I416&lt;=H416,"No prazo","Fora do prazo")))</f>
        <v/>
      </c>
    </row>
    <row r="417">
      <c r="B417" s="22" t="n"/>
      <c r="E417" s="23" t="n"/>
      <c r="F417" s="24" t="n"/>
      <c r="H417" s="22" t="n"/>
      <c r="I417" s="22" t="n"/>
      <c r="J417" s="21">
        <f>IF(C417="","",IFERROR(INDEX(Clientes!$B:$B,MATCH(C417,Clientes!$A:$A,0)),"Cód. não cadastrado"))</f>
        <v/>
      </c>
      <c r="K417" s="18">
        <f>IF(B417="","",YEAR(B417))</f>
        <v/>
      </c>
      <c r="L417" s="18">
        <f>IF(B417="","",MONTH(B417))</f>
        <v/>
      </c>
      <c r="M417" s="18">
        <f>IF(OR(B417="",I417=""),"",I417-B417)</f>
        <v/>
      </c>
      <c r="N417" s="21">
        <f>IF(B417="","",IF(I417="",IF(H417="","",IF(TODAY()&gt;H417,"Atrasado (em aberto)","Em aberto")),IF(I417&lt;=H417,"No prazo","Fora do prazo")))</f>
        <v/>
      </c>
    </row>
    <row r="418">
      <c r="B418" s="22" t="n"/>
      <c r="E418" s="23" t="n"/>
      <c r="F418" s="24" t="n"/>
      <c r="H418" s="22" t="n"/>
      <c r="I418" s="22" t="n"/>
      <c r="J418" s="21">
        <f>IF(C418="","",IFERROR(INDEX(Clientes!$B:$B,MATCH(C418,Clientes!$A:$A,0)),"Cód. não cadastrado"))</f>
        <v/>
      </c>
      <c r="K418" s="18">
        <f>IF(B418="","",YEAR(B418))</f>
        <v/>
      </c>
      <c r="L418" s="18">
        <f>IF(B418="","",MONTH(B418))</f>
        <v/>
      </c>
      <c r="M418" s="18">
        <f>IF(OR(B418="",I418=""),"",I418-B418)</f>
        <v/>
      </c>
      <c r="N418" s="21">
        <f>IF(B418="","",IF(I418="",IF(H418="","",IF(TODAY()&gt;H418,"Atrasado (em aberto)","Em aberto")),IF(I418&lt;=H418,"No prazo","Fora do prazo")))</f>
        <v/>
      </c>
    </row>
    <row r="419">
      <c r="B419" s="22" t="n"/>
      <c r="E419" s="23" t="n"/>
      <c r="F419" s="24" t="n"/>
      <c r="H419" s="22" t="n"/>
      <c r="I419" s="22" t="n"/>
      <c r="J419" s="21">
        <f>IF(C419="","",IFERROR(INDEX(Clientes!$B:$B,MATCH(C419,Clientes!$A:$A,0)),"Cód. não cadastrado"))</f>
        <v/>
      </c>
      <c r="K419" s="18">
        <f>IF(B419="","",YEAR(B419))</f>
        <v/>
      </c>
      <c r="L419" s="18">
        <f>IF(B419="","",MONTH(B419))</f>
        <v/>
      </c>
      <c r="M419" s="18">
        <f>IF(OR(B419="",I419=""),"",I419-B419)</f>
        <v/>
      </c>
      <c r="N419" s="21">
        <f>IF(B419="","",IF(I419="",IF(H419="","",IF(TODAY()&gt;H419,"Atrasado (em aberto)","Em aberto")),IF(I419&lt;=H419,"No prazo","Fora do prazo")))</f>
        <v/>
      </c>
    </row>
    <row r="420">
      <c r="B420" s="22" t="n"/>
      <c r="E420" s="23" t="n"/>
      <c r="F420" s="24" t="n"/>
      <c r="H420" s="22" t="n"/>
      <c r="I420" s="22" t="n"/>
      <c r="J420" s="21">
        <f>IF(C420="","",IFERROR(INDEX(Clientes!$B:$B,MATCH(C420,Clientes!$A:$A,0)),"Cód. não cadastrado"))</f>
        <v/>
      </c>
      <c r="K420" s="18">
        <f>IF(B420="","",YEAR(B420))</f>
        <v/>
      </c>
      <c r="L420" s="18">
        <f>IF(B420="","",MONTH(B420))</f>
        <v/>
      </c>
      <c r="M420" s="18">
        <f>IF(OR(B420="",I420=""),"",I420-B420)</f>
        <v/>
      </c>
      <c r="N420" s="21">
        <f>IF(B420="","",IF(I420="",IF(H420="","",IF(TODAY()&gt;H420,"Atrasado (em aberto)","Em aberto")),IF(I420&lt;=H420,"No prazo","Fora do prazo")))</f>
        <v/>
      </c>
    </row>
    <row r="421">
      <c r="B421" s="22" t="n"/>
      <c r="E421" s="23" t="n"/>
      <c r="F421" s="24" t="n"/>
      <c r="H421" s="22" t="n"/>
      <c r="I421" s="22" t="n"/>
      <c r="J421" s="21">
        <f>IF(C421="","",IFERROR(INDEX(Clientes!$B:$B,MATCH(C421,Clientes!$A:$A,0)),"Cód. não cadastrado"))</f>
        <v/>
      </c>
      <c r="K421" s="18">
        <f>IF(B421="","",YEAR(B421))</f>
        <v/>
      </c>
      <c r="L421" s="18">
        <f>IF(B421="","",MONTH(B421))</f>
        <v/>
      </c>
      <c r="M421" s="18">
        <f>IF(OR(B421="",I421=""),"",I421-B421)</f>
        <v/>
      </c>
      <c r="N421" s="21">
        <f>IF(B421="","",IF(I421="",IF(H421="","",IF(TODAY()&gt;H421,"Atrasado (em aberto)","Em aberto")),IF(I421&lt;=H421,"No prazo","Fora do prazo")))</f>
        <v/>
      </c>
    </row>
    <row r="422">
      <c r="B422" s="22" t="n"/>
      <c r="E422" s="23" t="n"/>
      <c r="F422" s="24" t="n"/>
      <c r="H422" s="22" t="n"/>
      <c r="I422" s="22" t="n"/>
      <c r="J422" s="21">
        <f>IF(C422="","",IFERROR(INDEX(Clientes!$B:$B,MATCH(C422,Clientes!$A:$A,0)),"Cód. não cadastrado"))</f>
        <v/>
      </c>
      <c r="K422" s="18">
        <f>IF(B422="","",YEAR(B422))</f>
        <v/>
      </c>
      <c r="L422" s="18">
        <f>IF(B422="","",MONTH(B422))</f>
        <v/>
      </c>
      <c r="M422" s="18">
        <f>IF(OR(B422="",I422=""),"",I422-B422)</f>
        <v/>
      </c>
      <c r="N422" s="21">
        <f>IF(B422="","",IF(I422="",IF(H422="","",IF(TODAY()&gt;H422,"Atrasado (em aberto)","Em aberto")),IF(I422&lt;=H422,"No prazo","Fora do prazo")))</f>
        <v/>
      </c>
    </row>
    <row r="423">
      <c r="B423" s="22" t="n"/>
      <c r="E423" s="23" t="n"/>
      <c r="F423" s="24" t="n"/>
      <c r="H423" s="22" t="n"/>
      <c r="I423" s="22" t="n"/>
      <c r="J423" s="21">
        <f>IF(C423="","",IFERROR(INDEX(Clientes!$B:$B,MATCH(C423,Clientes!$A:$A,0)),"Cód. não cadastrado"))</f>
        <v/>
      </c>
      <c r="K423" s="18">
        <f>IF(B423="","",YEAR(B423))</f>
        <v/>
      </c>
      <c r="L423" s="18">
        <f>IF(B423="","",MONTH(B423))</f>
        <v/>
      </c>
      <c r="M423" s="18">
        <f>IF(OR(B423="",I423=""),"",I423-B423)</f>
        <v/>
      </c>
      <c r="N423" s="21">
        <f>IF(B423="","",IF(I423="",IF(H423="","",IF(TODAY()&gt;H423,"Atrasado (em aberto)","Em aberto")),IF(I423&lt;=H423,"No prazo","Fora do prazo")))</f>
        <v/>
      </c>
    </row>
    <row r="424">
      <c r="B424" s="22" t="n"/>
      <c r="E424" s="23" t="n"/>
      <c r="F424" s="24" t="n"/>
      <c r="H424" s="22" t="n"/>
      <c r="I424" s="22" t="n"/>
      <c r="J424" s="21">
        <f>IF(C424="","",IFERROR(INDEX(Clientes!$B:$B,MATCH(C424,Clientes!$A:$A,0)),"Cód. não cadastrado"))</f>
        <v/>
      </c>
      <c r="K424" s="18">
        <f>IF(B424="","",YEAR(B424))</f>
        <v/>
      </c>
      <c r="L424" s="18">
        <f>IF(B424="","",MONTH(B424))</f>
        <v/>
      </c>
      <c r="M424" s="18">
        <f>IF(OR(B424="",I424=""),"",I424-B424)</f>
        <v/>
      </c>
      <c r="N424" s="21">
        <f>IF(B424="","",IF(I424="",IF(H424="","",IF(TODAY()&gt;H424,"Atrasado (em aberto)","Em aberto")),IF(I424&lt;=H424,"No prazo","Fora do prazo")))</f>
        <v/>
      </c>
    </row>
    <row r="425">
      <c r="B425" s="22" t="n"/>
      <c r="E425" s="23" t="n"/>
      <c r="F425" s="24" t="n"/>
      <c r="H425" s="22" t="n"/>
      <c r="I425" s="22" t="n"/>
      <c r="J425" s="21">
        <f>IF(C425="","",IFERROR(INDEX(Clientes!$B:$B,MATCH(C425,Clientes!$A:$A,0)),"Cód. não cadastrado"))</f>
        <v/>
      </c>
      <c r="K425" s="18">
        <f>IF(B425="","",YEAR(B425))</f>
        <v/>
      </c>
      <c r="L425" s="18">
        <f>IF(B425="","",MONTH(B425))</f>
        <v/>
      </c>
      <c r="M425" s="18">
        <f>IF(OR(B425="",I425=""),"",I425-B425)</f>
        <v/>
      </c>
      <c r="N425" s="21">
        <f>IF(B425="","",IF(I425="",IF(H425="","",IF(TODAY()&gt;H425,"Atrasado (em aberto)","Em aberto")),IF(I425&lt;=H425,"No prazo","Fora do prazo")))</f>
        <v/>
      </c>
    </row>
    <row r="426">
      <c r="B426" s="22" t="n"/>
      <c r="E426" s="23" t="n"/>
      <c r="F426" s="24" t="n"/>
      <c r="H426" s="22" t="n"/>
      <c r="I426" s="22" t="n"/>
      <c r="J426" s="21">
        <f>IF(C426="","",IFERROR(INDEX(Clientes!$B:$B,MATCH(C426,Clientes!$A:$A,0)),"Cód. não cadastrado"))</f>
        <v/>
      </c>
      <c r="K426" s="18">
        <f>IF(B426="","",YEAR(B426))</f>
        <v/>
      </c>
      <c r="L426" s="18">
        <f>IF(B426="","",MONTH(B426))</f>
        <v/>
      </c>
      <c r="M426" s="18">
        <f>IF(OR(B426="",I426=""),"",I426-B426)</f>
        <v/>
      </c>
      <c r="N426" s="21">
        <f>IF(B426="","",IF(I426="",IF(H426="","",IF(TODAY()&gt;H426,"Atrasado (em aberto)","Em aberto")),IF(I426&lt;=H426,"No prazo","Fora do prazo")))</f>
        <v/>
      </c>
    </row>
    <row r="427">
      <c r="B427" s="22" t="n"/>
      <c r="E427" s="23" t="n"/>
      <c r="F427" s="24" t="n"/>
      <c r="H427" s="22" t="n"/>
      <c r="I427" s="22" t="n"/>
      <c r="J427" s="21">
        <f>IF(C427="","",IFERROR(INDEX(Clientes!$B:$B,MATCH(C427,Clientes!$A:$A,0)),"Cód. não cadastrado"))</f>
        <v/>
      </c>
      <c r="K427" s="18">
        <f>IF(B427="","",YEAR(B427))</f>
        <v/>
      </c>
      <c r="L427" s="18">
        <f>IF(B427="","",MONTH(B427))</f>
        <v/>
      </c>
      <c r="M427" s="18">
        <f>IF(OR(B427="",I427=""),"",I427-B427)</f>
        <v/>
      </c>
      <c r="N427" s="21">
        <f>IF(B427="","",IF(I427="",IF(H427="","",IF(TODAY()&gt;H427,"Atrasado (em aberto)","Em aberto")),IF(I427&lt;=H427,"No prazo","Fora do prazo")))</f>
        <v/>
      </c>
    </row>
    <row r="428">
      <c r="B428" s="22" t="n"/>
      <c r="E428" s="23" t="n"/>
      <c r="F428" s="24" t="n"/>
      <c r="H428" s="22" t="n"/>
      <c r="I428" s="22" t="n"/>
      <c r="J428" s="21">
        <f>IF(C428="","",IFERROR(INDEX(Clientes!$B:$B,MATCH(C428,Clientes!$A:$A,0)),"Cód. não cadastrado"))</f>
        <v/>
      </c>
      <c r="K428" s="18">
        <f>IF(B428="","",YEAR(B428))</f>
        <v/>
      </c>
      <c r="L428" s="18">
        <f>IF(B428="","",MONTH(B428))</f>
        <v/>
      </c>
      <c r="M428" s="18">
        <f>IF(OR(B428="",I428=""),"",I428-B428)</f>
        <v/>
      </c>
      <c r="N428" s="21">
        <f>IF(B428="","",IF(I428="",IF(H428="","",IF(TODAY()&gt;H428,"Atrasado (em aberto)","Em aberto")),IF(I428&lt;=H428,"No prazo","Fora do prazo")))</f>
        <v/>
      </c>
    </row>
    <row r="429">
      <c r="B429" s="22" t="n"/>
      <c r="E429" s="23" t="n"/>
      <c r="F429" s="24" t="n"/>
      <c r="H429" s="22" t="n"/>
      <c r="I429" s="22" t="n"/>
      <c r="J429" s="21">
        <f>IF(C429="","",IFERROR(INDEX(Clientes!$B:$B,MATCH(C429,Clientes!$A:$A,0)),"Cód. não cadastrado"))</f>
        <v/>
      </c>
      <c r="K429" s="18">
        <f>IF(B429="","",YEAR(B429))</f>
        <v/>
      </c>
      <c r="L429" s="18">
        <f>IF(B429="","",MONTH(B429))</f>
        <v/>
      </c>
      <c r="M429" s="18">
        <f>IF(OR(B429="",I429=""),"",I429-B429)</f>
        <v/>
      </c>
      <c r="N429" s="21">
        <f>IF(B429="","",IF(I429="",IF(H429="","",IF(TODAY()&gt;H429,"Atrasado (em aberto)","Em aberto")),IF(I429&lt;=H429,"No prazo","Fora do prazo")))</f>
        <v/>
      </c>
    </row>
    <row r="430">
      <c r="B430" s="22" t="n"/>
      <c r="E430" s="23" t="n"/>
      <c r="F430" s="24" t="n"/>
      <c r="H430" s="22" t="n"/>
      <c r="I430" s="22" t="n"/>
      <c r="J430" s="21">
        <f>IF(C430="","",IFERROR(INDEX(Clientes!$B:$B,MATCH(C430,Clientes!$A:$A,0)),"Cód. não cadastrado"))</f>
        <v/>
      </c>
      <c r="K430" s="18">
        <f>IF(B430="","",YEAR(B430))</f>
        <v/>
      </c>
      <c r="L430" s="18">
        <f>IF(B430="","",MONTH(B430))</f>
        <v/>
      </c>
      <c r="M430" s="18">
        <f>IF(OR(B430="",I430=""),"",I430-B430)</f>
        <v/>
      </c>
      <c r="N430" s="21">
        <f>IF(B430="","",IF(I430="",IF(H430="","",IF(TODAY()&gt;H430,"Atrasado (em aberto)","Em aberto")),IF(I430&lt;=H430,"No prazo","Fora do prazo")))</f>
        <v/>
      </c>
    </row>
    <row r="431">
      <c r="B431" s="22" t="n"/>
      <c r="E431" s="23" t="n"/>
      <c r="F431" s="24" t="n"/>
      <c r="H431" s="22" t="n"/>
      <c r="I431" s="22" t="n"/>
      <c r="J431" s="21">
        <f>IF(C431="","",IFERROR(INDEX(Clientes!$B:$B,MATCH(C431,Clientes!$A:$A,0)),"Cód. não cadastrado"))</f>
        <v/>
      </c>
      <c r="K431" s="18">
        <f>IF(B431="","",YEAR(B431))</f>
        <v/>
      </c>
      <c r="L431" s="18">
        <f>IF(B431="","",MONTH(B431))</f>
        <v/>
      </c>
      <c r="M431" s="18">
        <f>IF(OR(B431="",I431=""),"",I431-B431)</f>
        <v/>
      </c>
      <c r="N431" s="21">
        <f>IF(B431="","",IF(I431="",IF(H431="","",IF(TODAY()&gt;H431,"Atrasado (em aberto)","Em aberto")),IF(I431&lt;=H431,"No prazo","Fora do prazo")))</f>
        <v/>
      </c>
    </row>
    <row r="432">
      <c r="B432" s="22" t="n"/>
      <c r="E432" s="23" t="n"/>
      <c r="F432" s="24" t="n"/>
      <c r="H432" s="22" t="n"/>
      <c r="I432" s="22" t="n"/>
      <c r="J432" s="21">
        <f>IF(C432="","",IFERROR(INDEX(Clientes!$B:$B,MATCH(C432,Clientes!$A:$A,0)),"Cód. não cadastrado"))</f>
        <v/>
      </c>
      <c r="K432" s="18">
        <f>IF(B432="","",YEAR(B432))</f>
        <v/>
      </c>
      <c r="L432" s="18">
        <f>IF(B432="","",MONTH(B432))</f>
        <v/>
      </c>
      <c r="M432" s="18">
        <f>IF(OR(B432="",I432=""),"",I432-B432)</f>
        <v/>
      </c>
      <c r="N432" s="21">
        <f>IF(B432="","",IF(I432="",IF(H432="","",IF(TODAY()&gt;H432,"Atrasado (em aberto)","Em aberto")),IF(I432&lt;=H432,"No prazo","Fora do prazo")))</f>
        <v/>
      </c>
    </row>
    <row r="433">
      <c r="B433" s="22" t="n"/>
      <c r="E433" s="23" t="n"/>
      <c r="F433" s="24" t="n"/>
      <c r="H433" s="22" t="n"/>
      <c r="I433" s="22" t="n"/>
      <c r="J433" s="21">
        <f>IF(C433="","",IFERROR(INDEX(Clientes!$B:$B,MATCH(C433,Clientes!$A:$A,0)),"Cód. não cadastrado"))</f>
        <v/>
      </c>
      <c r="K433" s="18">
        <f>IF(B433="","",YEAR(B433))</f>
        <v/>
      </c>
      <c r="L433" s="18">
        <f>IF(B433="","",MONTH(B433))</f>
        <v/>
      </c>
      <c r="M433" s="18">
        <f>IF(OR(B433="",I433=""),"",I433-B433)</f>
        <v/>
      </c>
      <c r="N433" s="21">
        <f>IF(B433="","",IF(I433="",IF(H433="","",IF(TODAY()&gt;H433,"Atrasado (em aberto)","Em aberto")),IF(I433&lt;=H433,"No prazo","Fora do prazo")))</f>
        <v/>
      </c>
    </row>
    <row r="434">
      <c r="B434" s="22" t="n"/>
      <c r="E434" s="23" t="n"/>
      <c r="F434" s="24" t="n"/>
      <c r="H434" s="22" t="n"/>
      <c r="I434" s="22" t="n"/>
      <c r="J434" s="21">
        <f>IF(C434="","",IFERROR(INDEX(Clientes!$B:$B,MATCH(C434,Clientes!$A:$A,0)),"Cód. não cadastrado"))</f>
        <v/>
      </c>
      <c r="K434" s="18">
        <f>IF(B434="","",YEAR(B434))</f>
        <v/>
      </c>
      <c r="L434" s="18">
        <f>IF(B434="","",MONTH(B434))</f>
        <v/>
      </c>
      <c r="M434" s="18">
        <f>IF(OR(B434="",I434=""),"",I434-B434)</f>
        <v/>
      </c>
      <c r="N434" s="21">
        <f>IF(B434="","",IF(I434="",IF(H434="","",IF(TODAY()&gt;H434,"Atrasado (em aberto)","Em aberto")),IF(I434&lt;=H434,"No prazo","Fora do prazo")))</f>
        <v/>
      </c>
    </row>
    <row r="435">
      <c r="B435" s="22" t="n"/>
      <c r="E435" s="23" t="n"/>
      <c r="F435" s="24" t="n"/>
      <c r="H435" s="22" t="n"/>
      <c r="I435" s="22" t="n"/>
      <c r="J435" s="21">
        <f>IF(C435="","",IFERROR(INDEX(Clientes!$B:$B,MATCH(C435,Clientes!$A:$A,0)),"Cód. não cadastrado"))</f>
        <v/>
      </c>
      <c r="K435" s="18">
        <f>IF(B435="","",YEAR(B435))</f>
        <v/>
      </c>
      <c r="L435" s="18">
        <f>IF(B435="","",MONTH(B435))</f>
        <v/>
      </c>
      <c r="M435" s="18">
        <f>IF(OR(B435="",I435=""),"",I435-B435)</f>
        <v/>
      </c>
      <c r="N435" s="21">
        <f>IF(B435="","",IF(I435="",IF(H435="","",IF(TODAY()&gt;H435,"Atrasado (em aberto)","Em aberto")),IF(I435&lt;=H435,"No prazo","Fora do prazo")))</f>
        <v/>
      </c>
    </row>
    <row r="436">
      <c r="B436" s="22" t="n"/>
      <c r="E436" s="23" t="n"/>
      <c r="F436" s="24" t="n"/>
      <c r="H436" s="22" t="n"/>
      <c r="I436" s="22" t="n"/>
      <c r="J436" s="21">
        <f>IF(C436="","",IFERROR(INDEX(Clientes!$B:$B,MATCH(C436,Clientes!$A:$A,0)),"Cód. não cadastrado"))</f>
        <v/>
      </c>
      <c r="K436" s="18">
        <f>IF(B436="","",YEAR(B436))</f>
        <v/>
      </c>
      <c r="L436" s="18">
        <f>IF(B436="","",MONTH(B436))</f>
        <v/>
      </c>
      <c r="M436" s="18">
        <f>IF(OR(B436="",I436=""),"",I436-B436)</f>
        <v/>
      </c>
      <c r="N436" s="21">
        <f>IF(B436="","",IF(I436="",IF(H436="","",IF(TODAY()&gt;H436,"Atrasado (em aberto)","Em aberto")),IF(I436&lt;=H436,"No prazo","Fora do prazo")))</f>
        <v/>
      </c>
    </row>
    <row r="437">
      <c r="B437" s="22" t="n"/>
      <c r="E437" s="23" t="n"/>
      <c r="F437" s="24" t="n"/>
      <c r="H437" s="22" t="n"/>
      <c r="I437" s="22" t="n"/>
      <c r="J437" s="21">
        <f>IF(C437="","",IFERROR(INDEX(Clientes!$B:$B,MATCH(C437,Clientes!$A:$A,0)),"Cód. não cadastrado"))</f>
        <v/>
      </c>
      <c r="K437" s="18">
        <f>IF(B437="","",YEAR(B437))</f>
        <v/>
      </c>
      <c r="L437" s="18">
        <f>IF(B437="","",MONTH(B437))</f>
        <v/>
      </c>
      <c r="M437" s="18">
        <f>IF(OR(B437="",I437=""),"",I437-B437)</f>
        <v/>
      </c>
      <c r="N437" s="21">
        <f>IF(B437="","",IF(I437="",IF(H437="","",IF(TODAY()&gt;H437,"Atrasado (em aberto)","Em aberto")),IF(I437&lt;=H437,"No prazo","Fora do prazo")))</f>
        <v/>
      </c>
    </row>
    <row r="438">
      <c r="B438" s="22" t="n"/>
      <c r="E438" s="23" t="n"/>
      <c r="F438" s="24" t="n"/>
      <c r="H438" s="22" t="n"/>
      <c r="I438" s="22" t="n"/>
      <c r="J438" s="21">
        <f>IF(C438="","",IFERROR(INDEX(Clientes!$B:$B,MATCH(C438,Clientes!$A:$A,0)),"Cód. não cadastrado"))</f>
        <v/>
      </c>
      <c r="K438" s="18">
        <f>IF(B438="","",YEAR(B438))</f>
        <v/>
      </c>
      <c r="L438" s="18">
        <f>IF(B438="","",MONTH(B438))</f>
        <v/>
      </c>
      <c r="M438" s="18">
        <f>IF(OR(B438="",I438=""),"",I438-B438)</f>
        <v/>
      </c>
      <c r="N438" s="21">
        <f>IF(B438="","",IF(I438="",IF(H438="","",IF(TODAY()&gt;H438,"Atrasado (em aberto)","Em aberto")),IF(I438&lt;=H438,"No prazo","Fora do prazo")))</f>
        <v/>
      </c>
    </row>
    <row r="439">
      <c r="B439" s="22" t="n"/>
      <c r="E439" s="23" t="n"/>
      <c r="F439" s="24" t="n"/>
      <c r="H439" s="22" t="n"/>
      <c r="I439" s="22" t="n"/>
      <c r="J439" s="21">
        <f>IF(C439="","",IFERROR(INDEX(Clientes!$B:$B,MATCH(C439,Clientes!$A:$A,0)),"Cód. não cadastrado"))</f>
        <v/>
      </c>
      <c r="K439" s="18">
        <f>IF(B439="","",YEAR(B439))</f>
        <v/>
      </c>
      <c r="L439" s="18">
        <f>IF(B439="","",MONTH(B439))</f>
        <v/>
      </c>
      <c r="M439" s="18">
        <f>IF(OR(B439="",I439=""),"",I439-B439)</f>
        <v/>
      </c>
      <c r="N439" s="21">
        <f>IF(B439="","",IF(I439="",IF(H439="","",IF(TODAY()&gt;H439,"Atrasado (em aberto)","Em aberto")),IF(I439&lt;=H439,"No prazo","Fora do prazo")))</f>
        <v/>
      </c>
    </row>
    <row r="440">
      <c r="B440" s="22" t="n"/>
      <c r="E440" s="23" t="n"/>
      <c r="F440" s="24" t="n"/>
      <c r="H440" s="22" t="n"/>
      <c r="I440" s="22" t="n"/>
      <c r="J440" s="21">
        <f>IF(C440="","",IFERROR(INDEX(Clientes!$B:$B,MATCH(C440,Clientes!$A:$A,0)),"Cód. não cadastrado"))</f>
        <v/>
      </c>
      <c r="K440" s="18">
        <f>IF(B440="","",YEAR(B440))</f>
        <v/>
      </c>
      <c r="L440" s="18">
        <f>IF(B440="","",MONTH(B440))</f>
        <v/>
      </c>
      <c r="M440" s="18">
        <f>IF(OR(B440="",I440=""),"",I440-B440)</f>
        <v/>
      </c>
      <c r="N440" s="21">
        <f>IF(B440="","",IF(I440="",IF(H440="","",IF(TODAY()&gt;H440,"Atrasado (em aberto)","Em aberto")),IF(I440&lt;=H440,"No prazo","Fora do prazo")))</f>
        <v/>
      </c>
    </row>
    <row r="441">
      <c r="B441" s="22" t="n"/>
      <c r="E441" s="23" t="n"/>
      <c r="F441" s="24" t="n"/>
      <c r="H441" s="22" t="n"/>
      <c r="I441" s="22" t="n"/>
      <c r="J441" s="21">
        <f>IF(C441="","",IFERROR(INDEX(Clientes!$B:$B,MATCH(C441,Clientes!$A:$A,0)),"Cód. não cadastrado"))</f>
        <v/>
      </c>
      <c r="K441" s="18">
        <f>IF(B441="","",YEAR(B441))</f>
        <v/>
      </c>
      <c r="L441" s="18">
        <f>IF(B441="","",MONTH(B441))</f>
        <v/>
      </c>
      <c r="M441" s="18">
        <f>IF(OR(B441="",I441=""),"",I441-B441)</f>
        <v/>
      </c>
      <c r="N441" s="21">
        <f>IF(B441="","",IF(I441="",IF(H441="","",IF(TODAY()&gt;H441,"Atrasado (em aberto)","Em aberto")),IF(I441&lt;=H441,"No prazo","Fora do prazo")))</f>
        <v/>
      </c>
    </row>
    <row r="442">
      <c r="B442" s="22" t="n"/>
      <c r="E442" s="23" t="n"/>
      <c r="F442" s="24" t="n"/>
      <c r="H442" s="22" t="n"/>
      <c r="I442" s="22" t="n"/>
      <c r="J442" s="21">
        <f>IF(C442="","",IFERROR(INDEX(Clientes!$B:$B,MATCH(C442,Clientes!$A:$A,0)),"Cód. não cadastrado"))</f>
        <v/>
      </c>
      <c r="K442" s="18">
        <f>IF(B442="","",YEAR(B442))</f>
        <v/>
      </c>
      <c r="L442" s="18">
        <f>IF(B442="","",MONTH(B442))</f>
        <v/>
      </c>
      <c r="M442" s="18">
        <f>IF(OR(B442="",I442=""),"",I442-B442)</f>
        <v/>
      </c>
      <c r="N442" s="21">
        <f>IF(B442="","",IF(I442="",IF(H442="","",IF(TODAY()&gt;H442,"Atrasado (em aberto)","Em aberto")),IF(I442&lt;=H442,"No prazo","Fora do prazo")))</f>
        <v/>
      </c>
    </row>
    <row r="443">
      <c r="B443" s="22" t="n"/>
      <c r="E443" s="23" t="n"/>
      <c r="F443" s="24" t="n"/>
      <c r="H443" s="22" t="n"/>
      <c r="I443" s="22" t="n"/>
      <c r="J443" s="21">
        <f>IF(C443="","",IFERROR(INDEX(Clientes!$B:$B,MATCH(C443,Clientes!$A:$A,0)),"Cód. não cadastrado"))</f>
        <v/>
      </c>
      <c r="K443" s="18">
        <f>IF(B443="","",YEAR(B443))</f>
        <v/>
      </c>
      <c r="L443" s="18">
        <f>IF(B443="","",MONTH(B443))</f>
        <v/>
      </c>
      <c r="M443" s="18">
        <f>IF(OR(B443="",I443=""),"",I443-B443)</f>
        <v/>
      </c>
      <c r="N443" s="21">
        <f>IF(B443="","",IF(I443="",IF(H443="","",IF(TODAY()&gt;H443,"Atrasado (em aberto)","Em aberto")),IF(I443&lt;=H443,"No prazo","Fora do prazo")))</f>
        <v/>
      </c>
    </row>
    <row r="444">
      <c r="B444" s="22" t="n"/>
      <c r="E444" s="23" t="n"/>
      <c r="F444" s="24" t="n"/>
      <c r="H444" s="22" t="n"/>
      <c r="I444" s="22" t="n"/>
      <c r="J444" s="21">
        <f>IF(C444="","",IFERROR(INDEX(Clientes!$B:$B,MATCH(C444,Clientes!$A:$A,0)),"Cód. não cadastrado"))</f>
        <v/>
      </c>
      <c r="K444" s="18">
        <f>IF(B444="","",YEAR(B444))</f>
        <v/>
      </c>
      <c r="L444" s="18">
        <f>IF(B444="","",MONTH(B444))</f>
        <v/>
      </c>
      <c r="M444" s="18">
        <f>IF(OR(B444="",I444=""),"",I444-B444)</f>
        <v/>
      </c>
      <c r="N444" s="21">
        <f>IF(B444="","",IF(I444="",IF(H444="","",IF(TODAY()&gt;H444,"Atrasado (em aberto)","Em aberto")),IF(I444&lt;=H444,"No prazo","Fora do prazo")))</f>
        <v/>
      </c>
    </row>
    <row r="445">
      <c r="B445" s="22" t="n"/>
      <c r="E445" s="23" t="n"/>
      <c r="F445" s="24" t="n"/>
      <c r="H445" s="22" t="n"/>
      <c r="I445" s="22" t="n"/>
      <c r="J445" s="21">
        <f>IF(C445="","",IFERROR(INDEX(Clientes!$B:$B,MATCH(C445,Clientes!$A:$A,0)),"Cód. não cadastrado"))</f>
        <v/>
      </c>
      <c r="K445" s="18">
        <f>IF(B445="","",YEAR(B445))</f>
        <v/>
      </c>
      <c r="L445" s="18">
        <f>IF(B445="","",MONTH(B445))</f>
        <v/>
      </c>
      <c r="M445" s="18">
        <f>IF(OR(B445="",I445=""),"",I445-B445)</f>
        <v/>
      </c>
      <c r="N445" s="21">
        <f>IF(B445="","",IF(I445="",IF(H445="","",IF(TODAY()&gt;H445,"Atrasado (em aberto)","Em aberto")),IF(I445&lt;=H445,"No prazo","Fora do prazo")))</f>
        <v/>
      </c>
    </row>
    <row r="446">
      <c r="B446" s="22" t="n"/>
      <c r="E446" s="23" t="n"/>
      <c r="F446" s="24" t="n"/>
      <c r="H446" s="22" t="n"/>
      <c r="I446" s="22" t="n"/>
      <c r="J446" s="21">
        <f>IF(C446="","",IFERROR(INDEX(Clientes!$B:$B,MATCH(C446,Clientes!$A:$A,0)),"Cód. não cadastrado"))</f>
        <v/>
      </c>
      <c r="K446" s="18">
        <f>IF(B446="","",YEAR(B446))</f>
        <v/>
      </c>
      <c r="L446" s="18">
        <f>IF(B446="","",MONTH(B446))</f>
        <v/>
      </c>
      <c r="M446" s="18">
        <f>IF(OR(B446="",I446=""),"",I446-B446)</f>
        <v/>
      </c>
      <c r="N446" s="21">
        <f>IF(B446="","",IF(I446="",IF(H446="","",IF(TODAY()&gt;H446,"Atrasado (em aberto)","Em aberto")),IF(I446&lt;=H446,"No prazo","Fora do prazo")))</f>
        <v/>
      </c>
    </row>
    <row r="447">
      <c r="B447" s="22" t="n"/>
      <c r="E447" s="23" t="n"/>
      <c r="F447" s="24" t="n"/>
      <c r="H447" s="22" t="n"/>
      <c r="I447" s="22" t="n"/>
      <c r="J447" s="21">
        <f>IF(C447="","",IFERROR(INDEX(Clientes!$B:$B,MATCH(C447,Clientes!$A:$A,0)),"Cód. não cadastrado"))</f>
        <v/>
      </c>
      <c r="K447" s="18">
        <f>IF(B447="","",YEAR(B447))</f>
        <v/>
      </c>
      <c r="L447" s="18">
        <f>IF(B447="","",MONTH(B447))</f>
        <v/>
      </c>
      <c r="M447" s="18">
        <f>IF(OR(B447="",I447=""),"",I447-B447)</f>
        <v/>
      </c>
      <c r="N447" s="21">
        <f>IF(B447="","",IF(I447="",IF(H447="","",IF(TODAY()&gt;H447,"Atrasado (em aberto)","Em aberto")),IF(I447&lt;=H447,"No prazo","Fora do prazo")))</f>
        <v/>
      </c>
    </row>
    <row r="448">
      <c r="B448" s="22" t="n"/>
      <c r="E448" s="23" t="n"/>
      <c r="F448" s="24" t="n"/>
      <c r="H448" s="22" t="n"/>
      <c r="I448" s="22" t="n"/>
      <c r="J448" s="21">
        <f>IF(C448="","",IFERROR(INDEX(Clientes!$B:$B,MATCH(C448,Clientes!$A:$A,0)),"Cód. não cadastrado"))</f>
        <v/>
      </c>
      <c r="K448" s="18">
        <f>IF(B448="","",YEAR(B448))</f>
        <v/>
      </c>
      <c r="L448" s="18">
        <f>IF(B448="","",MONTH(B448))</f>
        <v/>
      </c>
      <c r="M448" s="18">
        <f>IF(OR(B448="",I448=""),"",I448-B448)</f>
        <v/>
      </c>
      <c r="N448" s="21">
        <f>IF(B448="","",IF(I448="",IF(H448="","",IF(TODAY()&gt;H448,"Atrasado (em aberto)","Em aberto")),IF(I448&lt;=H448,"No prazo","Fora do prazo")))</f>
        <v/>
      </c>
    </row>
    <row r="449">
      <c r="B449" s="22" t="n"/>
      <c r="E449" s="23" t="n"/>
      <c r="F449" s="24" t="n"/>
      <c r="H449" s="22" t="n"/>
      <c r="I449" s="22" t="n"/>
      <c r="J449" s="21">
        <f>IF(C449="","",IFERROR(INDEX(Clientes!$B:$B,MATCH(C449,Clientes!$A:$A,0)),"Cód. não cadastrado"))</f>
        <v/>
      </c>
      <c r="K449" s="18">
        <f>IF(B449="","",YEAR(B449))</f>
        <v/>
      </c>
      <c r="L449" s="18">
        <f>IF(B449="","",MONTH(B449))</f>
        <v/>
      </c>
      <c r="M449" s="18">
        <f>IF(OR(B449="",I449=""),"",I449-B449)</f>
        <v/>
      </c>
      <c r="N449" s="21">
        <f>IF(B449="","",IF(I449="",IF(H449="","",IF(TODAY()&gt;H449,"Atrasado (em aberto)","Em aberto")),IF(I449&lt;=H449,"No prazo","Fora do prazo")))</f>
        <v/>
      </c>
    </row>
    <row r="450">
      <c r="B450" s="22" t="n"/>
      <c r="E450" s="23" t="n"/>
      <c r="F450" s="24" t="n"/>
      <c r="H450" s="22" t="n"/>
      <c r="I450" s="22" t="n"/>
      <c r="J450" s="21">
        <f>IF(C450="","",IFERROR(INDEX(Clientes!$B:$B,MATCH(C450,Clientes!$A:$A,0)),"Cód. não cadastrado"))</f>
        <v/>
      </c>
      <c r="K450" s="18">
        <f>IF(B450="","",YEAR(B450))</f>
        <v/>
      </c>
      <c r="L450" s="18">
        <f>IF(B450="","",MONTH(B450))</f>
        <v/>
      </c>
      <c r="M450" s="18">
        <f>IF(OR(B450="",I450=""),"",I450-B450)</f>
        <v/>
      </c>
      <c r="N450" s="21">
        <f>IF(B450="","",IF(I450="",IF(H450="","",IF(TODAY()&gt;H450,"Atrasado (em aberto)","Em aberto")),IF(I450&lt;=H450,"No prazo","Fora do prazo")))</f>
        <v/>
      </c>
    </row>
    <row r="451">
      <c r="B451" s="22" t="n"/>
      <c r="E451" s="23" t="n"/>
      <c r="F451" s="24" t="n"/>
      <c r="H451" s="22" t="n"/>
      <c r="I451" s="22" t="n"/>
      <c r="J451" s="21">
        <f>IF(C451="","",IFERROR(INDEX(Clientes!$B:$B,MATCH(C451,Clientes!$A:$A,0)),"Cód. não cadastrado"))</f>
        <v/>
      </c>
      <c r="K451" s="18">
        <f>IF(B451="","",YEAR(B451))</f>
        <v/>
      </c>
      <c r="L451" s="18">
        <f>IF(B451="","",MONTH(B451))</f>
        <v/>
      </c>
      <c r="M451" s="18">
        <f>IF(OR(B451="",I451=""),"",I451-B451)</f>
        <v/>
      </c>
      <c r="N451" s="21">
        <f>IF(B451="","",IF(I451="",IF(H451="","",IF(TODAY()&gt;H451,"Atrasado (em aberto)","Em aberto")),IF(I451&lt;=H451,"No prazo","Fora do prazo")))</f>
        <v/>
      </c>
    </row>
    <row r="452">
      <c r="B452" s="22" t="n"/>
      <c r="E452" s="23" t="n"/>
      <c r="F452" s="24" t="n"/>
      <c r="H452" s="22" t="n"/>
      <c r="I452" s="22" t="n"/>
      <c r="J452" s="21">
        <f>IF(C452="","",IFERROR(INDEX(Clientes!$B:$B,MATCH(C452,Clientes!$A:$A,0)),"Cód. não cadastrado"))</f>
        <v/>
      </c>
      <c r="K452" s="18">
        <f>IF(B452="","",YEAR(B452))</f>
        <v/>
      </c>
      <c r="L452" s="18">
        <f>IF(B452="","",MONTH(B452))</f>
        <v/>
      </c>
      <c r="M452" s="18">
        <f>IF(OR(B452="",I452=""),"",I452-B452)</f>
        <v/>
      </c>
      <c r="N452" s="21">
        <f>IF(B452="","",IF(I452="",IF(H452="","",IF(TODAY()&gt;H452,"Atrasado (em aberto)","Em aberto")),IF(I452&lt;=H452,"No prazo","Fora do prazo")))</f>
        <v/>
      </c>
    </row>
    <row r="453">
      <c r="B453" s="22" t="n"/>
      <c r="E453" s="23" t="n"/>
      <c r="F453" s="24" t="n"/>
      <c r="H453" s="22" t="n"/>
      <c r="I453" s="22" t="n"/>
      <c r="J453" s="21">
        <f>IF(C453="","",IFERROR(INDEX(Clientes!$B:$B,MATCH(C453,Clientes!$A:$A,0)),"Cód. não cadastrado"))</f>
        <v/>
      </c>
      <c r="K453" s="18">
        <f>IF(B453="","",YEAR(B453))</f>
        <v/>
      </c>
      <c r="L453" s="18">
        <f>IF(B453="","",MONTH(B453))</f>
        <v/>
      </c>
      <c r="M453" s="18">
        <f>IF(OR(B453="",I453=""),"",I453-B453)</f>
        <v/>
      </c>
      <c r="N453" s="21">
        <f>IF(B453="","",IF(I453="",IF(H453="","",IF(TODAY()&gt;H453,"Atrasado (em aberto)","Em aberto")),IF(I453&lt;=H453,"No prazo","Fora do prazo")))</f>
        <v/>
      </c>
    </row>
    <row r="454">
      <c r="B454" s="22" t="n"/>
      <c r="E454" s="23" t="n"/>
      <c r="F454" s="24" t="n"/>
      <c r="H454" s="22" t="n"/>
      <c r="I454" s="22" t="n"/>
      <c r="J454" s="21">
        <f>IF(C454="","",IFERROR(INDEX(Clientes!$B:$B,MATCH(C454,Clientes!$A:$A,0)),"Cód. não cadastrado"))</f>
        <v/>
      </c>
      <c r="K454" s="18">
        <f>IF(B454="","",YEAR(B454))</f>
        <v/>
      </c>
      <c r="L454" s="18">
        <f>IF(B454="","",MONTH(B454))</f>
        <v/>
      </c>
      <c r="M454" s="18">
        <f>IF(OR(B454="",I454=""),"",I454-B454)</f>
        <v/>
      </c>
      <c r="N454" s="21">
        <f>IF(B454="","",IF(I454="",IF(H454="","",IF(TODAY()&gt;H454,"Atrasado (em aberto)","Em aberto")),IF(I454&lt;=H454,"No prazo","Fora do prazo")))</f>
        <v/>
      </c>
    </row>
    <row r="455">
      <c r="B455" s="22" t="n"/>
      <c r="E455" s="23" t="n"/>
      <c r="F455" s="24" t="n"/>
      <c r="H455" s="22" t="n"/>
      <c r="I455" s="22" t="n"/>
      <c r="J455" s="21">
        <f>IF(C455="","",IFERROR(INDEX(Clientes!$B:$B,MATCH(C455,Clientes!$A:$A,0)),"Cód. não cadastrado"))</f>
        <v/>
      </c>
      <c r="K455" s="18">
        <f>IF(B455="","",YEAR(B455))</f>
        <v/>
      </c>
      <c r="L455" s="18">
        <f>IF(B455="","",MONTH(B455))</f>
        <v/>
      </c>
      <c r="M455" s="18">
        <f>IF(OR(B455="",I455=""),"",I455-B455)</f>
        <v/>
      </c>
      <c r="N455" s="21">
        <f>IF(B455="","",IF(I455="",IF(H455="","",IF(TODAY()&gt;H455,"Atrasado (em aberto)","Em aberto")),IF(I455&lt;=H455,"No prazo","Fora do prazo")))</f>
        <v/>
      </c>
    </row>
    <row r="456">
      <c r="B456" s="22" t="n"/>
      <c r="E456" s="23" t="n"/>
      <c r="F456" s="24" t="n"/>
      <c r="H456" s="22" t="n"/>
      <c r="I456" s="22" t="n"/>
      <c r="J456" s="21">
        <f>IF(C456="","",IFERROR(INDEX(Clientes!$B:$B,MATCH(C456,Clientes!$A:$A,0)),"Cód. não cadastrado"))</f>
        <v/>
      </c>
      <c r="K456" s="18">
        <f>IF(B456="","",YEAR(B456))</f>
        <v/>
      </c>
      <c r="L456" s="18">
        <f>IF(B456="","",MONTH(B456))</f>
        <v/>
      </c>
      <c r="M456" s="18">
        <f>IF(OR(B456="",I456=""),"",I456-B456)</f>
        <v/>
      </c>
      <c r="N456" s="21">
        <f>IF(B456="","",IF(I456="",IF(H456="","",IF(TODAY()&gt;H456,"Atrasado (em aberto)","Em aberto")),IF(I456&lt;=H456,"No prazo","Fora do prazo")))</f>
        <v/>
      </c>
    </row>
    <row r="457">
      <c r="B457" s="22" t="n"/>
      <c r="E457" s="23" t="n"/>
      <c r="F457" s="24" t="n"/>
      <c r="H457" s="22" t="n"/>
      <c r="I457" s="22" t="n"/>
      <c r="J457" s="21">
        <f>IF(C457="","",IFERROR(INDEX(Clientes!$B:$B,MATCH(C457,Clientes!$A:$A,0)),"Cód. não cadastrado"))</f>
        <v/>
      </c>
      <c r="K457" s="18">
        <f>IF(B457="","",YEAR(B457))</f>
        <v/>
      </c>
      <c r="L457" s="18">
        <f>IF(B457="","",MONTH(B457))</f>
        <v/>
      </c>
      <c r="M457" s="18">
        <f>IF(OR(B457="",I457=""),"",I457-B457)</f>
        <v/>
      </c>
      <c r="N457" s="21">
        <f>IF(B457="","",IF(I457="",IF(H457="","",IF(TODAY()&gt;H457,"Atrasado (em aberto)","Em aberto")),IF(I457&lt;=H457,"No prazo","Fora do prazo")))</f>
        <v/>
      </c>
    </row>
    <row r="458">
      <c r="B458" s="22" t="n"/>
      <c r="E458" s="23" t="n"/>
      <c r="F458" s="24" t="n"/>
      <c r="H458" s="22" t="n"/>
      <c r="I458" s="22" t="n"/>
      <c r="J458" s="21">
        <f>IF(C458="","",IFERROR(INDEX(Clientes!$B:$B,MATCH(C458,Clientes!$A:$A,0)),"Cód. não cadastrado"))</f>
        <v/>
      </c>
      <c r="K458" s="18">
        <f>IF(B458="","",YEAR(B458))</f>
        <v/>
      </c>
      <c r="L458" s="18">
        <f>IF(B458="","",MONTH(B458))</f>
        <v/>
      </c>
      <c r="M458" s="18">
        <f>IF(OR(B458="",I458=""),"",I458-B458)</f>
        <v/>
      </c>
      <c r="N458" s="21">
        <f>IF(B458="","",IF(I458="",IF(H458="","",IF(TODAY()&gt;H458,"Atrasado (em aberto)","Em aberto")),IF(I458&lt;=H458,"No prazo","Fora do prazo")))</f>
        <v/>
      </c>
    </row>
    <row r="459">
      <c r="B459" s="22" t="n"/>
      <c r="E459" s="23" t="n"/>
      <c r="F459" s="24" t="n"/>
      <c r="H459" s="22" t="n"/>
      <c r="I459" s="22" t="n"/>
      <c r="J459" s="21">
        <f>IF(C459="","",IFERROR(INDEX(Clientes!$B:$B,MATCH(C459,Clientes!$A:$A,0)),"Cód. não cadastrado"))</f>
        <v/>
      </c>
      <c r="K459" s="18">
        <f>IF(B459="","",YEAR(B459))</f>
        <v/>
      </c>
      <c r="L459" s="18">
        <f>IF(B459="","",MONTH(B459))</f>
        <v/>
      </c>
      <c r="M459" s="18">
        <f>IF(OR(B459="",I459=""),"",I459-B459)</f>
        <v/>
      </c>
      <c r="N459" s="21">
        <f>IF(B459="","",IF(I459="",IF(H459="","",IF(TODAY()&gt;H459,"Atrasado (em aberto)","Em aberto")),IF(I459&lt;=H459,"No prazo","Fora do prazo")))</f>
        <v/>
      </c>
    </row>
    <row r="460">
      <c r="B460" s="22" t="n"/>
      <c r="E460" s="23" t="n"/>
      <c r="F460" s="24" t="n"/>
      <c r="H460" s="22" t="n"/>
      <c r="I460" s="22" t="n"/>
      <c r="J460" s="21">
        <f>IF(C460="","",IFERROR(INDEX(Clientes!$B:$B,MATCH(C460,Clientes!$A:$A,0)),"Cód. não cadastrado"))</f>
        <v/>
      </c>
      <c r="K460" s="18">
        <f>IF(B460="","",YEAR(B460))</f>
        <v/>
      </c>
      <c r="L460" s="18">
        <f>IF(B460="","",MONTH(B460))</f>
        <v/>
      </c>
      <c r="M460" s="18">
        <f>IF(OR(B460="",I460=""),"",I460-B460)</f>
        <v/>
      </c>
      <c r="N460" s="21">
        <f>IF(B460="","",IF(I460="",IF(H460="","",IF(TODAY()&gt;H460,"Atrasado (em aberto)","Em aberto")),IF(I460&lt;=H460,"No prazo","Fora do prazo")))</f>
        <v/>
      </c>
    </row>
    <row r="461">
      <c r="B461" s="22" t="n"/>
      <c r="E461" s="23" t="n"/>
      <c r="F461" s="24" t="n"/>
      <c r="H461" s="22" t="n"/>
      <c r="I461" s="22" t="n"/>
      <c r="J461" s="21">
        <f>IF(C461="","",IFERROR(INDEX(Clientes!$B:$B,MATCH(C461,Clientes!$A:$A,0)),"Cód. não cadastrado"))</f>
        <v/>
      </c>
      <c r="K461" s="18">
        <f>IF(B461="","",YEAR(B461))</f>
        <v/>
      </c>
      <c r="L461" s="18">
        <f>IF(B461="","",MONTH(B461))</f>
        <v/>
      </c>
      <c r="M461" s="18">
        <f>IF(OR(B461="",I461=""),"",I461-B461)</f>
        <v/>
      </c>
      <c r="N461" s="21">
        <f>IF(B461="","",IF(I461="",IF(H461="","",IF(TODAY()&gt;H461,"Atrasado (em aberto)","Em aberto")),IF(I461&lt;=H461,"No prazo","Fora do prazo")))</f>
        <v/>
      </c>
    </row>
    <row r="462">
      <c r="B462" s="22" t="n"/>
      <c r="E462" s="23" t="n"/>
      <c r="F462" s="24" t="n"/>
      <c r="H462" s="22" t="n"/>
      <c r="I462" s="22" t="n"/>
      <c r="J462" s="21">
        <f>IF(C462="","",IFERROR(INDEX(Clientes!$B:$B,MATCH(C462,Clientes!$A:$A,0)),"Cód. não cadastrado"))</f>
        <v/>
      </c>
      <c r="K462" s="18">
        <f>IF(B462="","",YEAR(B462))</f>
        <v/>
      </c>
      <c r="L462" s="18">
        <f>IF(B462="","",MONTH(B462))</f>
        <v/>
      </c>
      <c r="M462" s="18">
        <f>IF(OR(B462="",I462=""),"",I462-B462)</f>
        <v/>
      </c>
      <c r="N462" s="21">
        <f>IF(B462="","",IF(I462="",IF(H462="","",IF(TODAY()&gt;H462,"Atrasado (em aberto)","Em aberto")),IF(I462&lt;=H462,"No prazo","Fora do prazo")))</f>
        <v/>
      </c>
    </row>
    <row r="463">
      <c r="B463" s="22" t="n"/>
      <c r="E463" s="23" t="n"/>
      <c r="F463" s="24" t="n"/>
      <c r="H463" s="22" t="n"/>
      <c r="I463" s="22" t="n"/>
      <c r="J463" s="21">
        <f>IF(C463="","",IFERROR(INDEX(Clientes!$B:$B,MATCH(C463,Clientes!$A:$A,0)),"Cód. não cadastrado"))</f>
        <v/>
      </c>
      <c r="K463" s="18">
        <f>IF(B463="","",YEAR(B463))</f>
        <v/>
      </c>
      <c r="L463" s="18">
        <f>IF(B463="","",MONTH(B463))</f>
        <v/>
      </c>
      <c r="M463" s="18">
        <f>IF(OR(B463="",I463=""),"",I463-B463)</f>
        <v/>
      </c>
      <c r="N463" s="21">
        <f>IF(B463="","",IF(I463="",IF(H463="","",IF(TODAY()&gt;H463,"Atrasado (em aberto)","Em aberto")),IF(I463&lt;=H463,"No prazo","Fora do prazo")))</f>
        <v/>
      </c>
    </row>
    <row r="464">
      <c r="B464" s="22" t="n"/>
      <c r="E464" s="23" t="n"/>
      <c r="F464" s="24" t="n"/>
      <c r="H464" s="22" t="n"/>
      <c r="I464" s="22" t="n"/>
      <c r="J464" s="21">
        <f>IF(C464="","",IFERROR(INDEX(Clientes!$B:$B,MATCH(C464,Clientes!$A:$A,0)),"Cód. não cadastrado"))</f>
        <v/>
      </c>
      <c r="K464" s="18">
        <f>IF(B464="","",YEAR(B464))</f>
        <v/>
      </c>
      <c r="L464" s="18">
        <f>IF(B464="","",MONTH(B464))</f>
        <v/>
      </c>
      <c r="M464" s="18">
        <f>IF(OR(B464="",I464=""),"",I464-B464)</f>
        <v/>
      </c>
      <c r="N464" s="21">
        <f>IF(B464="","",IF(I464="",IF(H464="","",IF(TODAY()&gt;H464,"Atrasado (em aberto)","Em aberto")),IF(I464&lt;=H464,"No prazo","Fora do prazo")))</f>
        <v/>
      </c>
    </row>
    <row r="465">
      <c r="B465" s="22" t="n"/>
      <c r="E465" s="23" t="n"/>
      <c r="F465" s="24" t="n"/>
      <c r="H465" s="22" t="n"/>
      <c r="I465" s="22" t="n"/>
      <c r="J465" s="21">
        <f>IF(C465="","",IFERROR(INDEX(Clientes!$B:$B,MATCH(C465,Clientes!$A:$A,0)),"Cód. não cadastrado"))</f>
        <v/>
      </c>
      <c r="K465" s="18">
        <f>IF(B465="","",YEAR(B465))</f>
        <v/>
      </c>
      <c r="L465" s="18">
        <f>IF(B465="","",MONTH(B465))</f>
        <v/>
      </c>
      <c r="M465" s="18">
        <f>IF(OR(B465="",I465=""),"",I465-B465)</f>
        <v/>
      </c>
      <c r="N465" s="21">
        <f>IF(B465="","",IF(I465="",IF(H465="","",IF(TODAY()&gt;H465,"Atrasado (em aberto)","Em aberto")),IF(I465&lt;=H465,"No prazo","Fora do prazo")))</f>
        <v/>
      </c>
    </row>
    <row r="466">
      <c r="B466" s="22" t="n"/>
      <c r="E466" s="23" t="n"/>
      <c r="F466" s="24" t="n"/>
      <c r="H466" s="22" t="n"/>
      <c r="I466" s="22" t="n"/>
      <c r="J466" s="21">
        <f>IF(C466="","",IFERROR(INDEX(Clientes!$B:$B,MATCH(C466,Clientes!$A:$A,0)),"Cód. não cadastrado"))</f>
        <v/>
      </c>
      <c r="K466" s="18">
        <f>IF(B466="","",YEAR(B466))</f>
        <v/>
      </c>
      <c r="L466" s="18">
        <f>IF(B466="","",MONTH(B466))</f>
        <v/>
      </c>
      <c r="M466" s="18">
        <f>IF(OR(B466="",I466=""),"",I466-B466)</f>
        <v/>
      </c>
      <c r="N466" s="21">
        <f>IF(B466="","",IF(I466="",IF(H466="","",IF(TODAY()&gt;H466,"Atrasado (em aberto)","Em aberto")),IF(I466&lt;=H466,"No prazo","Fora do prazo")))</f>
        <v/>
      </c>
    </row>
    <row r="467">
      <c r="B467" s="22" t="n"/>
      <c r="E467" s="23" t="n"/>
      <c r="F467" s="24" t="n"/>
      <c r="H467" s="22" t="n"/>
      <c r="I467" s="22" t="n"/>
      <c r="J467" s="21">
        <f>IF(C467="","",IFERROR(INDEX(Clientes!$B:$B,MATCH(C467,Clientes!$A:$A,0)),"Cód. não cadastrado"))</f>
        <v/>
      </c>
      <c r="K467" s="18">
        <f>IF(B467="","",YEAR(B467))</f>
        <v/>
      </c>
      <c r="L467" s="18">
        <f>IF(B467="","",MONTH(B467))</f>
        <v/>
      </c>
      <c r="M467" s="18">
        <f>IF(OR(B467="",I467=""),"",I467-B467)</f>
        <v/>
      </c>
      <c r="N467" s="21">
        <f>IF(B467="","",IF(I467="",IF(H467="","",IF(TODAY()&gt;H467,"Atrasado (em aberto)","Em aberto")),IF(I467&lt;=H467,"No prazo","Fora do prazo")))</f>
        <v/>
      </c>
    </row>
    <row r="468">
      <c r="B468" s="22" t="n"/>
      <c r="E468" s="23" t="n"/>
      <c r="F468" s="24" t="n"/>
      <c r="H468" s="22" t="n"/>
      <c r="I468" s="22" t="n"/>
      <c r="J468" s="21">
        <f>IF(C468="","",IFERROR(INDEX(Clientes!$B:$B,MATCH(C468,Clientes!$A:$A,0)),"Cód. não cadastrado"))</f>
        <v/>
      </c>
      <c r="K468" s="18">
        <f>IF(B468="","",YEAR(B468))</f>
        <v/>
      </c>
      <c r="L468" s="18">
        <f>IF(B468="","",MONTH(B468))</f>
        <v/>
      </c>
      <c r="M468" s="18">
        <f>IF(OR(B468="",I468=""),"",I468-B468)</f>
        <v/>
      </c>
      <c r="N468" s="21">
        <f>IF(B468="","",IF(I468="",IF(H468="","",IF(TODAY()&gt;H468,"Atrasado (em aberto)","Em aberto")),IF(I468&lt;=H468,"No prazo","Fora do prazo")))</f>
        <v/>
      </c>
    </row>
    <row r="469">
      <c r="B469" s="22" t="n"/>
      <c r="E469" s="23" t="n"/>
      <c r="F469" s="24" t="n"/>
      <c r="H469" s="22" t="n"/>
      <c r="I469" s="22" t="n"/>
      <c r="J469" s="21">
        <f>IF(C469="","",IFERROR(INDEX(Clientes!$B:$B,MATCH(C469,Clientes!$A:$A,0)),"Cód. não cadastrado"))</f>
        <v/>
      </c>
      <c r="K469" s="18">
        <f>IF(B469="","",YEAR(B469))</f>
        <v/>
      </c>
      <c r="L469" s="18">
        <f>IF(B469="","",MONTH(B469))</f>
        <v/>
      </c>
      <c r="M469" s="18">
        <f>IF(OR(B469="",I469=""),"",I469-B469)</f>
        <v/>
      </c>
      <c r="N469" s="21">
        <f>IF(B469="","",IF(I469="",IF(H469="","",IF(TODAY()&gt;H469,"Atrasado (em aberto)","Em aberto")),IF(I469&lt;=H469,"No prazo","Fora do prazo")))</f>
        <v/>
      </c>
    </row>
    <row r="470">
      <c r="B470" s="22" t="n"/>
      <c r="E470" s="23" t="n"/>
      <c r="F470" s="24" t="n"/>
      <c r="H470" s="22" t="n"/>
      <c r="I470" s="22" t="n"/>
      <c r="J470" s="21">
        <f>IF(C470="","",IFERROR(INDEX(Clientes!$B:$B,MATCH(C470,Clientes!$A:$A,0)),"Cód. não cadastrado"))</f>
        <v/>
      </c>
      <c r="K470" s="18">
        <f>IF(B470="","",YEAR(B470))</f>
        <v/>
      </c>
      <c r="L470" s="18">
        <f>IF(B470="","",MONTH(B470))</f>
        <v/>
      </c>
      <c r="M470" s="18">
        <f>IF(OR(B470="",I470=""),"",I470-B470)</f>
        <v/>
      </c>
      <c r="N470" s="21">
        <f>IF(B470="","",IF(I470="",IF(H470="","",IF(TODAY()&gt;H470,"Atrasado (em aberto)","Em aberto")),IF(I470&lt;=H470,"No prazo","Fora do prazo")))</f>
        <v/>
      </c>
    </row>
    <row r="471">
      <c r="B471" s="22" t="n"/>
      <c r="E471" s="23" t="n"/>
      <c r="F471" s="24" t="n"/>
      <c r="H471" s="22" t="n"/>
      <c r="I471" s="22" t="n"/>
      <c r="J471" s="21">
        <f>IF(C471="","",IFERROR(INDEX(Clientes!$B:$B,MATCH(C471,Clientes!$A:$A,0)),"Cód. não cadastrado"))</f>
        <v/>
      </c>
      <c r="K471" s="18">
        <f>IF(B471="","",YEAR(B471))</f>
        <v/>
      </c>
      <c r="L471" s="18">
        <f>IF(B471="","",MONTH(B471))</f>
        <v/>
      </c>
      <c r="M471" s="18">
        <f>IF(OR(B471="",I471=""),"",I471-B471)</f>
        <v/>
      </c>
      <c r="N471" s="21">
        <f>IF(B471="","",IF(I471="",IF(H471="","",IF(TODAY()&gt;H471,"Atrasado (em aberto)","Em aberto")),IF(I471&lt;=H471,"No prazo","Fora do prazo")))</f>
        <v/>
      </c>
    </row>
    <row r="472">
      <c r="B472" s="22" t="n"/>
      <c r="E472" s="23" t="n"/>
      <c r="F472" s="24" t="n"/>
      <c r="H472" s="22" t="n"/>
      <c r="I472" s="22" t="n"/>
      <c r="J472" s="21">
        <f>IF(C472="","",IFERROR(INDEX(Clientes!$B:$B,MATCH(C472,Clientes!$A:$A,0)),"Cód. não cadastrado"))</f>
        <v/>
      </c>
      <c r="K472" s="18">
        <f>IF(B472="","",YEAR(B472))</f>
        <v/>
      </c>
      <c r="L472" s="18">
        <f>IF(B472="","",MONTH(B472))</f>
        <v/>
      </c>
      <c r="M472" s="18">
        <f>IF(OR(B472="",I472=""),"",I472-B472)</f>
        <v/>
      </c>
      <c r="N472" s="21">
        <f>IF(B472="","",IF(I472="",IF(H472="","",IF(TODAY()&gt;H472,"Atrasado (em aberto)","Em aberto")),IF(I472&lt;=H472,"No prazo","Fora do prazo")))</f>
        <v/>
      </c>
    </row>
    <row r="473">
      <c r="B473" s="22" t="n"/>
      <c r="E473" s="23" t="n"/>
      <c r="F473" s="24" t="n"/>
      <c r="H473" s="22" t="n"/>
      <c r="I473" s="22" t="n"/>
      <c r="J473" s="21">
        <f>IF(C473="","",IFERROR(INDEX(Clientes!$B:$B,MATCH(C473,Clientes!$A:$A,0)),"Cód. não cadastrado"))</f>
        <v/>
      </c>
      <c r="K473" s="18">
        <f>IF(B473="","",YEAR(B473))</f>
        <v/>
      </c>
      <c r="L473" s="18">
        <f>IF(B473="","",MONTH(B473))</f>
        <v/>
      </c>
      <c r="M473" s="18">
        <f>IF(OR(B473="",I473=""),"",I473-B473)</f>
        <v/>
      </c>
      <c r="N473" s="21">
        <f>IF(B473="","",IF(I473="",IF(H473="","",IF(TODAY()&gt;H473,"Atrasado (em aberto)","Em aberto")),IF(I473&lt;=H473,"No prazo","Fora do prazo")))</f>
        <v/>
      </c>
    </row>
    <row r="474">
      <c r="B474" s="22" t="n"/>
      <c r="E474" s="23" t="n"/>
      <c r="F474" s="24" t="n"/>
      <c r="H474" s="22" t="n"/>
      <c r="I474" s="22" t="n"/>
      <c r="J474" s="21">
        <f>IF(C474="","",IFERROR(INDEX(Clientes!$B:$B,MATCH(C474,Clientes!$A:$A,0)),"Cód. não cadastrado"))</f>
        <v/>
      </c>
      <c r="K474" s="18">
        <f>IF(B474="","",YEAR(B474))</f>
        <v/>
      </c>
      <c r="L474" s="18">
        <f>IF(B474="","",MONTH(B474))</f>
        <v/>
      </c>
      <c r="M474" s="18">
        <f>IF(OR(B474="",I474=""),"",I474-B474)</f>
        <v/>
      </c>
      <c r="N474" s="21">
        <f>IF(B474="","",IF(I474="",IF(H474="","",IF(TODAY()&gt;H474,"Atrasado (em aberto)","Em aberto")),IF(I474&lt;=H474,"No prazo","Fora do prazo")))</f>
        <v/>
      </c>
    </row>
    <row r="475">
      <c r="B475" s="22" t="n"/>
      <c r="E475" s="23" t="n"/>
      <c r="F475" s="24" t="n"/>
      <c r="H475" s="22" t="n"/>
      <c r="I475" s="22" t="n"/>
      <c r="J475" s="21">
        <f>IF(C475="","",IFERROR(INDEX(Clientes!$B:$B,MATCH(C475,Clientes!$A:$A,0)),"Cód. não cadastrado"))</f>
        <v/>
      </c>
      <c r="K475" s="18">
        <f>IF(B475="","",YEAR(B475))</f>
        <v/>
      </c>
      <c r="L475" s="18">
        <f>IF(B475="","",MONTH(B475))</f>
        <v/>
      </c>
      <c r="M475" s="18">
        <f>IF(OR(B475="",I475=""),"",I475-B475)</f>
        <v/>
      </c>
      <c r="N475" s="21">
        <f>IF(B475="","",IF(I475="",IF(H475="","",IF(TODAY()&gt;H475,"Atrasado (em aberto)","Em aberto")),IF(I475&lt;=H475,"No prazo","Fora do prazo")))</f>
        <v/>
      </c>
    </row>
    <row r="476">
      <c r="B476" s="22" t="n"/>
      <c r="E476" s="23" t="n"/>
      <c r="F476" s="24" t="n"/>
      <c r="H476" s="22" t="n"/>
      <c r="I476" s="22" t="n"/>
      <c r="J476" s="21">
        <f>IF(C476="","",IFERROR(INDEX(Clientes!$B:$B,MATCH(C476,Clientes!$A:$A,0)),"Cód. não cadastrado"))</f>
        <v/>
      </c>
      <c r="K476" s="18">
        <f>IF(B476="","",YEAR(B476))</f>
        <v/>
      </c>
      <c r="L476" s="18">
        <f>IF(B476="","",MONTH(B476))</f>
        <v/>
      </c>
      <c r="M476" s="18">
        <f>IF(OR(B476="",I476=""),"",I476-B476)</f>
        <v/>
      </c>
      <c r="N476" s="21">
        <f>IF(B476="","",IF(I476="",IF(H476="","",IF(TODAY()&gt;H476,"Atrasado (em aberto)","Em aberto")),IF(I476&lt;=H476,"No prazo","Fora do prazo")))</f>
        <v/>
      </c>
    </row>
    <row r="477">
      <c r="B477" s="22" t="n"/>
      <c r="E477" s="23" t="n"/>
      <c r="F477" s="24" t="n"/>
      <c r="H477" s="22" t="n"/>
      <c r="I477" s="22" t="n"/>
      <c r="J477" s="21">
        <f>IF(C477="","",IFERROR(INDEX(Clientes!$B:$B,MATCH(C477,Clientes!$A:$A,0)),"Cód. não cadastrado"))</f>
        <v/>
      </c>
      <c r="K477" s="18">
        <f>IF(B477="","",YEAR(B477))</f>
        <v/>
      </c>
      <c r="L477" s="18">
        <f>IF(B477="","",MONTH(B477))</f>
        <v/>
      </c>
      <c r="M477" s="18">
        <f>IF(OR(B477="",I477=""),"",I477-B477)</f>
        <v/>
      </c>
      <c r="N477" s="21">
        <f>IF(B477="","",IF(I477="",IF(H477="","",IF(TODAY()&gt;H477,"Atrasado (em aberto)","Em aberto")),IF(I477&lt;=H477,"No prazo","Fora do prazo")))</f>
        <v/>
      </c>
    </row>
    <row r="478">
      <c r="B478" s="22" t="n"/>
      <c r="E478" s="23" t="n"/>
      <c r="F478" s="24" t="n"/>
      <c r="H478" s="22" t="n"/>
      <c r="I478" s="22" t="n"/>
      <c r="J478" s="21">
        <f>IF(C478="","",IFERROR(INDEX(Clientes!$B:$B,MATCH(C478,Clientes!$A:$A,0)),"Cód. não cadastrado"))</f>
        <v/>
      </c>
      <c r="K478" s="18">
        <f>IF(B478="","",YEAR(B478))</f>
        <v/>
      </c>
      <c r="L478" s="18">
        <f>IF(B478="","",MONTH(B478))</f>
        <v/>
      </c>
      <c r="M478" s="18">
        <f>IF(OR(B478="",I478=""),"",I478-B478)</f>
        <v/>
      </c>
      <c r="N478" s="21">
        <f>IF(B478="","",IF(I478="",IF(H478="","",IF(TODAY()&gt;H478,"Atrasado (em aberto)","Em aberto")),IF(I478&lt;=H478,"No prazo","Fora do prazo")))</f>
        <v/>
      </c>
    </row>
    <row r="479">
      <c r="B479" s="22" t="n"/>
      <c r="E479" s="23" t="n"/>
      <c r="F479" s="24" t="n"/>
      <c r="H479" s="22" t="n"/>
      <c r="I479" s="22" t="n"/>
      <c r="J479" s="21">
        <f>IF(C479="","",IFERROR(INDEX(Clientes!$B:$B,MATCH(C479,Clientes!$A:$A,0)),"Cód. não cadastrado"))</f>
        <v/>
      </c>
      <c r="K479" s="18">
        <f>IF(B479="","",YEAR(B479))</f>
        <v/>
      </c>
      <c r="L479" s="18">
        <f>IF(B479="","",MONTH(B479))</f>
        <v/>
      </c>
      <c r="M479" s="18">
        <f>IF(OR(B479="",I479=""),"",I479-B479)</f>
        <v/>
      </c>
      <c r="N479" s="21">
        <f>IF(B479="","",IF(I479="",IF(H479="","",IF(TODAY()&gt;H479,"Atrasado (em aberto)","Em aberto")),IF(I479&lt;=H479,"No prazo","Fora do prazo")))</f>
        <v/>
      </c>
    </row>
    <row r="480">
      <c r="B480" s="22" t="n"/>
      <c r="E480" s="23" t="n"/>
      <c r="F480" s="24" t="n"/>
      <c r="H480" s="22" t="n"/>
      <c r="I480" s="22" t="n"/>
      <c r="J480" s="21">
        <f>IF(C480="","",IFERROR(INDEX(Clientes!$B:$B,MATCH(C480,Clientes!$A:$A,0)),"Cód. não cadastrado"))</f>
        <v/>
      </c>
      <c r="K480" s="18">
        <f>IF(B480="","",YEAR(B480))</f>
        <v/>
      </c>
      <c r="L480" s="18">
        <f>IF(B480="","",MONTH(B480))</f>
        <v/>
      </c>
      <c r="M480" s="18">
        <f>IF(OR(B480="",I480=""),"",I480-B480)</f>
        <v/>
      </c>
      <c r="N480" s="21">
        <f>IF(B480="","",IF(I480="",IF(H480="","",IF(TODAY()&gt;H480,"Atrasado (em aberto)","Em aberto")),IF(I480&lt;=H480,"No prazo","Fora do prazo")))</f>
        <v/>
      </c>
    </row>
    <row r="481">
      <c r="B481" s="22" t="n"/>
      <c r="E481" s="23" t="n"/>
      <c r="F481" s="24" t="n"/>
      <c r="H481" s="22" t="n"/>
      <c r="I481" s="22" t="n"/>
      <c r="J481" s="21">
        <f>IF(C481="","",IFERROR(INDEX(Clientes!$B:$B,MATCH(C481,Clientes!$A:$A,0)),"Cód. não cadastrado"))</f>
        <v/>
      </c>
      <c r="K481" s="18">
        <f>IF(B481="","",YEAR(B481))</f>
        <v/>
      </c>
      <c r="L481" s="18">
        <f>IF(B481="","",MONTH(B481))</f>
        <v/>
      </c>
      <c r="M481" s="18">
        <f>IF(OR(B481="",I481=""),"",I481-B481)</f>
        <v/>
      </c>
      <c r="N481" s="21">
        <f>IF(B481="","",IF(I481="",IF(H481="","",IF(TODAY()&gt;H481,"Atrasado (em aberto)","Em aberto")),IF(I481&lt;=H481,"No prazo","Fora do prazo")))</f>
        <v/>
      </c>
    </row>
    <row r="482">
      <c r="B482" s="22" t="n"/>
      <c r="E482" s="23" t="n"/>
      <c r="F482" s="24" t="n"/>
      <c r="H482" s="22" t="n"/>
      <c r="I482" s="22" t="n"/>
      <c r="J482" s="21">
        <f>IF(C482="","",IFERROR(INDEX(Clientes!$B:$B,MATCH(C482,Clientes!$A:$A,0)),"Cód. não cadastrado"))</f>
        <v/>
      </c>
      <c r="K482" s="18">
        <f>IF(B482="","",YEAR(B482))</f>
        <v/>
      </c>
      <c r="L482" s="18">
        <f>IF(B482="","",MONTH(B482))</f>
        <v/>
      </c>
      <c r="M482" s="18">
        <f>IF(OR(B482="",I482=""),"",I482-B482)</f>
        <v/>
      </c>
      <c r="N482" s="21">
        <f>IF(B482="","",IF(I482="",IF(H482="","",IF(TODAY()&gt;H482,"Atrasado (em aberto)","Em aberto")),IF(I482&lt;=H482,"No prazo","Fora do prazo")))</f>
        <v/>
      </c>
    </row>
    <row r="483">
      <c r="B483" s="22" t="n"/>
      <c r="E483" s="23" t="n"/>
      <c r="F483" s="24" t="n"/>
      <c r="H483" s="22" t="n"/>
      <c r="I483" s="22" t="n"/>
      <c r="J483" s="21">
        <f>IF(C483="","",IFERROR(INDEX(Clientes!$B:$B,MATCH(C483,Clientes!$A:$A,0)),"Cód. não cadastrado"))</f>
        <v/>
      </c>
      <c r="K483" s="18">
        <f>IF(B483="","",YEAR(B483))</f>
        <v/>
      </c>
      <c r="L483" s="18">
        <f>IF(B483="","",MONTH(B483))</f>
        <v/>
      </c>
      <c r="M483" s="18">
        <f>IF(OR(B483="",I483=""),"",I483-B483)</f>
        <v/>
      </c>
      <c r="N483" s="21">
        <f>IF(B483="","",IF(I483="",IF(H483="","",IF(TODAY()&gt;H483,"Atrasado (em aberto)","Em aberto")),IF(I483&lt;=H483,"No prazo","Fora do prazo")))</f>
        <v/>
      </c>
    </row>
    <row r="484">
      <c r="B484" s="22" t="n"/>
      <c r="E484" s="23" t="n"/>
      <c r="F484" s="24" t="n"/>
      <c r="H484" s="22" t="n"/>
      <c r="I484" s="22" t="n"/>
      <c r="J484" s="21">
        <f>IF(C484="","",IFERROR(INDEX(Clientes!$B:$B,MATCH(C484,Clientes!$A:$A,0)),"Cód. não cadastrado"))</f>
        <v/>
      </c>
      <c r="K484" s="18">
        <f>IF(B484="","",YEAR(B484))</f>
        <v/>
      </c>
      <c r="L484" s="18">
        <f>IF(B484="","",MONTH(B484))</f>
        <v/>
      </c>
      <c r="M484" s="18">
        <f>IF(OR(B484="",I484=""),"",I484-B484)</f>
        <v/>
      </c>
      <c r="N484" s="21">
        <f>IF(B484="","",IF(I484="",IF(H484="","",IF(TODAY()&gt;H484,"Atrasado (em aberto)","Em aberto")),IF(I484&lt;=H484,"No prazo","Fora do prazo")))</f>
        <v/>
      </c>
    </row>
    <row r="485">
      <c r="B485" s="22" t="n"/>
      <c r="E485" s="23" t="n"/>
      <c r="F485" s="24" t="n"/>
      <c r="H485" s="22" t="n"/>
      <c r="I485" s="22" t="n"/>
      <c r="J485" s="21">
        <f>IF(C485="","",IFERROR(INDEX(Clientes!$B:$B,MATCH(C485,Clientes!$A:$A,0)),"Cód. não cadastrado"))</f>
        <v/>
      </c>
      <c r="K485" s="18">
        <f>IF(B485="","",YEAR(B485))</f>
        <v/>
      </c>
      <c r="L485" s="18">
        <f>IF(B485="","",MONTH(B485))</f>
        <v/>
      </c>
      <c r="M485" s="18">
        <f>IF(OR(B485="",I485=""),"",I485-B485)</f>
        <v/>
      </c>
      <c r="N485" s="21">
        <f>IF(B485="","",IF(I485="",IF(H485="","",IF(TODAY()&gt;H485,"Atrasado (em aberto)","Em aberto")),IF(I485&lt;=H485,"No prazo","Fora do prazo")))</f>
        <v/>
      </c>
    </row>
    <row r="486">
      <c r="B486" s="22" t="n"/>
      <c r="E486" s="23" t="n"/>
      <c r="F486" s="24" t="n"/>
      <c r="H486" s="22" t="n"/>
      <c r="I486" s="22" t="n"/>
      <c r="J486" s="21">
        <f>IF(C486="","",IFERROR(INDEX(Clientes!$B:$B,MATCH(C486,Clientes!$A:$A,0)),"Cód. não cadastrado"))</f>
        <v/>
      </c>
      <c r="K486" s="18">
        <f>IF(B486="","",YEAR(B486))</f>
        <v/>
      </c>
      <c r="L486" s="18">
        <f>IF(B486="","",MONTH(B486))</f>
        <v/>
      </c>
      <c r="M486" s="18">
        <f>IF(OR(B486="",I486=""),"",I486-B486)</f>
        <v/>
      </c>
      <c r="N486" s="21">
        <f>IF(B486="","",IF(I486="",IF(H486="","",IF(TODAY()&gt;H486,"Atrasado (em aberto)","Em aberto")),IF(I486&lt;=H486,"No prazo","Fora do prazo")))</f>
        <v/>
      </c>
    </row>
    <row r="487">
      <c r="B487" s="22" t="n"/>
      <c r="E487" s="23" t="n"/>
      <c r="F487" s="24" t="n"/>
      <c r="H487" s="22" t="n"/>
      <c r="I487" s="22" t="n"/>
      <c r="J487" s="21">
        <f>IF(C487="","",IFERROR(INDEX(Clientes!$B:$B,MATCH(C487,Clientes!$A:$A,0)),"Cód. não cadastrado"))</f>
        <v/>
      </c>
      <c r="K487" s="18">
        <f>IF(B487="","",YEAR(B487))</f>
        <v/>
      </c>
      <c r="L487" s="18">
        <f>IF(B487="","",MONTH(B487))</f>
        <v/>
      </c>
      <c r="M487" s="18">
        <f>IF(OR(B487="",I487=""),"",I487-B487)</f>
        <v/>
      </c>
      <c r="N487" s="21">
        <f>IF(B487="","",IF(I487="",IF(H487="","",IF(TODAY()&gt;H487,"Atrasado (em aberto)","Em aberto")),IF(I487&lt;=H487,"No prazo","Fora do prazo")))</f>
        <v/>
      </c>
    </row>
    <row r="488">
      <c r="B488" s="22" t="n"/>
      <c r="E488" s="23" t="n"/>
      <c r="F488" s="24" t="n"/>
      <c r="H488" s="22" t="n"/>
      <c r="I488" s="22" t="n"/>
      <c r="J488" s="21">
        <f>IF(C488="","",IFERROR(INDEX(Clientes!$B:$B,MATCH(C488,Clientes!$A:$A,0)),"Cód. não cadastrado"))</f>
        <v/>
      </c>
      <c r="K488" s="18">
        <f>IF(B488="","",YEAR(B488))</f>
        <v/>
      </c>
      <c r="L488" s="18">
        <f>IF(B488="","",MONTH(B488))</f>
        <v/>
      </c>
      <c r="M488" s="18">
        <f>IF(OR(B488="",I488=""),"",I488-B488)</f>
        <v/>
      </c>
      <c r="N488" s="21">
        <f>IF(B488="","",IF(I488="",IF(H488="","",IF(TODAY()&gt;H488,"Atrasado (em aberto)","Em aberto")),IF(I488&lt;=H488,"No prazo","Fora do prazo")))</f>
        <v/>
      </c>
    </row>
    <row r="489">
      <c r="B489" s="22" t="n"/>
      <c r="E489" s="23" t="n"/>
      <c r="F489" s="24" t="n"/>
      <c r="H489" s="22" t="n"/>
      <c r="I489" s="22" t="n"/>
      <c r="J489" s="21">
        <f>IF(C489="","",IFERROR(INDEX(Clientes!$B:$B,MATCH(C489,Clientes!$A:$A,0)),"Cód. não cadastrado"))</f>
        <v/>
      </c>
      <c r="K489" s="18">
        <f>IF(B489="","",YEAR(B489))</f>
        <v/>
      </c>
      <c r="L489" s="18">
        <f>IF(B489="","",MONTH(B489))</f>
        <v/>
      </c>
      <c r="M489" s="18">
        <f>IF(OR(B489="",I489=""),"",I489-B489)</f>
        <v/>
      </c>
      <c r="N489" s="21">
        <f>IF(B489="","",IF(I489="",IF(H489="","",IF(TODAY()&gt;H489,"Atrasado (em aberto)","Em aberto")),IF(I489&lt;=H489,"No prazo","Fora do prazo")))</f>
        <v/>
      </c>
    </row>
    <row r="490">
      <c r="B490" s="22" t="n"/>
      <c r="E490" s="23" t="n"/>
      <c r="F490" s="24" t="n"/>
      <c r="H490" s="22" t="n"/>
      <c r="I490" s="22" t="n"/>
      <c r="J490" s="21">
        <f>IF(C490="","",IFERROR(INDEX(Clientes!$B:$B,MATCH(C490,Clientes!$A:$A,0)),"Cód. não cadastrado"))</f>
        <v/>
      </c>
      <c r="K490" s="18">
        <f>IF(B490="","",YEAR(B490))</f>
        <v/>
      </c>
      <c r="L490" s="18">
        <f>IF(B490="","",MONTH(B490))</f>
        <v/>
      </c>
      <c r="M490" s="18">
        <f>IF(OR(B490="",I490=""),"",I490-B490)</f>
        <v/>
      </c>
      <c r="N490" s="21">
        <f>IF(B490="","",IF(I490="",IF(H490="","",IF(TODAY()&gt;H490,"Atrasado (em aberto)","Em aberto")),IF(I490&lt;=H490,"No prazo","Fora do prazo")))</f>
        <v/>
      </c>
    </row>
    <row r="491">
      <c r="B491" s="22" t="n"/>
      <c r="E491" s="23" t="n"/>
      <c r="F491" s="24" t="n"/>
      <c r="H491" s="22" t="n"/>
      <c r="I491" s="22" t="n"/>
      <c r="J491" s="21">
        <f>IF(C491="","",IFERROR(INDEX(Clientes!$B:$B,MATCH(C491,Clientes!$A:$A,0)),"Cód. não cadastrado"))</f>
        <v/>
      </c>
      <c r="K491" s="18">
        <f>IF(B491="","",YEAR(B491))</f>
        <v/>
      </c>
      <c r="L491" s="18">
        <f>IF(B491="","",MONTH(B491))</f>
        <v/>
      </c>
      <c r="M491" s="18">
        <f>IF(OR(B491="",I491=""),"",I491-B491)</f>
        <v/>
      </c>
      <c r="N491" s="21">
        <f>IF(B491="","",IF(I491="",IF(H491="","",IF(TODAY()&gt;H491,"Atrasado (em aberto)","Em aberto")),IF(I491&lt;=H491,"No prazo","Fora do prazo")))</f>
        <v/>
      </c>
    </row>
    <row r="492">
      <c r="B492" s="22" t="n"/>
      <c r="E492" s="23" t="n"/>
      <c r="F492" s="24" t="n"/>
      <c r="H492" s="22" t="n"/>
      <c r="I492" s="22" t="n"/>
      <c r="J492" s="21">
        <f>IF(C492="","",IFERROR(INDEX(Clientes!$B:$B,MATCH(C492,Clientes!$A:$A,0)),"Cód. não cadastrado"))</f>
        <v/>
      </c>
      <c r="K492" s="18">
        <f>IF(B492="","",YEAR(B492))</f>
        <v/>
      </c>
      <c r="L492" s="18">
        <f>IF(B492="","",MONTH(B492))</f>
        <v/>
      </c>
      <c r="M492" s="18">
        <f>IF(OR(B492="",I492=""),"",I492-B492)</f>
        <v/>
      </c>
      <c r="N492" s="21">
        <f>IF(B492="","",IF(I492="",IF(H492="","",IF(TODAY()&gt;H492,"Atrasado (em aberto)","Em aberto")),IF(I492&lt;=H492,"No prazo","Fora do prazo")))</f>
        <v/>
      </c>
    </row>
    <row r="493">
      <c r="B493" s="22" t="n"/>
      <c r="E493" s="23" t="n"/>
      <c r="F493" s="24" t="n"/>
      <c r="H493" s="22" t="n"/>
      <c r="I493" s="22" t="n"/>
      <c r="J493" s="21">
        <f>IF(C493="","",IFERROR(INDEX(Clientes!$B:$B,MATCH(C493,Clientes!$A:$A,0)),"Cód. não cadastrado"))</f>
        <v/>
      </c>
      <c r="K493" s="18">
        <f>IF(B493="","",YEAR(B493))</f>
        <v/>
      </c>
      <c r="L493" s="18">
        <f>IF(B493="","",MONTH(B493))</f>
        <v/>
      </c>
      <c r="M493" s="18">
        <f>IF(OR(B493="",I493=""),"",I493-B493)</f>
        <v/>
      </c>
      <c r="N493" s="21">
        <f>IF(B493="","",IF(I493="",IF(H493="","",IF(TODAY()&gt;H493,"Atrasado (em aberto)","Em aberto")),IF(I493&lt;=H493,"No prazo","Fora do prazo")))</f>
        <v/>
      </c>
    </row>
    <row r="494">
      <c r="B494" s="22" t="n"/>
      <c r="E494" s="23" t="n"/>
      <c r="F494" s="24" t="n"/>
      <c r="H494" s="22" t="n"/>
      <c r="I494" s="22" t="n"/>
      <c r="J494" s="21">
        <f>IF(C494="","",IFERROR(INDEX(Clientes!$B:$B,MATCH(C494,Clientes!$A:$A,0)),"Cód. não cadastrado"))</f>
        <v/>
      </c>
      <c r="K494" s="18">
        <f>IF(B494="","",YEAR(B494))</f>
        <v/>
      </c>
      <c r="L494" s="18">
        <f>IF(B494="","",MONTH(B494))</f>
        <v/>
      </c>
      <c r="M494" s="18">
        <f>IF(OR(B494="",I494=""),"",I494-B494)</f>
        <v/>
      </c>
      <c r="N494" s="21">
        <f>IF(B494="","",IF(I494="",IF(H494="","",IF(TODAY()&gt;H494,"Atrasado (em aberto)","Em aberto")),IF(I494&lt;=H494,"No prazo","Fora do prazo")))</f>
        <v/>
      </c>
    </row>
    <row r="495">
      <c r="B495" s="22" t="n"/>
      <c r="E495" s="23" t="n"/>
      <c r="F495" s="24" t="n"/>
      <c r="H495" s="22" t="n"/>
      <c r="I495" s="22" t="n"/>
      <c r="J495" s="21">
        <f>IF(C495="","",IFERROR(INDEX(Clientes!$B:$B,MATCH(C495,Clientes!$A:$A,0)),"Cód. não cadastrado"))</f>
        <v/>
      </c>
      <c r="K495" s="18">
        <f>IF(B495="","",YEAR(B495))</f>
        <v/>
      </c>
      <c r="L495" s="18">
        <f>IF(B495="","",MONTH(B495))</f>
        <v/>
      </c>
      <c r="M495" s="18">
        <f>IF(OR(B495="",I495=""),"",I495-B495)</f>
        <v/>
      </c>
      <c r="N495" s="21">
        <f>IF(B495="","",IF(I495="",IF(H495="","",IF(TODAY()&gt;H495,"Atrasado (em aberto)","Em aberto")),IF(I495&lt;=H495,"No prazo","Fora do prazo")))</f>
        <v/>
      </c>
    </row>
    <row r="496">
      <c r="B496" s="22" t="n"/>
      <c r="E496" s="23" t="n"/>
      <c r="F496" s="24" t="n"/>
      <c r="H496" s="22" t="n"/>
      <c r="I496" s="22" t="n"/>
      <c r="J496" s="21">
        <f>IF(C496="","",IFERROR(INDEX(Clientes!$B:$B,MATCH(C496,Clientes!$A:$A,0)),"Cód. não cadastrado"))</f>
        <v/>
      </c>
      <c r="K496" s="18">
        <f>IF(B496="","",YEAR(B496))</f>
        <v/>
      </c>
      <c r="L496" s="18">
        <f>IF(B496="","",MONTH(B496))</f>
        <v/>
      </c>
      <c r="M496" s="18">
        <f>IF(OR(B496="",I496=""),"",I496-B496)</f>
        <v/>
      </c>
      <c r="N496" s="21">
        <f>IF(B496="","",IF(I496="",IF(H496="","",IF(TODAY()&gt;H496,"Atrasado (em aberto)","Em aberto")),IF(I496&lt;=H496,"No prazo","Fora do prazo")))</f>
        <v/>
      </c>
    </row>
    <row r="497">
      <c r="B497" s="22" t="n"/>
      <c r="E497" s="23" t="n"/>
      <c r="F497" s="24" t="n"/>
      <c r="H497" s="22" t="n"/>
      <c r="I497" s="22" t="n"/>
      <c r="J497" s="21">
        <f>IF(C497="","",IFERROR(INDEX(Clientes!$B:$B,MATCH(C497,Clientes!$A:$A,0)),"Cód. não cadastrado"))</f>
        <v/>
      </c>
      <c r="K497" s="18">
        <f>IF(B497="","",YEAR(B497))</f>
        <v/>
      </c>
      <c r="L497" s="18">
        <f>IF(B497="","",MONTH(B497))</f>
        <v/>
      </c>
      <c r="M497" s="18">
        <f>IF(OR(B497="",I497=""),"",I497-B497)</f>
        <v/>
      </c>
      <c r="N497" s="21">
        <f>IF(B497="","",IF(I497="",IF(H497="","",IF(TODAY()&gt;H497,"Atrasado (em aberto)","Em aberto")),IF(I497&lt;=H497,"No prazo","Fora do prazo")))</f>
        <v/>
      </c>
    </row>
    <row r="498">
      <c r="B498" s="22" t="n"/>
      <c r="E498" s="23" t="n"/>
      <c r="F498" s="24" t="n"/>
      <c r="H498" s="22" t="n"/>
      <c r="I498" s="22" t="n"/>
      <c r="J498" s="21">
        <f>IF(C498="","",IFERROR(INDEX(Clientes!$B:$B,MATCH(C498,Clientes!$A:$A,0)),"Cód. não cadastrado"))</f>
        <v/>
      </c>
      <c r="K498" s="18">
        <f>IF(B498="","",YEAR(B498))</f>
        <v/>
      </c>
      <c r="L498" s="18">
        <f>IF(B498="","",MONTH(B498))</f>
        <v/>
      </c>
      <c r="M498" s="18">
        <f>IF(OR(B498="",I498=""),"",I498-B498)</f>
        <v/>
      </c>
      <c r="N498" s="21">
        <f>IF(B498="","",IF(I498="",IF(H498="","",IF(TODAY()&gt;H498,"Atrasado (em aberto)","Em aberto")),IF(I498&lt;=H498,"No prazo","Fora do prazo")))</f>
        <v/>
      </c>
    </row>
    <row r="499">
      <c r="B499" s="22" t="n"/>
      <c r="E499" s="23" t="n"/>
      <c r="F499" s="24" t="n"/>
      <c r="H499" s="22" t="n"/>
      <c r="I499" s="22" t="n"/>
      <c r="J499" s="21">
        <f>IF(C499="","",IFERROR(INDEX(Clientes!$B:$B,MATCH(C499,Clientes!$A:$A,0)),"Cód. não cadastrado"))</f>
        <v/>
      </c>
      <c r="K499" s="18">
        <f>IF(B499="","",YEAR(B499))</f>
        <v/>
      </c>
      <c r="L499" s="18">
        <f>IF(B499="","",MONTH(B499))</f>
        <v/>
      </c>
      <c r="M499" s="18">
        <f>IF(OR(B499="",I499=""),"",I499-B499)</f>
        <v/>
      </c>
      <c r="N499" s="21">
        <f>IF(B499="","",IF(I499="",IF(H499="","",IF(TODAY()&gt;H499,"Atrasado (em aberto)","Em aberto")),IF(I499&lt;=H499,"No prazo","Fora do prazo")))</f>
        <v/>
      </c>
    </row>
    <row r="500">
      <c r="B500" s="22" t="n"/>
      <c r="E500" s="23" t="n"/>
      <c r="F500" s="24" t="n"/>
      <c r="H500" s="22" t="n"/>
      <c r="I500" s="22" t="n"/>
      <c r="J500" s="21">
        <f>IF(C500="","",IFERROR(INDEX(Clientes!$B:$B,MATCH(C500,Clientes!$A:$A,0)),"Cód. não cadastrado"))</f>
        <v/>
      </c>
      <c r="K500" s="18">
        <f>IF(B500="","",YEAR(B500))</f>
        <v/>
      </c>
      <c r="L500" s="18">
        <f>IF(B500="","",MONTH(B500))</f>
        <v/>
      </c>
      <c r="M500" s="18">
        <f>IF(OR(B500="",I500=""),"",I500-B500)</f>
        <v/>
      </c>
      <c r="N500" s="21">
        <f>IF(B500="","",IF(I500="",IF(H500="","",IF(TODAY()&gt;H500,"Atrasado (em aberto)","Em aberto")),IF(I500&lt;=H500,"No prazo","Fora do prazo")))</f>
        <v/>
      </c>
    </row>
    <row r="501">
      <c r="B501" s="22" t="n"/>
      <c r="E501" s="23" t="n"/>
      <c r="F501" s="24" t="n"/>
      <c r="H501" s="22" t="n"/>
      <c r="I501" s="22" t="n"/>
      <c r="J501" s="21">
        <f>IF(C501="","",IFERROR(INDEX(Clientes!$B:$B,MATCH(C501,Clientes!$A:$A,0)),"Cód. não cadastrado"))</f>
        <v/>
      </c>
      <c r="K501" s="18">
        <f>IF(B501="","",YEAR(B501))</f>
        <v/>
      </c>
      <c r="L501" s="18">
        <f>IF(B501="","",MONTH(B501))</f>
        <v/>
      </c>
      <c r="M501" s="18">
        <f>IF(OR(B501="",I501=""),"",I501-B501)</f>
        <v/>
      </c>
      <c r="N501" s="21">
        <f>IF(B501="","",IF(I501="",IF(H501="","",IF(TODAY()&gt;H501,"Atrasado (em aberto)","Em aberto")),IF(I501&lt;=H501,"No prazo","Fora do prazo")))</f>
        <v/>
      </c>
    </row>
    <row r="502">
      <c r="B502" s="22" t="n"/>
      <c r="E502" s="23" t="n"/>
      <c r="F502" s="24" t="n"/>
      <c r="H502" s="22" t="n"/>
      <c r="I502" s="22" t="n"/>
      <c r="J502" s="21">
        <f>IF(C502="","",IFERROR(INDEX(Clientes!$B:$B,MATCH(C502,Clientes!$A:$A,0)),"Cód. não cadastrado"))</f>
        <v/>
      </c>
      <c r="K502" s="18">
        <f>IF(B502="","",YEAR(B502))</f>
        <v/>
      </c>
      <c r="L502" s="18">
        <f>IF(B502="","",MONTH(B502))</f>
        <v/>
      </c>
      <c r="M502" s="18">
        <f>IF(OR(B502="",I502=""),"",I502-B502)</f>
        <v/>
      </c>
      <c r="N502" s="21">
        <f>IF(B502="","",IF(I502="",IF(H502="","",IF(TODAY()&gt;H502,"Atrasado (em aberto)","Em aberto")),IF(I502&lt;=H502,"No prazo","Fora do prazo")))</f>
        <v/>
      </c>
    </row>
    <row r="503">
      <c r="B503" s="22" t="n"/>
      <c r="E503" s="23" t="n"/>
      <c r="F503" s="24" t="n"/>
      <c r="H503" s="22" t="n"/>
      <c r="I503" s="22" t="n"/>
      <c r="J503" s="21">
        <f>IF(C503="","",IFERROR(INDEX(Clientes!$B:$B,MATCH(C503,Clientes!$A:$A,0)),"Cód. não cadastrado"))</f>
        <v/>
      </c>
      <c r="K503" s="18">
        <f>IF(B503="","",YEAR(B503))</f>
        <v/>
      </c>
      <c r="L503" s="18">
        <f>IF(B503="","",MONTH(B503))</f>
        <v/>
      </c>
      <c r="M503" s="18">
        <f>IF(OR(B503="",I503=""),"",I503-B503)</f>
        <v/>
      </c>
      <c r="N503" s="21">
        <f>IF(B503="","",IF(I503="",IF(H503="","",IF(TODAY()&gt;H503,"Atrasado (em aberto)","Em aberto")),IF(I503&lt;=H503,"No prazo","Fora do prazo")))</f>
        <v/>
      </c>
    </row>
    <row r="504">
      <c r="B504" s="22" t="n"/>
      <c r="E504" s="23" t="n"/>
      <c r="F504" s="24" t="n"/>
      <c r="H504" s="22" t="n"/>
      <c r="I504" s="22" t="n"/>
      <c r="J504" s="21">
        <f>IF(C504="","",IFERROR(INDEX(Clientes!$B:$B,MATCH(C504,Clientes!$A:$A,0)),"Cód. não cadastrado"))</f>
        <v/>
      </c>
      <c r="K504" s="18">
        <f>IF(B504="","",YEAR(B504))</f>
        <v/>
      </c>
      <c r="L504" s="18">
        <f>IF(B504="","",MONTH(B504))</f>
        <v/>
      </c>
      <c r="M504" s="18">
        <f>IF(OR(B504="",I504=""),"",I504-B504)</f>
        <v/>
      </c>
      <c r="N504" s="21">
        <f>IF(B504="","",IF(I504="",IF(H504="","",IF(TODAY()&gt;H504,"Atrasado (em aberto)","Em aberto")),IF(I504&lt;=H504,"No prazo","Fora do prazo")))</f>
        <v/>
      </c>
    </row>
    <row r="505">
      <c r="B505" s="22" t="n"/>
      <c r="E505" s="23" t="n"/>
      <c r="F505" s="24" t="n"/>
      <c r="H505" s="22" t="n"/>
      <c r="I505" s="22" t="n"/>
      <c r="J505" s="21">
        <f>IF(C505="","",IFERROR(INDEX(Clientes!$B:$B,MATCH(C505,Clientes!$A:$A,0)),"Cód. não cadastrado"))</f>
        <v/>
      </c>
      <c r="K505" s="18">
        <f>IF(B505="","",YEAR(B505))</f>
        <v/>
      </c>
      <c r="L505" s="18">
        <f>IF(B505="","",MONTH(B505))</f>
        <v/>
      </c>
      <c r="M505" s="18">
        <f>IF(OR(B505="",I505=""),"",I505-B505)</f>
        <v/>
      </c>
      <c r="N505" s="21">
        <f>IF(B505="","",IF(I505="",IF(H505="","",IF(TODAY()&gt;H505,"Atrasado (em aberto)","Em aberto")),IF(I505&lt;=H505,"No prazo","Fora do prazo")))</f>
        <v/>
      </c>
    </row>
    <row r="506">
      <c r="B506" s="22" t="n"/>
      <c r="E506" s="23" t="n"/>
      <c r="F506" s="24" t="n"/>
      <c r="H506" s="22" t="n"/>
      <c r="I506" s="22" t="n"/>
      <c r="J506" s="21">
        <f>IF(C506="","",IFERROR(INDEX(Clientes!$B:$B,MATCH(C506,Clientes!$A:$A,0)),"Cód. não cadastrado"))</f>
        <v/>
      </c>
      <c r="K506" s="18">
        <f>IF(B506="","",YEAR(B506))</f>
        <v/>
      </c>
      <c r="L506" s="18">
        <f>IF(B506="","",MONTH(B506))</f>
        <v/>
      </c>
      <c r="M506" s="18">
        <f>IF(OR(B506="",I506=""),"",I506-B506)</f>
        <v/>
      </c>
      <c r="N506" s="21">
        <f>IF(B506="","",IF(I506="",IF(H506="","",IF(TODAY()&gt;H506,"Atrasado (em aberto)","Em aberto")),IF(I506&lt;=H506,"No prazo","Fora do prazo")))</f>
        <v/>
      </c>
    </row>
    <row r="507">
      <c r="B507" s="22" t="n"/>
      <c r="E507" s="23" t="n"/>
      <c r="F507" s="24" t="n"/>
      <c r="H507" s="22" t="n"/>
      <c r="I507" s="22" t="n"/>
      <c r="J507" s="21">
        <f>IF(C507="","",IFERROR(INDEX(Clientes!$B:$B,MATCH(C507,Clientes!$A:$A,0)),"Cód. não cadastrado"))</f>
        <v/>
      </c>
      <c r="K507" s="18">
        <f>IF(B507="","",YEAR(B507))</f>
        <v/>
      </c>
      <c r="L507" s="18">
        <f>IF(B507="","",MONTH(B507))</f>
        <v/>
      </c>
      <c r="M507" s="18">
        <f>IF(OR(B507="",I507=""),"",I507-B507)</f>
        <v/>
      </c>
      <c r="N507" s="21">
        <f>IF(B507="","",IF(I507="",IF(H507="","",IF(TODAY()&gt;H507,"Atrasado (em aberto)","Em aberto")),IF(I507&lt;=H507,"No prazo","Fora do prazo")))</f>
        <v/>
      </c>
    </row>
    <row r="508">
      <c r="B508" s="22" t="n"/>
      <c r="E508" s="23" t="n"/>
      <c r="F508" s="24" t="n"/>
      <c r="H508" s="22" t="n"/>
      <c r="I508" s="22" t="n"/>
      <c r="J508" s="21">
        <f>IF(C508="","",IFERROR(INDEX(Clientes!$B:$B,MATCH(C508,Clientes!$A:$A,0)),"Cód. não cadastrado"))</f>
        <v/>
      </c>
      <c r="K508" s="18">
        <f>IF(B508="","",YEAR(B508))</f>
        <v/>
      </c>
      <c r="L508" s="18">
        <f>IF(B508="","",MONTH(B508))</f>
        <v/>
      </c>
      <c r="M508" s="18">
        <f>IF(OR(B508="",I508=""),"",I508-B508)</f>
        <v/>
      </c>
      <c r="N508" s="21">
        <f>IF(B508="","",IF(I508="",IF(H508="","",IF(TODAY()&gt;H508,"Atrasado (em aberto)","Em aberto")),IF(I508&lt;=H508,"No prazo","Fora do prazo")))</f>
        <v/>
      </c>
    </row>
    <row r="509">
      <c r="B509" s="22" t="n"/>
      <c r="E509" s="23" t="n"/>
      <c r="F509" s="24" t="n"/>
      <c r="H509" s="22" t="n"/>
      <c r="I509" s="22" t="n"/>
      <c r="J509" s="21">
        <f>IF(C509="","",IFERROR(INDEX(Clientes!$B:$B,MATCH(C509,Clientes!$A:$A,0)),"Cód. não cadastrado"))</f>
        <v/>
      </c>
      <c r="K509" s="18">
        <f>IF(B509="","",YEAR(B509))</f>
        <v/>
      </c>
      <c r="L509" s="18">
        <f>IF(B509="","",MONTH(B509))</f>
        <v/>
      </c>
      <c r="M509" s="18">
        <f>IF(OR(B509="",I509=""),"",I509-B509)</f>
        <v/>
      </c>
      <c r="N509" s="21">
        <f>IF(B509="","",IF(I509="",IF(H509="","",IF(TODAY()&gt;H509,"Atrasado (em aberto)","Em aberto")),IF(I509&lt;=H509,"No prazo","Fora do prazo")))</f>
        <v/>
      </c>
    </row>
    <row r="510">
      <c r="B510" s="22" t="n"/>
      <c r="E510" s="23" t="n"/>
      <c r="F510" s="24" t="n"/>
      <c r="H510" s="22" t="n"/>
      <c r="I510" s="22" t="n"/>
      <c r="J510" s="21">
        <f>IF(C510="","",IFERROR(INDEX(Clientes!$B:$B,MATCH(C510,Clientes!$A:$A,0)),"Cód. não cadastrado"))</f>
        <v/>
      </c>
      <c r="K510" s="18">
        <f>IF(B510="","",YEAR(B510))</f>
        <v/>
      </c>
      <c r="L510" s="18">
        <f>IF(B510="","",MONTH(B510))</f>
        <v/>
      </c>
      <c r="M510" s="18">
        <f>IF(OR(B510="",I510=""),"",I510-B510)</f>
        <v/>
      </c>
      <c r="N510" s="21">
        <f>IF(B510="","",IF(I510="",IF(H510="","",IF(TODAY()&gt;H510,"Atrasado (em aberto)","Em aberto")),IF(I510&lt;=H510,"No prazo","Fora do prazo")))</f>
        <v/>
      </c>
    </row>
    <row r="511">
      <c r="B511" s="22" t="n"/>
      <c r="E511" s="23" t="n"/>
      <c r="F511" s="24" t="n"/>
      <c r="H511" s="22" t="n"/>
      <c r="I511" s="22" t="n"/>
      <c r="J511" s="21">
        <f>IF(C511="","",IFERROR(INDEX(Clientes!$B:$B,MATCH(C511,Clientes!$A:$A,0)),"Cód. não cadastrado"))</f>
        <v/>
      </c>
      <c r="K511" s="18">
        <f>IF(B511="","",YEAR(B511))</f>
        <v/>
      </c>
      <c r="L511" s="18">
        <f>IF(B511="","",MONTH(B511))</f>
        <v/>
      </c>
      <c r="M511" s="18">
        <f>IF(OR(B511="",I511=""),"",I511-B511)</f>
        <v/>
      </c>
      <c r="N511" s="21">
        <f>IF(B511="","",IF(I511="",IF(H511="","",IF(TODAY()&gt;H511,"Atrasado (em aberto)","Em aberto")),IF(I511&lt;=H511,"No prazo","Fora do prazo")))</f>
        <v/>
      </c>
    </row>
    <row r="512">
      <c r="B512" s="22" t="n"/>
      <c r="E512" s="23" t="n"/>
      <c r="F512" s="24" t="n"/>
      <c r="H512" s="22" t="n"/>
      <c r="I512" s="22" t="n"/>
      <c r="J512" s="21">
        <f>IF(C512="","",IFERROR(INDEX(Clientes!$B:$B,MATCH(C512,Clientes!$A:$A,0)),"Cód. não cadastrado"))</f>
        <v/>
      </c>
      <c r="K512" s="18">
        <f>IF(B512="","",YEAR(B512))</f>
        <v/>
      </c>
      <c r="L512" s="18">
        <f>IF(B512="","",MONTH(B512))</f>
        <v/>
      </c>
      <c r="M512" s="18">
        <f>IF(OR(B512="",I512=""),"",I512-B512)</f>
        <v/>
      </c>
      <c r="N512" s="21">
        <f>IF(B512="","",IF(I512="",IF(H512="","",IF(TODAY()&gt;H512,"Atrasado (em aberto)","Em aberto")),IF(I512&lt;=H512,"No prazo","Fora do prazo")))</f>
        <v/>
      </c>
    </row>
    <row r="513">
      <c r="B513" s="22" t="n"/>
      <c r="E513" s="23" t="n"/>
      <c r="F513" s="24" t="n"/>
      <c r="H513" s="22" t="n"/>
      <c r="I513" s="22" t="n"/>
      <c r="J513" s="21">
        <f>IF(C513="","",IFERROR(INDEX(Clientes!$B:$B,MATCH(C513,Clientes!$A:$A,0)),"Cód. não cadastrado"))</f>
        <v/>
      </c>
      <c r="K513" s="18">
        <f>IF(B513="","",YEAR(B513))</f>
        <v/>
      </c>
      <c r="L513" s="18">
        <f>IF(B513="","",MONTH(B513))</f>
        <v/>
      </c>
      <c r="M513" s="18">
        <f>IF(OR(B513="",I513=""),"",I513-B513)</f>
        <v/>
      </c>
      <c r="N513" s="21">
        <f>IF(B513="","",IF(I513="",IF(H513="","",IF(TODAY()&gt;H513,"Atrasado (em aberto)","Em aberto")),IF(I513&lt;=H513,"No prazo","Fora do prazo")))</f>
        <v/>
      </c>
    </row>
    <row r="514">
      <c r="B514" s="22" t="n"/>
      <c r="E514" s="23" t="n"/>
      <c r="F514" s="24" t="n"/>
      <c r="H514" s="22" t="n"/>
      <c r="I514" s="22" t="n"/>
      <c r="J514" s="21">
        <f>IF(C514="","",IFERROR(INDEX(Clientes!$B:$B,MATCH(C514,Clientes!$A:$A,0)),"Cód. não cadastrado"))</f>
        <v/>
      </c>
      <c r="K514" s="18">
        <f>IF(B514="","",YEAR(B514))</f>
        <v/>
      </c>
      <c r="L514" s="18">
        <f>IF(B514="","",MONTH(B514))</f>
        <v/>
      </c>
      <c r="M514" s="18">
        <f>IF(OR(B514="",I514=""),"",I514-B514)</f>
        <v/>
      </c>
      <c r="N514" s="21">
        <f>IF(B514="","",IF(I514="",IF(H514="","",IF(TODAY()&gt;H514,"Atrasado (em aberto)","Em aberto")),IF(I514&lt;=H514,"No prazo","Fora do prazo")))</f>
        <v/>
      </c>
    </row>
    <row r="515">
      <c r="B515" s="22" t="n"/>
      <c r="E515" s="23" t="n"/>
      <c r="F515" s="24" t="n"/>
      <c r="H515" s="22" t="n"/>
      <c r="I515" s="22" t="n"/>
      <c r="J515" s="21">
        <f>IF(C515="","",IFERROR(INDEX(Clientes!$B:$B,MATCH(C515,Clientes!$A:$A,0)),"Cód. não cadastrado"))</f>
        <v/>
      </c>
      <c r="K515" s="18">
        <f>IF(B515="","",YEAR(B515))</f>
        <v/>
      </c>
      <c r="L515" s="18">
        <f>IF(B515="","",MONTH(B515))</f>
        <v/>
      </c>
      <c r="M515" s="18">
        <f>IF(OR(B515="",I515=""),"",I515-B515)</f>
        <v/>
      </c>
      <c r="N515" s="21">
        <f>IF(B515="","",IF(I515="",IF(H515="","",IF(TODAY()&gt;H515,"Atrasado (em aberto)","Em aberto")),IF(I515&lt;=H515,"No prazo","Fora do prazo")))</f>
        <v/>
      </c>
    </row>
    <row r="516">
      <c r="B516" s="22" t="n"/>
      <c r="E516" s="23" t="n"/>
      <c r="F516" s="24" t="n"/>
      <c r="H516" s="22" t="n"/>
      <c r="I516" s="22" t="n"/>
      <c r="J516" s="21">
        <f>IF(C516="","",IFERROR(INDEX(Clientes!$B:$B,MATCH(C516,Clientes!$A:$A,0)),"Cód. não cadastrado"))</f>
        <v/>
      </c>
      <c r="K516" s="18">
        <f>IF(B516="","",YEAR(B516))</f>
        <v/>
      </c>
      <c r="L516" s="18">
        <f>IF(B516="","",MONTH(B516))</f>
        <v/>
      </c>
      <c r="M516" s="18">
        <f>IF(OR(B516="",I516=""),"",I516-B516)</f>
        <v/>
      </c>
      <c r="N516" s="21">
        <f>IF(B516="","",IF(I516="",IF(H516="","",IF(TODAY()&gt;H516,"Atrasado (em aberto)","Em aberto")),IF(I516&lt;=H516,"No prazo","Fora do prazo")))</f>
        <v/>
      </c>
    </row>
    <row r="517">
      <c r="B517" s="22" t="n"/>
      <c r="E517" s="23" t="n"/>
      <c r="F517" s="24" t="n"/>
      <c r="H517" s="22" t="n"/>
      <c r="I517" s="22" t="n"/>
      <c r="J517" s="21">
        <f>IF(C517="","",IFERROR(INDEX(Clientes!$B:$B,MATCH(C517,Clientes!$A:$A,0)),"Cód. não cadastrado"))</f>
        <v/>
      </c>
      <c r="K517" s="18">
        <f>IF(B517="","",YEAR(B517))</f>
        <v/>
      </c>
      <c r="L517" s="18">
        <f>IF(B517="","",MONTH(B517))</f>
        <v/>
      </c>
      <c r="M517" s="18">
        <f>IF(OR(B517="",I517=""),"",I517-B517)</f>
        <v/>
      </c>
      <c r="N517" s="21">
        <f>IF(B517="","",IF(I517="",IF(H517="","",IF(TODAY()&gt;H517,"Atrasado (em aberto)","Em aberto")),IF(I517&lt;=H517,"No prazo","Fora do prazo")))</f>
        <v/>
      </c>
    </row>
    <row r="518">
      <c r="B518" s="22" t="n"/>
      <c r="E518" s="23" t="n"/>
      <c r="F518" s="24" t="n"/>
      <c r="H518" s="22" t="n"/>
      <c r="I518" s="22" t="n"/>
      <c r="J518" s="21">
        <f>IF(C518="","",IFERROR(INDEX(Clientes!$B:$B,MATCH(C518,Clientes!$A:$A,0)),"Cód. não cadastrado"))</f>
        <v/>
      </c>
      <c r="K518" s="18">
        <f>IF(B518="","",YEAR(B518))</f>
        <v/>
      </c>
      <c r="L518" s="18">
        <f>IF(B518="","",MONTH(B518))</f>
        <v/>
      </c>
      <c r="M518" s="18">
        <f>IF(OR(B518="",I518=""),"",I518-B518)</f>
        <v/>
      </c>
      <c r="N518" s="21">
        <f>IF(B518="","",IF(I518="",IF(H518="","",IF(TODAY()&gt;H518,"Atrasado (em aberto)","Em aberto")),IF(I518&lt;=H518,"No prazo","Fora do prazo")))</f>
        <v/>
      </c>
    </row>
    <row r="519">
      <c r="B519" s="22" t="n"/>
      <c r="E519" s="23" t="n"/>
      <c r="F519" s="24" t="n"/>
      <c r="H519" s="22" t="n"/>
      <c r="I519" s="22" t="n"/>
      <c r="J519" s="21">
        <f>IF(C519="","",IFERROR(INDEX(Clientes!$B:$B,MATCH(C519,Clientes!$A:$A,0)),"Cód. não cadastrado"))</f>
        <v/>
      </c>
      <c r="K519" s="18">
        <f>IF(B519="","",YEAR(B519))</f>
        <v/>
      </c>
      <c r="L519" s="18">
        <f>IF(B519="","",MONTH(B519))</f>
        <v/>
      </c>
      <c r="M519" s="18">
        <f>IF(OR(B519="",I519=""),"",I519-B519)</f>
        <v/>
      </c>
      <c r="N519" s="21">
        <f>IF(B519="","",IF(I519="",IF(H519="","",IF(TODAY()&gt;H519,"Atrasado (em aberto)","Em aberto")),IF(I519&lt;=H519,"No prazo","Fora do prazo")))</f>
        <v/>
      </c>
    </row>
    <row r="520">
      <c r="B520" s="22" t="n"/>
      <c r="E520" s="23" t="n"/>
      <c r="F520" s="24" t="n"/>
      <c r="H520" s="22" t="n"/>
      <c r="I520" s="22" t="n"/>
      <c r="J520" s="21">
        <f>IF(C520="","",IFERROR(INDEX(Clientes!$B:$B,MATCH(C520,Clientes!$A:$A,0)),"Cód. não cadastrado"))</f>
        <v/>
      </c>
      <c r="K520" s="18">
        <f>IF(B520="","",YEAR(B520))</f>
        <v/>
      </c>
      <c r="L520" s="18">
        <f>IF(B520="","",MONTH(B520))</f>
        <v/>
      </c>
      <c r="M520" s="18">
        <f>IF(OR(B520="",I520=""),"",I520-B520)</f>
        <v/>
      </c>
      <c r="N520" s="21">
        <f>IF(B520="","",IF(I520="",IF(H520="","",IF(TODAY()&gt;H520,"Atrasado (em aberto)","Em aberto")),IF(I520&lt;=H520,"No prazo","Fora do prazo")))</f>
        <v/>
      </c>
    </row>
    <row r="521">
      <c r="B521" s="22" t="n"/>
      <c r="E521" s="23" t="n"/>
      <c r="F521" s="24" t="n"/>
      <c r="H521" s="22" t="n"/>
      <c r="I521" s="22" t="n"/>
      <c r="J521" s="21">
        <f>IF(C521="","",IFERROR(INDEX(Clientes!$B:$B,MATCH(C521,Clientes!$A:$A,0)),"Cód. não cadastrado"))</f>
        <v/>
      </c>
      <c r="K521" s="18">
        <f>IF(B521="","",YEAR(B521))</f>
        <v/>
      </c>
      <c r="L521" s="18">
        <f>IF(B521="","",MONTH(B521))</f>
        <v/>
      </c>
      <c r="M521" s="18">
        <f>IF(OR(B521="",I521=""),"",I521-B521)</f>
        <v/>
      </c>
      <c r="N521" s="21">
        <f>IF(B521="","",IF(I521="",IF(H521="","",IF(TODAY()&gt;H521,"Atrasado (em aberto)","Em aberto")),IF(I521&lt;=H521,"No prazo","Fora do prazo")))</f>
        <v/>
      </c>
    </row>
    <row r="522">
      <c r="B522" s="22" t="n"/>
      <c r="E522" s="23" t="n"/>
      <c r="F522" s="24" t="n"/>
      <c r="H522" s="22" t="n"/>
      <c r="I522" s="22" t="n"/>
      <c r="J522" s="21">
        <f>IF(C522="","",IFERROR(INDEX(Clientes!$B:$B,MATCH(C522,Clientes!$A:$A,0)),"Cód. não cadastrado"))</f>
        <v/>
      </c>
      <c r="K522" s="18">
        <f>IF(B522="","",YEAR(B522))</f>
        <v/>
      </c>
      <c r="L522" s="18">
        <f>IF(B522="","",MONTH(B522))</f>
        <v/>
      </c>
      <c r="M522" s="18">
        <f>IF(OR(B522="",I522=""),"",I522-B522)</f>
        <v/>
      </c>
      <c r="N522" s="21">
        <f>IF(B522="","",IF(I522="",IF(H522="","",IF(TODAY()&gt;H522,"Atrasado (em aberto)","Em aberto")),IF(I522&lt;=H522,"No prazo","Fora do prazo")))</f>
        <v/>
      </c>
    </row>
    <row r="523">
      <c r="B523" s="22" t="n"/>
      <c r="E523" s="23" t="n"/>
      <c r="F523" s="24" t="n"/>
      <c r="H523" s="22" t="n"/>
      <c r="I523" s="22" t="n"/>
      <c r="J523" s="21">
        <f>IF(C523="","",IFERROR(INDEX(Clientes!$B:$B,MATCH(C523,Clientes!$A:$A,0)),"Cód. não cadastrado"))</f>
        <v/>
      </c>
      <c r="K523" s="18">
        <f>IF(B523="","",YEAR(B523))</f>
        <v/>
      </c>
      <c r="L523" s="18">
        <f>IF(B523="","",MONTH(B523))</f>
        <v/>
      </c>
      <c r="M523" s="18">
        <f>IF(OR(B523="",I523=""),"",I523-B523)</f>
        <v/>
      </c>
      <c r="N523" s="21">
        <f>IF(B523="","",IF(I523="",IF(H523="","",IF(TODAY()&gt;H523,"Atrasado (em aberto)","Em aberto")),IF(I523&lt;=H523,"No prazo","Fora do prazo")))</f>
        <v/>
      </c>
    </row>
    <row r="524">
      <c r="B524" s="22" t="n"/>
      <c r="E524" s="23" t="n"/>
      <c r="F524" s="24" t="n"/>
      <c r="H524" s="22" t="n"/>
      <c r="I524" s="22" t="n"/>
      <c r="J524" s="21">
        <f>IF(C524="","",IFERROR(INDEX(Clientes!$B:$B,MATCH(C524,Clientes!$A:$A,0)),"Cód. não cadastrado"))</f>
        <v/>
      </c>
      <c r="K524" s="18">
        <f>IF(B524="","",YEAR(B524))</f>
        <v/>
      </c>
      <c r="L524" s="18">
        <f>IF(B524="","",MONTH(B524))</f>
        <v/>
      </c>
      <c r="M524" s="18">
        <f>IF(OR(B524="",I524=""),"",I524-B524)</f>
        <v/>
      </c>
      <c r="N524" s="21">
        <f>IF(B524="","",IF(I524="",IF(H524="","",IF(TODAY()&gt;H524,"Atrasado (em aberto)","Em aberto")),IF(I524&lt;=H524,"No prazo","Fora do prazo")))</f>
        <v/>
      </c>
    </row>
    <row r="525">
      <c r="B525" s="22" t="n"/>
      <c r="E525" s="23" t="n"/>
      <c r="F525" s="24" t="n"/>
      <c r="H525" s="22" t="n"/>
      <c r="I525" s="22" t="n"/>
      <c r="J525" s="21">
        <f>IF(C525="","",IFERROR(INDEX(Clientes!$B:$B,MATCH(C525,Clientes!$A:$A,0)),"Cód. não cadastrado"))</f>
        <v/>
      </c>
      <c r="K525" s="18">
        <f>IF(B525="","",YEAR(B525))</f>
        <v/>
      </c>
      <c r="L525" s="18">
        <f>IF(B525="","",MONTH(B525))</f>
        <v/>
      </c>
      <c r="M525" s="18">
        <f>IF(OR(B525="",I525=""),"",I525-B525)</f>
        <v/>
      </c>
      <c r="N525" s="21">
        <f>IF(B525="","",IF(I525="",IF(H525="","",IF(TODAY()&gt;H525,"Atrasado (em aberto)","Em aberto")),IF(I525&lt;=H525,"No prazo","Fora do prazo")))</f>
        <v/>
      </c>
    </row>
    <row r="526">
      <c r="B526" s="22" t="n"/>
      <c r="E526" s="23" t="n"/>
      <c r="F526" s="24" t="n"/>
      <c r="H526" s="22" t="n"/>
      <c r="I526" s="22" t="n"/>
      <c r="J526" s="21">
        <f>IF(C526="","",IFERROR(INDEX(Clientes!$B:$B,MATCH(C526,Clientes!$A:$A,0)),"Cód. não cadastrado"))</f>
        <v/>
      </c>
      <c r="K526" s="18">
        <f>IF(B526="","",YEAR(B526))</f>
        <v/>
      </c>
      <c r="L526" s="18">
        <f>IF(B526="","",MONTH(B526))</f>
        <v/>
      </c>
      <c r="M526" s="18">
        <f>IF(OR(B526="",I526=""),"",I526-B526)</f>
        <v/>
      </c>
      <c r="N526" s="21">
        <f>IF(B526="","",IF(I526="",IF(H526="","",IF(TODAY()&gt;H526,"Atrasado (em aberto)","Em aberto")),IF(I526&lt;=H526,"No prazo","Fora do prazo")))</f>
        <v/>
      </c>
    </row>
    <row r="527">
      <c r="B527" s="22" t="n"/>
      <c r="E527" s="23" t="n"/>
      <c r="F527" s="24" t="n"/>
      <c r="H527" s="22" t="n"/>
      <c r="I527" s="22" t="n"/>
      <c r="J527" s="21">
        <f>IF(C527="","",IFERROR(INDEX(Clientes!$B:$B,MATCH(C527,Clientes!$A:$A,0)),"Cód. não cadastrado"))</f>
        <v/>
      </c>
      <c r="K527" s="18">
        <f>IF(B527="","",YEAR(B527))</f>
        <v/>
      </c>
      <c r="L527" s="18">
        <f>IF(B527="","",MONTH(B527))</f>
        <v/>
      </c>
      <c r="M527" s="18">
        <f>IF(OR(B527="",I527=""),"",I527-B527)</f>
        <v/>
      </c>
      <c r="N527" s="21">
        <f>IF(B527="","",IF(I527="",IF(H527="","",IF(TODAY()&gt;H527,"Atrasado (em aberto)","Em aberto")),IF(I527&lt;=H527,"No prazo","Fora do prazo")))</f>
        <v/>
      </c>
    </row>
    <row r="528">
      <c r="B528" s="22" t="n"/>
      <c r="E528" s="23" t="n"/>
      <c r="F528" s="24" t="n"/>
      <c r="H528" s="22" t="n"/>
      <c r="I528" s="22" t="n"/>
      <c r="J528" s="21">
        <f>IF(C528="","",IFERROR(INDEX(Clientes!$B:$B,MATCH(C528,Clientes!$A:$A,0)),"Cód. não cadastrado"))</f>
        <v/>
      </c>
      <c r="K528" s="18">
        <f>IF(B528="","",YEAR(B528))</f>
        <v/>
      </c>
      <c r="L528" s="18">
        <f>IF(B528="","",MONTH(B528))</f>
        <v/>
      </c>
      <c r="M528" s="18">
        <f>IF(OR(B528="",I528=""),"",I528-B528)</f>
        <v/>
      </c>
      <c r="N528" s="21">
        <f>IF(B528="","",IF(I528="",IF(H528="","",IF(TODAY()&gt;H528,"Atrasado (em aberto)","Em aberto")),IF(I528&lt;=H528,"No prazo","Fora do prazo")))</f>
        <v/>
      </c>
    </row>
    <row r="529">
      <c r="B529" s="22" t="n"/>
      <c r="E529" s="23" t="n"/>
      <c r="F529" s="24" t="n"/>
      <c r="H529" s="22" t="n"/>
      <c r="I529" s="22" t="n"/>
      <c r="J529" s="21">
        <f>IF(C529="","",IFERROR(INDEX(Clientes!$B:$B,MATCH(C529,Clientes!$A:$A,0)),"Cód. não cadastrado"))</f>
        <v/>
      </c>
      <c r="K529" s="18">
        <f>IF(B529="","",YEAR(B529))</f>
        <v/>
      </c>
      <c r="L529" s="18">
        <f>IF(B529="","",MONTH(B529))</f>
        <v/>
      </c>
      <c r="M529" s="18">
        <f>IF(OR(B529="",I529=""),"",I529-B529)</f>
        <v/>
      </c>
      <c r="N529" s="21">
        <f>IF(B529="","",IF(I529="",IF(H529="","",IF(TODAY()&gt;H529,"Atrasado (em aberto)","Em aberto")),IF(I529&lt;=H529,"No prazo","Fora do prazo")))</f>
        <v/>
      </c>
    </row>
    <row r="530">
      <c r="B530" s="22" t="n"/>
      <c r="E530" s="23" t="n"/>
      <c r="F530" s="24" t="n"/>
      <c r="H530" s="22" t="n"/>
      <c r="I530" s="22" t="n"/>
      <c r="J530" s="21">
        <f>IF(C530="","",IFERROR(INDEX(Clientes!$B:$B,MATCH(C530,Clientes!$A:$A,0)),"Cód. não cadastrado"))</f>
        <v/>
      </c>
      <c r="K530" s="18">
        <f>IF(B530="","",YEAR(B530))</f>
        <v/>
      </c>
      <c r="L530" s="18">
        <f>IF(B530="","",MONTH(B530))</f>
        <v/>
      </c>
      <c r="M530" s="18">
        <f>IF(OR(B530="",I530=""),"",I530-B530)</f>
        <v/>
      </c>
      <c r="N530" s="21">
        <f>IF(B530="","",IF(I530="",IF(H530="","",IF(TODAY()&gt;H530,"Atrasado (em aberto)","Em aberto")),IF(I530&lt;=H530,"No prazo","Fora do prazo")))</f>
        <v/>
      </c>
    </row>
    <row r="531">
      <c r="B531" s="22" t="n"/>
      <c r="E531" s="23" t="n"/>
      <c r="F531" s="24" t="n"/>
      <c r="H531" s="22" t="n"/>
      <c r="I531" s="22" t="n"/>
      <c r="J531" s="21">
        <f>IF(C531="","",IFERROR(INDEX(Clientes!$B:$B,MATCH(C531,Clientes!$A:$A,0)),"Cód. não cadastrado"))</f>
        <v/>
      </c>
      <c r="K531" s="18">
        <f>IF(B531="","",YEAR(B531))</f>
        <v/>
      </c>
      <c r="L531" s="18">
        <f>IF(B531="","",MONTH(B531))</f>
        <v/>
      </c>
      <c r="M531" s="18">
        <f>IF(OR(B531="",I531=""),"",I531-B531)</f>
        <v/>
      </c>
      <c r="N531" s="21">
        <f>IF(B531="","",IF(I531="",IF(H531="","",IF(TODAY()&gt;H531,"Atrasado (em aberto)","Em aberto")),IF(I531&lt;=H531,"No prazo","Fora do prazo")))</f>
        <v/>
      </c>
    </row>
    <row r="532">
      <c r="B532" s="22" t="n"/>
      <c r="E532" s="23" t="n"/>
      <c r="F532" s="24" t="n"/>
      <c r="H532" s="22" t="n"/>
      <c r="I532" s="22" t="n"/>
      <c r="J532" s="21">
        <f>IF(C532="","",IFERROR(INDEX(Clientes!$B:$B,MATCH(C532,Clientes!$A:$A,0)),"Cód. não cadastrado"))</f>
        <v/>
      </c>
      <c r="K532" s="18">
        <f>IF(B532="","",YEAR(B532))</f>
        <v/>
      </c>
      <c r="L532" s="18">
        <f>IF(B532="","",MONTH(B532))</f>
        <v/>
      </c>
      <c r="M532" s="18">
        <f>IF(OR(B532="",I532=""),"",I532-B532)</f>
        <v/>
      </c>
      <c r="N532" s="21">
        <f>IF(B532="","",IF(I532="",IF(H532="","",IF(TODAY()&gt;H532,"Atrasado (em aberto)","Em aberto")),IF(I532&lt;=H532,"No prazo","Fora do prazo")))</f>
        <v/>
      </c>
    </row>
    <row r="533">
      <c r="B533" s="22" t="n"/>
      <c r="E533" s="23" t="n"/>
      <c r="F533" s="24" t="n"/>
      <c r="H533" s="22" t="n"/>
      <c r="I533" s="22" t="n"/>
      <c r="J533" s="21">
        <f>IF(C533="","",IFERROR(INDEX(Clientes!$B:$B,MATCH(C533,Clientes!$A:$A,0)),"Cód. não cadastrado"))</f>
        <v/>
      </c>
      <c r="K533" s="18">
        <f>IF(B533="","",YEAR(B533))</f>
        <v/>
      </c>
      <c r="L533" s="18">
        <f>IF(B533="","",MONTH(B533))</f>
        <v/>
      </c>
      <c r="M533" s="18">
        <f>IF(OR(B533="",I533=""),"",I533-B533)</f>
        <v/>
      </c>
      <c r="N533" s="21">
        <f>IF(B533="","",IF(I533="",IF(H533="","",IF(TODAY()&gt;H533,"Atrasado (em aberto)","Em aberto")),IF(I533&lt;=H533,"No prazo","Fora do prazo")))</f>
        <v/>
      </c>
    </row>
    <row r="534">
      <c r="B534" s="22" t="n"/>
      <c r="E534" s="23" t="n"/>
      <c r="F534" s="24" t="n"/>
      <c r="H534" s="22" t="n"/>
      <c r="I534" s="22" t="n"/>
      <c r="J534" s="21">
        <f>IF(C534="","",IFERROR(INDEX(Clientes!$B:$B,MATCH(C534,Clientes!$A:$A,0)),"Cód. não cadastrado"))</f>
        <v/>
      </c>
      <c r="K534" s="18">
        <f>IF(B534="","",YEAR(B534))</f>
        <v/>
      </c>
      <c r="L534" s="18">
        <f>IF(B534="","",MONTH(B534))</f>
        <v/>
      </c>
      <c r="M534" s="18">
        <f>IF(OR(B534="",I534=""),"",I534-B534)</f>
        <v/>
      </c>
      <c r="N534" s="21">
        <f>IF(B534="","",IF(I534="",IF(H534="","",IF(TODAY()&gt;H534,"Atrasado (em aberto)","Em aberto")),IF(I534&lt;=H534,"No prazo","Fora do prazo")))</f>
        <v/>
      </c>
    </row>
    <row r="535">
      <c r="B535" s="22" t="n"/>
      <c r="E535" s="23" t="n"/>
      <c r="F535" s="24" t="n"/>
      <c r="H535" s="22" t="n"/>
      <c r="I535" s="22" t="n"/>
      <c r="J535" s="21">
        <f>IF(C535="","",IFERROR(INDEX(Clientes!$B:$B,MATCH(C535,Clientes!$A:$A,0)),"Cód. não cadastrado"))</f>
        <v/>
      </c>
      <c r="K535" s="18">
        <f>IF(B535="","",YEAR(B535))</f>
        <v/>
      </c>
      <c r="L535" s="18">
        <f>IF(B535="","",MONTH(B535))</f>
        <v/>
      </c>
      <c r="M535" s="18">
        <f>IF(OR(B535="",I535=""),"",I535-B535)</f>
        <v/>
      </c>
      <c r="N535" s="21">
        <f>IF(B535="","",IF(I535="",IF(H535="","",IF(TODAY()&gt;H535,"Atrasado (em aberto)","Em aberto")),IF(I535&lt;=H535,"No prazo","Fora do prazo")))</f>
        <v/>
      </c>
    </row>
    <row r="536">
      <c r="B536" s="22" t="n"/>
      <c r="E536" s="23" t="n"/>
      <c r="F536" s="24" t="n"/>
      <c r="H536" s="22" t="n"/>
      <c r="I536" s="22" t="n"/>
      <c r="J536" s="21">
        <f>IF(C536="","",IFERROR(INDEX(Clientes!$B:$B,MATCH(C536,Clientes!$A:$A,0)),"Cód. não cadastrado"))</f>
        <v/>
      </c>
      <c r="K536" s="18">
        <f>IF(B536="","",YEAR(B536))</f>
        <v/>
      </c>
      <c r="L536" s="18">
        <f>IF(B536="","",MONTH(B536))</f>
        <v/>
      </c>
      <c r="M536" s="18">
        <f>IF(OR(B536="",I536=""),"",I536-B536)</f>
        <v/>
      </c>
      <c r="N536" s="21">
        <f>IF(B536="","",IF(I536="",IF(H536="","",IF(TODAY()&gt;H536,"Atrasado (em aberto)","Em aberto")),IF(I536&lt;=H536,"No prazo","Fora do prazo")))</f>
        <v/>
      </c>
    </row>
    <row r="537">
      <c r="B537" s="22" t="n"/>
      <c r="E537" s="23" t="n"/>
      <c r="F537" s="24" t="n"/>
      <c r="H537" s="22" t="n"/>
      <c r="I537" s="22" t="n"/>
      <c r="J537" s="21">
        <f>IF(C537="","",IFERROR(INDEX(Clientes!$B:$B,MATCH(C537,Clientes!$A:$A,0)),"Cód. não cadastrado"))</f>
        <v/>
      </c>
      <c r="K537" s="18">
        <f>IF(B537="","",YEAR(B537))</f>
        <v/>
      </c>
      <c r="L537" s="18">
        <f>IF(B537="","",MONTH(B537))</f>
        <v/>
      </c>
      <c r="M537" s="18">
        <f>IF(OR(B537="",I537=""),"",I537-B537)</f>
        <v/>
      </c>
      <c r="N537" s="21">
        <f>IF(B537="","",IF(I537="",IF(H537="","",IF(TODAY()&gt;H537,"Atrasado (em aberto)","Em aberto")),IF(I537&lt;=H537,"No prazo","Fora do prazo")))</f>
        <v/>
      </c>
    </row>
    <row r="538">
      <c r="B538" s="22" t="n"/>
      <c r="E538" s="23" t="n"/>
      <c r="F538" s="24" t="n"/>
      <c r="H538" s="22" t="n"/>
      <c r="I538" s="22" t="n"/>
      <c r="J538" s="21">
        <f>IF(C538="","",IFERROR(INDEX(Clientes!$B:$B,MATCH(C538,Clientes!$A:$A,0)),"Cód. não cadastrado"))</f>
        <v/>
      </c>
      <c r="K538" s="18">
        <f>IF(B538="","",YEAR(B538))</f>
        <v/>
      </c>
      <c r="L538" s="18">
        <f>IF(B538="","",MONTH(B538))</f>
        <v/>
      </c>
      <c r="M538" s="18">
        <f>IF(OR(B538="",I538=""),"",I538-B538)</f>
        <v/>
      </c>
      <c r="N538" s="21">
        <f>IF(B538="","",IF(I538="",IF(H538="","",IF(TODAY()&gt;H538,"Atrasado (em aberto)","Em aberto")),IF(I538&lt;=H538,"No prazo","Fora do prazo")))</f>
        <v/>
      </c>
    </row>
    <row r="539">
      <c r="B539" s="22" t="n"/>
      <c r="E539" s="23" t="n"/>
      <c r="F539" s="24" t="n"/>
      <c r="H539" s="22" t="n"/>
      <c r="I539" s="22" t="n"/>
      <c r="J539" s="21">
        <f>IF(C539="","",IFERROR(INDEX(Clientes!$B:$B,MATCH(C539,Clientes!$A:$A,0)),"Cód. não cadastrado"))</f>
        <v/>
      </c>
      <c r="K539" s="18">
        <f>IF(B539="","",YEAR(B539))</f>
        <v/>
      </c>
      <c r="L539" s="18">
        <f>IF(B539="","",MONTH(B539))</f>
        <v/>
      </c>
      <c r="M539" s="18">
        <f>IF(OR(B539="",I539=""),"",I539-B539)</f>
        <v/>
      </c>
      <c r="N539" s="21">
        <f>IF(B539="","",IF(I539="",IF(H539="","",IF(TODAY()&gt;H539,"Atrasado (em aberto)","Em aberto")),IF(I539&lt;=H539,"No prazo","Fora do prazo")))</f>
        <v/>
      </c>
    </row>
    <row r="540">
      <c r="B540" s="22" t="n"/>
      <c r="E540" s="23" t="n"/>
      <c r="F540" s="24" t="n"/>
      <c r="H540" s="22" t="n"/>
      <c r="I540" s="22" t="n"/>
      <c r="J540" s="21">
        <f>IF(C540="","",IFERROR(INDEX(Clientes!$B:$B,MATCH(C540,Clientes!$A:$A,0)),"Cód. não cadastrado"))</f>
        <v/>
      </c>
      <c r="K540" s="18">
        <f>IF(B540="","",YEAR(B540))</f>
        <v/>
      </c>
      <c r="L540" s="18">
        <f>IF(B540="","",MONTH(B540))</f>
        <v/>
      </c>
      <c r="M540" s="18">
        <f>IF(OR(B540="",I540=""),"",I540-B540)</f>
        <v/>
      </c>
      <c r="N540" s="21">
        <f>IF(B540="","",IF(I540="",IF(H540="","",IF(TODAY()&gt;H540,"Atrasado (em aberto)","Em aberto")),IF(I540&lt;=H540,"No prazo","Fora do prazo")))</f>
        <v/>
      </c>
    </row>
    <row r="541">
      <c r="B541" s="22" t="n"/>
      <c r="E541" s="23" t="n"/>
      <c r="F541" s="24" t="n"/>
      <c r="H541" s="22" t="n"/>
      <c r="I541" s="22" t="n"/>
      <c r="J541" s="21">
        <f>IF(C541="","",IFERROR(INDEX(Clientes!$B:$B,MATCH(C541,Clientes!$A:$A,0)),"Cód. não cadastrado"))</f>
        <v/>
      </c>
      <c r="K541" s="18">
        <f>IF(B541="","",YEAR(B541))</f>
        <v/>
      </c>
      <c r="L541" s="18">
        <f>IF(B541="","",MONTH(B541))</f>
        <v/>
      </c>
      <c r="M541" s="18">
        <f>IF(OR(B541="",I541=""),"",I541-B541)</f>
        <v/>
      </c>
      <c r="N541" s="21">
        <f>IF(B541="","",IF(I541="",IF(H541="","",IF(TODAY()&gt;H541,"Atrasado (em aberto)","Em aberto")),IF(I541&lt;=H541,"No prazo","Fora do prazo")))</f>
        <v/>
      </c>
    </row>
    <row r="542">
      <c r="B542" s="22" t="n"/>
      <c r="E542" s="23" t="n"/>
      <c r="F542" s="24" t="n"/>
      <c r="H542" s="22" t="n"/>
      <c r="I542" s="22" t="n"/>
      <c r="J542" s="21">
        <f>IF(C542="","",IFERROR(INDEX(Clientes!$B:$B,MATCH(C542,Clientes!$A:$A,0)),"Cód. não cadastrado"))</f>
        <v/>
      </c>
      <c r="K542" s="18">
        <f>IF(B542="","",YEAR(B542))</f>
        <v/>
      </c>
      <c r="L542" s="18">
        <f>IF(B542="","",MONTH(B542))</f>
        <v/>
      </c>
      <c r="M542" s="18">
        <f>IF(OR(B542="",I542=""),"",I542-B542)</f>
        <v/>
      </c>
      <c r="N542" s="21">
        <f>IF(B542="","",IF(I542="",IF(H542="","",IF(TODAY()&gt;H542,"Atrasado (em aberto)","Em aberto")),IF(I542&lt;=H542,"No prazo","Fora do prazo")))</f>
        <v/>
      </c>
    </row>
    <row r="543">
      <c r="B543" s="22" t="n"/>
      <c r="E543" s="23" t="n"/>
      <c r="F543" s="24" t="n"/>
      <c r="H543" s="22" t="n"/>
      <c r="I543" s="22" t="n"/>
      <c r="J543" s="21">
        <f>IF(C543="","",IFERROR(INDEX(Clientes!$B:$B,MATCH(C543,Clientes!$A:$A,0)),"Cód. não cadastrado"))</f>
        <v/>
      </c>
      <c r="K543" s="18">
        <f>IF(B543="","",YEAR(B543))</f>
        <v/>
      </c>
      <c r="L543" s="18">
        <f>IF(B543="","",MONTH(B543))</f>
        <v/>
      </c>
      <c r="M543" s="18">
        <f>IF(OR(B543="",I543=""),"",I543-B543)</f>
        <v/>
      </c>
      <c r="N543" s="21">
        <f>IF(B543="","",IF(I543="",IF(H543="","",IF(TODAY()&gt;H543,"Atrasado (em aberto)","Em aberto")),IF(I543&lt;=H543,"No prazo","Fora do prazo")))</f>
        <v/>
      </c>
    </row>
    <row r="544">
      <c r="B544" s="22" t="n"/>
      <c r="E544" s="23" t="n"/>
      <c r="F544" s="24" t="n"/>
      <c r="H544" s="22" t="n"/>
      <c r="I544" s="22" t="n"/>
      <c r="J544" s="21">
        <f>IF(C544="","",IFERROR(INDEX(Clientes!$B:$B,MATCH(C544,Clientes!$A:$A,0)),"Cód. não cadastrado"))</f>
        <v/>
      </c>
      <c r="K544" s="18">
        <f>IF(B544="","",YEAR(B544))</f>
        <v/>
      </c>
      <c r="L544" s="18">
        <f>IF(B544="","",MONTH(B544))</f>
        <v/>
      </c>
      <c r="M544" s="18">
        <f>IF(OR(B544="",I544=""),"",I544-B544)</f>
        <v/>
      </c>
      <c r="N544" s="21">
        <f>IF(B544="","",IF(I544="",IF(H544="","",IF(TODAY()&gt;H544,"Atrasado (em aberto)","Em aberto")),IF(I544&lt;=H544,"No prazo","Fora do prazo")))</f>
        <v/>
      </c>
    </row>
    <row r="545">
      <c r="B545" s="22" t="n"/>
      <c r="E545" s="23" t="n"/>
      <c r="F545" s="24" t="n"/>
      <c r="H545" s="22" t="n"/>
      <c r="I545" s="22" t="n"/>
      <c r="J545" s="21">
        <f>IF(C545="","",IFERROR(INDEX(Clientes!$B:$B,MATCH(C545,Clientes!$A:$A,0)),"Cód. não cadastrado"))</f>
        <v/>
      </c>
      <c r="K545" s="18">
        <f>IF(B545="","",YEAR(B545))</f>
        <v/>
      </c>
      <c r="L545" s="18">
        <f>IF(B545="","",MONTH(B545))</f>
        <v/>
      </c>
      <c r="M545" s="18">
        <f>IF(OR(B545="",I545=""),"",I545-B545)</f>
        <v/>
      </c>
      <c r="N545" s="21">
        <f>IF(B545="","",IF(I545="",IF(H545="","",IF(TODAY()&gt;H545,"Atrasado (em aberto)","Em aberto")),IF(I545&lt;=H545,"No prazo","Fora do prazo")))</f>
        <v/>
      </c>
    </row>
    <row r="546">
      <c r="B546" s="22" t="n"/>
      <c r="E546" s="23" t="n"/>
      <c r="F546" s="24" t="n"/>
      <c r="H546" s="22" t="n"/>
      <c r="I546" s="22" t="n"/>
      <c r="J546" s="21">
        <f>IF(C546="","",IFERROR(INDEX(Clientes!$B:$B,MATCH(C546,Clientes!$A:$A,0)),"Cód. não cadastrado"))</f>
        <v/>
      </c>
      <c r="K546" s="18">
        <f>IF(B546="","",YEAR(B546))</f>
        <v/>
      </c>
      <c r="L546" s="18">
        <f>IF(B546="","",MONTH(B546))</f>
        <v/>
      </c>
      <c r="M546" s="18">
        <f>IF(OR(B546="",I546=""),"",I546-B546)</f>
        <v/>
      </c>
      <c r="N546" s="21">
        <f>IF(B546="","",IF(I546="",IF(H546="","",IF(TODAY()&gt;H546,"Atrasado (em aberto)","Em aberto")),IF(I546&lt;=H546,"No prazo","Fora do prazo")))</f>
        <v/>
      </c>
    </row>
    <row r="547">
      <c r="B547" s="22" t="n"/>
      <c r="E547" s="23" t="n"/>
      <c r="F547" s="24" t="n"/>
      <c r="H547" s="22" t="n"/>
      <c r="I547" s="22" t="n"/>
      <c r="J547" s="21">
        <f>IF(C547="","",IFERROR(INDEX(Clientes!$B:$B,MATCH(C547,Clientes!$A:$A,0)),"Cód. não cadastrado"))</f>
        <v/>
      </c>
      <c r="K547" s="18">
        <f>IF(B547="","",YEAR(B547))</f>
        <v/>
      </c>
      <c r="L547" s="18">
        <f>IF(B547="","",MONTH(B547))</f>
        <v/>
      </c>
      <c r="M547" s="18">
        <f>IF(OR(B547="",I547=""),"",I547-B547)</f>
        <v/>
      </c>
      <c r="N547" s="21">
        <f>IF(B547="","",IF(I547="",IF(H547="","",IF(TODAY()&gt;H547,"Atrasado (em aberto)","Em aberto")),IF(I547&lt;=H547,"No prazo","Fora do prazo")))</f>
        <v/>
      </c>
    </row>
    <row r="548">
      <c r="B548" s="22" t="n"/>
      <c r="E548" s="23" t="n"/>
      <c r="F548" s="24" t="n"/>
      <c r="H548" s="22" t="n"/>
      <c r="I548" s="22" t="n"/>
      <c r="J548" s="21">
        <f>IF(C548="","",IFERROR(INDEX(Clientes!$B:$B,MATCH(C548,Clientes!$A:$A,0)),"Cód. não cadastrado"))</f>
        <v/>
      </c>
      <c r="K548" s="18">
        <f>IF(B548="","",YEAR(B548))</f>
        <v/>
      </c>
      <c r="L548" s="18">
        <f>IF(B548="","",MONTH(B548))</f>
        <v/>
      </c>
      <c r="M548" s="18">
        <f>IF(OR(B548="",I548=""),"",I548-B548)</f>
        <v/>
      </c>
      <c r="N548" s="21">
        <f>IF(B548="","",IF(I548="",IF(H548="","",IF(TODAY()&gt;H548,"Atrasado (em aberto)","Em aberto")),IF(I548&lt;=H548,"No prazo","Fora do prazo")))</f>
        <v/>
      </c>
    </row>
    <row r="549">
      <c r="B549" s="22" t="n"/>
      <c r="E549" s="23" t="n"/>
      <c r="F549" s="24" t="n"/>
      <c r="H549" s="22" t="n"/>
      <c r="I549" s="22" t="n"/>
      <c r="J549" s="21">
        <f>IF(C549="","",IFERROR(INDEX(Clientes!$B:$B,MATCH(C549,Clientes!$A:$A,0)),"Cód. não cadastrado"))</f>
        <v/>
      </c>
      <c r="K549" s="18">
        <f>IF(B549="","",YEAR(B549))</f>
        <v/>
      </c>
      <c r="L549" s="18">
        <f>IF(B549="","",MONTH(B549))</f>
        <v/>
      </c>
      <c r="M549" s="18">
        <f>IF(OR(B549="",I549=""),"",I549-B549)</f>
        <v/>
      </c>
      <c r="N549" s="21">
        <f>IF(B549="","",IF(I549="",IF(H549="","",IF(TODAY()&gt;H549,"Atrasado (em aberto)","Em aberto")),IF(I549&lt;=H549,"No prazo","Fora do prazo")))</f>
        <v/>
      </c>
    </row>
    <row r="550">
      <c r="B550" s="22" t="n"/>
      <c r="E550" s="23" t="n"/>
      <c r="F550" s="24" t="n"/>
      <c r="H550" s="22" t="n"/>
      <c r="I550" s="22" t="n"/>
      <c r="J550" s="21">
        <f>IF(C550="","",IFERROR(INDEX(Clientes!$B:$B,MATCH(C550,Clientes!$A:$A,0)),"Cód. não cadastrado"))</f>
        <v/>
      </c>
      <c r="K550" s="18">
        <f>IF(B550="","",YEAR(B550))</f>
        <v/>
      </c>
      <c r="L550" s="18">
        <f>IF(B550="","",MONTH(B550))</f>
        <v/>
      </c>
      <c r="M550" s="18">
        <f>IF(OR(B550="",I550=""),"",I550-B550)</f>
        <v/>
      </c>
      <c r="N550" s="21">
        <f>IF(B550="","",IF(I550="",IF(H550="","",IF(TODAY()&gt;H550,"Atrasado (em aberto)","Em aberto")),IF(I550&lt;=H550,"No prazo","Fora do prazo")))</f>
        <v/>
      </c>
    </row>
    <row r="551">
      <c r="B551" s="22" t="n"/>
      <c r="E551" s="23" t="n"/>
      <c r="F551" s="24" t="n"/>
      <c r="H551" s="22" t="n"/>
      <c r="I551" s="22" t="n"/>
      <c r="J551" s="21">
        <f>IF(C551="","",IFERROR(INDEX(Clientes!$B:$B,MATCH(C551,Clientes!$A:$A,0)),"Cód. não cadastrado"))</f>
        <v/>
      </c>
      <c r="K551" s="18">
        <f>IF(B551="","",YEAR(B551))</f>
        <v/>
      </c>
      <c r="L551" s="18">
        <f>IF(B551="","",MONTH(B551))</f>
        <v/>
      </c>
      <c r="M551" s="18">
        <f>IF(OR(B551="",I551=""),"",I551-B551)</f>
        <v/>
      </c>
      <c r="N551" s="21">
        <f>IF(B551="","",IF(I551="",IF(H551="","",IF(TODAY()&gt;H551,"Atrasado (em aberto)","Em aberto")),IF(I551&lt;=H551,"No prazo","Fora do prazo")))</f>
        <v/>
      </c>
    </row>
    <row r="552">
      <c r="B552" s="22" t="n"/>
      <c r="E552" s="23" t="n"/>
      <c r="F552" s="24" t="n"/>
      <c r="H552" s="22" t="n"/>
      <c r="I552" s="22" t="n"/>
      <c r="J552" s="21">
        <f>IF(C552="","",IFERROR(INDEX(Clientes!$B:$B,MATCH(C552,Clientes!$A:$A,0)),"Cód. não cadastrado"))</f>
        <v/>
      </c>
      <c r="K552" s="18">
        <f>IF(B552="","",YEAR(B552))</f>
        <v/>
      </c>
      <c r="L552" s="18">
        <f>IF(B552="","",MONTH(B552))</f>
        <v/>
      </c>
      <c r="M552" s="18">
        <f>IF(OR(B552="",I552=""),"",I552-B552)</f>
        <v/>
      </c>
      <c r="N552" s="21">
        <f>IF(B552="","",IF(I552="",IF(H552="","",IF(TODAY()&gt;H552,"Atrasado (em aberto)","Em aberto")),IF(I552&lt;=H552,"No prazo","Fora do prazo")))</f>
        <v/>
      </c>
    </row>
    <row r="553">
      <c r="B553" s="22" t="n"/>
      <c r="E553" s="23" t="n"/>
      <c r="F553" s="24" t="n"/>
      <c r="H553" s="22" t="n"/>
      <c r="I553" s="22" t="n"/>
      <c r="J553" s="21">
        <f>IF(C553="","",IFERROR(INDEX(Clientes!$B:$B,MATCH(C553,Clientes!$A:$A,0)),"Cód. não cadastrado"))</f>
        <v/>
      </c>
      <c r="K553" s="18">
        <f>IF(B553="","",YEAR(B553))</f>
        <v/>
      </c>
      <c r="L553" s="18">
        <f>IF(B553="","",MONTH(B553))</f>
        <v/>
      </c>
      <c r="M553" s="18">
        <f>IF(OR(B553="",I553=""),"",I553-B553)</f>
        <v/>
      </c>
      <c r="N553" s="21">
        <f>IF(B553="","",IF(I553="",IF(H553="","",IF(TODAY()&gt;H553,"Atrasado (em aberto)","Em aberto")),IF(I553&lt;=H553,"No prazo","Fora do prazo")))</f>
        <v/>
      </c>
    </row>
    <row r="554">
      <c r="B554" s="22" t="n"/>
      <c r="E554" s="23" t="n"/>
      <c r="F554" s="24" t="n"/>
      <c r="H554" s="22" t="n"/>
      <c r="I554" s="22" t="n"/>
      <c r="J554" s="21">
        <f>IF(C554="","",IFERROR(INDEX(Clientes!$B:$B,MATCH(C554,Clientes!$A:$A,0)),"Cód. não cadastrado"))</f>
        <v/>
      </c>
      <c r="K554" s="18">
        <f>IF(B554="","",YEAR(B554))</f>
        <v/>
      </c>
      <c r="L554" s="18">
        <f>IF(B554="","",MONTH(B554))</f>
        <v/>
      </c>
      <c r="M554" s="18">
        <f>IF(OR(B554="",I554=""),"",I554-B554)</f>
        <v/>
      </c>
      <c r="N554" s="21">
        <f>IF(B554="","",IF(I554="",IF(H554="","",IF(TODAY()&gt;H554,"Atrasado (em aberto)","Em aberto")),IF(I554&lt;=H554,"No prazo","Fora do prazo")))</f>
        <v/>
      </c>
    </row>
    <row r="555">
      <c r="B555" s="22" t="n"/>
      <c r="E555" s="23" t="n"/>
      <c r="F555" s="24" t="n"/>
      <c r="H555" s="22" t="n"/>
      <c r="I555" s="22" t="n"/>
      <c r="J555" s="21">
        <f>IF(C555="","",IFERROR(INDEX(Clientes!$B:$B,MATCH(C555,Clientes!$A:$A,0)),"Cód. não cadastrado"))</f>
        <v/>
      </c>
      <c r="K555" s="18">
        <f>IF(B555="","",YEAR(B555))</f>
        <v/>
      </c>
      <c r="L555" s="18">
        <f>IF(B555="","",MONTH(B555))</f>
        <v/>
      </c>
      <c r="M555" s="18">
        <f>IF(OR(B555="",I555=""),"",I555-B555)</f>
        <v/>
      </c>
      <c r="N555" s="21">
        <f>IF(B555="","",IF(I555="",IF(H555="","",IF(TODAY()&gt;H555,"Atrasado (em aberto)","Em aberto")),IF(I555&lt;=H555,"No prazo","Fora do prazo")))</f>
        <v/>
      </c>
    </row>
    <row r="556">
      <c r="B556" s="22" t="n"/>
      <c r="E556" s="23" t="n"/>
      <c r="F556" s="24" t="n"/>
      <c r="H556" s="22" t="n"/>
      <c r="I556" s="22" t="n"/>
      <c r="J556" s="21">
        <f>IF(C556="","",IFERROR(INDEX(Clientes!$B:$B,MATCH(C556,Clientes!$A:$A,0)),"Cód. não cadastrado"))</f>
        <v/>
      </c>
      <c r="K556" s="18">
        <f>IF(B556="","",YEAR(B556))</f>
        <v/>
      </c>
      <c r="L556" s="18">
        <f>IF(B556="","",MONTH(B556))</f>
        <v/>
      </c>
      <c r="M556" s="18">
        <f>IF(OR(B556="",I556=""),"",I556-B556)</f>
        <v/>
      </c>
      <c r="N556" s="21">
        <f>IF(B556="","",IF(I556="",IF(H556="","",IF(TODAY()&gt;H556,"Atrasado (em aberto)","Em aberto")),IF(I556&lt;=H556,"No prazo","Fora do prazo")))</f>
        <v/>
      </c>
    </row>
    <row r="557">
      <c r="B557" s="22" t="n"/>
      <c r="E557" s="23" t="n"/>
      <c r="F557" s="24" t="n"/>
      <c r="H557" s="22" t="n"/>
      <c r="I557" s="22" t="n"/>
      <c r="J557" s="21">
        <f>IF(C557="","",IFERROR(INDEX(Clientes!$B:$B,MATCH(C557,Clientes!$A:$A,0)),"Cód. não cadastrado"))</f>
        <v/>
      </c>
      <c r="K557" s="18">
        <f>IF(B557="","",YEAR(B557))</f>
        <v/>
      </c>
      <c r="L557" s="18">
        <f>IF(B557="","",MONTH(B557))</f>
        <v/>
      </c>
      <c r="M557" s="18">
        <f>IF(OR(B557="",I557=""),"",I557-B557)</f>
        <v/>
      </c>
      <c r="N557" s="21">
        <f>IF(B557="","",IF(I557="",IF(H557="","",IF(TODAY()&gt;H557,"Atrasado (em aberto)","Em aberto")),IF(I557&lt;=H557,"No prazo","Fora do prazo")))</f>
        <v/>
      </c>
    </row>
    <row r="558">
      <c r="B558" s="22" t="n"/>
      <c r="E558" s="23" t="n"/>
      <c r="F558" s="24" t="n"/>
      <c r="H558" s="22" t="n"/>
      <c r="I558" s="22" t="n"/>
      <c r="J558" s="21">
        <f>IF(C558="","",IFERROR(INDEX(Clientes!$B:$B,MATCH(C558,Clientes!$A:$A,0)),"Cód. não cadastrado"))</f>
        <v/>
      </c>
      <c r="K558" s="18">
        <f>IF(B558="","",YEAR(B558))</f>
        <v/>
      </c>
      <c r="L558" s="18">
        <f>IF(B558="","",MONTH(B558))</f>
        <v/>
      </c>
      <c r="M558" s="18">
        <f>IF(OR(B558="",I558=""),"",I558-B558)</f>
        <v/>
      </c>
      <c r="N558" s="21">
        <f>IF(B558="","",IF(I558="",IF(H558="","",IF(TODAY()&gt;H558,"Atrasado (em aberto)","Em aberto")),IF(I558&lt;=H558,"No prazo","Fora do prazo")))</f>
        <v/>
      </c>
    </row>
    <row r="559">
      <c r="B559" s="22" t="n"/>
      <c r="E559" s="23" t="n"/>
      <c r="F559" s="24" t="n"/>
      <c r="H559" s="22" t="n"/>
      <c r="I559" s="22" t="n"/>
      <c r="J559" s="21">
        <f>IF(C559="","",IFERROR(INDEX(Clientes!$B:$B,MATCH(C559,Clientes!$A:$A,0)),"Cód. não cadastrado"))</f>
        <v/>
      </c>
      <c r="K559" s="18">
        <f>IF(B559="","",YEAR(B559))</f>
        <v/>
      </c>
      <c r="L559" s="18">
        <f>IF(B559="","",MONTH(B559))</f>
        <v/>
      </c>
      <c r="M559" s="18">
        <f>IF(OR(B559="",I559=""),"",I559-B559)</f>
        <v/>
      </c>
      <c r="N559" s="21">
        <f>IF(B559="","",IF(I559="",IF(H559="","",IF(TODAY()&gt;H559,"Atrasado (em aberto)","Em aberto")),IF(I559&lt;=H559,"No prazo","Fora do prazo")))</f>
        <v/>
      </c>
    </row>
    <row r="560">
      <c r="B560" s="22" t="n"/>
      <c r="E560" s="23" t="n"/>
      <c r="F560" s="24" t="n"/>
      <c r="H560" s="22" t="n"/>
      <c r="I560" s="22" t="n"/>
      <c r="J560" s="21">
        <f>IF(C560="","",IFERROR(INDEX(Clientes!$B:$B,MATCH(C560,Clientes!$A:$A,0)),"Cód. não cadastrado"))</f>
        <v/>
      </c>
      <c r="K560" s="18">
        <f>IF(B560="","",YEAR(B560))</f>
        <v/>
      </c>
      <c r="L560" s="18">
        <f>IF(B560="","",MONTH(B560))</f>
        <v/>
      </c>
      <c r="M560" s="18">
        <f>IF(OR(B560="",I560=""),"",I560-B560)</f>
        <v/>
      </c>
      <c r="N560" s="21">
        <f>IF(B560="","",IF(I560="",IF(H560="","",IF(TODAY()&gt;H560,"Atrasado (em aberto)","Em aberto")),IF(I560&lt;=H560,"No prazo","Fora do prazo")))</f>
        <v/>
      </c>
    </row>
    <row r="561">
      <c r="B561" s="22" t="n"/>
      <c r="E561" s="23" t="n"/>
      <c r="F561" s="24" t="n"/>
      <c r="H561" s="22" t="n"/>
      <c r="I561" s="22" t="n"/>
      <c r="J561" s="21">
        <f>IF(C561="","",IFERROR(INDEX(Clientes!$B:$B,MATCH(C561,Clientes!$A:$A,0)),"Cód. não cadastrado"))</f>
        <v/>
      </c>
      <c r="K561" s="18">
        <f>IF(B561="","",YEAR(B561))</f>
        <v/>
      </c>
      <c r="L561" s="18">
        <f>IF(B561="","",MONTH(B561))</f>
        <v/>
      </c>
      <c r="M561" s="18">
        <f>IF(OR(B561="",I561=""),"",I561-B561)</f>
        <v/>
      </c>
      <c r="N561" s="21">
        <f>IF(B561="","",IF(I561="",IF(H561="","",IF(TODAY()&gt;H561,"Atrasado (em aberto)","Em aberto")),IF(I561&lt;=H561,"No prazo","Fora do prazo")))</f>
        <v/>
      </c>
    </row>
    <row r="562">
      <c r="B562" s="22" t="n"/>
      <c r="E562" s="23" t="n"/>
      <c r="F562" s="24" t="n"/>
      <c r="H562" s="22" t="n"/>
      <c r="I562" s="22" t="n"/>
      <c r="J562" s="21">
        <f>IF(C562="","",IFERROR(INDEX(Clientes!$B:$B,MATCH(C562,Clientes!$A:$A,0)),"Cód. não cadastrado"))</f>
        <v/>
      </c>
      <c r="K562" s="18">
        <f>IF(B562="","",YEAR(B562))</f>
        <v/>
      </c>
      <c r="L562" s="18">
        <f>IF(B562="","",MONTH(B562))</f>
        <v/>
      </c>
      <c r="M562" s="18">
        <f>IF(OR(B562="",I562=""),"",I562-B562)</f>
        <v/>
      </c>
      <c r="N562" s="21">
        <f>IF(B562="","",IF(I562="",IF(H562="","",IF(TODAY()&gt;H562,"Atrasado (em aberto)","Em aberto")),IF(I562&lt;=H562,"No prazo","Fora do prazo")))</f>
        <v/>
      </c>
    </row>
    <row r="563">
      <c r="B563" s="22" t="n"/>
      <c r="E563" s="23" t="n"/>
      <c r="F563" s="24" t="n"/>
      <c r="H563" s="22" t="n"/>
      <c r="I563" s="22" t="n"/>
      <c r="J563" s="21">
        <f>IF(C563="","",IFERROR(INDEX(Clientes!$B:$B,MATCH(C563,Clientes!$A:$A,0)),"Cód. não cadastrado"))</f>
        <v/>
      </c>
      <c r="K563" s="18">
        <f>IF(B563="","",YEAR(B563))</f>
        <v/>
      </c>
      <c r="L563" s="18">
        <f>IF(B563="","",MONTH(B563))</f>
        <v/>
      </c>
      <c r="M563" s="18">
        <f>IF(OR(B563="",I563=""),"",I563-B563)</f>
        <v/>
      </c>
      <c r="N563" s="21">
        <f>IF(B563="","",IF(I563="",IF(H563="","",IF(TODAY()&gt;H563,"Atrasado (em aberto)","Em aberto")),IF(I563&lt;=H563,"No prazo","Fora do prazo")))</f>
        <v/>
      </c>
    </row>
    <row r="564">
      <c r="B564" s="22" t="n"/>
      <c r="E564" s="23" t="n"/>
      <c r="F564" s="24" t="n"/>
      <c r="H564" s="22" t="n"/>
      <c r="I564" s="22" t="n"/>
      <c r="J564" s="21">
        <f>IF(C564="","",IFERROR(INDEX(Clientes!$B:$B,MATCH(C564,Clientes!$A:$A,0)),"Cód. não cadastrado"))</f>
        <v/>
      </c>
      <c r="K564" s="18">
        <f>IF(B564="","",YEAR(B564))</f>
        <v/>
      </c>
      <c r="L564" s="18">
        <f>IF(B564="","",MONTH(B564))</f>
        <v/>
      </c>
      <c r="M564" s="18">
        <f>IF(OR(B564="",I564=""),"",I564-B564)</f>
        <v/>
      </c>
      <c r="N564" s="21">
        <f>IF(B564="","",IF(I564="",IF(H564="","",IF(TODAY()&gt;H564,"Atrasado (em aberto)","Em aberto")),IF(I564&lt;=H564,"No prazo","Fora do prazo")))</f>
        <v/>
      </c>
    </row>
    <row r="565">
      <c r="B565" s="22" t="n"/>
      <c r="E565" s="23" t="n"/>
      <c r="F565" s="24" t="n"/>
      <c r="H565" s="22" t="n"/>
      <c r="I565" s="22" t="n"/>
      <c r="J565" s="21">
        <f>IF(C565="","",IFERROR(INDEX(Clientes!$B:$B,MATCH(C565,Clientes!$A:$A,0)),"Cód. não cadastrado"))</f>
        <v/>
      </c>
      <c r="K565" s="18">
        <f>IF(B565="","",YEAR(B565))</f>
        <v/>
      </c>
      <c r="L565" s="18">
        <f>IF(B565="","",MONTH(B565))</f>
        <v/>
      </c>
      <c r="M565" s="18">
        <f>IF(OR(B565="",I565=""),"",I565-B565)</f>
        <v/>
      </c>
      <c r="N565" s="21">
        <f>IF(B565="","",IF(I565="",IF(H565="","",IF(TODAY()&gt;H565,"Atrasado (em aberto)","Em aberto")),IF(I565&lt;=H565,"No prazo","Fora do prazo")))</f>
        <v/>
      </c>
    </row>
    <row r="566">
      <c r="B566" s="22" t="n"/>
      <c r="E566" s="23" t="n"/>
      <c r="F566" s="24" t="n"/>
      <c r="H566" s="22" t="n"/>
      <c r="I566" s="22" t="n"/>
      <c r="J566" s="21">
        <f>IF(C566="","",IFERROR(INDEX(Clientes!$B:$B,MATCH(C566,Clientes!$A:$A,0)),"Cód. não cadastrado"))</f>
        <v/>
      </c>
      <c r="K566" s="18">
        <f>IF(B566="","",YEAR(B566))</f>
        <v/>
      </c>
      <c r="L566" s="18">
        <f>IF(B566="","",MONTH(B566))</f>
        <v/>
      </c>
      <c r="M566" s="18">
        <f>IF(OR(B566="",I566=""),"",I566-B566)</f>
        <v/>
      </c>
      <c r="N566" s="21">
        <f>IF(B566="","",IF(I566="",IF(H566="","",IF(TODAY()&gt;H566,"Atrasado (em aberto)","Em aberto")),IF(I566&lt;=H566,"No prazo","Fora do prazo")))</f>
        <v/>
      </c>
    </row>
    <row r="567">
      <c r="B567" s="22" t="n"/>
      <c r="E567" s="23" t="n"/>
      <c r="F567" s="24" t="n"/>
      <c r="H567" s="22" t="n"/>
      <c r="I567" s="22" t="n"/>
      <c r="J567" s="21">
        <f>IF(C567="","",IFERROR(INDEX(Clientes!$B:$B,MATCH(C567,Clientes!$A:$A,0)),"Cód. não cadastrado"))</f>
        <v/>
      </c>
      <c r="K567" s="18">
        <f>IF(B567="","",YEAR(B567))</f>
        <v/>
      </c>
      <c r="L567" s="18">
        <f>IF(B567="","",MONTH(B567))</f>
        <v/>
      </c>
      <c r="M567" s="18">
        <f>IF(OR(B567="",I567=""),"",I567-B567)</f>
        <v/>
      </c>
      <c r="N567" s="21">
        <f>IF(B567="","",IF(I567="",IF(H567="","",IF(TODAY()&gt;H567,"Atrasado (em aberto)","Em aberto")),IF(I567&lt;=H567,"No prazo","Fora do prazo")))</f>
        <v/>
      </c>
    </row>
    <row r="568">
      <c r="B568" s="22" t="n"/>
      <c r="E568" s="23" t="n"/>
      <c r="F568" s="24" t="n"/>
      <c r="H568" s="22" t="n"/>
      <c r="I568" s="22" t="n"/>
      <c r="J568" s="21">
        <f>IF(C568="","",IFERROR(INDEX(Clientes!$B:$B,MATCH(C568,Clientes!$A:$A,0)),"Cód. não cadastrado"))</f>
        <v/>
      </c>
      <c r="K568" s="18">
        <f>IF(B568="","",YEAR(B568))</f>
        <v/>
      </c>
      <c r="L568" s="18">
        <f>IF(B568="","",MONTH(B568))</f>
        <v/>
      </c>
      <c r="M568" s="18">
        <f>IF(OR(B568="",I568=""),"",I568-B568)</f>
        <v/>
      </c>
      <c r="N568" s="21">
        <f>IF(B568="","",IF(I568="",IF(H568="","",IF(TODAY()&gt;H568,"Atrasado (em aberto)","Em aberto")),IF(I568&lt;=H568,"No prazo","Fora do prazo")))</f>
        <v/>
      </c>
    </row>
    <row r="569">
      <c r="B569" s="22" t="n"/>
      <c r="E569" s="23" t="n"/>
      <c r="F569" s="24" t="n"/>
      <c r="H569" s="22" t="n"/>
      <c r="I569" s="22" t="n"/>
      <c r="J569" s="21">
        <f>IF(C569="","",IFERROR(INDEX(Clientes!$B:$B,MATCH(C569,Clientes!$A:$A,0)),"Cód. não cadastrado"))</f>
        <v/>
      </c>
      <c r="K569" s="18">
        <f>IF(B569="","",YEAR(B569))</f>
        <v/>
      </c>
      <c r="L569" s="18">
        <f>IF(B569="","",MONTH(B569))</f>
        <v/>
      </c>
      <c r="M569" s="18">
        <f>IF(OR(B569="",I569=""),"",I569-B569)</f>
        <v/>
      </c>
      <c r="N569" s="21">
        <f>IF(B569="","",IF(I569="",IF(H569="","",IF(TODAY()&gt;H569,"Atrasado (em aberto)","Em aberto")),IF(I569&lt;=H569,"No prazo","Fora do prazo")))</f>
        <v/>
      </c>
    </row>
    <row r="570">
      <c r="B570" s="22" t="n"/>
      <c r="E570" s="23" t="n"/>
      <c r="F570" s="24" t="n"/>
      <c r="H570" s="22" t="n"/>
      <c r="I570" s="22" t="n"/>
      <c r="J570" s="21">
        <f>IF(C570="","",IFERROR(INDEX(Clientes!$B:$B,MATCH(C570,Clientes!$A:$A,0)),"Cód. não cadastrado"))</f>
        <v/>
      </c>
      <c r="K570" s="18">
        <f>IF(B570="","",YEAR(B570))</f>
        <v/>
      </c>
      <c r="L570" s="18">
        <f>IF(B570="","",MONTH(B570))</f>
        <v/>
      </c>
      <c r="M570" s="18">
        <f>IF(OR(B570="",I570=""),"",I570-B570)</f>
        <v/>
      </c>
      <c r="N570" s="21">
        <f>IF(B570="","",IF(I570="",IF(H570="","",IF(TODAY()&gt;H570,"Atrasado (em aberto)","Em aberto")),IF(I570&lt;=H570,"No prazo","Fora do prazo")))</f>
        <v/>
      </c>
    </row>
    <row r="571">
      <c r="B571" s="22" t="n"/>
      <c r="E571" s="23" t="n"/>
      <c r="F571" s="24" t="n"/>
      <c r="H571" s="22" t="n"/>
      <c r="I571" s="22" t="n"/>
      <c r="J571" s="21">
        <f>IF(C571="","",IFERROR(INDEX(Clientes!$B:$B,MATCH(C571,Clientes!$A:$A,0)),"Cód. não cadastrado"))</f>
        <v/>
      </c>
      <c r="K571" s="18">
        <f>IF(B571="","",YEAR(B571))</f>
        <v/>
      </c>
      <c r="L571" s="18">
        <f>IF(B571="","",MONTH(B571))</f>
        <v/>
      </c>
      <c r="M571" s="18">
        <f>IF(OR(B571="",I571=""),"",I571-B571)</f>
        <v/>
      </c>
      <c r="N571" s="21">
        <f>IF(B571="","",IF(I571="",IF(H571="","",IF(TODAY()&gt;H571,"Atrasado (em aberto)","Em aberto")),IF(I571&lt;=H571,"No prazo","Fora do prazo")))</f>
        <v/>
      </c>
    </row>
    <row r="572">
      <c r="B572" s="22" t="n"/>
      <c r="E572" s="23" t="n"/>
      <c r="F572" s="24" t="n"/>
      <c r="H572" s="22" t="n"/>
      <c r="I572" s="22" t="n"/>
      <c r="J572" s="21">
        <f>IF(C572="","",IFERROR(INDEX(Clientes!$B:$B,MATCH(C572,Clientes!$A:$A,0)),"Cód. não cadastrado"))</f>
        <v/>
      </c>
      <c r="K572" s="18">
        <f>IF(B572="","",YEAR(B572))</f>
        <v/>
      </c>
      <c r="L572" s="18">
        <f>IF(B572="","",MONTH(B572))</f>
        <v/>
      </c>
      <c r="M572" s="18">
        <f>IF(OR(B572="",I572=""),"",I572-B572)</f>
        <v/>
      </c>
      <c r="N572" s="21">
        <f>IF(B572="","",IF(I572="",IF(H572="","",IF(TODAY()&gt;H572,"Atrasado (em aberto)","Em aberto")),IF(I572&lt;=H572,"No prazo","Fora do prazo")))</f>
        <v/>
      </c>
    </row>
    <row r="573">
      <c r="B573" s="22" t="n"/>
      <c r="E573" s="23" t="n"/>
      <c r="F573" s="24" t="n"/>
      <c r="H573" s="22" t="n"/>
      <c r="I573" s="22" t="n"/>
      <c r="J573" s="21">
        <f>IF(C573="","",IFERROR(INDEX(Clientes!$B:$B,MATCH(C573,Clientes!$A:$A,0)),"Cód. não cadastrado"))</f>
        <v/>
      </c>
      <c r="K573" s="18">
        <f>IF(B573="","",YEAR(B573))</f>
        <v/>
      </c>
      <c r="L573" s="18">
        <f>IF(B573="","",MONTH(B573))</f>
        <v/>
      </c>
      <c r="M573" s="18">
        <f>IF(OR(B573="",I573=""),"",I573-B573)</f>
        <v/>
      </c>
      <c r="N573" s="21">
        <f>IF(B573="","",IF(I573="",IF(H573="","",IF(TODAY()&gt;H573,"Atrasado (em aberto)","Em aberto")),IF(I573&lt;=H573,"No prazo","Fora do prazo")))</f>
        <v/>
      </c>
    </row>
    <row r="574">
      <c r="B574" s="22" t="n"/>
      <c r="E574" s="23" t="n"/>
      <c r="F574" s="24" t="n"/>
      <c r="H574" s="22" t="n"/>
      <c r="I574" s="22" t="n"/>
      <c r="J574" s="21">
        <f>IF(C574="","",IFERROR(INDEX(Clientes!$B:$B,MATCH(C574,Clientes!$A:$A,0)),"Cód. não cadastrado"))</f>
        <v/>
      </c>
      <c r="K574" s="18">
        <f>IF(B574="","",YEAR(B574))</f>
        <v/>
      </c>
      <c r="L574" s="18">
        <f>IF(B574="","",MONTH(B574))</f>
        <v/>
      </c>
      <c r="M574" s="18">
        <f>IF(OR(B574="",I574=""),"",I574-B574)</f>
        <v/>
      </c>
      <c r="N574" s="21">
        <f>IF(B574="","",IF(I574="",IF(H574="","",IF(TODAY()&gt;H574,"Atrasado (em aberto)","Em aberto")),IF(I574&lt;=H574,"No prazo","Fora do prazo")))</f>
        <v/>
      </c>
    </row>
    <row r="575">
      <c r="B575" s="22" t="n"/>
      <c r="E575" s="23" t="n"/>
      <c r="F575" s="24" t="n"/>
      <c r="H575" s="22" t="n"/>
      <c r="I575" s="22" t="n"/>
      <c r="J575" s="21">
        <f>IF(C575="","",IFERROR(INDEX(Clientes!$B:$B,MATCH(C575,Clientes!$A:$A,0)),"Cód. não cadastrado"))</f>
        <v/>
      </c>
      <c r="K575" s="18">
        <f>IF(B575="","",YEAR(B575))</f>
        <v/>
      </c>
      <c r="L575" s="18">
        <f>IF(B575="","",MONTH(B575))</f>
        <v/>
      </c>
      <c r="M575" s="18">
        <f>IF(OR(B575="",I575=""),"",I575-B575)</f>
        <v/>
      </c>
      <c r="N575" s="21">
        <f>IF(B575="","",IF(I575="",IF(H575="","",IF(TODAY()&gt;H575,"Atrasado (em aberto)","Em aberto")),IF(I575&lt;=H575,"No prazo","Fora do prazo")))</f>
        <v/>
      </c>
    </row>
    <row r="576">
      <c r="B576" s="22" t="n"/>
      <c r="E576" s="23" t="n"/>
      <c r="F576" s="24" t="n"/>
      <c r="H576" s="22" t="n"/>
      <c r="I576" s="22" t="n"/>
      <c r="J576" s="21">
        <f>IF(C576="","",IFERROR(INDEX(Clientes!$B:$B,MATCH(C576,Clientes!$A:$A,0)),"Cód. não cadastrado"))</f>
        <v/>
      </c>
      <c r="K576" s="18">
        <f>IF(B576="","",YEAR(B576))</f>
        <v/>
      </c>
      <c r="L576" s="18">
        <f>IF(B576="","",MONTH(B576))</f>
        <v/>
      </c>
      <c r="M576" s="18">
        <f>IF(OR(B576="",I576=""),"",I576-B576)</f>
        <v/>
      </c>
      <c r="N576" s="21">
        <f>IF(B576="","",IF(I576="",IF(H576="","",IF(TODAY()&gt;H576,"Atrasado (em aberto)","Em aberto")),IF(I576&lt;=H576,"No prazo","Fora do prazo")))</f>
        <v/>
      </c>
    </row>
    <row r="577">
      <c r="B577" s="22" t="n"/>
      <c r="E577" s="23" t="n"/>
      <c r="F577" s="24" t="n"/>
      <c r="H577" s="22" t="n"/>
      <c r="I577" s="22" t="n"/>
      <c r="J577" s="21">
        <f>IF(C577="","",IFERROR(INDEX(Clientes!$B:$B,MATCH(C577,Clientes!$A:$A,0)),"Cód. não cadastrado"))</f>
        <v/>
      </c>
      <c r="K577" s="18">
        <f>IF(B577="","",YEAR(B577))</f>
        <v/>
      </c>
      <c r="L577" s="18">
        <f>IF(B577="","",MONTH(B577))</f>
        <v/>
      </c>
      <c r="M577" s="18">
        <f>IF(OR(B577="",I577=""),"",I577-B577)</f>
        <v/>
      </c>
      <c r="N577" s="21">
        <f>IF(B577="","",IF(I577="",IF(H577="","",IF(TODAY()&gt;H577,"Atrasado (em aberto)","Em aberto")),IF(I577&lt;=H577,"No prazo","Fora do prazo")))</f>
        <v/>
      </c>
    </row>
    <row r="578">
      <c r="B578" s="22" t="n"/>
      <c r="E578" s="23" t="n"/>
      <c r="F578" s="24" t="n"/>
      <c r="H578" s="22" t="n"/>
      <c r="I578" s="22" t="n"/>
      <c r="J578" s="21">
        <f>IF(C578="","",IFERROR(INDEX(Clientes!$B:$B,MATCH(C578,Clientes!$A:$A,0)),"Cód. não cadastrado"))</f>
        <v/>
      </c>
      <c r="K578" s="18">
        <f>IF(B578="","",YEAR(B578))</f>
        <v/>
      </c>
      <c r="L578" s="18">
        <f>IF(B578="","",MONTH(B578))</f>
        <v/>
      </c>
      <c r="M578" s="18">
        <f>IF(OR(B578="",I578=""),"",I578-B578)</f>
        <v/>
      </c>
      <c r="N578" s="21">
        <f>IF(B578="","",IF(I578="",IF(H578="","",IF(TODAY()&gt;H578,"Atrasado (em aberto)","Em aberto")),IF(I578&lt;=H578,"No prazo","Fora do prazo")))</f>
        <v/>
      </c>
    </row>
    <row r="579">
      <c r="B579" s="22" t="n"/>
      <c r="E579" s="23" t="n"/>
      <c r="F579" s="24" t="n"/>
      <c r="H579" s="22" t="n"/>
      <c r="I579" s="22" t="n"/>
      <c r="J579" s="21">
        <f>IF(C579="","",IFERROR(INDEX(Clientes!$B:$B,MATCH(C579,Clientes!$A:$A,0)),"Cód. não cadastrado"))</f>
        <v/>
      </c>
      <c r="K579" s="18">
        <f>IF(B579="","",YEAR(B579))</f>
        <v/>
      </c>
      <c r="L579" s="18">
        <f>IF(B579="","",MONTH(B579))</f>
        <v/>
      </c>
      <c r="M579" s="18">
        <f>IF(OR(B579="",I579=""),"",I579-B579)</f>
        <v/>
      </c>
      <c r="N579" s="21">
        <f>IF(B579="","",IF(I579="",IF(H579="","",IF(TODAY()&gt;H579,"Atrasado (em aberto)","Em aberto")),IF(I579&lt;=H579,"No prazo","Fora do prazo")))</f>
        <v/>
      </c>
    </row>
    <row r="580">
      <c r="B580" s="22" t="n"/>
      <c r="E580" s="23" t="n"/>
      <c r="F580" s="24" t="n"/>
      <c r="H580" s="22" t="n"/>
      <c r="I580" s="22" t="n"/>
      <c r="J580" s="21">
        <f>IF(C580="","",IFERROR(INDEX(Clientes!$B:$B,MATCH(C580,Clientes!$A:$A,0)),"Cód. não cadastrado"))</f>
        <v/>
      </c>
      <c r="K580" s="18">
        <f>IF(B580="","",YEAR(B580))</f>
        <v/>
      </c>
      <c r="L580" s="18">
        <f>IF(B580="","",MONTH(B580))</f>
        <v/>
      </c>
      <c r="M580" s="18">
        <f>IF(OR(B580="",I580=""),"",I580-B580)</f>
        <v/>
      </c>
      <c r="N580" s="21">
        <f>IF(B580="","",IF(I580="",IF(H580="","",IF(TODAY()&gt;H580,"Atrasado (em aberto)","Em aberto")),IF(I580&lt;=H580,"No prazo","Fora do prazo")))</f>
        <v/>
      </c>
    </row>
    <row r="581">
      <c r="B581" s="22" t="n"/>
      <c r="E581" s="23" t="n"/>
      <c r="F581" s="24" t="n"/>
      <c r="H581" s="22" t="n"/>
      <c r="I581" s="22" t="n"/>
      <c r="J581" s="21">
        <f>IF(C581="","",IFERROR(INDEX(Clientes!$B:$B,MATCH(C581,Clientes!$A:$A,0)),"Cód. não cadastrado"))</f>
        <v/>
      </c>
      <c r="K581" s="18">
        <f>IF(B581="","",YEAR(B581))</f>
        <v/>
      </c>
      <c r="L581" s="18">
        <f>IF(B581="","",MONTH(B581))</f>
        <v/>
      </c>
      <c r="M581" s="18">
        <f>IF(OR(B581="",I581=""),"",I581-B581)</f>
        <v/>
      </c>
      <c r="N581" s="21">
        <f>IF(B581="","",IF(I581="",IF(H581="","",IF(TODAY()&gt;H581,"Atrasado (em aberto)","Em aberto")),IF(I581&lt;=H581,"No prazo","Fora do prazo")))</f>
        <v/>
      </c>
    </row>
    <row r="582">
      <c r="B582" s="22" t="n"/>
      <c r="E582" s="23" t="n"/>
      <c r="F582" s="24" t="n"/>
      <c r="H582" s="22" t="n"/>
      <c r="I582" s="22" t="n"/>
      <c r="J582" s="21">
        <f>IF(C582="","",IFERROR(INDEX(Clientes!$B:$B,MATCH(C582,Clientes!$A:$A,0)),"Cód. não cadastrado"))</f>
        <v/>
      </c>
      <c r="K582" s="18">
        <f>IF(B582="","",YEAR(B582))</f>
        <v/>
      </c>
      <c r="L582" s="18">
        <f>IF(B582="","",MONTH(B582))</f>
        <v/>
      </c>
      <c r="M582" s="18">
        <f>IF(OR(B582="",I582=""),"",I582-B582)</f>
        <v/>
      </c>
      <c r="N582" s="21">
        <f>IF(B582="","",IF(I582="",IF(H582="","",IF(TODAY()&gt;H582,"Atrasado (em aberto)","Em aberto")),IF(I582&lt;=H582,"No prazo","Fora do prazo")))</f>
        <v/>
      </c>
    </row>
    <row r="583">
      <c r="B583" s="22" t="n"/>
      <c r="E583" s="23" t="n"/>
      <c r="F583" s="24" t="n"/>
      <c r="H583" s="22" t="n"/>
      <c r="I583" s="22" t="n"/>
      <c r="J583" s="21">
        <f>IF(C583="","",IFERROR(INDEX(Clientes!$B:$B,MATCH(C583,Clientes!$A:$A,0)),"Cód. não cadastrado"))</f>
        <v/>
      </c>
      <c r="K583" s="18">
        <f>IF(B583="","",YEAR(B583))</f>
        <v/>
      </c>
      <c r="L583" s="18">
        <f>IF(B583="","",MONTH(B583))</f>
        <v/>
      </c>
      <c r="M583" s="18">
        <f>IF(OR(B583="",I583=""),"",I583-B583)</f>
        <v/>
      </c>
      <c r="N583" s="21">
        <f>IF(B583="","",IF(I583="",IF(H583="","",IF(TODAY()&gt;H583,"Atrasado (em aberto)","Em aberto")),IF(I583&lt;=H583,"No prazo","Fora do prazo")))</f>
        <v/>
      </c>
    </row>
    <row r="584">
      <c r="B584" s="22" t="n"/>
      <c r="E584" s="23" t="n"/>
      <c r="F584" s="24" t="n"/>
      <c r="H584" s="22" t="n"/>
      <c r="I584" s="22" t="n"/>
      <c r="J584" s="21">
        <f>IF(C584="","",IFERROR(INDEX(Clientes!$B:$B,MATCH(C584,Clientes!$A:$A,0)),"Cód. não cadastrado"))</f>
        <v/>
      </c>
      <c r="K584" s="18">
        <f>IF(B584="","",YEAR(B584))</f>
        <v/>
      </c>
      <c r="L584" s="18">
        <f>IF(B584="","",MONTH(B584))</f>
        <v/>
      </c>
      <c r="M584" s="18">
        <f>IF(OR(B584="",I584=""),"",I584-B584)</f>
        <v/>
      </c>
      <c r="N584" s="21">
        <f>IF(B584="","",IF(I584="",IF(H584="","",IF(TODAY()&gt;H584,"Atrasado (em aberto)","Em aberto")),IF(I584&lt;=H584,"No prazo","Fora do prazo")))</f>
        <v/>
      </c>
    </row>
    <row r="585">
      <c r="B585" s="22" t="n"/>
      <c r="E585" s="23" t="n"/>
      <c r="F585" s="24" t="n"/>
      <c r="H585" s="22" t="n"/>
      <c r="I585" s="22" t="n"/>
      <c r="J585" s="21">
        <f>IF(C585="","",IFERROR(INDEX(Clientes!$B:$B,MATCH(C585,Clientes!$A:$A,0)),"Cód. não cadastrado"))</f>
        <v/>
      </c>
      <c r="K585" s="18">
        <f>IF(B585="","",YEAR(B585))</f>
        <v/>
      </c>
      <c r="L585" s="18">
        <f>IF(B585="","",MONTH(B585))</f>
        <v/>
      </c>
      <c r="M585" s="18">
        <f>IF(OR(B585="",I585=""),"",I585-B585)</f>
        <v/>
      </c>
      <c r="N585" s="21">
        <f>IF(B585="","",IF(I585="",IF(H585="","",IF(TODAY()&gt;H585,"Atrasado (em aberto)","Em aberto")),IF(I585&lt;=H585,"No prazo","Fora do prazo")))</f>
        <v/>
      </c>
    </row>
    <row r="586">
      <c r="B586" s="22" t="n"/>
      <c r="E586" s="23" t="n"/>
      <c r="F586" s="24" t="n"/>
      <c r="H586" s="22" t="n"/>
      <c r="I586" s="22" t="n"/>
      <c r="J586" s="21">
        <f>IF(C586="","",IFERROR(INDEX(Clientes!$B:$B,MATCH(C586,Clientes!$A:$A,0)),"Cód. não cadastrado"))</f>
        <v/>
      </c>
      <c r="K586" s="18">
        <f>IF(B586="","",YEAR(B586))</f>
        <v/>
      </c>
      <c r="L586" s="18">
        <f>IF(B586="","",MONTH(B586))</f>
        <v/>
      </c>
      <c r="M586" s="18">
        <f>IF(OR(B586="",I586=""),"",I586-B586)</f>
        <v/>
      </c>
      <c r="N586" s="21">
        <f>IF(B586="","",IF(I586="",IF(H586="","",IF(TODAY()&gt;H586,"Atrasado (em aberto)","Em aberto")),IF(I586&lt;=H586,"No prazo","Fora do prazo")))</f>
        <v/>
      </c>
    </row>
    <row r="587">
      <c r="B587" s="22" t="n"/>
      <c r="E587" s="23" t="n"/>
      <c r="F587" s="24" t="n"/>
      <c r="H587" s="22" t="n"/>
      <c r="I587" s="22" t="n"/>
      <c r="J587" s="21">
        <f>IF(C587="","",IFERROR(INDEX(Clientes!$B:$B,MATCH(C587,Clientes!$A:$A,0)),"Cód. não cadastrado"))</f>
        <v/>
      </c>
      <c r="K587" s="18">
        <f>IF(B587="","",YEAR(B587))</f>
        <v/>
      </c>
      <c r="L587" s="18">
        <f>IF(B587="","",MONTH(B587))</f>
        <v/>
      </c>
      <c r="M587" s="18">
        <f>IF(OR(B587="",I587=""),"",I587-B587)</f>
        <v/>
      </c>
      <c r="N587" s="21">
        <f>IF(B587="","",IF(I587="",IF(H587="","",IF(TODAY()&gt;H587,"Atrasado (em aberto)","Em aberto")),IF(I587&lt;=H587,"No prazo","Fora do prazo")))</f>
        <v/>
      </c>
    </row>
    <row r="588">
      <c r="B588" s="22" t="n"/>
      <c r="E588" s="23" t="n"/>
      <c r="F588" s="24" t="n"/>
      <c r="H588" s="22" t="n"/>
      <c r="I588" s="22" t="n"/>
      <c r="J588" s="21">
        <f>IF(C588="","",IFERROR(INDEX(Clientes!$B:$B,MATCH(C588,Clientes!$A:$A,0)),"Cód. não cadastrado"))</f>
        <v/>
      </c>
      <c r="K588" s="18">
        <f>IF(B588="","",YEAR(B588))</f>
        <v/>
      </c>
      <c r="L588" s="18">
        <f>IF(B588="","",MONTH(B588))</f>
        <v/>
      </c>
      <c r="M588" s="18">
        <f>IF(OR(B588="",I588=""),"",I588-B588)</f>
        <v/>
      </c>
      <c r="N588" s="21">
        <f>IF(B588="","",IF(I588="",IF(H588="","",IF(TODAY()&gt;H588,"Atrasado (em aberto)","Em aberto")),IF(I588&lt;=H588,"No prazo","Fora do prazo")))</f>
        <v/>
      </c>
    </row>
    <row r="589">
      <c r="B589" s="22" t="n"/>
      <c r="E589" s="23" t="n"/>
      <c r="F589" s="24" t="n"/>
      <c r="H589" s="22" t="n"/>
      <c r="I589" s="22" t="n"/>
      <c r="J589" s="21">
        <f>IF(C589="","",IFERROR(INDEX(Clientes!$B:$B,MATCH(C589,Clientes!$A:$A,0)),"Cód. não cadastrado"))</f>
        <v/>
      </c>
      <c r="K589" s="18">
        <f>IF(B589="","",YEAR(B589))</f>
        <v/>
      </c>
      <c r="L589" s="18">
        <f>IF(B589="","",MONTH(B589))</f>
        <v/>
      </c>
      <c r="M589" s="18">
        <f>IF(OR(B589="",I589=""),"",I589-B589)</f>
        <v/>
      </c>
      <c r="N589" s="21">
        <f>IF(B589="","",IF(I589="",IF(H589="","",IF(TODAY()&gt;H589,"Atrasado (em aberto)","Em aberto")),IF(I589&lt;=H589,"No prazo","Fora do prazo")))</f>
        <v/>
      </c>
    </row>
    <row r="590">
      <c r="B590" s="22" t="n"/>
      <c r="E590" s="23" t="n"/>
      <c r="F590" s="24" t="n"/>
      <c r="H590" s="22" t="n"/>
      <c r="I590" s="22" t="n"/>
      <c r="J590" s="21">
        <f>IF(C590="","",IFERROR(INDEX(Clientes!$B:$B,MATCH(C590,Clientes!$A:$A,0)),"Cód. não cadastrado"))</f>
        <v/>
      </c>
      <c r="K590" s="18">
        <f>IF(B590="","",YEAR(B590))</f>
        <v/>
      </c>
      <c r="L590" s="18">
        <f>IF(B590="","",MONTH(B590))</f>
        <v/>
      </c>
      <c r="M590" s="18">
        <f>IF(OR(B590="",I590=""),"",I590-B590)</f>
        <v/>
      </c>
      <c r="N590" s="21">
        <f>IF(B590="","",IF(I590="",IF(H590="","",IF(TODAY()&gt;H590,"Atrasado (em aberto)","Em aberto")),IF(I590&lt;=H590,"No prazo","Fora do prazo")))</f>
        <v/>
      </c>
    </row>
    <row r="591">
      <c r="B591" s="22" t="n"/>
      <c r="E591" s="23" t="n"/>
      <c r="F591" s="24" t="n"/>
      <c r="H591" s="22" t="n"/>
      <c r="I591" s="22" t="n"/>
      <c r="J591" s="21">
        <f>IF(C591="","",IFERROR(INDEX(Clientes!$B:$B,MATCH(C591,Clientes!$A:$A,0)),"Cód. não cadastrado"))</f>
        <v/>
      </c>
      <c r="K591" s="18">
        <f>IF(B591="","",YEAR(B591))</f>
        <v/>
      </c>
      <c r="L591" s="18">
        <f>IF(B591="","",MONTH(B591))</f>
        <v/>
      </c>
      <c r="M591" s="18">
        <f>IF(OR(B591="",I591=""),"",I591-B591)</f>
        <v/>
      </c>
      <c r="N591" s="21">
        <f>IF(B591="","",IF(I591="",IF(H591="","",IF(TODAY()&gt;H591,"Atrasado (em aberto)","Em aberto")),IF(I591&lt;=H591,"No prazo","Fora do prazo")))</f>
        <v/>
      </c>
    </row>
    <row r="592">
      <c r="B592" s="22" t="n"/>
      <c r="E592" s="23" t="n"/>
      <c r="F592" s="24" t="n"/>
      <c r="H592" s="22" t="n"/>
      <c r="I592" s="22" t="n"/>
      <c r="J592" s="21">
        <f>IF(C592="","",IFERROR(INDEX(Clientes!$B:$B,MATCH(C592,Clientes!$A:$A,0)),"Cód. não cadastrado"))</f>
        <v/>
      </c>
      <c r="K592" s="18">
        <f>IF(B592="","",YEAR(B592))</f>
        <v/>
      </c>
      <c r="L592" s="18">
        <f>IF(B592="","",MONTH(B592))</f>
        <v/>
      </c>
      <c r="M592" s="18">
        <f>IF(OR(B592="",I592=""),"",I592-B592)</f>
        <v/>
      </c>
      <c r="N592" s="21">
        <f>IF(B592="","",IF(I592="",IF(H592="","",IF(TODAY()&gt;H592,"Atrasado (em aberto)","Em aberto")),IF(I592&lt;=H592,"No prazo","Fora do prazo")))</f>
        <v/>
      </c>
    </row>
    <row r="593">
      <c r="B593" s="22" t="n"/>
      <c r="E593" s="23" t="n"/>
      <c r="F593" s="24" t="n"/>
      <c r="H593" s="22" t="n"/>
      <c r="I593" s="22" t="n"/>
      <c r="J593" s="21">
        <f>IF(C593="","",IFERROR(INDEX(Clientes!$B:$B,MATCH(C593,Clientes!$A:$A,0)),"Cód. não cadastrado"))</f>
        <v/>
      </c>
      <c r="K593" s="18">
        <f>IF(B593="","",YEAR(B593))</f>
        <v/>
      </c>
      <c r="L593" s="18">
        <f>IF(B593="","",MONTH(B593))</f>
        <v/>
      </c>
      <c r="M593" s="18">
        <f>IF(OR(B593="",I593=""),"",I593-B593)</f>
        <v/>
      </c>
      <c r="N593" s="21">
        <f>IF(B593="","",IF(I593="",IF(H593="","",IF(TODAY()&gt;H593,"Atrasado (em aberto)","Em aberto")),IF(I593&lt;=H593,"No prazo","Fora do prazo")))</f>
        <v/>
      </c>
    </row>
    <row r="594">
      <c r="B594" s="22" t="n"/>
      <c r="E594" s="23" t="n"/>
      <c r="F594" s="24" t="n"/>
      <c r="H594" s="22" t="n"/>
      <c r="I594" s="22" t="n"/>
      <c r="J594" s="21">
        <f>IF(C594="","",IFERROR(INDEX(Clientes!$B:$B,MATCH(C594,Clientes!$A:$A,0)),"Cód. não cadastrado"))</f>
        <v/>
      </c>
      <c r="K594" s="18">
        <f>IF(B594="","",YEAR(B594))</f>
        <v/>
      </c>
      <c r="L594" s="18">
        <f>IF(B594="","",MONTH(B594))</f>
        <v/>
      </c>
      <c r="M594" s="18">
        <f>IF(OR(B594="",I594=""),"",I594-B594)</f>
        <v/>
      </c>
      <c r="N594" s="21">
        <f>IF(B594="","",IF(I594="",IF(H594="","",IF(TODAY()&gt;H594,"Atrasado (em aberto)","Em aberto")),IF(I594&lt;=H594,"No prazo","Fora do prazo")))</f>
        <v/>
      </c>
    </row>
    <row r="595">
      <c r="B595" s="22" t="n"/>
      <c r="E595" s="23" t="n"/>
      <c r="F595" s="24" t="n"/>
      <c r="H595" s="22" t="n"/>
      <c r="I595" s="22" t="n"/>
      <c r="J595" s="21">
        <f>IF(C595="","",IFERROR(INDEX(Clientes!$B:$B,MATCH(C595,Clientes!$A:$A,0)),"Cód. não cadastrado"))</f>
        <v/>
      </c>
      <c r="K595" s="18">
        <f>IF(B595="","",YEAR(B595))</f>
        <v/>
      </c>
      <c r="L595" s="18">
        <f>IF(B595="","",MONTH(B595))</f>
        <v/>
      </c>
      <c r="M595" s="18">
        <f>IF(OR(B595="",I595=""),"",I595-B595)</f>
        <v/>
      </c>
      <c r="N595" s="21">
        <f>IF(B595="","",IF(I595="",IF(H595="","",IF(TODAY()&gt;H595,"Atrasado (em aberto)","Em aberto")),IF(I595&lt;=H595,"No prazo","Fora do prazo")))</f>
        <v/>
      </c>
    </row>
    <row r="596">
      <c r="B596" s="22" t="n"/>
      <c r="E596" s="23" t="n"/>
      <c r="F596" s="24" t="n"/>
      <c r="H596" s="22" t="n"/>
      <c r="I596" s="22" t="n"/>
      <c r="J596" s="21">
        <f>IF(C596="","",IFERROR(INDEX(Clientes!$B:$B,MATCH(C596,Clientes!$A:$A,0)),"Cód. não cadastrado"))</f>
        <v/>
      </c>
      <c r="K596" s="18">
        <f>IF(B596="","",YEAR(B596))</f>
        <v/>
      </c>
      <c r="L596" s="18">
        <f>IF(B596="","",MONTH(B596))</f>
        <v/>
      </c>
      <c r="M596" s="18">
        <f>IF(OR(B596="",I596=""),"",I596-B596)</f>
        <v/>
      </c>
      <c r="N596" s="21">
        <f>IF(B596="","",IF(I596="",IF(H596="","",IF(TODAY()&gt;H596,"Atrasado (em aberto)","Em aberto")),IF(I596&lt;=H596,"No prazo","Fora do prazo")))</f>
        <v/>
      </c>
    </row>
    <row r="597">
      <c r="B597" s="22" t="n"/>
      <c r="E597" s="23" t="n"/>
      <c r="F597" s="24" t="n"/>
      <c r="H597" s="22" t="n"/>
      <c r="I597" s="22" t="n"/>
      <c r="J597" s="21">
        <f>IF(C597="","",IFERROR(INDEX(Clientes!$B:$B,MATCH(C597,Clientes!$A:$A,0)),"Cód. não cadastrado"))</f>
        <v/>
      </c>
      <c r="K597" s="18">
        <f>IF(B597="","",YEAR(B597))</f>
        <v/>
      </c>
      <c r="L597" s="18">
        <f>IF(B597="","",MONTH(B597))</f>
        <v/>
      </c>
      <c r="M597" s="18">
        <f>IF(OR(B597="",I597=""),"",I597-B597)</f>
        <v/>
      </c>
      <c r="N597" s="21">
        <f>IF(B597="","",IF(I597="",IF(H597="","",IF(TODAY()&gt;H597,"Atrasado (em aberto)","Em aberto")),IF(I597&lt;=H597,"No prazo","Fora do prazo")))</f>
        <v/>
      </c>
    </row>
    <row r="598">
      <c r="B598" s="22" t="n"/>
      <c r="E598" s="23" t="n"/>
      <c r="F598" s="24" t="n"/>
      <c r="H598" s="22" t="n"/>
      <c r="I598" s="22" t="n"/>
      <c r="J598" s="21">
        <f>IF(C598="","",IFERROR(INDEX(Clientes!$B:$B,MATCH(C598,Clientes!$A:$A,0)),"Cód. não cadastrado"))</f>
        <v/>
      </c>
      <c r="K598" s="18">
        <f>IF(B598="","",YEAR(B598))</f>
        <v/>
      </c>
      <c r="L598" s="18">
        <f>IF(B598="","",MONTH(B598))</f>
        <v/>
      </c>
      <c r="M598" s="18">
        <f>IF(OR(B598="",I598=""),"",I598-B598)</f>
        <v/>
      </c>
      <c r="N598" s="21">
        <f>IF(B598="","",IF(I598="",IF(H598="","",IF(TODAY()&gt;H598,"Atrasado (em aberto)","Em aberto")),IF(I598&lt;=H598,"No prazo","Fora do prazo")))</f>
        <v/>
      </c>
    </row>
    <row r="599">
      <c r="B599" s="22" t="n"/>
      <c r="E599" s="23" t="n"/>
      <c r="F599" s="24" t="n"/>
      <c r="H599" s="22" t="n"/>
      <c r="I599" s="22" t="n"/>
      <c r="J599" s="21">
        <f>IF(C599="","",IFERROR(INDEX(Clientes!$B:$B,MATCH(C599,Clientes!$A:$A,0)),"Cód. não cadastrado"))</f>
        <v/>
      </c>
      <c r="K599" s="18">
        <f>IF(B599="","",YEAR(B599))</f>
        <v/>
      </c>
      <c r="L599" s="18">
        <f>IF(B599="","",MONTH(B599))</f>
        <v/>
      </c>
      <c r="M599" s="18">
        <f>IF(OR(B599="",I599=""),"",I599-B599)</f>
        <v/>
      </c>
      <c r="N599" s="21">
        <f>IF(B599="","",IF(I599="",IF(H599="","",IF(TODAY()&gt;H599,"Atrasado (em aberto)","Em aberto")),IF(I599&lt;=H599,"No prazo","Fora do prazo")))</f>
        <v/>
      </c>
    </row>
    <row r="600">
      <c r="B600" s="22" t="n"/>
      <c r="E600" s="23" t="n"/>
      <c r="F600" s="24" t="n"/>
      <c r="H600" s="22" t="n"/>
      <c r="I600" s="22" t="n"/>
      <c r="J600" s="21">
        <f>IF(C600="","",IFERROR(INDEX(Clientes!$B:$B,MATCH(C600,Clientes!$A:$A,0)),"Cód. não cadastrado"))</f>
        <v/>
      </c>
      <c r="K600" s="18">
        <f>IF(B600="","",YEAR(B600))</f>
        <v/>
      </c>
      <c r="L600" s="18">
        <f>IF(B600="","",MONTH(B600))</f>
        <v/>
      </c>
      <c r="M600" s="18">
        <f>IF(OR(B600="",I600=""),"",I600-B600)</f>
        <v/>
      </c>
      <c r="N600" s="21">
        <f>IF(B600="","",IF(I600="",IF(H600="","",IF(TODAY()&gt;H600,"Atrasado (em aberto)","Em aberto")),IF(I600&lt;=H600,"No prazo","Fora do prazo")))</f>
        <v/>
      </c>
    </row>
    <row r="601">
      <c r="B601" s="22" t="n"/>
      <c r="E601" s="23" t="n"/>
      <c r="F601" s="24" t="n"/>
      <c r="H601" s="22" t="n"/>
      <c r="I601" s="22" t="n"/>
      <c r="J601" s="21">
        <f>IF(C601="","",IFERROR(INDEX(Clientes!$B:$B,MATCH(C601,Clientes!$A:$A,0)),"Cód. não cadastrado"))</f>
        <v/>
      </c>
      <c r="K601" s="18">
        <f>IF(B601="","",YEAR(B601))</f>
        <v/>
      </c>
      <c r="L601" s="18">
        <f>IF(B601="","",MONTH(B601))</f>
        <v/>
      </c>
      <c r="M601" s="18">
        <f>IF(OR(B601="",I601=""),"",I601-B601)</f>
        <v/>
      </c>
      <c r="N601" s="21">
        <f>IF(B601="","",IF(I601="",IF(H601="","",IF(TODAY()&gt;H601,"Atrasado (em aberto)","Em aberto")),IF(I601&lt;=H601,"No prazo","Fora do prazo")))</f>
        <v/>
      </c>
    </row>
    <row r="602">
      <c r="B602" s="22" t="n"/>
      <c r="E602" s="23" t="n"/>
      <c r="F602" s="24" t="n"/>
      <c r="H602" s="22" t="n"/>
      <c r="I602" s="22" t="n"/>
      <c r="J602" s="21">
        <f>IF(C602="","",IFERROR(INDEX(Clientes!$B:$B,MATCH(C602,Clientes!$A:$A,0)),"Cód. não cadastrado"))</f>
        <v/>
      </c>
      <c r="K602" s="18">
        <f>IF(B602="","",YEAR(B602))</f>
        <v/>
      </c>
      <c r="L602" s="18">
        <f>IF(B602="","",MONTH(B602))</f>
        <v/>
      </c>
      <c r="M602" s="18">
        <f>IF(OR(B602="",I602=""),"",I602-B602)</f>
        <v/>
      </c>
      <c r="N602" s="21">
        <f>IF(B602="","",IF(I602="",IF(H602="","",IF(TODAY()&gt;H602,"Atrasado (em aberto)","Em aberto")),IF(I602&lt;=H602,"No prazo","Fora do prazo")))</f>
        <v/>
      </c>
    </row>
    <row r="603">
      <c r="B603" s="22" t="n"/>
      <c r="E603" s="23" t="n"/>
      <c r="F603" s="24" t="n"/>
      <c r="H603" s="22" t="n"/>
      <c r="I603" s="22" t="n"/>
      <c r="J603" s="21">
        <f>IF(C603="","",IFERROR(INDEX(Clientes!$B:$B,MATCH(C603,Clientes!$A:$A,0)),"Cód. não cadastrado"))</f>
        <v/>
      </c>
      <c r="K603" s="18">
        <f>IF(B603="","",YEAR(B603))</f>
        <v/>
      </c>
      <c r="L603" s="18">
        <f>IF(B603="","",MONTH(B603))</f>
        <v/>
      </c>
      <c r="M603" s="18">
        <f>IF(OR(B603="",I603=""),"",I603-B603)</f>
        <v/>
      </c>
      <c r="N603" s="21">
        <f>IF(B603="","",IF(I603="",IF(H603="","",IF(TODAY()&gt;H603,"Atrasado (em aberto)","Em aberto")),IF(I603&lt;=H603,"No prazo","Fora do prazo")))</f>
        <v/>
      </c>
    </row>
    <row r="604">
      <c r="B604" s="22" t="n"/>
      <c r="E604" s="23" t="n"/>
      <c r="F604" s="24" t="n"/>
      <c r="H604" s="22" t="n"/>
      <c r="I604" s="22" t="n"/>
      <c r="J604" s="21">
        <f>IF(C604="","",IFERROR(INDEX(Clientes!$B:$B,MATCH(C604,Clientes!$A:$A,0)),"Cód. não cadastrado"))</f>
        <v/>
      </c>
      <c r="K604" s="18">
        <f>IF(B604="","",YEAR(B604))</f>
        <v/>
      </c>
      <c r="L604" s="18">
        <f>IF(B604="","",MONTH(B604))</f>
        <v/>
      </c>
      <c r="M604" s="18">
        <f>IF(OR(B604="",I604=""),"",I604-B604)</f>
        <v/>
      </c>
      <c r="N604" s="21">
        <f>IF(B604="","",IF(I604="",IF(H604="","",IF(TODAY()&gt;H604,"Atrasado (em aberto)","Em aberto")),IF(I604&lt;=H604,"No prazo","Fora do prazo")))</f>
        <v/>
      </c>
    </row>
    <row r="605">
      <c r="B605" s="22" t="n"/>
      <c r="E605" s="23" t="n"/>
      <c r="F605" s="24" t="n"/>
      <c r="H605" s="22" t="n"/>
      <c r="I605" s="22" t="n"/>
      <c r="J605" s="21">
        <f>IF(C605="","",IFERROR(INDEX(Clientes!$B:$B,MATCH(C605,Clientes!$A:$A,0)),"Cód. não cadastrado"))</f>
        <v/>
      </c>
      <c r="K605" s="18">
        <f>IF(B605="","",YEAR(B605))</f>
        <v/>
      </c>
      <c r="L605" s="18">
        <f>IF(B605="","",MONTH(B605))</f>
        <v/>
      </c>
      <c r="M605" s="18">
        <f>IF(OR(B605="",I605=""),"",I605-B605)</f>
        <v/>
      </c>
      <c r="N605" s="21">
        <f>IF(B605="","",IF(I605="",IF(H605="","",IF(TODAY()&gt;H605,"Atrasado (em aberto)","Em aberto")),IF(I605&lt;=H605,"No prazo","Fora do prazo")))</f>
        <v/>
      </c>
    </row>
    <row r="606">
      <c r="B606" s="22" t="n"/>
      <c r="E606" s="23" t="n"/>
      <c r="F606" s="24" t="n"/>
      <c r="H606" s="22" t="n"/>
      <c r="I606" s="22" t="n"/>
      <c r="J606" s="21">
        <f>IF(C606="","",IFERROR(INDEX(Clientes!$B:$B,MATCH(C606,Clientes!$A:$A,0)),"Cód. não cadastrado"))</f>
        <v/>
      </c>
      <c r="K606" s="18">
        <f>IF(B606="","",YEAR(B606))</f>
        <v/>
      </c>
      <c r="L606" s="18">
        <f>IF(B606="","",MONTH(B606))</f>
        <v/>
      </c>
      <c r="M606" s="18">
        <f>IF(OR(B606="",I606=""),"",I606-B606)</f>
        <v/>
      </c>
      <c r="N606" s="21">
        <f>IF(B606="","",IF(I606="",IF(H606="","",IF(TODAY()&gt;H606,"Atrasado (em aberto)","Em aberto")),IF(I606&lt;=H606,"No prazo","Fora do prazo")))</f>
        <v/>
      </c>
    </row>
    <row r="607">
      <c r="B607" s="22" t="n"/>
      <c r="E607" s="23" t="n"/>
      <c r="F607" s="24" t="n"/>
      <c r="H607" s="22" t="n"/>
      <c r="I607" s="22" t="n"/>
      <c r="J607" s="21">
        <f>IF(C607="","",IFERROR(INDEX(Clientes!$B:$B,MATCH(C607,Clientes!$A:$A,0)),"Cód. não cadastrado"))</f>
        <v/>
      </c>
      <c r="K607" s="18">
        <f>IF(B607="","",YEAR(B607))</f>
        <v/>
      </c>
      <c r="L607" s="18">
        <f>IF(B607="","",MONTH(B607))</f>
        <v/>
      </c>
      <c r="M607" s="18">
        <f>IF(OR(B607="",I607=""),"",I607-B607)</f>
        <v/>
      </c>
      <c r="N607" s="21">
        <f>IF(B607="","",IF(I607="",IF(H607="","",IF(TODAY()&gt;H607,"Atrasado (em aberto)","Em aberto")),IF(I607&lt;=H607,"No prazo","Fora do prazo")))</f>
        <v/>
      </c>
    </row>
    <row r="608">
      <c r="B608" s="22" t="n"/>
      <c r="E608" s="23" t="n"/>
      <c r="F608" s="24" t="n"/>
      <c r="H608" s="22" t="n"/>
      <c r="I608" s="22" t="n"/>
      <c r="J608" s="21">
        <f>IF(C608="","",IFERROR(INDEX(Clientes!$B:$B,MATCH(C608,Clientes!$A:$A,0)),"Cód. não cadastrado"))</f>
        <v/>
      </c>
      <c r="K608" s="18">
        <f>IF(B608="","",YEAR(B608))</f>
        <v/>
      </c>
      <c r="L608" s="18">
        <f>IF(B608="","",MONTH(B608))</f>
        <v/>
      </c>
      <c r="M608" s="18">
        <f>IF(OR(B608="",I608=""),"",I608-B608)</f>
        <v/>
      </c>
      <c r="N608" s="21">
        <f>IF(B608="","",IF(I608="",IF(H608="","",IF(TODAY()&gt;H608,"Atrasado (em aberto)","Em aberto")),IF(I608&lt;=H608,"No prazo","Fora do prazo")))</f>
        <v/>
      </c>
    </row>
    <row r="609">
      <c r="B609" s="22" t="n"/>
      <c r="E609" s="23" t="n"/>
      <c r="F609" s="24" t="n"/>
      <c r="H609" s="22" t="n"/>
      <c r="I609" s="22" t="n"/>
      <c r="J609" s="21">
        <f>IF(C609="","",IFERROR(INDEX(Clientes!$B:$B,MATCH(C609,Clientes!$A:$A,0)),"Cód. não cadastrado"))</f>
        <v/>
      </c>
      <c r="K609" s="18">
        <f>IF(B609="","",YEAR(B609))</f>
        <v/>
      </c>
      <c r="L609" s="18">
        <f>IF(B609="","",MONTH(B609))</f>
        <v/>
      </c>
      <c r="M609" s="18">
        <f>IF(OR(B609="",I609=""),"",I609-B609)</f>
        <v/>
      </c>
      <c r="N609" s="21">
        <f>IF(B609="","",IF(I609="",IF(H609="","",IF(TODAY()&gt;H609,"Atrasado (em aberto)","Em aberto")),IF(I609&lt;=H609,"No prazo","Fora do prazo")))</f>
        <v/>
      </c>
    </row>
    <row r="610">
      <c r="B610" s="22" t="n"/>
      <c r="E610" s="23" t="n"/>
      <c r="F610" s="24" t="n"/>
      <c r="H610" s="22" t="n"/>
      <c r="I610" s="22" t="n"/>
      <c r="J610" s="21">
        <f>IF(C610="","",IFERROR(INDEX(Clientes!$B:$B,MATCH(C610,Clientes!$A:$A,0)),"Cód. não cadastrado"))</f>
        <v/>
      </c>
      <c r="K610" s="18">
        <f>IF(B610="","",YEAR(B610))</f>
        <v/>
      </c>
      <c r="L610" s="18">
        <f>IF(B610="","",MONTH(B610))</f>
        <v/>
      </c>
      <c r="M610" s="18">
        <f>IF(OR(B610="",I610=""),"",I610-B610)</f>
        <v/>
      </c>
      <c r="N610" s="21">
        <f>IF(B610="","",IF(I610="",IF(H610="","",IF(TODAY()&gt;H610,"Atrasado (em aberto)","Em aberto")),IF(I610&lt;=H610,"No prazo","Fora do prazo")))</f>
        <v/>
      </c>
    </row>
    <row r="611">
      <c r="B611" s="22" t="n"/>
      <c r="E611" s="23" t="n"/>
      <c r="F611" s="24" t="n"/>
      <c r="H611" s="22" t="n"/>
      <c r="I611" s="22" t="n"/>
      <c r="J611" s="21">
        <f>IF(C611="","",IFERROR(INDEX(Clientes!$B:$B,MATCH(C611,Clientes!$A:$A,0)),"Cód. não cadastrado"))</f>
        <v/>
      </c>
      <c r="K611" s="18">
        <f>IF(B611="","",YEAR(B611))</f>
        <v/>
      </c>
      <c r="L611" s="18">
        <f>IF(B611="","",MONTH(B611))</f>
        <v/>
      </c>
      <c r="M611" s="18">
        <f>IF(OR(B611="",I611=""),"",I611-B611)</f>
        <v/>
      </c>
      <c r="N611" s="21">
        <f>IF(B611="","",IF(I611="",IF(H611="","",IF(TODAY()&gt;H611,"Atrasado (em aberto)","Em aberto")),IF(I611&lt;=H611,"No prazo","Fora do prazo")))</f>
        <v/>
      </c>
    </row>
    <row r="612">
      <c r="B612" s="22" t="n"/>
      <c r="E612" s="23" t="n"/>
      <c r="F612" s="24" t="n"/>
      <c r="H612" s="22" t="n"/>
      <c r="I612" s="22" t="n"/>
      <c r="J612" s="21">
        <f>IF(C612="","",IFERROR(INDEX(Clientes!$B:$B,MATCH(C612,Clientes!$A:$A,0)),"Cód. não cadastrado"))</f>
        <v/>
      </c>
      <c r="K612" s="18">
        <f>IF(B612="","",YEAR(B612))</f>
        <v/>
      </c>
      <c r="L612" s="18">
        <f>IF(B612="","",MONTH(B612))</f>
        <v/>
      </c>
      <c r="M612" s="18">
        <f>IF(OR(B612="",I612=""),"",I612-B612)</f>
        <v/>
      </c>
      <c r="N612" s="21">
        <f>IF(B612="","",IF(I612="",IF(H612="","",IF(TODAY()&gt;H612,"Atrasado (em aberto)","Em aberto")),IF(I612&lt;=H612,"No prazo","Fora do prazo")))</f>
        <v/>
      </c>
    </row>
    <row r="613">
      <c r="B613" s="22" t="n"/>
      <c r="E613" s="23" t="n"/>
      <c r="F613" s="24" t="n"/>
      <c r="H613" s="22" t="n"/>
      <c r="I613" s="22" t="n"/>
      <c r="J613" s="21">
        <f>IF(C613="","",IFERROR(INDEX(Clientes!$B:$B,MATCH(C613,Clientes!$A:$A,0)),"Cód. não cadastrado"))</f>
        <v/>
      </c>
      <c r="K613" s="18">
        <f>IF(B613="","",YEAR(B613))</f>
        <v/>
      </c>
      <c r="L613" s="18">
        <f>IF(B613="","",MONTH(B613))</f>
        <v/>
      </c>
      <c r="M613" s="18">
        <f>IF(OR(B613="",I613=""),"",I613-B613)</f>
        <v/>
      </c>
      <c r="N613" s="21">
        <f>IF(B613="","",IF(I613="",IF(H613="","",IF(TODAY()&gt;H613,"Atrasado (em aberto)","Em aberto")),IF(I613&lt;=H613,"No prazo","Fora do prazo")))</f>
        <v/>
      </c>
    </row>
    <row r="614">
      <c r="B614" s="22" t="n"/>
      <c r="E614" s="23" t="n"/>
      <c r="F614" s="24" t="n"/>
      <c r="H614" s="22" t="n"/>
      <c r="I614" s="22" t="n"/>
      <c r="J614" s="21">
        <f>IF(C614="","",IFERROR(INDEX(Clientes!$B:$B,MATCH(C614,Clientes!$A:$A,0)),"Cód. não cadastrado"))</f>
        <v/>
      </c>
      <c r="K614" s="18">
        <f>IF(B614="","",YEAR(B614))</f>
        <v/>
      </c>
      <c r="L614" s="18">
        <f>IF(B614="","",MONTH(B614))</f>
        <v/>
      </c>
      <c r="M614" s="18">
        <f>IF(OR(B614="",I614=""),"",I614-B614)</f>
        <v/>
      </c>
      <c r="N614" s="21">
        <f>IF(B614="","",IF(I614="",IF(H614="","",IF(TODAY()&gt;H614,"Atrasado (em aberto)","Em aberto")),IF(I614&lt;=H614,"No prazo","Fora do prazo")))</f>
        <v/>
      </c>
    </row>
    <row r="615">
      <c r="B615" s="22" t="n"/>
      <c r="E615" s="23" t="n"/>
      <c r="F615" s="24" t="n"/>
      <c r="H615" s="22" t="n"/>
      <c r="I615" s="22" t="n"/>
      <c r="J615" s="21">
        <f>IF(C615="","",IFERROR(INDEX(Clientes!$B:$B,MATCH(C615,Clientes!$A:$A,0)),"Cód. não cadastrado"))</f>
        <v/>
      </c>
      <c r="K615" s="18">
        <f>IF(B615="","",YEAR(B615))</f>
        <v/>
      </c>
      <c r="L615" s="18">
        <f>IF(B615="","",MONTH(B615))</f>
        <v/>
      </c>
      <c r="M615" s="18">
        <f>IF(OR(B615="",I615=""),"",I615-B615)</f>
        <v/>
      </c>
      <c r="N615" s="21">
        <f>IF(B615="","",IF(I615="",IF(H615="","",IF(TODAY()&gt;H615,"Atrasado (em aberto)","Em aberto")),IF(I615&lt;=H615,"No prazo","Fora do prazo")))</f>
        <v/>
      </c>
    </row>
    <row r="616">
      <c r="B616" s="22" t="n"/>
      <c r="E616" s="23" t="n"/>
      <c r="F616" s="24" t="n"/>
      <c r="H616" s="22" t="n"/>
      <c r="I616" s="22" t="n"/>
      <c r="J616" s="21">
        <f>IF(C616="","",IFERROR(INDEX(Clientes!$B:$B,MATCH(C616,Clientes!$A:$A,0)),"Cód. não cadastrado"))</f>
        <v/>
      </c>
      <c r="K616" s="18">
        <f>IF(B616="","",YEAR(B616))</f>
        <v/>
      </c>
      <c r="L616" s="18">
        <f>IF(B616="","",MONTH(B616))</f>
        <v/>
      </c>
      <c r="M616" s="18">
        <f>IF(OR(B616="",I616=""),"",I616-B616)</f>
        <v/>
      </c>
      <c r="N616" s="21">
        <f>IF(B616="","",IF(I616="",IF(H616="","",IF(TODAY()&gt;H616,"Atrasado (em aberto)","Em aberto")),IF(I616&lt;=H616,"No prazo","Fora do prazo")))</f>
        <v/>
      </c>
    </row>
    <row r="617">
      <c r="B617" s="22" t="n"/>
      <c r="E617" s="23" t="n"/>
      <c r="F617" s="24" t="n"/>
      <c r="H617" s="22" t="n"/>
      <c r="I617" s="22" t="n"/>
      <c r="J617" s="21">
        <f>IF(C617="","",IFERROR(INDEX(Clientes!$B:$B,MATCH(C617,Clientes!$A:$A,0)),"Cód. não cadastrado"))</f>
        <v/>
      </c>
      <c r="K617" s="18">
        <f>IF(B617="","",YEAR(B617))</f>
        <v/>
      </c>
      <c r="L617" s="18">
        <f>IF(B617="","",MONTH(B617))</f>
        <v/>
      </c>
      <c r="M617" s="18">
        <f>IF(OR(B617="",I617=""),"",I617-B617)</f>
        <v/>
      </c>
      <c r="N617" s="21">
        <f>IF(B617="","",IF(I617="",IF(H617="","",IF(TODAY()&gt;H617,"Atrasado (em aberto)","Em aberto")),IF(I617&lt;=H617,"No prazo","Fora do prazo")))</f>
        <v/>
      </c>
    </row>
    <row r="618">
      <c r="B618" s="22" t="n"/>
      <c r="E618" s="23" t="n"/>
      <c r="F618" s="24" t="n"/>
      <c r="H618" s="22" t="n"/>
      <c r="I618" s="22" t="n"/>
      <c r="J618" s="21">
        <f>IF(C618="","",IFERROR(INDEX(Clientes!$B:$B,MATCH(C618,Clientes!$A:$A,0)),"Cód. não cadastrado"))</f>
        <v/>
      </c>
      <c r="K618" s="18">
        <f>IF(B618="","",YEAR(B618))</f>
        <v/>
      </c>
      <c r="L618" s="18">
        <f>IF(B618="","",MONTH(B618))</f>
        <v/>
      </c>
      <c r="M618" s="18">
        <f>IF(OR(B618="",I618=""),"",I618-B618)</f>
        <v/>
      </c>
      <c r="N618" s="21">
        <f>IF(B618="","",IF(I618="",IF(H618="","",IF(TODAY()&gt;H618,"Atrasado (em aberto)","Em aberto")),IF(I618&lt;=H618,"No prazo","Fora do prazo")))</f>
        <v/>
      </c>
    </row>
    <row r="619">
      <c r="B619" s="22" t="n"/>
      <c r="E619" s="23" t="n"/>
      <c r="F619" s="24" t="n"/>
      <c r="H619" s="22" t="n"/>
      <c r="I619" s="22" t="n"/>
      <c r="J619" s="21">
        <f>IF(C619="","",IFERROR(INDEX(Clientes!$B:$B,MATCH(C619,Clientes!$A:$A,0)),"Cód. não cadastrado"))</f>
        <v/>
      </c>
      <c r="K619" s="18">
        <f>IF(B619="","",YEAR(B619))</f>
        <v/>
      </c>
      <c r="L619" s="18">
        <f>IF(B619="","",MONTH(B619))</f>
        <v/>
      </c>
      <c r="M619" s="18">
        <f>IF(OR(B619="",I619=""),"",I619-B619)</f>
        <v/>
      </c>
      <c r="N619" s="21">
        <f>IF(B619="","",IF(I619="",IF(H619="","",IF(TODAY()&gt;H619,"Atrasado (em aberto)","Em aberto")),IF(I619&lt;=H619,"No prazo","Fora do prazo")))</f>
        <v/>
      </c>
    </row>
    <row r="620">
      <c r="B620" s="22" t="n"/>
      <c r="E620" s="23" t="n"/>
      <c r="F620" s="24" t="n"/>
      <c r="H620" s="22" t="n"/>
      <c r="I620" s="22" t="n"/>
      <c r="J620" s="21">
        <f>IF(C620="","",IFERROR(INDEX(Clientes!$B:$B,MATCH(C620,Clientes!$A:$A,0)),"Cód. não cadastrado"))</f>
        <v/>
      </c>
      <c r="K620" s="18">
        <f>IF(B620="","",YEAR(B620))</f>
        <v/>
      </c>
      <c r="L620" s="18">
        <f>IF(B620="","",MONTH(B620))</f>
        <v/>
      </c>
      <c r="M620" s="18">
        <f>IF(OR(B620="",I620=""),"",I620-B620)</f>
        <v/>
      </c>
      <c r="N620" s="21">
        <f>IF(B620="","",IF(I620="",IF(H620="","",IF(TODAY()&gt;H620,"Atrasado (em aberto)","Em aberto")),IF(I620&lt;=H620,"No prazo","Fora do prazo")))</f>
        <v/>
      </c>
    </row>
    <row r="621">
      <c r="B621" s="22" t="n"/>
      <c r="E621" s="23" t="n"/>
      <c r="F621" s="24" t="n"/>
      <c r="H621" s="22" t="n"/>
      <c r="I621" s="22" t="n"/>
      <c r="J621" s="21">
        <f>IF(C621="","",IFERROR(INDEX(Clientes!$B:$B,MATCH(C621,Clientes!$A:$A,0)),"Cód. não cadastrado"))</f>
        <v/>
      </c>
      <c r="K621" s="18">
        <f>IF(B621="","",YEAR(B621))</f>
        <v/>
      </c>
      <c r="L621" s="18">
        <f>IF(B621="","",MONTH(B621))</f>
        <v/>
      </c>
      <c r="M621" s="18">
        <f>IF(OR(B621="",I621=""),"",I621-B621)</f>
        <v/>
      </c>
      <c r="N621" s="21">
        <f>IF(B621="","",IF(I621="",IF(H621="","",IF(TODAY()&gt;H621,"Atrasado (em aberto)","Em aberto")),IF(I621&lt;=H621,"No prazo","Fora do prazo")))</f>
        <v/>
      </c>
    </row>
    <row r="622">
      <c r="B622" s="22" t="n"/>
      <c r="E622" s="23" t="n"/>
      <c r="F622" s="24" t="n"/>
      <c r="H622" s="22" t="n"/>
      <c r="I622" s="22" t="n"/>
      <c r="J622" s="21">
        <f>IF(C622="","",IFERROR(INDEX(Clientes!$B:$B,MATCH(C622,Clientes!$A:$A,0)),"Cód. não cadastrado"))</f>
        <v/>
      </c>
      <c r="K622" s="18">
        <f>IF(B622="","",YEAR(B622))</f>
        <v/>
      </c>
      <c r="L622" s="18">
        <f>IF(B622="","",MONTH(B622))</f>
        <v/>
      </c>
      <c r="M622" s="18">
        <f>IF(OR(B622="",I622=""),"",I622-B622)</f>
        <v/>
      </c>
      <c r="N622" s="21">
        <f>IF(B622="","",IF(I622="",IF(H622="","",IF(TODAY()&gt;H622,"Atrasado (em aberto)","Em aberto")),IF(I622&lt;=H622,"No prazo","Fora do prazo")))</f>
        <v/>
      </c>
    </row>
    <row r="623">
      <c r="B623" s="22" t="n"/>
      <c r="E623" s="23" t="n"/>
      <c r="F623" s="24" t="n"/>
      <c r="H623" s="22" t="n"/>
      <c r="I623" s="22" t="n"/>
      <c r="J623" s="21">
        <f>IF(C623="","",IFERROR(INDEX(Clientes!$B:$B,MATCH(C623,Clientes!$A:$A,0)),"Cód. não cadastrado"))</f>
        <v/>
      </c>
      <c r="K623" s="18">
        <f>IF(B623="","",YEAR(B623))</f>
        <v/>
      </c>
      <c r="L623" s="18">
        <f>IF(B623="","",MONTH(B623))</f>
        <v/>
      </c>
      <c r="M623" s="18">
        <f>IF(OR(B623="",I623=""),"",I623-B623)</f>
        <v/>
      </c>
      <c r="N623" s="21">
        <f>IF(B623="","",IF(I623="",IF(H623="","",IF(TODAY()&gt;H623,"Atrasado (em aberto)","Em aberto")),IF(I623&lt;=H623,"No prazo","Fora do prazo")))</f>
        <v/>
      </c>
    </row>
    <row r="624">
      <c r="B624" s="22" t="n"/>
      <c r="E624" s="23" t="n"/>
      <c r="F624" s="24" t="n"/>
      <c r="H624" s="22" t="n"/>
      <c r="I624" s="22" t="n"/>
      <c r="J624" s="21">
        <f>IF(C624="","",IFERROR(INDEX(Clientes!$B:$B,MATCH(C624,Clientes!$A:$A,0)),"Cód. não cadastrado"))</f>
        <v/>
      </c>
      <c r="K624" s="18">
        <f>IF(B624="","",YEAR(B624))</f>
        <v/>
      </c>
      <c r="L624" s="18">
        <f>IF(B624="","",MONTH(B624))</f>
        <v/>
      </c>
      <c r="M624" s="18">
        <f>IF(OR(B624="",I624=""),"",I624-B624)</f>
        <v/>
      </c>
      <c r="N624" s="21">
        <f>IF(B624="","",IF(I624="",IF(H624="","",IF(TODAY()&gt;H624,"Atrasado (em aberto)","Em aberto")),IF(I624&lt;=H624,"No prazo","Fora do prazo")))</f>
        <v/>
      </c>
    </row>
    <row r="625">
      <c r="B625" s="22" t="n"/>
      <c r="E625" s="23" t="n"/>
      <c r="F625" s="24" t="n"/>
      <c r="H625" s="22" t="n"/>
      <c r="I625" s="22" t="n"/>
      <c r="J625" s="21">
        <f>IF(C625="","",IFERROR(INDEX(Clientes!$B:$B,MATCH(C625,Clientes!$A:$A,0)),"Cód. não cadastrado"))</f>
        <v/>
      </c>
      <c r="K625" s="18">
        <f>IF(B625="","",YEAR(B625))</f>
        <v/>
      </c>
      <c r="L625" s="18">
        <f>IF(B625="","",MONTH(B625))</f>
        <v/>
      </c>
      <c r="M625" s="18">
        <f>IF(OR(B625="",I625=""),"",I625-B625)</f>
        <v/>
      </c>
      <c r="N625" s="21">
        <f>IF(B625="","",IF(I625="",IF(H625="","",IF(TODAY()&gt;H625,"Atrasado (em aberto)","Em aberto")),IF(I625&lt;=H625,"No prazo","Fora do prazo")))</f>
        <v/>
      </c>
    </row>
    <row r="626">
      <c r="B626" s="22" t="n"/>
      <c r="E626" s="23" t="n"/>
      <c r="F626" s="24" t="n"/>
      <c r="H626" s="22" t="n"/>
      <c r="I626" s="22" t="n"/>
      <c r="J626" s="21">
        <f>IF(C626="","",IFERROR(INDEX(Clientes!$B:$B,MATCH(C626,Clientes!$A:$A,0)),"Cód. não cadastrado"))</f>
        <v/>
      </c>
      <c r="K626" s="18">
        <f>IF(B626="","",YEAR(B626))</f>
        <v/>
      </c>
      <c r="L626" s="18">
        <f>IF(B626="","",MONTH(B626))</f>
        <v/>
      </c>
      <c r="M626" s="18">
        <f>IF(OR(B626="",I626=""),"",I626-B626)</f>
        <v/>
      </c>
      <c r="N626" s="21">
        <f>IF(B626="","",IF(I626="",IF(H626="","",IF(TODAY()&gt;H626,"Atrasado (em aberto)","Em aberto")),IF(I626&lt;=H626,"No prazo","Fora do prazo")))</f>
        <v/>
      </c>
    </row>
    <row r="627">
      <c r="B627" s="22" t="n"/>
      <c r="E627" s="23" t="n"/>
      <c r="F627" s="24" t="n"/>
      <c r="H627" s="22" t="n"/>
      <c r="I627" s="22" t="n"/>
      <c r="J627" s="21">
        <f>IF(C627="","",IFERROR(INDEX(Clientes!$B:$B,MATCH(C627,Clientes!$A:$A,0)),"Cód. não cadastrado"))</f>
        <v/>
      </c>
      <c r="K627" s="18">
        <f>IF(B627="","",YEAR(B627))</f>
        <v/>
      </c>
      <c r="L627" s="18">
        <f>IF(B627="","",MONTH(B627))</f>
        <v/>
      </c>
      <c r="M627" s="18">
        <f>IF(OR(B627="",I627=""),"",I627-B627)</f>
        <v/>
      </c>
      <c r="N627" s="21">
        <f>IF(B627="","",IF(I627="",IF(H627="","",IF(TODAY()&gt;H627,"Atrasado (em aberto)","Em aberto")),IF(I627&lt;=H627,"No prazo","Fora do prazo")))</f>
        <v/>
      </c>
    </row>
    <row r="628">
      <c r="B628" s="22" t="n"/>
      <c r="E628" s="23" t="n"/>
      <c r="F628" s="24" t="n"/>
      <c r="H628" s="22" t="n"/>
      <c r="I628" s="22" t="n"/>
      <c r="J628" s="21">
        <f>IF(C628="","",IFERROR(INDEX(Clientes!$B:$B,MATCH(C628,Clientes!$A:$A,0)),"Cód. não cadastrado"))</f>
        <v/>
      </c>
      <c r="K628" s="18">
        <f>IF(B628="","",YEAR(B628))</f>
        <v/>
      </c>
      <c r="L628" s="18">
        <f>IF(B628="","",MONTH(B628))</f>
        <v/>
      </c>
      <c r="M628" s="18">
        <f>IF(OR(B628="",I628=""),"",I628-B628)</f>
        <v/>
      </c>
      <c r="N628" s="21">
        <f>IF(B628="","",IF(I628="",IF(H628="","",IF(TODAY()&gt;H628,"Atrasado (em aberto)","Em aberto")),IF(I628&lt;=H628,"No prazo","Fora do prazo")))</f>
        <v/>
      </c>
    </row>
    <row r="629">
      <c r="B629" s="22" t="n"/>
      <c r="E629" s="23" t="n"/>
      <c r="F629" s="24" t="n"/>
      <c r="H629" s="22" t="n"/>
      <c r="I629" s="22" t="n"/>
      <c r="J629" s="21">
        <f>IF(C629="","",IFERROR(INDEX(Clientes!$B:$B,MATCH(C629,Clientes!$A:$A,0)),"Cód. não cadastrado"))</f>
        <v/>
      </c>
      <c r="K629" s="18">
        <f>IF(B629="","",YEAR(B629))</f>
        <v/>
      </c>
      <c r="L629" s="18">
        <f>IF(B629="","",MONTH(B629))</f>
        <v/>
      </c>
      <c r="M629" s="18">
        <f>IF(OR(B629="",I629=""),"",I629-B629)</f>
        <v/>
      </c>
      <c r="N629" s="21">
        <f>IF(B629="","",IF(I629="",IF(H629="","",IF(TODAY()&gt;H629,"Atrasado (em aberto)","Em aberto")),IF(I629&lt;=H629,"No prazo","Fora do prazo")))</f>
        <v/>
      </c>
    </row>
    <row r="630">
      <c r="B630" s="22" t="n"/>
      <c r="E630" s="23" t="n"/>
      <c r="F630" s="24" t="n"/>
      <c r="H630" s="22" t="n"/>
      <c r="I630" s="22" t="n"/>
      <c r="J630" s="21">
        <f>IF(C630="","",IFERROR(INDEX(Clientes!$B:$B,MATCH(C630,Clientes!$A:$A,0)),"Cód. não cadastrado"))</f>
        <v/>
      </c>
      <c r="K630" s="18">
        <f>IF(B630="","",YEAR(B630))</f>
        <v/>
      </c>
      <c r="L630" s="18">
        <f>IF(B630="","",MONTH(B630))</f>
        <v/>
      </c>
      <c r="M630" s="18">
        <f>IF(OR(B630="",I630=""),"",I630-B630)</f>
        <v/>
      </c>
      <c r="N630" s="21">
        <f>IF(B630="","",IF(I630="",IF(H630="","",IF(TODAY()&gt;H630,"Atrasado (em aberto)","Em aberto")),IF(I630&lt;=H630,"No prazo","Fora do prazo")))</f>
        <v/>
      </c>
    </row>
    <row r="631">
      <c r="B631" s="22" t="n"/>
      <c r="E631" s="23" t="n"/>
      <c r="F631" s="24" t="n"/>
      <c r="H631" s="22" t="n"/>
      <c r="I631" s="22" t="n"/>
      <c r="J631" s="21">
        <f>IF(C631="","",IFERROR(INDEX(Clientes!$B:$B,MATCH(C631,Clientes!$A:$A,0)),"Cód. não cadastrado"))</f>
        <v/>
      </c>
      <c r="K631" s="18">
        <f>IF(B631="","",YEAR(B631))</f>
        <v/>
      </c>
      <c r="L631" s="18">
        <f>IF(B631="","",MONTH(B631))</f>
        <v/>
      </c>
      <c r="M631" s="18">
        <f>IF(OR(B631="",I631=""),"",I631-B631)</f>
        <v/>
      </c>
      <c r="N631" s="21">
        <f>IF(B631="","",IF(I631="",IF(H631="","",IF(TODAY()&gt;H631,"Atrasado (em aberto)","Em aberto")),IF(I631&lt;=H631,"No prazo","Fora do prazo")))</f>
        <v/>
      </c>
    </row>
    <row r="632">
      <c r="B632" s="22" t="n"/>
      <c r="E632" s="23" t="n"/>
      <c r="F632" s="24" t="n"/>
      <c r="H632" s="22" t="n"/>
      <c r="I632" s="22" t="n"/>
      <c r="J632" s="21">
        <f>IF(C632="","",IFERROR(INDEX(Clientes!$B:$B,MATCH(C632,Clientes!$A:$A,0)),"Cód. não cadastrado"))</f>
        <v/>
      </c>
      <c r="K632" s="18">
        <f>IF(B632="","",YEAR(B632))</f>
        <v/>
      </c>
      <c r="L632" s="18">
        <f>IF(B632="","",MONTH(B632))</f>
        <v/>
      </c>
      <c r="M632" s="18">
        <f>IF(OR(B632="",I632=""),"",I632-B632)</f>
        <v/>
      </c>
      <c r="N632" s="21">
        <f>IF(B632="","",IF(I632="",IF(H632="","",IF(TODAY()&gt;H632,"Atrasado (em aberto)","Em aberto")),IF(I632&lt;=H632,"No prazo","Fora do prazo")))</f>
        <v/>
      </c>
    </row>
    <row r="633">
      <c r="B633" s="22" t="n"/>
      <c r="E633" s="23" t="n"/>
      <c r="F633" s="24" t="n"/>
      <c r="H633" s="22" t="n"/>
      <c r="I633" s="22" t="n"/>
      <c r="J633" s="21">
        <f>IF(C633="","",IFERROR(INDEX(Clientes!$B:$B,MATCH(C633,Clientes!$A:$A,0)),"Cód. não cadastrado"))</f>
        <v/>
      </c>
      <c r="K633" s="18">
        <f>IF(B633="","",YEAR(B633))</f>
        <v/>
      </c>
      <c r="L633" s="18">
        <f>IF(B633="","",MONTH(B633))</f>
        <v/>
      </c>
      <c r="M633" s="18">
        <f>IF(OR(B633="",I633=""),"",I633-B633)</f>
        <v/>
      </c>
      <c r="N633" s="21">
        <f>IF(B633="","",IF(I633="",IF(H633="","",IF(TODAY()&gt;H633,"Atrasado (em aberto)","Em aberto")),IF(I633&lt;=H633,"No prazo","Fora do prazo")))</f>
        <v/>
      </c>
    </row>
    <row r="634">
      <c r="B634" s="22" t="n"/>
      <c r="E634" s="23" t="n"/>
      <c r="F634" s="24" t="n"/>
      <c r="H634" s="22" t="n"/>
      <c r="I634" s="22" t="n"/>
      <c r="J634" s="21">
        <f>IF(C634="","",IFERROR(INDEX(Clientes!$B:$B,MATCH(C634,Clientes!$A:$A,0)),"Cód. não cadastrado"))</f>
        <v/>
      </c>
      <c r="K634" s="18">
        <f>IF(B634="","",YEAR(B634))</f>
        <v/>
      </c>
      <c r="L634" s="18">
        <f>IF(B634="","",MONTH(B634))</f>
        <v/>
      </c>
      <c r="M634" s="18">
        <f>IF(OR(B634="",I634=""),"",I634-B634)</f>
        <v/>
      </c>
      <c r="N634" s="21">
        <f>IF(B634="","",IF(I634="",IF(H634="","",IF(TODAY()&gt;H634,"Atrasado (em aberto)","Em aberto")),IF(I634&lt;=H634,"No prazo","Fora do prazo")))</f>
        <v/>
      </c>
    </row>
    <row r="635">
      <c r="B635" s="22" t="n"/>
      <c r="E635" s="23" t="n"/>
      <c r="F635" s="24" t="n"/>
      <c r="H635" s="22" t="n"/>
      <c r="I635" s="22" t="n"/>
      <c r="J635" s="21">
        <f>IF(C635="","",IFERROR(INDEX(Clientes!$B:$B,MATCH(C635,Clientes!$A:$A,0)),"Cód. não cadastrado"))</f>
        <v/>
      </c>
      <c r="K635" s="18">
        <f>IF(B635="","",YEAR(B635))</f>
        <v/>
      </c>
      <c r="L635" s="18">
        <f>IF(B635="","",MONTH(B635))</f>
        <v/>
      </c>
      <c r="M635" s="18">
        <f>IF(OR(B635="",I635=""),"",I635-B635)</f>
        <v/>
      </c>
      <c r="N635" s="21">
        <f>IF(B635="","",IF(I635="",IF(H635="","",IF(TODAY()&gt;H635,"Atrasado (em aberto)","Em aberto")),IF(I635&lt;=H635,"No prazo","Fora do prazo")))</f>
        <v/>
      </c>
    </row>
    <row r="636">
      <c r="B636" s="22" t="n"/>
      <c r="E636" s="23" t="n"/>
      <c r="F636" s="24" t="n"/>
      <c r="H636" s="22" t="n"/>
      <c r="I636" s="22" t="n"/>
      <c r="J636" s="21">
        <f>IF(C636="","",IFERROR(INDEX(Clientes!$B:$B,MATCH(C636,Clientes!$A:$A,0)),"Cód. não cadastrado"))</f>
        <v/>
      </c>
      <c r="K636" s="18">
        <f>IF(B636="","",YEAR(B636))</f>
        <v/>
      </c>
      <c r="L636" s="18">
        <f>IF(B636="","",MONTH(B636))</f>
        <v/>
      </c>
      <c r="M636" s="18">
        <f>IF(OR(B636="",I636=""),"",I636-B636)</f>
        <v/>
      </c>
      <c r="N636" s="21">
        <f>IF(B636="","",IF(I636="",IF(H636="","",IF(TODAY()&gt;H636,"Atrasado (em aberto)","Em aberto")),IF(I636&lt;=H636,"No prazo","Fora do prazo")))</f>
        <v/>
      </c>
    </row>
    <row r="637">
      <c r="B637" s="22" t="n"/>
      <c r="E637" s="23" t="n"/>
      <c r="F637" s="24" t="n"/>
      <c r="H637" s="22" t="n"/>
      <c r="I637" s="22" t="n"/>
      <c r="J637" s="21">
        <f>IF(C637="","",IFERROR(INDEX(Clientes!$B:$B,MATCH(C637,Clientes!$A:$A,0)),"Cód. não cadastrado"))</f>
        <v/>
      </c>
      <c r="K637" s="18">
        <f>IF(B637="","",YEAR(B637))</f>
        <v/>
      </c>
      <c r="L637" s="18">
        <f>IF(B637="","",MONTH(B637))</f>
        <v/>
      </c>
      <c r="M637" s="18">
        <f>IF(OR(B637="",I637=""),"",I637-B637)</f>
        <v/>
      </c>
      <c r="N637" s="21">
        <f>IF(B637="","",IF(I637="",IF(H637="","",IF(TODAY()&gt;H637,"Atrasado (em aberto)","Em aberto")),IF(I637&lt;=H637,"No prazo","Fora do prazo")))</f>
        <v/>
      </c>
    </row>
    <row r="638">
      <c r="B638" s="22" t="n"/>
      <c r="E638" s="23" t="n"/>
      <c r="F638" s="24" t="n"/>
      <c r="H638" s="22" t="n"/>
      <c r="I638" s="22" t="n"/>
      <c r="J638" s="21">
        <f>IF(C638="","",IFERROR(INDEX(Clientes!$B:$B,MATCH(C638,Clientes!$A:$A,0)),"Cód. não cadastrado"))</f>
        <v/>
      </c>
      <c r="K638" s="18">
        <f>IF(B638="","",YEAR(B638))</f>
        <v/>
      </c>
      <c r="L638" s="18">
        <f>IF(B638="","",MONTH(B638))</f>
        <v/>
      </c>
      <c r="M638" s="18">
        <f>IF(OR(B638="",I638=""),"",I638-B638)</f>
        <v/>
      </c>
      <c r="N638" s="21">
        <f>IF(B638="","",IF(I638="",IF(H638="","",IF(TODAY()&gt;H638,"Atrasado (em aberto)","Em aberto")),IF(I638&lt;=H638,"No prazo","Fora do prazo")))</f>
        <v/>
      </c>
    </row>
    <row r="639">
      <c r="B639" s="22" t="n"/>
      <c r="E639" s="23" t="n"/>
      <c r="F639" s="24" t="n"/>
      <c r="H639" s="22" t="n"/>
      <c r="I639" s="22" t="n"/>
      <c r="J639" s="21">
        <f>IF(C639="","",IFERROR(INDEX(Clientes!$B:$B,MATCH(C639,Clientes!$A:$A,0)),"Cód. não cadastrado"))</f>
        <v/>
      </c>
      <c r="K639" s="18">
        <f>IF(B639="","",YEAR(B639))</f>
        <v/>
      </c>
      <c r="L639" s="18">
        <f>IF(B639="","",MONTH(B639))</f>
        <v/>
      </c>
      <c r="M639" s="18">
        <f>IF(OR(B639="",I639=""),"",I639-B639)</f>
        <v/>
      </c>
      <c r="N639" s="21">
        <f>IF(B639="","",IF(I639="",IF(H639="","",IF(TODAY()&gt;H639,"Atrasado (em aberto)","Em aberto")),IF(I639&lt;=H639,"No prazo","Fora do prazo")))</f>
        <v/>
      </c>
    </row>
    <row r="640">
      <c r="B640" s="22" t="n"/>
      <c r="E640" s="23" t="n"/>
      <c r="F640" s="24" t="n"/>
      <c r="H640" s="22" t="n"/>
      <c r="I640" s="22" t="n"/>
      <c r="J640" s="21">
        <f>IF(C640="","",IFERROR(INDEX(Clientes!$B:$B,MATCH(C640,Clientes!$A:$A,0)),"Cód. não cadastrado"))</f>
        <v/>
      </c>
      <c r="K640" s="18">
        <f>IF(B640="","",YEAR(B640))</f>
        <v/>
      </c>
      <c r="L640" s="18">
        <f>IF(B640="","",MONTH(B640))</f>
        <v/>
      </c>
      <c r="M640" s="18">
        <f>IF(OR(B640="",I640=""),"",I640-B640)</f>
        <v/>
      </c>
      <c r="N640" s="21">
        <f>IF(B640="","",IF(I640="",IF(H640="","",IF(TODAY()&gt;H640,"Atrasado (em aberto)","Em aberto")),IF(I640&lt;=H640,"No prazo","Fora do prazo")))</f>
        <v/>
      </c>
    </row>
    <row r="641">
      <c r="B641" s="22" t="n"/>
      <c r="E641" s="23" t="n"/>
      <c r="F641" s="24" t="n"/>
      <c r="H641" s="22" t="n"/>
      <c r="I641" s="22" t="n"/>
      <c r="J641" s="21">
        <f>IF(C641="","",IFERROR(INDEX(Clientes!$B:$B,MATCH(C641,Clientes!$A:$A,0)),"Cód. não cadastrado"))</f>
        <v/>
      </c>
      <c r="K641" s="18">
        <f>IF(B641="","",YEAR(B641))</f>
        <v/>
      </c>
      <c r="L641" s="18">
        <f>IF(B641="","",MONTH(B641))</f>
        <v/>
      </c>
      <c r="M641" s="18">
        <f>IF(OR(B641="",I641=""),"",I641-B641)</f>
        <v/>
      </c>
      <c r="N641" s="21">
        <f>IF(B641="","",IF(I641="",IF(H641="","",IF(TODAY()&gt;H641,"Atrasado (em aberto)","Em aberto")),IF(I641&lt;=H641,"No prazo","Fora do prazo")))</f>
        <v/>
      </c>
    </row>
    <row r="642">
      <c r="B642" s="22" t="n"/>
      <c r="E642" s="23" t="n"/>
      <c r="F642" s="24" t="n"/>
      <c r="H642" s="22" t="n"/>
      <c r="I642" s="22" t="n"/>
      <c r="J642" s="21">
        <f>IF(C642="","",IFERROR(INDEX(Clientes!$B:$B,MATCH(C642,Clientes!$A:$A,0)),"Cód. não cadastrado"))</f>
        <v/>
      </c>
      <c r="K642" s="18">
        <f>IF(B642="","",YEAR(B642))</f>
        <v/>
      </c>
      <c r="L642" s="18">
        <f>IF(B642="","",MONTH(B642))</f>
        <v/>
      </c>
      <c r="M642" s="18">
        <f>IF(OR(B642="",I642=""),"",I642-B642)</f>
        <v/>
      </c>
      <c r="N642" s="21">
        <f>IF(B642="","",IF(I642="",IF(H642="","",IF(TODAY()&gt;H642,"Atrasado (em aberto)","Em aberto")),IF(I642&lt;=H642,"No prazo","Fora do prazo")))</f>
        <v/>
      </c>
    </row>
    <row r="643">
      <c r="B643" s="22" t="n"/>
      <c r="E643" s="23" t="n"/>
      <c r="F643" s="24" t="n"/>
      <c r="H643" s="22" t="n"/>
      <c r="I643" s="22" t="n"/>
      <c r="J643" s="21">
        <f>IF(C643="","",IFERROR(INDEX(Clientes!$B:$B,MATCH(C643,Clientes!$A:$A,0)),"Cód. não cadastrado"))</f>
        <v/>
      </c>
      <c r="K643" s="18">
        <f>IF(B643="","",YEAR(B643))</f>
        <v/>
      </c>
      <c r="L643" s="18">
        <f>IF(B643="","",MONTH(B643))</f>
        <v/>
      </c>
      <c r="M643" s="18">
        <f>IF(OR(B643="",I643=""),"",I643-B643)</f>
        <v/>
      </c>
      <c r="N643" s="21">
        <f>IF(B643="","",IF(I643="",IF(H643="","",IF(TODAY()&gt;H643,"Atrasado (em aberto)","Em aberto")),IF(I643&lt;=H643,"No prazo","Fora do prazo")))</f>
        <v/>
      </c>
    </row>
    <row r="644">
      <c r="B644" s="22" t="n"/>
      <c r="E644" s="23" t="n"/>
      <c r="F644" s="24" t="n"/>
      <c r="H644" s="22" t="n"/>
      <c r="I644" s="22" t="n"/>
      <c r="J644" s="21">
        <f>IF(C644="","",IFERROR(INDEX(Clientes!$B:$B,MATCH(C644,Clientes!$A:$A,0)),"Cód. não cadastrado"))</f>
        <v/>
      </c>
      <c r="K644" s="18">
        <f>IF(B644="","",YEAR(B644))</f>
        <v/>
      </c>
      <c r="L644" s="18">
        <f>IF(B644="","",MONTH(B644))</f>
        <v/>
      </c>
      <c r="M644" s="18">
        <f>IF(OR(B644="",I644=""),"",I644-B644)</f>
        <v/>
      </c>
      <c r="N644" s="21">
        <f>IF(B644="","",IF(I644="",IF(H644="","",IF(TODAY()&gt;H644,"Atrasado (em aberto)","Em aberto")),IF(I644&lt;=H644,"No prazo","Fora do prazo")))</f>
        <v/>
      </c>
    </row>
    <row r="645">
      <c r="B645" s="22" t="n"/>
      <c r="E645" s="23" t="n"/>
      <c r="F645" s="24" t="n"/>
      <c r="H645" s="22" t="n"/>
      <c r="I645" s="22" t="n"/>
      <c r="J645" s="21">
        <f>IF(C645="","",IFERROR(INDEX(Clientes!$B:$B,MATCH(C645,Clientes!$A:$A,0)),"Cód. não cadastrado"))</f>
        <v/>
      </c>
      <c r="K645" s="18">
        <f>IF(B645="","",YEAR(B645))</f>
        <v/>
      </c>
      <c r="L645" s="18">
        <f>IF(B645="","",MONTH(B645))</f>
        <v/>
      </c>
      <c r="M645" s="18">
        <f>IF(OR(B645="",I645=""),"",I645-B645)</f>
        <v/>
      </c>
      <c r="N645" s="21">
        <f>IF(B645="","",IF(I645="",IF(H645="","",IF(TODAY()&gt;H645,"Atrasado (em aberto)","Em aberto")),IF(I645&lt;=H645,"No prazo","Fora do prazo")))</f>
        <v/>
      </c>
    </row>
    <row r="646">
      <c r="B646" s="22" t="n"/>
      <c r="E646" s="23" t="n"/>
      <c r="F646" s="24" t="n"/>
      <c r="H646" s="22" t="n"/>
      <c r="I646" s="22" t="n"/>
      <c r="J646" s="21">
        <f>IF(C646="","",IFERROR(INDEX(Clientes!$B:$B,MATCH(C646,Clientes!$A:$A,0)),"Cód. não cadastrado"))</f>
        <v/>
      </c>
      <c r="K646" s="18">
        <f>IF(B646="","",YEAR(B646))</f>
        <v/>
      </c>
      <c r="L646" s="18">
        <f>IF(B646="","",MONTH(B646))</f>
        <v/>
      </c>
      <c r="M646" s="18">
        <f>IF(OR(B646="",I646=""),"",I646-B646)</f>
        <v/>
      </c>
      <c r="N646" s="21">
        <f>IF(B646="","",IF(I646="",IF(H646="","",IF(TODAY()&gt;H646,"Atrasado (em aberto)","Em aberto")),IF(I646&lt;=H646,"No prazo","Fora do prazo")))</f>
        <v/>
      </c>
    </row>
    <row r="647">
      <c r="B647" s="22" t="n"/>
      <c r="E647" s="23" t="n"/>
      <c r="F647" s="24" t="n"/>
      <c r="H647" s="22" t="n"/>
      <c r="I647" s="22" t="n"/>
      <c r="J647" s="21">
        <f>IF(C647="","",IFERROR(INDEX(Clientes!$B:$B,MATCH(C647,Clientes!$A:$A,0)),"Cód. não cadastrado"))</f>
        <v/>
      </c>
      <c r="K647" s="18">
        <f>IF(B647="","",YEAR(B647))</f>
        <v/>
      </c>
      <c r="L647" s="18">
        <f>IF(B647="","",MONTH(B647))</f>
        <v/>
      </c>
      <c r="M647" s="18">
        <f>IF(OR(B647="",I647=""),"",I647-B647)</f>
        <v/>
      </c>
      <c r="N647" s="21">
        <f>IF(B647="","",IF(I647="",IF(H647="","",IF(TODAY()&gt;H647,"Atrasado (em aberto)","Em aberto")),IF(I647&lt;=H647,"No prazo","Fora do prazo")))</f>
        <v/>
      </c>
    </row>
    <row r="648">
      <c r="B648" s="22" t="n"/>
      <c r="E648" s="23" t="n"/>
      <c r="F648" s="24" t="n"/>
      <c r="H648" s="22" t="n"/>
      <c r="I648" s="22" t="n"/>
      <c r="J648" s="21">
        <f>IF(C648="","",IFERROR(INDEX(Clientes!$B:$B,MATCH(C648,Clientes!$A:$A,0)),"Cód. não cadastrado"))</f>
        <v/>
      </c>
      <c r="K648" s="18">
        <f>IF(B648="","",YEAR(B648))</f>
        <v/>
      </c>
      <c r="L648" s="18">
        <f>IF(B648="","",MONTH(B648))</f>
        <v/>
      </c>
      <c r="M648" s="18">
        <f>IF(OR(B648="",I648=""),"",I648-B648)</f>
        <v/>
      </c>
      <c r="N648" s="21">
        <f>IF(B648="","",IF(I648="",IF(H648="","",IF(TODAY()&gt;H648,"Atrasado (em aberto)","Em aberto")),IF(I648&lt;=H648,"No prazo","Fora do prazo")))</f>
        <v/>
      </c>
    </row>
    <row r="649">
      <c r="B649" s="22" t="n"/>
      <c r="E649" s="23" t="n"/>
      <c r="F649" s="24" t="n"/>
      <c r="H649" s="22" t="n"/>
      <c r="I649" s="22" t="n"/>
      <c r="J649" s="21">
        <f>IF(C649="","",IFERROR(INDEX(Clientes!$B:$B,MATCH(C649,Clientes!$A:$A,0)),"Cód. não cadastrado"))</f>
        <v/>
      </c>
      <c r="K649" s="18">
        <f>IF(B649="","",YEAR(B649))</f>
        <v/>
      </c>
      <c r="L649" s="18">
        <f>IF(B649="","",MONTH(B649))</f>
        <v/>
      </c>
      <c r="M649" s="18">
        <f>IF(OR(B649="",I649=""),"",I649-B649)</f>
        <v/>
      </c>
      <c r="N649" s="21">
        <f>IF(B649="","",IF(I649="",IF(H649="","",IF(TODAY()&gt;H649,"Atrasado (em aberto)","Em aberto")),IF(I649&lt;=H649,"No prazo","Fora do prazo")))</f>
        <v/>
      </c>
    </row>
    <row r="650">
      <c r="B650" s="22" t="n"/>
      <c r="E650" s="23" t="n"/>
      <c r="F650" s="24" t="n"/>
      <c r="H650" s="22" t="n"/>
      <c r="I650" s="22" t="n"/>
      <c r="J650" s="21">
        <f>IF(C650="","",IFERROR(INDEX(Clientes!$B:$B,MATCH(C650,Clientes!$A:$A,0)),"Cód. não cadastrado"))</f>
        <v/>
      </c>
      <c r="K650" s="18">
        <f>IF(B650="","",YEAR(B650))</f>
        <v/>
      </c>
      <c r="L650" s="18">
        <f>IF(B650="","",MONTH(B650))</f>
        <v/>
      </c>
      <c r="M650" s="18">
        <f>IF(OR(B650="",I650=""),"",I650-B650)</f>
        <v/>
      </c>
      <c r="N650" s="21">
        <f>IF(B650="","",IF(I650="",IF(H650="","",IF(TODAY()&gt;H650,"Atrasado (em aberto)","Em aberto")),IF(I650&lt;=H650,"No prazo","Fora do prazo")))</f>
        <v/>
      </c>
    </row>
    <row r="651">
      <c r="B651" s="22" t="n"/>
      <c r="E651" s="23" t="n"/>
      <c r="F651" s="24" t="n"/>
      <c r="H651" s="22" t="n"/>
      <c r="I651" s="22" t="n"/>
      <c r="J651" s="21">
        <f>IF(C651="","",IFERROR(INDEX(Clientes!$B:$B,MATCH(C651,Clientes!$A:$A,0)),"Cód. não cadastrado"))</f>
        <v/>
      </c>
      <c r="K651" s="18">
        <f>IF(B651="","",YEAR(B651))</f>
        <v/>
      </c>
      <c r="L651" s="18">
        <f>IF(B651="","",MONTH(B651))</f>
        <v/>
      </c>
      <c r="M651" s="18">
        <f>IF(OR(B651="",I651=""),"",I651-B651)</f>
        <v/>
      </c>
      <c r="N651" s="21">
        <f>IF(B651="","",IF(I651="",IF(H651="","",IF(TODAY()&gt;H651,"Atrasado (em aberto)","Em aberto")),IF(I651&lt;=H651,"No prazo","Fora do prazo")))</f>
        <v/>
      </c>
    </row>
    <row r="652">
      <c r="B652" s="22" t="n"/>
      <c r="E652" s="23" t="n"/>
      <c r="F652" s="24" t="n"/>
      <c r="H652" s="22" t="n"/>
      <c r="I652" s="22" t="n"/>
      <c r="J652" s="21">
        <f>IF(C652="","",IFERROR(INDEX(Clientes!$B:$B,MATCH(C652,Clientes!$A:$A,0)),"Cód. não cadastrado"))</f>
        <v/>
      </c>
      <c r="K652" s="18">
        <f>IF(B652="","",YEAR(B652))</f>
        <v/>
      </c>
      <c r="L652" s="18">
        <f>IF(B652="","",MONTH(B652))</f>
        <v/>
      </c>
      <c r="M652" s="18">
        <f>IF(OR(B652="",I652=""),"",I652-B652)</f>
        <v/>
      </c>
      <c r="N652" s="21">
        <f>IF(B652="","",IF(I652="",IF(H652="","",IF(TODAY()&gt;H652,"Atrasado (em aberto)","Em aberto")),IF(I652&lt;=H652,"No prazo","Fora do prazo")))</f>
        <v/>
      </c>
    </row>
    <row r="653">
      <c r="B653" s="22" t="n"/>
      <c r="E653" s="23" t="n"/>
      <c r="F653" s="24" t="n"/>
      <c r="H653" s="22" t="n"/>
      <c r="I653" s="22" t="n"/>
      <c r="J653" s="21">
        <f>IF(C653="","",IFERROR(INDEX(Clientes!$B:$B,MATCH(C653,Clientes!$A:$A,0)),"Cód. não cadastrado"))</f>
        <v/>
      </c>
      <c r="K653" s="18">
        <f>IF(B653="","",YEAR(B653))</f>
        <v/>
      </c>
      <c r="L653" s="18">
        <f>IF(B653="","",MONTH(B653))</f>
        <v/>
      </c>
      <c r="M653" s="18">
        <f>IF(OR(B653="",I653=""),"",I653-B653)</f>
        <v/>
      </c>
      <c r="N653" s="21">
        <f>IF(B653="","",IF(I653="",IF(H653="","",IF(TODAY()&gt;H653,"Atrasado (em aberto)","Em aberto")),IF(I653&lt;=H653,"No prazo","Fora do prazo")))</f>
        <v/>
      </c>
    </row>
    <row r="654">
      <c r="B654" s="22" t="n"/>
      <c r="E654" s="23" t="n"/>
      <c r="F654" s="24" t="n"/>
      <c r="H654" s="22" t="n"/>
      <c r="I654" s="22" t="n"/>
      <c r="J654" s="21">
        <f>IF(C654="","",IFERROR(INDEX(Clientes!$B:$B,MATCH(C654,Clientes!$A:$A,0)),"Cód. não cadastrado"))</f>
        <v/>
      </c>
      <c r="K654" s="18">
        <f>IF(B654="","",YEAR(B654))</f>
        <v/>
      </c>
      <c r="L654" s="18">
        <f>IF(B654="","",MONTH(B654))</f>
        <v/>
      </c>
      <c r="M654" s="18">
        <f>IF(OR(B654="",I654=""),"",I654-B654)</f>
        <v/>
      </c>
      <c r="N654" s="21">
        <f>IF(B654="","",IF(I654="",IF(H654="","",IF(TODAY()&gt;H654,"Atrasado (em aberto)","Em aberto")),IF(I654&lt;=H654,"No prazo","Fora do prazo")))</f>
        <v/>
      </c>
    </row>
    <row r="655">
      <c r="B655" s="22" t="n"/>
      <c r="E655" s="23" t="n"/>
      <c r="F655" s="24" t="n"/>
      <c r="H655" s="22" t="n"/>
      <c r="I655" s="22" t="n"/>
      <c r="J655" s="21">
        <f>IF(C655="","",IFERROR(INDEX(Clientes!$B:$B,MATCH(C655,Clientes!$A:$A,0)),"Cód. não cadastrado"))</f>
        <v/>
      </c>
      <c r="K655" s="18">
        <f>IF(B655="","",YEAR(B655))</f>
        <v/>
      </c>
      <c r="L655" s="18">
        <f>IF(B655="","",MONTH(B655))</f>
        <v/>
      </c>
      <c r="M655" s="18">
        <f>IF(OR(B655="",I655=""),"",I655-B655)</f>
        <v/>
      </c>
      <c r="N655" s="21">
        <f>IF(B655="","",IF(I655="",IF(H655="","",IF(TODAY()&gt;H655,"Atrasado (em aberto)","Em aberto")),IF(I655&lt;=H655,"No prazo","Fora do prazo")))</f>
        <v/>
      </c>
    </row>
    <row r="656">
      <c r="B656" s="22" t="n"/>
      <c r="E656" s="23" t="n"/>
      <c r="F656" s="24" t="n"/>
      <c r="H656" s="22" t="n"/>
      <c r="I656" s="22" t="n"/>
      <c r="J656" s="21">
        <f>IF(C656="","",IFERROR(INDEX(Clientes!$B:$B,MATCH(C656,Clientes!$A:$A,0)),"Cód. não cadastrado"))</f>
        <v/>
      </c>
      <c r="K656" s="18">
        <f>IF(B656="","",YEAR(B656))</f>
        <v/>
      </c>
      <c r="L656" s="18">
        <f>IF(B656="","",MONTH(B656))</f>
        <v/>
      </c>
      <c r="M656" s="18">
        <f>IF(OR(B656="",I656=""),"",I656-B656)</f>
        <v/>
      </c>
      <c r="N656" s="21">
        <f>IF(B656="","",IF(I656="",IF(H656="","",IF(TODAY()&gt;H656,"Atrasado (em aberto)","Em aberto")),IF(I656&lt;=H656,"No prazo","Fora do prazo")))</f>
        <v/>
      </c>
    </row>
    <row r="657">
      <c r="B657" s="22" t="n"/>
      <c r="E657" s="23" t="n"/>
      <c r="F657" s="24" t="n"/>
      <c r="H657" s="22" t="n"/>
      <c r="I657" s="22" t="n"/>
      <c r="J657" s="21">
        <f>IF(C657="","",IFERROR(INDEX(Clientes!$B:$B,MATCH(C657,Clientes!$A:$A,0)),"Cód. não cadastrado"))</f>
        <v/>
      </c>
      <c r="K657" s="18">
        <f>IF(B657="","",YEAR(B657))</f>
        <v/>
      </c>
      <c r="L657" s="18">
        <f>IF(B657="","",MONTH(B657))</f>
        <v/>
      </c>
      <c r="M657" s="18">
        <f>IF(OR(B657="",I657=""),"",I657-B657)</f>
        <v/>
      </c>
      <c r="N657" s="21">
        <f>IF(B657="","",IF(I657="",IF(H657="","",IF(TODAY()&gt;H657,"Atrasado (em aberto)","Em aberto")),IF(I657&lt;=H657,"No prazo","Fora do prazo")))</f>
        <v/>
      </c>
    </row>
    <row r="658">
      <c r="B658" s="22" t="n"/>
      <c r="E658" s="23" t="n"/>
      <c r="F658" s="24" t="n"/>
      <c r="H658" s="22" t="n"/>
      <c r="I658" s="22" t="n"/>
      <c r="J658" s="21">
        <f>IF(C658="","",IFERROR(INDEX(Clientes!$B:$B,MATCH(C658,Clientes!$A:$A,0)),"Cód. não cadastrado"))</f>
        <v/>
      </c>
      <c r="K658" s="18">
        <f>IF(B658="","",YEAR(B658))</f>
        <v/>
      </c>
      <c r="L658" s="18">
        <f>IF(B658="","",MONTH(B658))</f>
        <v/>
      </c>
      <c r="M658" s="18">
        <f>IF(OR(B658="",I658=""),"",I658-B658)</f>
        <v/>
      </c>
      <c r="N658" s="21">
        <f>IF(B658="","",IF(I658="",IF(H658="","",IF(TODAY()&gt;H658,"Atrasado (em aberto)","Em aberto")),IF(I658&lt;=H658,"No prazo","Fora do prazo")))</f>
        <v/>
      </c>
    </row>
    <row r="659">
      <c r="B659" s="22" t="n"/>
      <c r="E659" s="23" t="n"/>
      <c r="F659" s="24" t="n"/>
      <c r="H659" s="22" t="n"/>
      <c r="I659" s="22" t="n"/>
      <c r="J659" s="21">
        <f>IF(C659="","",IFERROR(INDEX(Clientes!$B:$B,MATCH(C659,Clientes!$A:$A,0)),"Cód. não cadastrado"))</f>
        <v/>
      </c>
      <c r="K659" s="18">
        <f>IF(B659="","",YEAR(B659))</f>
        <v/>
      </c>
      <c r="L659" s="18">
        <f>IF(B659="","",MONTH(B659))</f>
        <v/>
      </c>
      <c r="M659" s="18">
        <f>IF(OR(B659="",I659=""),"",I659-B659)</f>
        <v/>
      </c>
      <c r="N659" s="21">
        <f>IF(B659="","",IF(I659="",IF(H659="","",IF(TODAY()&gt;H659,"Atrasado (em aberto)","Em aberto")),IF(I659&lt;=H659,"No prazo","Fora do prazo")))</f>
        <v/>
      </c>
    </row>
    <row r="660">
      <c r="B660" s="22" t="n"/>
      <c r="E660" s="23" t="n"/>
      <c r="F660" s="24" t="n"/>
      <c r="H660" s="22" t="n"/>
      <c r="I660" s="22" t="n"/>
      <c r="J660" s="21">
        <f>IF(C660="","",IFERROR(INDEX(Clientes!$B:$B,MATCH(C660,Clientes!$A:$A,0)),"Cód. não cadastrado"))</f>
        <v/>
      </c>
      <c r="K660" s="18">
        <f>IF(B660="","",YEAR(B660))</f>
        <v/>
      </c>
      <c r="L660" s="18">
        <f>IF(B660="","",MONTH(B660))</f>
        <v/>
      </c>
      <c r="M660" s="18">
        <f>IF(OR(B660="",I660=""),"",I660-B660)</f>
        <v/>
      </c>
      <c r="N660" s="21">
        <f>IF(B660="","",IF(I660="",IF(H660="","",IF(TODAY()&gt;H660,"Atrasado (em aberto)","Em aberto")),IF(I660&lt;=H660,"No prazo","Fora do prazo")))</f>
        <v/>
      </c>
    </row>
    <row r="661">
      <c r="B661" s="22" t="n"/>
      <c r="E661" s="23" t="n"/>
      <c r="F661" s="24" t="n"/>
      <c r="H661" s="22" t="n"/>
      <c r="I661" s="22" t="n"/>
      <c r="J661" s="21">
        <f>IF(C661="","",IFERROR(INDEX(Clientes!$B:$B,MATCH(C661,Clientes!$A:$A,0)),"Cód. não cadastrado"))</f>
        <v/>
      </c>
      <c r="K661" s="18">
        <f>IF(B661="","",YEAR(B661))</f>
        <v/>
      </c>
      <c r="L661" s="18">
        <f>IF(B661="","",MONTH(B661))</f>
        <v/>
      </c>
      <c r="M661" s="18">
        <f>IF(OR(B661="",I661=""),"",I661-B661)</f>
        <v/>
      </c>
      <c r="N661" s="21">
        <f>IF(B661="","",IF(I661="",IF(H661="","",IF(TODAY()&gt;H661,"Atrasado (em aberto)","Em aberto")),IF(I661&lt;=H661,"No prazo","Fora do prazo")))</f>
        <v/>
      </c>
    </row>
    <row r="662">
      <c r="B662" s="22" t="n"/>
      <c r="E662" s="23" t="n"/>
      <c r="F662" s="24" t="n"/>
      <c r="H662" s="22" t="n"/>
      <c r="I662" s="22" t="n"/>
      <c r="J662" s="21">
        <f>IF(C662="","",IFERROR(INDEX(Clientes!$B:$B,MATCH(C662,Clientes!$A:$A,0)),"Cód. não cadastrado"))</f>
        <v/>
      </c>
      <c r="K662" s="18">
        <f>IF(B662="","",YEAR(B662))</f>
        <v/>
      </c>
      <c r="L662" s="18">
        <f>IF(B662="","",MONTH(B662))</f>
        <v/>
      </c>
      <c r="M662" s="18">
        <f>IF(OR(B662="",I662=""),"",I662-B662)</f>
        <v/>
      </c>
      <c r="N662" s="21">
        <f>IF(B662="","",IF(I662="",IF(H662="","",IF(TODAY()&gt;H662,"Atrasado (em aberto)","Em aberto")),IF(I662&lt;=H662,"No prazo","Fora do prazo")))</f>
        <v/>
      </c>
    </row>
    <row r="663">
      <c r="B663" s="22" t="n"/>
      <c r="E663" s="23" t="n"/>
      <c r="F663" s="24" t="n"/>
      <c r="H663" s="22" t="n"/>
      <c r="I663" s="22" t="n"/>
      <c r="J663" s="21">
        <f>IF(C663="","",IFERROR(INDEX(Clientes!$B:$B,MATCH(C663,Clientes!$A:$A,0)),"Cód. não cadastrado"))</f>
        <v/>
      </c>
      <c r="K663" s="18">
        <f>IF(B663="","",YEAR(B663))</f>
        <v/>
      </c>
      <c r="L663" s="18">
        <f>IF(B663="","",MONTH(B663))</f>
        <v/>
      </c>
      <c r="M663" s="18">
        <f>IF(OR(B663="",I663=""),"",I663-B663)</f>
        <v/>
      </c>
      <c r="N663" s="21">
        <f>IF(B663="","",IF(I663="",IF(H663="","",IF(TODAY()&gt;H663,"Atrasado (em aberto)","Em aberto")),IF(I663&lt;=H663,"No prazo","Fora do prazo")))</f>
        <v/>
      </c>
    </row>
    <row r="664">
      <c r="B664" s="22" t="n"/>
      <c r="E664" s="23" t="n"/>
      <c r="F664" s="24" t="n"/>
      <c r="H664" s="22" t="n"/>
      <c r="I664" s="22" t="n"/>
      <c r="J664" s="21">
        <f>IF(C664="","",IFERROR(INDEX(Clientes!$B:$B,MATCH(C664,Clientes!$A:$A,0)),"Cód. não cadastrado"))</f>
        <v/>
      </c>
      <c r="K664" s="18">
        <f>IF(B664="","",YEAR(B664))</f>
        <v/>
      </c>
      <c r="L664" s="18">
        <f>IF(B664="","",MONTH(B664))</f>
        <v/>
      </c>
      <c r="M664" s="18">
        <f>IF(OR(B664="",I664=""),"",I664-B664)</f>
        <v/>
      </c>
      <c r="N664" s="21">
        <f>IF(B664="","",IF(I664="",IF(H664="","",IF(TODAY()&gt;H664,"Atrasado (em aberto)","Em aberto")),IF(I664&lt;=H664,"No prazo","Fora do prazo")))</f>
        <v/>
      </c>
    </row>
    <row r="665">
      <c r="B665" s="22" t="n"/>
      <c r="E665" s="23" t="n"/>
      <c r="F665" s="24" t="n"/>
      <c r="H665" s="22" t="n"/>
      <c r="I665" s="22" t="n"/>
      <c r="J665" s="21">
        <f>IF(C665="","",IFERROR(INDEX(Clientes!$B:$B,MATCH(C665,Clientes!$A:$A,0)),"Cód. não cadastrado"))</f>
        <v/>
      </c>
      <c r="K665" s="18">
        <f>IF(B665="","",YEAR(B665))</f>
        <v/>
      </c>
      <c r="L665" s="18">
        <f>IF(B665="","",MONTH(B665))</f>
        <v/>
      </c>
      <c r="M665" s="18">
        <f>IF(OR(B665="",I665=""),"",I665-B665)</f>
        <v/>
      </c>
      <c r="N665" s="21">
        <f>IF(B665="","",IF(I665="",IF(H665="","",IF(TODAY()&gt;H665,"Atrasado (em aberto)","Em aberto")),IF(I665&lt;=H665,"No prazo","Fora do prazo")))</f>
        <v/>
      </c>
    </row>
    <row r="666">
      <c r="B666" s="22" t="n"/>
      <c r="E666" s="23" t="n"/>
      <c r="F666" s="24" t="n"/>
      <c r="H666" s="22" t="n"/>
      <c r="I666" s="22" t="n"/>
      <c r="J666" s="21">
        <f>IF(C666="","",IFERROR(INDEX(Clientes!$B:$B,MATCH(C666,Clientes!$A:$A,0)),"Cód. não cadastrado"))</f>
        <v/>
      </c>
      <c r="K666" s="18">
        <f>IF(B666="","",YEAR(B666))</f>
        <v/>
      </c>
      <c r="L666" s="18">
        <f>IF(B666="","",MONTH(B666))</f>
        <v/>
      </c>
      <c r="M666" s="18">
        <f>IF(OR(B666="",I666=""),"",I666-B666)</f>
        <v/>
      </c>
      <c r="N666" s="21">
        <f>IF(B666="","",IF(I666="",IF(H666="","",IF(TODAY()&gt;H666,"Atrasado (em aberto)","Em aberto")),IF(I666&lt;=H666,"No prazo","Fora do prazo")))</f>
        <v/>
      </c>
    </row>
    <row r="667">
      <c r="B667" s="22" t="n"/>
      <c r="E667" s="23" t="n"/>
      <c r="F667" s="24" t="n"/>
      <c r="H667" s="22" t="n"/>
      <c r="I667" s="22" t="n"/>
      <c r="J667" s="21">
        <f>IF(C667="","",IFERROR(INDEX(Clientes!$B:$B,MATCH(C667,Clientes!$A:$A,0)),"Cód. não cadastrado"))</f>
        <v/>
      </c>
      <c r="K667" s="18">
        <f>IF(B667="","",YEAR(B667))</f>
        <v/>
      </c>
      <c r="L667" s="18">
        <f>IF(B667="","",MONTH(B667))</f>
        <v/>
      </c>
      <c r="M667" s="18">
        <f>IF(OR(B667="",I667=""),"",I667-B667)</f>
        <v/>
      </c>
      <c r="N667" s="21">
        <f>IF(B667="","",IF(I667="",IF(H667="","",IF(TODAY()&gt;H667,"Atrasado (em aberto)","Em aberto")),IF(I667&lt;=H667,"No prazo","Fora do prazo")))</f>
        <v/>
      </c>
    </row>
    <row r="668">
      <c r="B668" s="22" t="n"/>
      <c r="E668" s="23" t="n"/>
      <c r="F668" s="24" t="n"/>
      <c r="H668" s="22" t="n"/>
      <c r="I668" s="22" t="n"/>
      <c r="J668" s="21">
        <f>IF(C668="","",IFERROR(INDEX(Clientes!$B:$B,MATCH(C668,Clientes!$A:$A,0)),"Cód. não cadastrado"))</f>
        <v/>
      </c>
      <c r="K668" s="18">
        <f>IF(B668="","",YEAR(B668))</f>
        <v/>
      </c>
      <c r="L668" s="18">
        <f>IF(B668="","",MONTH(B668))</f>
        <v/>
      </c>
      <c r="M668" s="18">
        <f>IF(OR(B668="",I668=""),"",I668-B668)</f>
        <v/>
      </c>
      <c r="N668" s="21">
        <f>IF(B668="","",IF(I668="",IF(H668="","",IF(TODAY()&gt;H668,"Atrasado (em aberto)","Em aberto")),IF(I668&lt;=H668,"No prazo","Fora do prazo")))</f>
        <v/>
      </c>
    </row>
    <row r="669">
      <c r="B669" s="22" t="n"/>
      <c r="E669" s="23" t="n"/>
      <c r="F669" s="24" t="n"/>
      <c r="H669" s="22" t="n"/>
      <c r="I669" s="22" t="n"/>
      <c r="J669" s="21">
        <f>IF(C669="","",IFERROR(INDEX(Clientes!$B:$B,MATCH(C669,Clientes!$A:$A,0)),"Cód. não cadastrado"))</f>
        <v/>
      </c>
      <c r="K669" s="18">
        <f>IF(B669="","",YEAR(B669))</f>
        <v/>
      </c>
      <c r="L669" s="18">
        <f>IF(B669="","",MONTH(B669))</f>
        <v/>
      </c>
      <c r="M669" s="18">
        <f>IF(OR(B669="",I669=""),"",I669-B669)</f>
        <v/>
      </c>
      <c r="N669" s="21">
        <f>IF(B669="","",IF(I669="",IF(H669="","",IF(TODAY()&gt;H669,"Atrasado (em aberto)","Em aberto")),IF(I669&lt;=H669,"No prazo","Fora do prazo")))</f>
        <v/>
      </c>
    </row>
    <row r="670">
      <c r="B670" s="22" t="n"/>
      <c r="E670" s="23" t="n"/>
      <c r="F670" s="24" t="n"/>
      <c r="H670" s="22" t="n"/>
      <c r="I670" s="22" t="n"/>
      <c r="J670" s="21">
        <f>IF(C670="","",IFERROR(INDEX(Clientes!$B:$B,MATCH(C670,Clientes!$A:$A,0)),"Cód. não cadastrado"))</f>
        <v/>
      </c>
      <c r="K670" s="18">
        <f>IF(B670="","",YEAR(B670))</f>
        <v/>
      </c>
      <c r="L670" s="18">
        <f>IF(B670="","",MONTH(B670))</f>
        <v/>
      </c>
      <c r="M670" s="18">
        <f>IF(OR(B670="",I670=""),"",I670-B670)</f>
        <v/>
      </c>
      <c r="N670" s="21">
        <f>IF(B670="","",IF(I670="",IF(H670="","",IF(TODAY()&gt;H670,"Atrasado (em aberto)","Em aberto")),IF(I670&lt;=H670,"No prazo","Fora do prazo")))</f>
        <v/>
      </c>
    </row>
    <row r="671">
      <c r="B671" s="22" t="n"/>
      <c r="E671" s="23" t="n"/>
      <c r="F671" s="24" t="n"/>
      <c r="H671" s="22" t="n"/>
      <c r="I671" s="22" t="n"/>
      <c r="J671" s="21">
        <f>IF(C671="","",IFERROR(INDEX(Clientes!$B:$B,MATCH(C671,Clientes!$A:$A,0)),"Cód. não cadastrado"))</f>
        <v/>
      </c>
      <c r="K671" s="18">
        <f>IF(B671="","",YEAR(B671))</f>
        <v/>
      </c>
      <c r="L671" s="18">
        <f>IF(B671="","",MONTH(B671))</f>
        <v/>
      </c>
      <c r="M671" s="18">
        <f>IF(OR(B671="",I671=""),"",I671-B671)</f>
        <v/>
      </c>
      <c r="N671" s="21">
        <f>IF(B671="","",IF(I671="",IF(H671="","",IF(TODAY()&gt;H671,"Atrasado (em aberto)","Em aberto")),IF(I671&lt;=H671,"No prazo","Fora do prazo")))</f>
        <v/>
      </c>
    </row>
    <row r="672">
      <c r="B672" s="22" t="n"/>
      <c r="E672" s="23" t="n"/>
      <c r="F672" s="24" t="n"/>
      <c r="H672" s="22" t="n"/>
      <c r="I672" s="22" t="n"/>
      <c r="J672" s="21">
        <f>IF(C672="","",IFERROR(INDEX(Clientes!$B:$B,MATCH(C672,Clientes!$A:$A,0)),"Cód. não cadastrado"))</f>
        <v/>
      </c>
      <c r="K672" s="18">
        <f>IF(B672="","",YEAR(B672))</f>
        <v/>
      </c>
      <c r="L672" s="18">
        <f>IF(B672="","",MONTH(B672))</f>
        <v/>
      </c>
      <c r="M672" s="18">
        <f>IF(OR(B672="",I672=""),"",I672-B672)</f>
        <v/>
      </c>
      <c r="N672" s="21">
        <f>IF(B672="","",IF(I672="",IF(H672="","",IF(TODAY()&gt;H672,"Atrasado (em aberto)","Em aberto")),IF(I672&lt;=H672,"No prazo","Fora do prazo")))</f>
        <v/>
      </c>
    </row>
    <row r="673">
      <c r="B673" s="22" t="n"/>
      <c r="E673" s="23" t="n"/>
      <c r="F673" s="24" t="n"/>
      <c r="H673" s="22" t="n"/>
      <c r="I673" s="22" t="n"/>
      <c r="J673" s="21">
        <f>IF(C673="","",IFERROR(INDEX(Clientes!$B:$B,MATCH(C673,Clientes!$A:$A,0)),"Cód. não cadastrado"))</f>
        <v/>
      </c>
      <c r="K673" s="18">
        <f>IF(B673="","",YEAR(B673))</f>
        <v/>
      </c>
      <c r="L673" s="18">
        <f>IF(B673="","",MONTH(B673))</f>
        <v/>
      </c>
      <c r="M673" s="18">
        <f>IF(OR(B673="",I673=""),"",I673-B673)</f>
        <v/>
      </c>
      <c r="N673" s="21">
        <f>IF(B673="","",IF(I673="",IF(H673="","",IF(TODAY()&gt;H673,"Atrasado (em aberto)","Em aberto")),IF(I673&lt;=H673,"No prazo","Fora do prazo")))</f>
        <v/>
      </c>
    </row>
    <row r="674">
      <c r="B674" s="22" t="n"/>
      <c r="E674" s="23" t="n"/>
      <c r="F674" s="24" t="n"/>
      <c r="H674" s="22" t="n"/>
      <c r="I674" s="22" t="n"/>
      <c r="J674" s="21">
        <f>IF(C674="","",IFERROR(INDEX(Clientes!$B:$B,MATCH(C674,Clientes!$A:$A,0)),"Cód. não cadastrado"))</f>
        <v/>
      </c>
      <c r="K674" s="18">
        <f>IF(B674="","",YEAR(B674))</f>
        <v/>
      </c>
      <c r="L674" s="18">
        <f>IF(B674="","",MONTH(B674))</f>
        <v/>
      </c>
      <c r="M674" s="18">
        <f>IF(OR(B674="",I674=""),"",I674-B674)</f>
        <v/>
      </c>
      <c r="N674" s="21">
        <f>IF(B674="","",IF(I674="",IF(H674="","",IF(TODAY()&gt;H674,"Atrasado (em aberto)","Em aberto")),IF(I674&lt;=H674,"No prazo","Fora do prazo")))</f>
        <v/>
      </c>
    </row>
    <row r="675">
      <c r="B675" s="22" t="n"/>
      <c r="E675" s="23" t="n"/>
      <c r="F675" s="24" t="n"/>
      <c r="H675" s="22" t="n"/>
      <c r="I675" s="22" t="n"/>
      <c r="J675" s="21">
        <f>IF(C675="","",IFERROR(INDEX(Clientes!$B:$B,MATCH(C675,Clientes!$A:$A,0)),"Cód. não cadastrado"))</f>
        <v/>
      </c>
      <c r="K675" s="18">
        <f>IF(B675="","",YEAR(B675))</f>
        <v/>
      </c>
      <c r="L675" s="18">
        <f>IF(B675="","",MONTH(B675))</f>
        <v/>
      </c>
      <c r="M675" s="18">
        <f>IF(OR(B675="",I675=""),"",I675-B675)</f>
        <v/>
      </c>
      <c r="N675" s="21">
        <f>IF(B675="","",IF(I675="",IF(H675="","",IF(TODAY()&gt;H675,"Atrasado (em aberto)","Em aberto")),IF(I675&lt;=H675,"No prazo","Fora do prazo")))</f>
        <v/>
      </c>
    </row>
    <row r="676">
      <c r="B676" s="22" t="n"/>
      <c r="E676" s="23" t="n"/>
      <c r="F676" s="24" t="n"/>
      <c r="H676" s="22" t="n"/>
      <c r="I676" s="22" t="n"/>
      <c r="J676" s="21">
        <f>IF(C676="","",IFERROR(INDEX(Clientes!$B:$B,MATCH(C676,Clientes!$A:$A,0)),"Cód. não cadastrado"))</f>
        <v/>
      </c>
      <c r="K676" s="18">
        <f>IF(B676="","",YEAR(B676))</f>
        <v/>
      </c>
      <c r="L676" s="18">
        <f>IF(B676="","",MONTH(B676))</f>
        <v/>
      </c>
      <c r="M676" s="18">
        <f>IF(OR(B676="",I676=""),"",I676-B676)</f>
        <v/>
      </c>
      <c r="N676" s="21">
        <f>IF(B676="","",IF(I676="",IF(H676="","",IF(TODAY()&gt;H676,"Atrasado (em aberto)","Em aberto")),IF(I676&lt;=H676,"No prazo","Fora do prazo")))</f>
        <v/>
      </c>
    </row>
    <row r="677">
      <c r="B677" s="22" t="n"/>
      <c r="E677" s="23" t="n"/>
      <c r="F677" s="24" t="n"/>
      <c r="H677" s="22" t="n"/>
      <c r="I677" s="22" t="n"/>
      <c r="J677" s="21">
        <f>IF(C677="","",IFERROR(INDEX(Clientes!$B:$B,MATCH(C677,Clientes!$A:$A,0)),"Cód. não cadastrado"))</f>
        <v/>
      </c>
      <c r="K677" s="18">
        <f>IF(B677="","",YEAR(B677))</f>
        <v/>
      </c>
      <c r="L677" s="18">
        <f>IF(B677="","",MONTH(B677))</f>
        <v/>
      </c>
      <c r="M677" s="18">
        <f>IF(OR(B677="",I677=""),"",I677-B677)</f>
        <v/>
      </c>
      <c r="N677" s="21">
        <f>IF(B677="","",IF(I677="",IF(H677="","",IF(TODAY()&gt;H677,"Atrasado (em aberto)","Em aberto")),IF(I677&lt;=H677,"No prazo","Fora do prazo")))</f>
        <v/>
      </c>
    </row>
    <row r="678">
      <c r="B678" s="22" t="n"/>
      <c r="E678" s="23" t="n"/>
      <c r="F678" s="24" t="n"/>
      <c r="H678" s="22" t="n"/>
      <c r="I678" s="22" t="n"/>
      <c r="J678" s="21">
        <f>IF(C678="","",IFERROR(INDEX(Clientes!$B:$B,MATCH(C678,Clientes!$A:$A,0)),"Cód. não cadastrado"))</f>
        <v/>
      </c>
      <c r="K678" s="18">
        <f>IF(B678="","",YEAR(B678))</f>
        <v/>
      </c>
      <c r="L678" s="18">
        <f>IF(B678="","",MONTH(B678))</f>
        <v/>
      </c>
      <c r="M678" s="18">
        <f>IF(OR(B678="",I678=""),"",I678-B678)</f>
        <v/>
      </c>
      <c r="N678" s="21">
        <f>IF(B678="","",IF(I678="",IF(H678="","",IF(TODAY()&gt;H678,"Atrasado (em aberto)","Em aberto")),IF(I678&lt;=H678,"No prazo","Fora do prazo")))</f>
        <v/>
      </c>
    </row>
    <row r="679">
      <c r="B679" s="22" t="n"/>
      <c r="E679" s="23" t="n"/>
      <c r="F679" s="24" t="n"/>
      <c r="H679" s="22" t="n"/>
      <c r="I679" s="22" t="n"/>
      <c r="J679" s="21">
        <f>IF(C679="","",IFERROR(INDEX(Clientes!$B:$B,MATCH(C679,Clientes!$A:$A,0)),"Cód. não cadastrado"))</f>
        <v/>
      </c>
      <c r="K679" s="18">
        <f>IF(B679="","",YEAR(B679))</f>
        <v/>
      </c>
      <c r="L679" s="18">
        <f>IF(B679="","",MONTH(B679))</f>
        <v/>
      </c>
      <c r="M679" s="18">
        <f>IF(OR(B679="",I679=""),"",I679-B679)</f>
        <v/>
      </c>
      <c r="N679" s="21">
        <f>IF(B679="","",IF(I679="",IF(H679="","",IF(TODAY()&gt;H679,"Atrasado (em aberto)","Em aberto")),IF(I679&lt;=H679,"No prazo","Fora do prazo")))</f>
        <v/>
      </c>
    </row>
    <row r="680">
      <c r="B680" s="22" t="n"/>
      <c r="E680" s="23" t="n"/>
      <c r="F680" s="24" t="n"/>
      <c r="H680" s="22" t="n"/>
      <c r="I680" s="22" t="n"/>
      <c r="J680" s="21">
        <f>IF(C680="","",IFERROR(INDEX(Clientes!$B:$B,MATCH(C680,Clientes!$A:$A,0)),"Cód. não cadastrado"))</f>
        <v/>
      </c>
      <c r="K680" s="18">
        <f>IF(B680="","",YEAR(B680))</f>
        <v/>
      </c>
      <c r="L680" s="18">
        <f>IF(B680="","",MONTH(B680))</f>
        <v/>
      </c>
      <c r="M680" s="18">
        <f>IF(OR(B680="",I680=""),"",I680-B680)</f>
        <v/>
      </c>
      <c r="N680" s="21">
        <f>IF(B680="","",IF(I680="",IF(H680="","",IF(TODAY()&gt;H680,"Atrasado (em aberto)","Em aberto")),IF(I680&lt;=H680,"No prazo","Fora do prazo")))</f>
        <v/>
      </c>
    </row>
    <row r="681">
      <c r="B681" s="22" t="n"/>
      <c r="E681" s="23" t="n"/>
      <c r="F681" s="24" t="n"/>
      <c r="H681" s="22" t="n"/>
      <c r="I681" s="22" t="n"/>
      <c r="J681" s="21">
        <f>IF(C681="","",IFERROR(INDEX(Clientes!$B:$B,MATCH(C681,Clientes!$A:$A,0)),"Cód. não cadastrado"))</f>
        <v/>
      </c>
      <c r="K681" s="18">
        <f>IF(B681="","",YEAR(B681))</f>
        <v/>
      </c>
      <c r="L681" s="18">
        <f>IF(B681="","",MONTH(B681))</f>
        <v/>
      </c>
      <c r="M681" s="18">
        <f>IF(OR(B681="",I681=""),"",I681-B681)</f>
        <v/>
      </c>
      <c r="N681" s="21">
        <f>IF(B681="","",IF(I681="",IF(H681="","",IF(TODAY()&gt;H681,"Atrasado (em aberto)","Em aberto")),IF(I681&lt;=H681,"No prazo","Fora do prazo")))</f>
        <v/>
      </c>
    </row>
    <row r="682">
      <c r="B682" s="22" t="n"/>
      <c r="E682" s="23" t="n"/>
      <c r="F682" s="24" t="n"/>
      <c r="H682" s="22" t="n"/>
      <c r="I682" s="22" t="n"/>
      <c r="J682" s="21">
        <f>IF(C682="","",IFERROR(INDEX(Clientes!$B:$B,MATCH(C682,Clientes!$A:$A,0)),"Cód. não cadastrado"))</f>
        <v/>
      </c>
      <c r="K682" s="18">
        <f>IF(B682="","",YEAR(B682))</f>
        <v/>
      </c>
      <c r="L682" s="18">
        <f>IF(B682="","",MONTH(B682))</f>
        <v/>
      </c>
      <c r="M682" s="18">
        <f>IF(OR(B682="",I682=""),"",I682-B682)</f>
        <v/>
      </c>
      <c r="N682" s="21">
        <f>IF(B682="","",IF(I682="",IF(H682="","",IF(TODAY()&gt;H682,"Atrasado (em aberto)","Em aberto")),IF(I682&lt;=H682,"No prazo","Fora do prazo")))</f>
        <v/>
      </c>
    </row>
    <row r="683">
      <c r="B683" s="22" t="n"/>
      <c r="E683" s="23" t="n"/>
      <c r="F683" s="24" t="n"/>
      <c r="H683" s="22" t="n"/>
      <c r="I683" s="22" t="n"/>
      <c r="J683" s="21">
        <f>IF(C683="","",IFERROR(INDEX(Clientes!$B:$B,MATCH(C683,Clientes!$A:$A,0)),"Cód. não cadastrado"))</f>
        <v/>
      </c>
      <c r="K683" s="18">
        <f>IF(B683="","",YEAR(B683))</f>
        <v/>
      </c>
      <c r="L683" s="18">
        <f>IF(B683="","",MONTH(B683))</f>
        <v/>
      </c>
      <c r="M683" s="18">
        <f>IF(OR(B683="",I683=""),"",I683-B683)</f>
        <v/>
      </c>
      <c r="N683" s="21">
        <f>IF(B683="","",IF(I683="",IF(H683="","",IF(TODAY()&gt;H683,"Atrasado (em aberto)","Em aberto")),IF(I683&lt;=H683,"No prazo","Fora do prazo")))</f>
        <v/>
      </c>
    </row>
    <row r="684">
      <c r="B684" s="22" t="n"/>
      <c r="E684" s="23" t="n"/>
      <c r="F684" s="24" t="n"/>
      <c r="H684" s="22" t="n"/>
      <c r="I684" s="22" t="n"/>
      <c r="J684" s="21">
        <f>IF(C684="","",IFERROR(INDEX(Clientes!$B:$B,MATCH(C684,Clientes!$A:$A,0)),"Cód. não cadastrado"))</f>
        <v/>
      </c>
      <c r="K684" s="18">
        <f>IF(B684="","",YEAR(B684))</f>
        <v/>
      </c>
      <c r="L684" s="18">
        <f>IF(B684="","",MONTH(B684))</f>
        <v/>
      </c>
      <c r="M684" s="18">
        <f>IF(OR(B684="",I684=""),"",I684-B684)</f>
        <v/>
      </c>
      <c r="N684" s="21">
        <f>IF(B684="","",IF(I684="",IF(H684="","",IF(TODAY()&gt;H684,"Atrasado (em aberto)","Em aberto")),IF(I684&lt;=H684,"No prazo","Fora do prazo")))</f>
        <v/>
      </c>
    </row>
    <row r="685">
      <c r="B685" s="22" t="n"/>
      <c r="E685" s="23" t="n"/>
      <c r="F685" s="24" t="n"/>
      <c r="H685" s="22" t="n"/>
      <c r="I685" s="22" t="n"/>
      <c r="J685" s="21">
        <f>IF(C685="","",IFERROR(INDEX(Clientes!$B:$B,MATCH(C685,Clientes!$A:$A,0)),"Cód. não cadastrado"))</f>
        <v/>
      </c>
      <c r="K685" s="18">
        <f>IF(B685="","",YEAR(B685))</f>
        <v/>
      </c>
      <c r="L685" s="18">
        <f>IF(B685="","",MONTH(B685))</f>
        <v/>
      </c>
      <c r="M685" s="18">
        <f>IF(OR(B685="",I685=""),"",I685-B685)</f>
        <v/>
      </c>
      <c r="N685" s="21">
        <f>IF(B685="","",IF(I685="",IF(H685="","",IF(TODAY()&gt;H685,"Atrasado (em aberto)","Em aberto")),IF(I685&lt;=H685,"No prazo","Fora do prazo")))</f>
        <v/>
      </c>
    </row>
    <row r="686">
      <c r="B686" s="22" t="n"/>
      <c r="E686" s="23" t="n"/>
      <c r="F686" s="24" t="n"/>
      <c r="H686" s="22" t="n"/>
      <c r="I686" s="22" t="n"/>
      <c r="J686" s="21">
        <f>IF(C686="","",IFERROR(INDEX(Clientes!$B:$B,MATCH(C686,Clientes!$A:$A,0)),"Cód. não cadastrado"))</f>
        <v/>
      </c>
      <c r="K686" s="18">
        <f>IF(B686="","",YEAR(B686))</f>
        <v/>
      </c>
      <c r="L686" s="18">
        <f>IF(B686="","",MONTH(B686))</f>
        <v/>
      </c>
      <c r="M686" s="18">
        <f>IF(OR(B686="",I686=""),"",I686-B686)</f>
        <v/>
      </c>
      <c r="N686" s="21">
        <f>IF(B686="","",IF(I686="",IF(H686="","",IF(TODAY()&gt;H686,"Atrasado (em aberto)","Em aberto")),IF(I686&lt;=H686,"No prazo","Fora do prazo")))</f>
        <v/>
      </c>
    </row>
    <row r="687">
      <c r="B687" s="22" t="n"/>
      <c r="E687" s="23" t="n"/>
      <c r="F687" s="24" t="n"/>
      <c r="H687" s="22" t="n"/>
      <c r="I687" s="22" t="n"/>
      <c r="J687" s="21">
        <f>IF(C687="","",IFERROR(INDEX(Clientes!$B:$B,MATCH(C687,Clientes!$A:$A,0)),"Cód. não cadastrado"))</f>
        <v/>
      </c>
      <c r="K687" s="18">
        <f>IF(B687="","",YEAR(B687))</f>
        <v/>
      </c>
      <c r="L687" s="18">
        <f>IF(B687="","",MONTH(B687))</f>
        <v/>
      </c>
      <c r="M687" s="18">
        <f>IF(OR(B687="",I687=""),"",I687-B687)</f>
        <v/>
      </c>
      <c r="N687" s="21">
        <f>IF(B687="","",IF(I687="",IF(H687="","",IF(TODAY()&gt;H687,"Atrasado (em aberto)","Em aberto")),IF(I687&lt;=H687,"No prazo","Fora do prazo")))</f>
        <v/>
      </c>
    </row>
    <row r="688">
      <c r="B688" s="22" t="n"/>
      <c r="E688" s="23" t="n"/>
      <c r="F688" s="24" t="n"/>
      <c r="H688" s="22" t="n"/>
      <c r="I688" s="22" t="n"/>
      <c r="J688" s="21">
        <f>IF(C688="","",IFERROR(INDEX(Clientes!$B:$B,MATCH(C688,Clientes!$A:$A,0)),"Cód. não cadastrado"))</f>
        <v/>
      </c>
      <c r="K688" s="18">
        <f>IF(B688="","",YEAR(B688))</f>
        <v/>
      </c>
      <c r="L688" s="18">
        <f>IF(B688="","",MONTH(B688))</f>
        <v/>
      </c>
      <c r="M688" s="18">
        <f>IF(OR(B688="",I688=""),"",I688-B688)</f>
        <v/>
      </c>
      <c r="N688" s="21">
        <f>IF(B688="","",IF(I688="",IF(H688="","",IF(TODAY()&gt;H688,"Atrasado (em aberto)","Em aberto")),IF(I688&lt;=H688,"No prazo","Fora do prazo")))</f>
        <v/>
      </c>
    </row>
    <row r="689">
      <c r="B689" s="22" t="n"/>
      <c r="E689" s="23" t="n"/>
      <c r="F689" s="24" t="n"/>
      <c r="H689" s="22" t="n"/>
      <c r="I689" s="22" t="n"/>
      <c r="J689" s="21">
        <f>IF(C689="","",IFERROR(INDEX(Clientes!$B:$B,MATCH(C689,Clientes!$A:$A,0)),"Cód. não cadastrado"))</f>
        <v/>
      </c>
      <c r="K689" s="18">
        <f>IF(B689="","",YEAR(B689))</f>
        <v/>
      </c>
      <c r="L689" s="18">
        <f>IF(B689="","",MONTH(B689))</f>
        <v/>
      </c>
      <c r="M689" s="18">
        <f>IF(OR(B689="",I689=""),"",I689-B689)</f>
        <v/>
      </c>
      <c r="N689" s="21">
        <f>IF(B689="","",IF(I689="",IF(H689="","",IF(TODAY()&gt;H689,"Atrasado (em aberto)","Em aberto")),IF(I689&lt;=H689,"No prazo","Fora do prazo")))</f>
        <v/>
      </c>
    </row>
    <row r="690">
      <c r="B690" s="22" t="n"/>
      <c r="E690" s="23" t="n"/>
      <c r="F690" s="24" t="n"/>
      <c r="H690" s="22" t="n"/>
      <c r="I690" s="22" t="n"/>
      <c r="J690" s="21">
        <f>IF(C690="","",IFERROR(INDEX(Clientes!$B:$B,MATCH(C690,Clientes!$A:$A,0)),"Cód. não cadastrado"))</f>
        <v/>
      </c>
      <c r="K690" s="18">
        <f>IF(B690="","",YEAR(B690))</f>
        <v/>
      </c>
      <c r="L690" s="18">
        <f>IF(B690="","",MONTH(B690))</f>
        <v/>
      </c>
      <c r="M690" s="18">
        <f>IF(OR(B690="",I690=""),"",I690-B690)</f>
        <v/>
      </c>
      <c r="N690" s="21">
        <f>IF(B690="","",IF(I690="",IF(H690="","",IF(TODAY()&gt;H690,"Atrasado (em aberto)","Em aberto")),IF(I690&lt;=H690,"No prazo","Fora do prazo")))</f>
        <v/>
      </c>
    </row>
    <row r="691">
      <c r="B691" s="22" t="n"/>
      <c r="E691" s="23" t="n"/>
      <c r="F691" s="24" t="n"/>
      <c r="H691" s="22" t="n"/>
      <c r="I691" s="22" t="n"/>
      <c r="J691" s="21">
        <f>IF(C691="","",IFERROR(INDEX(Clientes!$B:$B,MATCH(C691,Clientes!$A:$A,0)),"Cód. não cadastrado"))</f>
        <v/>
      </c>
      <c r="K691" s="18">
        <f>IF(B691="","",YEAR(B691))</f>
        <v/>
      </c>
      <c r="L691" s="18">
        <f>IF(B691="","",MONTH(B691))</f>
        <v/>
      </c>
      <c r="M691" s="18">
        <f>IF(OR(B691="",I691=""),"",I691-B691)</f>
        <v/>
      </c>
      <c r="N691" s="21">
        <f>IF(B691="","",IF(I691="",IF(H691="","",IF(TODAY()&gt;H691,"Atrasado (em aberto)","Em aberto")),IF(I691&lt;=H691,"No prazo","Fora do prazo")))</f>
        <v/>
      </c>
    </row>
    <row r="692">
      <c r="B692" s="22" t="n"/>
      <c r="E692" s="23" t="n"/>
      <c r="F692" s="24" t="n"/>
      <c r="H692" s="22" t="n"/>
      <c r="I692" s="22" t="n"/>
      <c r="J692" s="21">
        <f>IF(C692="","",IFERROR(INDEX(Clientes!$B:$B,MATCH(C692,Clientes!$A:$A,0)),"Cód. não cadastrado"))</f>
        <v/>
      </c>
      <c r="K692" s="18">
        <f>IF(B692="","",YEAR(B692))</f>
        <v/>
      </c>
      <c r="L692" s="18">
        <f>IF(B692="","",MONTH(B692))</f>
        <v/>
      </c>
      <c r="M692" s="18">
        <f>IF(OR(B692="",I692=""),"",I692-B692)</f>
        <v/>
      </c>
      <c r="N692" s="21">
        <f>IF(B692="","",IF(I692="",IF(H692="","",IF(TODAY()&gt;H692,"Atrasado (em aberto)","Em aberto")),IF(I692&lt;=H692,"No prazo","Fora do prazo")))</f>
        <v/>
      </c>
    </row>
    <row r="693">
      <c r="B693" s="22" t="n"/>
      <c r="E693" s="23" t="n"/>
      <c r="F693" s="24" t="n"/>
      <c r="H693" s="22" t="n"/>
      <c r="I693" s="22" t="n"/>
      <c r="J693" s="21">
        <f>IF(C693="","",IFERROR(INDEX(Clientes!$B:$B,MATCH(C693,Clientes!$A:$A,0)),"Cód. não cadastrado"))</f>
        <v/>
      </c>
      <c r="K693" s="18">
        <f>IF(B693="","",YEAR(B693))</f>
        <v/>
      </c>
      <c r="L693" s="18">
        <f>IF(B693="","",MONTH(B693))</f>
        <v/>
      </c>
      <c r="M693" s="18">
        <f>IF(OR(B693="",I693=""),"",I693-B693)</f>
        <v/>
      </c>
      <c r="N693" s="21">
        <f>IF(B693="","",IF(I693="",IF(H693="","",IF(TODAY()&gt;H693,"Atrasado (em aberto)","Em aberto")),IF(I693&lt;=H693,"No prazo","Fora do prazo")))</f>
        <v/>
      </c>
    </row>
    <row r="694">
      <c r="B694" s="22" t="n"/>
      <c r="E694" s="23" t="n"/>
      <c r="F694" s="24" t="n"/>
      <c r="H694" s="22" t="n"/>
      <c r="I694" s="22" t="n"/>
      <c r="J694" s="21">
        <f>IF(C694="","",IFERROR(INDEX(Clientes!$B:$B,MATCH(C694,Clientes!$A:$A,0)),"Cód. não cadastrado"))</f>
        <v/>
      </c>
      <c r="K694" s="18">
        <f>IF(B694="","",YEAR(B694))</f>
        <v/>
      </c>
      <c r="L694" s="18">
        <f>IF(B694="","",MONTH(B694))</f>
        <v/>
      </c>
      <c r="M694" s="18">
        <f>IF(OR(B694="",I694=""),"",I694-B694)</f>
        <v/>
      </c>
      <c r="N694" s="21">
        <f>IF(B694="","",IF(I694="",IF(H694="","",IF(TODAY()&gt;H694,"Atrasado (em aberto)","Em aberto")),IF(I694&lt;=H694,"No prazo","Fora do prazo")))</f>
        <v/>
      </c>
    </row>
    <row r="695">
      <c r="B695" s="22" t="n"/>
      <c r="E695" s="23" t="n"/>
      <c r="F695" s="24" t="n"/>
      <c r="H695" s="22" t="n"/>
      <c r="I695" s="22" t="n"/>
      <c r="J695" s="21">
        <f>IF(C695="","",IFERROR(INDEX(Clientes!$B:$B,MATCH(C695,Clientes!$A:$A,0)),"Cód. não cadastrado"))</f>
        <v/>
      </c>
      <c r="K695" s="18">
        <f>IF(B695="","",YEAR(B695))</f>
        <v/>
      </c>
      <c r="L695" s="18">
        <f>IF(B695="","",MONTH(B695))</f>
        <v/>
      </c>
      <c r="M695" s="18">
        <f>IF(OR(B695="",I695=""),"",I695-B695)</f>
        <v/>
      </c>
      <c r="N695" s="21">
        <f>IF(B695="","",IF(I695="",IF(H695="","",IF(TODAY()&gt;H695,"Atrasado (em aberto)","Em aberto")),IF(I695&lt;=H695,"No prazo","Fora do prazo")))</f>
        <v/>
      </c>
    </row>
    <row r="696">
      <c r="B696" s="22" t="n"/>
      <c r="E696" s="23" t="n"/>
      <c r="F696" s="24" t="n"/>
      <c r="H696" s="22" t="n"/>
      <c r="I696" s="22" t="n"/>
      <c r="J696" s="21">
        <f>IF(C696="","",IFERROR(INDEX(Clientes!$B:$B,MATCH(C696,Clientes!$A:$A,0)),"Cód. não cadastrado"))</f>
        <v/>
      </c>
      <c r="K696" s="18">
        <f>IF(B696="","",YEAR(B696))</f>
        <v/>
      </c>
      <c r="L696" s="18">
        <f>IF(B696="","",MONTH(B696))</f>
        <v/>
      </c>
      <c r="M696" s="18">
        <f>IF(OR(B696="",I696=""),"",I696-B696)</f>
        <v/>
      </c>
      <c r="N696" s="21">
        <f>IF(B696="","",IF(I696="",IF(H696="","",IF(TODAY()&gt;H696,"Atrasado (em aberto)","Em aberto")),IF(I696&lt;=H696,"No prazo","Fora do prazo")))</f>
        <v/>
      </c>
    </row>
    <row r="697">
      <c r="B697" s="22" t="n"/>
      <c r="E697" s="23" t="n"/>
      <c r="F697" s="24" t="n"/>
      <c r="H697" s="22" t="n"/>
      <c r="I697" s="22" t="n"/>
      <c r="J697" s="21">
        <f>IF(C697="","",IFERROR(INDEX(Clientes!$B:$B,MATCH(C697,Clientes!$A:$A,0)),"Cód. não cadastrado"))</f>
        <v/>
      </c>
      <c r="K697" s="18">
        <f>IF(B697="","",YEAR(B697))</f>
        <v/>
      </c>
      <c r="L697" s="18">
        <f>IF(B697="","",MONTH(B697))</f>
        <v/>
      </c>
      <c r="M697" s="18">
        <f>IF(OR(B697="",I697=""),"",I697-B697)</f>
        <v/>
      </c>
      <c r="N697" s="21">
        <f>IF(B697="","",IF(I697="",IF(H697="","",IF(TODAY()&gt;H697,"Atrasado (em aberto)","Em aberto")),IF(I697&lt;=H697,"No prazo","Fora do prazo")))</f>
        <v/>
      </c>
    </row>
    <row r="698">
      <c r="B698" s="22" t="n"/>
      <c r="E698" s="23" t="n"/>
      <c r="F698" s="24" t="n"/>
      <c r="H698" s="22" t="n"/>
      <c r="I698" s="22" t="n"/>
      <c r="J698" s="21">
        <f>IF(C698="","",IFERROR(INDEX(Clientes!$B:$B,MATCH(C698,Clientes!$A:$A,0)),"Cód. não cadastrado"))</f>
        <v/>
      </c>
      <c r="K698" s="18">
        <f>IF(B698="","",YEAR(B698))</f>
        <v/>
      </c>
      <c r="L698" s="18">
        <f>IF(B698="","",MONTH(B698))</f>
        <v/>
      </c>
      <c r="M698" s="18">
        <f>IF(OR(B698="",I698=""),"",I698-B698)</f>
        <v/>
      </c>
      <c r="N698" s="21">
        <f>IF(B698="","",IF(I698="",IF(H698="","",IF(TODAY()&gt;H698,"Atrasado (em aberto)","Em aberto")),IF(I698&lt;=H698,"No prazo","Fora do prazo")))</f>
        <v/>
      </c>
    </row>
    <row r="699">
      <c r="B699" s="22" t="n"/>
      <c r="E699" s="23" t="n"/>
      <c r="F699" s="24" t="n"/>
      <c r="H699" s="22" t="n"/>
      <c r="I699" s="22" t="n"/>
      <c r="J699" s="21">
        <f>IF(C699="","",IFERROR(INDEX(Clientes!$B:$B,MATCH(C699,Clientes!$A:$A,0)),"Cód. não cadastrado"))</f>
        <v/>
      </c>
      <c r="K699" s="18">
        <f>IF(B699="","",YEAR(B699))</f>
        <v/>
      </c>
      <c r="L699" s="18">
        <f>IF(B699="","",MONTH(B699))</f>
        <v/>
      </c>
      <c r="M699" s="18">
        <f>IF(OR(B699="",I699=""),"",I699-B699)</f>
        <v/>
      </c>
      <c r="N699" s="21">
        <f>IF(B699="","",IF(I699="",IF(H699="","",IF(TODAY()&gt;H699,"Atrasado (em aberto)","Em aberto")),IF(I699&lt;=H699,"No prazo","Fora do prazo")))</f>
        <v/>
      </c>
    </row>
    <row r="700">
      <c r="B700" s="22" t="n"/>
      <c r="E700" s="23" t="n"/>
      <c r="F700" s="24" t="n"/>
      <c r="H700" s="22" t="n"/>
      <c r="I700" s="22" t="n"/>
      <c r="J700" s="21">
        <f>IF(C700="","",IFERROR(INDEX(Clientes!$B:$B,MATCH(C700,Clientes!$A:$A,0)),"Cód. não cadastrado"))</f>
        <v/>
      </c>
      <c r="K700" s="18">
        <f>IF(B700="","",YEAR(B700))</f>
        <v/>
      </c>
      <c r="L700" s="18">
        <f>IF(B700="","",MONTH(B700))</f>
        <v/>
      </c>
      <c r="M700" s="18">
        <f>IF(OR(B700="",I700=""),"",I700-B700)</f>
        <v/>
      </c>
      <c r="N700" s="21">
        <f>IF(B700="","",IF(I700="",IF(H700="","",IF(TODAY()&gt;H700,"Atrasado (em aberto)","Em aberto")),IF(I700&lt;=H700,"No prazo","Fora do prazo")))</f>
        <v/>
      </c>
    </row>
    <row r="701">
      <c r="B701" s="22" t="n"/>
      <c r="E701" s="23" t="n"/>
      <c r="F701" s="24" t="n"/>
      <c r="H701" s="22" t="n"/>
      <c r="I701" s="22" t="n"/>
      <c r="J701" s="21">
        <f>IF(C701="","",IFERROR(INDEX(Clientes!$B:$B,MATCH(C701,Clientes!$A:$A,0)),"Cód. não cadastrado"))</f>
        <v/>
      </c>
      <c r="K701" s="18">
        <f>IF(B701="","",YEAR(B701))</f>
        <v/>
      </c>
      <c r="L701" s="18">
        <f>IF(B701="","",MONTH(B701))</f>
        <v/>
      </c>
      <c r="M701" s="18">
        <f>IF(OR(B701="",I701=""),"",I701-B701)</f>
        <v/>
      </c>
      <c r="N701" s="21">
        <f>IF(B701="","",IF(I701="",IF(H701="","",IF(TODAY()&gt;H701,"Atrasado (em aberto)","Em aberto")),IF(I701&lt;=H701,"No prazo","Fora do prazo")))</f>
        <v/>
      </c>
    </row>
    <row r="702">
      <c r="B702" s="22" t="n"/>
      <c r="E702" s="23" t="n"/>
      <c r="F702" s="24" t="n"/>
      <c r="H702" s="22" t="n"/>
      <c r="I702" s="22" t="n"/>
      <c r="J702" s="21">
        <f>IF(C702="","",IFERROR(INDEX(Clientes!$B:$B,MATCH(C702,Clientes!$A:$A,0)),"Cód. não cadastrado"))</f>
        <v/>
      </c>
      <c r="K702" s="18">
        <f>IF(B702="","",YEAR(B702))</f>
        <v/>
      </c>
      <c r="L702" s="18">
        <f>IF(B702="","",MONTH(B702))</f>
        <v/>
      </c>
      <c r="M702" s="18">
        <f>IF(OR(B702="",I702=""),"",I702-B702)</f>
        <v/>
      </c>
      <c r="N702" s="21">
        <f>IF(B702="","",IF(I702="",IF(H702="","",IF(TODAY()&gt;H702,"Atrasado (em aberto)","Em aberto")),IF(I702&lt;=H702,"No prazo","Fora do prazo")))</f>
        <v/>
      </c>
    </row>
    <row r="703">
      <c r="B703" s="22" t="n"/>
      <c r="E703" s="23" t="n"/>
      <c r="F703" s="24" t="n"/>
      <c r="H703" s="22" t="n"/>
      <c r="I703" s="22" t="n"/>
      <c r="J703" s="21">
        <f>IF(C703="","",IFERROR(INDEX(Clientes!$B:$B,MATCH(C703,Clientes!$A:$A,0)),"Cód. não cadastrado"))</f>
        <v/>
      </c>
      <c r="K703" s="18">
        <f>IF(B703="","",YEAR(B703))</f>
        <v/>
      </c>
      <c r="L703" s="18">
        <f>IF(B703="","",MONTH(B703))</f>
        <v/>
      </c>
      <c r="M703" s="18">
        <f>IF(OR(B703="",I703=""),"",I703-B703)</f>
        <v/>
      </c>
      <c r="N703" s="21">
        <f>IF(B703="","",IF(I703="",IF(H703="","",IF(TODAY()&gt;H703,"Atrasado (em aberto)","Em aberto")),IF(I703&lt;=H703,"No prazo","Fora do prazo")))</f>
        <v/>
      </c>
    </row>
    <row r="704">
      <c r="B704" s="22" t="n"/>
      <c r="E704" s="23" t="n"/>
      <c r="F704" s="24" t="n"/>
      <c r="H704" s="22" t="n"/>
      <c r="I704" s="22" t="n"/>
      <c r="J704" s="21">
        <f>IF(C704="","",IFERROR(INDEX(Clientes!$B:$B,MATCH(C704,Clientes!$A:$A,0)),"Cód. não cadastrado"))</f>
        <v/>
      </c>
      <c r="K704" s="18">
        <f>IF(B704="","",YEAR(B704))</f>
        <v/>
      </c>
      <c r="L704" s="18">
        <f>IF(B704="","",MONTH(B704))</f>
        <v/>
      </c>
      <c r="M704" s="18">
        <f>IF(OR(B704="",I704=""),"",I704-B704)</f>
        <v/>
      </c>
      <c r="N704" s="21">
        <f>IF(B704="","",IF(I704="",IF(H704="","",IF(TODAY()&gt;H704,"Atrasado (em aberto)","Em aberto")),IF(I704&lt;=H704,"No prazo","Fora do prazo")))</f>
        <v/>
      </c>
    </row>
    <row r="705">
      <c r="B705" s="22" t="n"/>
      <c r="E705" s="23" t="n"/>
      <c r="F705" s="24" t="n"/>
      <c r="H705" s="22" t="n"/>
      <c r="I705" s="22" t="n"/>
      <c r="J705" s="21">
        <f>IF(C705="","",IFERROR(INDEX(Clientes!$B:$B,MATCH(C705,Clientes!$A:$A,0)),"Cód. não cadastrado"))</f>
        <v/>
      </c>
      <c r="K705" s="18">
        <f>IF(B705="","",YEAR(B705))</f>
        <v/>
      </c>
      <c r="L705" s="18">
        <f>IF(B705="","",MONTH(B705))</f>
        <v/>
      </c>
      <c r="M705" s="18">
        <f>IF(OR(B705="",I705=""),"",I705-B705)</f>
        <v/>
      </c>
      <c r="N705" s="21">
        <f>IF(B705="","",IF(I705="",IF(H705="","",IF(TODAY()&gt;H705,"Atrasado (em aberto)","Em aberto")),IF(I705&lt;=H705,"No prazo","Fora do prazo")))</f>
        <v/>
      </c>
    </row>
    <row r="706">
      <c r="B706" s="22" t="n"/>
      <c r="E706" s="23" t="n"/>
      <c r="F706" s="24" t="n"/>
      <c r="H706" s="22" t="n"/>
      <c r="I706" s="22" t="n"/>
      <c r="J706" s="21">
        <f>IF(C706="","",IFERROR(INDEX(Clientes!$B:$B,MATCH(C706,Clientes!$A:$A,0)),"Cód. não cadastrado"))</f>
        <v/>
      </c>
      <c r="K706" s="18">
        <f>IF(B706="","",YEAR(B706))</f>
        <v/>
      </c>
      <c r="L706" s="18">
        <f>IF(B706="","",MONTH(B706))</f>
        <v/>
      </c>
      <c r="M706" s="18">
        <f>IF(OR(B706="",I706=""),"",I706-B706)</f>
        <v/>
      </c>
      <c r="N706" s="21">
        <f>IF(B706="","",IF(I706="",IF(H706="","",IF(TODAY()&gt;H706,"Atrasado (em aberto)","Em aberto")),IF(I706&lt;=H706,"No prazo","Fora do prazo")))</f>
        <v/>
      </c>
    </row>
    <row r="707">
      <c r="B707" s="22" t="n"/>
      <c r="E707" s="23" t="n"/>
      <c r="F707" s="24" t="n"/>
      <c r="H707" s="22" t="n"/>
      <c r="I707" s="22" t="n"/>
      <c r="J707" s="21">
        <f>IF(C707="","",IFERROR(INDEX(Clientes!$B:$B,MATCH(C707,Clientes!$A:$A,0)),"Cód. não cadastrado"))</f>
        <v/>
      </c>
      <c r="K707" s="18">
        <f>IF(B707="","",YEAR(B707))</f>
        <v/>
      </c>
      <c r="L707" s="18">
        <f>IF(B707="","",MONTH(B707))</f>
        <v/>
      </c>
      <c r="M707" s="18">
        <f>IF(OR(B707="",I707=""),"",I707-B707)</f>
        <v/>
      </c>
      <c r="N707" s="21">
        <f>IF(B707="","",IF(I707="",IF(H707="","",IF(TODAY()&gt;H707,"Atrasado (em aberto)","Em aberto")),IF(I707&lt;=H707,"No prazo","Fora do prazo")))</f>
        <v/>
      </c>
    </row>
    <row r="708">
      <c r="B708" s="22" t="n"/>
      <c r="E708" s="23" t="n"/>
      <c r="F708" s="24" t="n"/>
      <c r="H708" s="22" t="n"/>
      <c r="I708" s="22" t="n"/>
      <c r="J708" s="21">
        <f>IF(C708="","",IFERROR(INDEX(Clientes!$B:$B,MATCH(C708,Clientes!$A:$A,0)),"Cód. não cadastrado"))</f>
        <v/>
      </c>
      <c r="K708" s="18">
        <f>IF(B708="","",YEAR(B708))</f>
        <v/>
      </c>
      <c r="L708" s="18">
        <f>IF(B708="","",MONTH(B708))</f>
        <v/>
      </c>
      <c r="M708" s="18">
        <f>IF(OR(B708="",I708=""),"",I708-B708)</f>
        <v/>
      </c>
      <c r="N708" s="21">
        <f>IF(B708="","",IF(I708="",IF(H708="","",IF(TODAY()&gt;H708,"Atrasado (em aberto)","Em aberto")),IF(I708&lt;=H708,"No prazo","Fora do prazo")))</f>
        <v/>
      </c>
    </row>
    <row r="709">
      <c r="B709" s="22" t="n"/>
      <c r="E709" s="23" t="n"/>
      <c r="F709" s="24" t="n"/>
      <c r="H709" s="22" t="n"/>
      <c r="I709" s="22" t="n"/>
      <c r="J709" s="21">
        <f>IF(C709="","",IFERROR(INDEX(Clientes!$B:$B,MATCH(C709,Clientes!$A:$A,0)),"Cód. não cadastrado"))</f>
        <v/>
      </c>
      <c r="K709" s="18">
        <f>IF(B709="","",YEAR(B709))</f>
        <v/>
      </c>
      <c r="L709" s="18">
        <f>IF(B709="","",MONTH(B709))</f>
        <v/>
      </c>
      <c r="M709" s="18">
        <f>IF(OR(B709="",I709=""),"",I709-B709)</f>
        <v/>
      </c>
      <c r="N709" s="21">
        <f>IF(B709="","",IF(I709="",IF(H709="","",IF(TODAY()&gt;H709,"Atrasado (em aberto)","Em aberto")),IF(I709&lt;=H709,"No prazo","Fora do prazo")))</f>
        <v/>
      </c>
    </row>
    <row r="710">
      <c r="B710" s="22" t="n"/>
      <c r="E710" s="23" t="n"/>
      <c r="F710" s="24" t="n"/>
      <c r="H710" s="22" t="n"/>
      <c r="I710" s="22" t="n"/>
      <c r="J710" s="21">
        <f>IF(C710="","",IFERROR(INDEX(Clientes!$B:$B,MATCH(C710,Clientes!$A:$A,0)),"Cód. não cadastrado"))</f>
        <v/>
      </c>
      <c r="K710" s="18">
        <f>IF(B710="","",YEAR(B710))</f>
        <v/>
      </c>
      <c r="L710" s="18">
        <f>IF(B710="","",MONTH(B710))</f>
        <v/>
      </c>
      <c r="M710" s="18">
        <f>IF(OR(B710="",I710=""),"",I710-B710)</f>
        <v/>
      </c>
      <c r="N710" s="21">
        <f>IF(B710="","",IF(I710="",IF(H710="","",IF(TODAY()&gt;H710,"Atrasado (em aberto)","Em aberto")),IF(I710&lt;=H710,"No prazo","Fora do prazo")))</f>
        <v/>
      </c>
    </row>
    <row r="711">
      <c r="B711" s="22" t="n"/>
      <c r="E711" s="23" t="n"/>
      <c r="F711" s="24" t="n"/>
      <c r="H711" s="22" t="n"/>
      <c r="I711" s="22" t="n"/>
      <c r="J711" s="21">
        <f>IF(C711="","",IFERROR(INDEX(Clientes!$B:$B,MATCH(C711,Clientes!$A:$A,0)),"Cód. não cadastrado"))</f>
        <v/>
      </c>
      <c r="K711" s="18">
        <f>IF(B711="","",YEAR(B711))</f>
        <v/>
      </c>
      <c r="L711" s="18">
        <f>IF(B711="","",MONTH(B711))</f>
        <v/>
      </c>
      <c r="M711" s="18">
        <f>IF(OR(B711="",I711=""),"",I711-B711)</f>
        <v/>
      </c>
      <c r="N711" s="21">
        <f>IF(B711="","",IF(I711="",IF(H711="","",IF(TODAY()&gt;H711,"Atrasado (em aberto)","Em aberto")),IF(I711&lt;=H711,"No prazo","Fora do prazo")))</f>
        <v/>
      </c>
    </row>
    <row r="712">
      <c r="B712" s="22" t="n"/>
      <c r="E712" s="23" t="n"/>
      <c r="F712" s="24" t="n"/>
      <c r="H712" s="22" t="n"/>
      <c r="I712" s="22" t="n"/>
      <c r="J712" s="21">
        <f>IF(C712="","",IFERROR(INDEX(Clientes!$B:$B,MATCH(C712,Clientes!$A:$A,0)),"Cód. não cadastrado"))</f>
        <v/>
      </c>
      <c r="K712" s="18">
        <f>IF(B712="","",YEAR(B712))</f>
        <v/>
      </c>
      <c r="L712" s="18">
        <f>IF(B712="","",MONTH(B712))</f>
        <v/>
      </c>
      <c r="M712" s="18">
        <f>IF(OR(B712="",I712=""),"",I712-B712)</f>
        <v/>
      </c>
      <c r="N712" s="21">
        <f>IF(B712="","",IF(I712="",IF(H712="","",IF(TODAY()&gt;H712,"Atrasado (em aberto)","Em aberto")),IF(I712&lt;=H712,"No prazo","Fora do prazo")))</f>
        <v/>
      </c>
    </row>
    <row r="713">
      <c r="B713" s="22" t="n"/>
      <c r="E713" s="23" t="n"/>
      <c r="F713" s="24" t="n"/>
      <c r="H713" s="22" t="n"/>
      <c r="I713" s="22" t="n"/>
      <c r="J713" s="21">
        <f>IF(C713="","",IFERROR(INDEX(Clientes!$B:$B,MATCH(C713,Clientes!$A:$A,0)),"Cód. não cadastrado"))</f>
        <v/>
      </c>
      <c r="K713" s="18">
        <f>IF(B713="","",YEAR(B713))</f>
        <v/>
      </c>
      <c r="L713" s="18">
        <f>IF(B713="","",MONTH(B713))</f>
        <v/>
      </c>
      <c r="M713" s="18">
        <f>IF(OR(B713="",I713=""),"",I713-B713)</f>
        <v/>
      </c>
      <c r="N713" s="21">
        <f>IF(B713="","",IF(I713="",IF(H713="","",IF(TODAY()&gt;H713,"Atrasado (em aberto)","Em aberto")),IF(I713&lt;=H713,"No prazo","Fora do prazo")))</f>
        <v/>
      </c>
    </row>
    <row r="714">
      <c r="B714" s="22" t="n"/>
      <c r="E714" s="23" t="n"/>
      <c r="F714" s="24" t="n"/>
      <c r="H714" s="22" t="n"/>
      <c r="I714" s="22" t="n"/>
      <c r="J714" s="21">
        <f>IF(C714="","",IFERROR(INDEX(Clientes!$B:$B,MATCH(C714,Clientes!$A:$A,0)),"Cód. não cadastrado"))</f>
        <v/>
      </c>
      <c r="K714" s="18">
        <f>IF(B714="","",YEAR(B714))</f>
        <v/>
      </c>
      <c r="L714" s="18">
        <f>IF(B714="","",MONTH(B714))</f>
        <v/>
      </c>
      <c r="M714" s="18">
        <f>IF(OR(B714="",I714=""),"",I714-B714)</f>
        <v/>
      </c>
      <c r="N714" s="21">
        <f>IF(B714="","",IF(I714="",IF(H714="","",IF(TODAY()&gt;H714,"Atrasado (em aberto)","Em aberto")),IF(I714&lt;=H714,"No prazo","Fora do prazo")))</f>
        <v/>
      </c>
    </row>
    <row r="715">
      <c r="B715" s="22" t="n"/>
      <c r="E715" s="23" t="n"/>
      <c r="F715" s="24" t="n"/>
      <c r="H715" s="22" t="n"/>
      <c r="I715" s="22" t="n"/>
      <c r="J715" s="21">
        <f>IF(C715="","",IFERROR(INDEX(Clientes!$B:$B,MATCH(C715,Clientes!$A:$A,0)),"Cód. não cadastrado"))</f>
        <v/>
      </c>
      <c r="K715" s="18">
        <f>IF(B715="","",YEAR(B715))</f>
        <v/>
      </c>
      <c r="L715" s="18">
        <f>IF(B715="","",MONTH(B715))</f>
        <v/>
      </c>
      <c r="M715" s="18">
        <f>IF(OR(B715="",I715=""),"",I715-B715)</f>
        <v/>
      </c>
      <c r="N715" s="21">
        <f>IF(B715="","",IF(I715="",IF(H715="","",IF(TODAY()&gt;H715,"Atrasado (em aberto)","Em aberto")),IF(I715&lt;=H715,"No prazo","Fora do prazo")))</f>
        <v/>
      </c>
    </row>
    <row r="716">
      <c r="B716" s="22" t="n"/>
      <c r="E716" s="23" t="n"/>
      <c r="F716" s="24" t="n"/>
      <c r="H716" s="22" t="n"/>
      <c r="I716" s="22" t="n"/>
      <c r="J716" s="21">
        <f>IF(C716="","",IFERROR(INDEX(Clientes!$B:$B,MATCH(C716,Clientes!$A:$A,0)),"Cód. não cadastrado"))</f>
        <v/>
      </c>
      <c r="K716" s="18">
        <f>IF(B716="","",YEAR(B716))</f>
        <v/>
      </c>
      <c r="L716" s="18">
        <f>IF(B716="","",MONTH(B716))</f>
        <v/>
      </c>
      <c r="M716" s="18">
        <f>IF(OR(B716="",I716=""),"",I716-B716)</f>
        <v/>
      </c>
      <c r="N716" s="21">
        <f>IF(B716="","",IF(I716="",IF(H716="","",IF(TODAY()&gt;H716,"Atrasado (em aberto)","Em aberto")),IF(I716&lt;=H716,"No prazo","Fora do prazo")))</f>
        <v/>
      </c>
    </row>
    <row r="717">
      <c r="B717" s="22" t="n"/>
      <c r="E717" s="23" t="n"/>
      <c r="F717" s="24" t="n"/>
      <c r="H717" s="22" t="n"/>
      <c r="I717" s="22" t="n"/>
      <c r="J717" s="21">
        <f>IF(C717="","",IFERROR(INDEX(Clientes!$B:$B,MATCH(C717,Clientes!$A:$A,0)),"Cód. não cadastrado"))</f>
        <v/>
      </c>
      <c r="K717" s="18">
        <f>IF(B717="","",YEAR(B717))</f>
        <v/>
      </c>
      <c r="L717" s="18">
        <f>IF(B717="","",MONTH(B717))</f>
        <v/>
      </c>
      <c r="M717" s="18">
        <f>IF(OR(B717="",I717=""),"",I717-B717)</f>
        <v/>
      </c>
      <c r="N717" s="21">
        <f>IF(B717="","",IF(I717="",IF(H717="","",IF(TODAY()&gt;H717,"Atrasado (em aberto)","Em aberto")),IF(I717&lt;=H717,"No prazo","Fora do prazo")))</f>
        <v/>
      </c>
    </row>
    <row r="718">
      <c r="B718" s="22" t="n"/>
      <c r="E718" s="23" t="n"/>
      <c r="F718" s="24" t="n"/>
      <c r="H718" s="22" t="n"/>
      <c r="I718" s="22" t="n"/>
      <c r="J718" s="21">
        <f>IF(C718="","",IFERROR(INDEX(Clientes!$B:$B,MATCH(C718,Clientes!$A:$A,0)),"Cód. não cadastrado"))</f>
        <v/>
      </c>
      <c r="K718" s="18">
        <f>IF(B718="","",YEAR(B718))</f>
        <v/>
      </c>
      <c r="L718" s="18">
        <f>IF(B718="","",MONTH(B718))</f>
        <v/>
      </c>
      <c r="M718" s="18">
        <f>IF(OR(B718="",I718=""),"",I718-B718)</f>
        <v/>
      </c>
      <c r="N718" s="21">
        <f>IF(B718="","",IF(I718="",IF(H718="","",IF(TODAY()&gt;H718,"Atrasado (em aberto)","Em aberto")),IF(I718&lt;=H718,"No prazo","Fora do prazo")))</f>
        <v/>
      </c>
    </row>
    <row r="719">
      <c r="B719" s="22" t="n"/>
      <c r="E719" s="23" t="n"/>
      <c r="F719" s="24" t="n"/>
      <c r="H719" s="22" t="n"/>
      <c r="I719" s="22" t="n"/>
      <c r="J719" s="21">
        <f>IF(C719="","",IFERROR(INDEX(Clientes!$B:$B,MATCH(C719,Clientes!$A:$A,0)),"Cód. não cadastrado"))</f>
        <v/>
      </c>
      <c r="K719" s="18">
        <f>IF(B719="","",YEAR(B719))</f>
        <v/>
      </c>
      <c r="L719" s="18">
        <f>IF(B719="","",MONTH(B719))</f>
        <v/>
      </c>
      <c r="M719" s="18">
        <f>IF(OR(B719="",I719=""),"",I719-B719)</f>
        <v/>
      </c>
      <c r="N719" s="21">
        <f>IF(B719="","",IF(I719="",IF(H719="","",IF(TODAY()&gt;H719,"Atrasado (em aberto)","Em aberto")),IF(I719&lt;=H719,"No prazo","Fora do prazo")))</f>
        <v/>
      </c>
    </row>
    <row r="720">
      <c r="B720" s="22" t="n"/>
      <c r="E720" s="23" t="n"/>
      <c r="F720" s="24" t="n"/>
      <c r="H720" s="22" t="n"/>
      <c r="I720" s="22" t="n"/>
      <c r="J720" s="21">
        <f>IF(C720="","",IFERROR(INDEX(Clientes!$B:$B,MATCH(C720,Clientes!$A:$A,0)),"Cód. não cadastrado"))</f>
        <v/>
      </c>
      <c r="K720" s="18">
        <f>IF(B720="","",YEAR(B720))</f>
        <v/>
      </c>
      <c r="L720" s="18">
        <f>IF(B720="","",MONTH(B720))</f>
        <v/>
      </c>
      <c r="M720" s="18">
        <f>IF(OR(B720="",I720=""),"",I720-B720)</f>
        <v/>
      </c>
      <c r="N720" s="21">
        <f>IF(B720="","",IF(I720="",IF(H720="","",IF(TODAY()&gt;H720,"Atrasado (em aberto)","Em aberto")),IF(I720&lt;=H720,"No prazo","Fora do prazo")))</f>
        <v/>
      </c>
    </row>
    <row r="721">
      <c r="B721" s="22" t="n"/>
      <c r="E721" s="23" t="n"/>
      <c r="F721" s="24" t="n"/>
      <c r="H721" s="22" t="n"/>
      <c r="I721" s="22" t="n"/>
      <c r="J721" s="21">
        <f>IF(C721="","",IFERROR(INDEX(Clientes!$B:$B,MATCH(C721,Clientes!$A:$A,0)),"Cód. não cadastrado"))</f>
        <v/>
      </c>
      <c r="K721" s="18">
        <f>IF(B721="","",YEAR(B721))</f>
        <v/>
      </c>
      <c r="L721" s="18">
        <f>IF(B721="","",MONTH(B721))</f>
        <v/>
      </c>
      <c r="M721" s="18">
        <f>IF(OR(B721="",I721=""),"",I721-B721)</f>
        <v/>
      </c>
      <c r="N721" s="21">
        <f>IF(B721="","",IF(I721="",IF(H721="","",IF(TODAY()&gt;H721,"Atrasado (em aberto)","Em aberto")),IF(I721&lt;=H721,"No prazo","Fora do prazo")))</f>
        <v/>
      </c>
    </row>
    <row r="722">
      <c r="B722" s="22" t="n"/>
      <c r="E722" s="23" t="n"/>
      <c r="F722" s="24" t="n"/>
      <c r="H722" s="22" t="n"/>
      <c r="I722" s="22" t="n"/>
      <c r="J722" s="21">
        <f>IF(C722="","",IFERROR(INDEX(Clientes!$B:$B,MATCH(C722,Clientes!$A:$A,0)),"Cód. não cadastrado"))</f>
        <v/>
      </c>
      <c r="K722" s="18">
        <f>IF(B722="","",YEAR(B722))</f>
        <v/>
      </c>
      <c r="L722" s="18">
        <f>IF(B722="","",MONTH(B722))</f>
        <v/>
      </c>
      <c r="M722" s="18">
        <f>IF(OR(B722="",I722=""),"",I722-B722)</f>
        <v/>
      </c>
      <c r="N722" s="21">
        <f>IF(B722="","",IF(I722="",IF(H722="","",IF(TODAY()&gt;H722,"Atrasado (em aberto)","Em aberto")),IF(I722&lt;=H722,"No prazo","Fora do prazo")))</f>
        <v/>
      </c>
    </row>
    <row r="723">
      <c r="B723" s="22" t="n"/>
      <c r="E723" s="23" t="n"/>
      <c r="F723" s="24" t="n"/>
      <c r="H723" s="22" t="n"/>
      <c r="I723" s="22" t="n"/>
      <c r="J723" s="21">
        <f>IF(C723="","",IFERROR(INDEX(Clientes!$B:$B,MATCH(C723,Clientes!$A:$A,0)),"Cód. não cadastrado"))</f>
        <v/>
      </c>
      <c r="K723" s="18">
        <f>IF(B723="","",YEAR(B723))</f>
        <v/>
      </c>
      <c r="L723" s="18">
        <f>IF(B723="","",MONTH(B723))</f>
        <v/>
      </c>
      <c r="M723" s="18">
        <f>IF(OR(B723="",I723=""),"",I723-B723)</f>
        <v/>
      </c>
      <c r="N723" s="21">
        <f>IF(B723="","",IF(I723="",IF(H723="","",IF(TODAY()&gt;H723,"Atrasado (em aberto)","Em aberto")),IF(I723&lt;=H723,"No prazo","Fora do prazo")))</f>
        <v/>
      </c>
    </row>
    <row r="724">
      <c r="B724" s="22" t="n"/>
      <c r="E724" s="23" t="n"/>
      <c r="F724" s="24" t="n"/>
      <c r="H724" s="22" t="n"/>
      <c r="I724" s="22" t="n"/>
      <c r="J724" s="21">
        <f>IF(C724="","",IFERROR(INDEX(Clientes!$B:$B,MATCH(C724,Clientes!$A:$A,0)),"Cód. não cadastrado"))</f>
        <v/>
      </c>
      <c r="K724" s="18">
        <f>IF(B724="","",YEAR(B724))</f>
        <v/>
      </c>
      <c r="L724" s="18">
        <f>IF(B724="","",MONTH(B724))</f>
        <v/>
      </c>
      <c r="M724" s="18">
        <f>IF(OR(B724="",I724=""),"",I724-B724)</f>
        <v/>
      </c>
      <c r="N724" s="21">
        <f>IF(B724="","",IF(I724="",IF(H724="","",IF(TODAY()&gt;H724,"Atrasado (em aberto)","Em aberto")),IF(I724&lt;=H724,"No prazo","Fora do prazo")))</f>
        <v/>
      </c>
    </row>
    <row r="725">
      <c r="B725" s="22" t="n"/>
      <c r="E725" s="23" t="n"/>
      <c r="F725" s="24" t="n"/>
      <c r="H725" s="22" t="n"/>
      <c r="I725" s="22" t="n"/>
      <c r="J725" s="21">
        <f>IF(C725="","",IFERROR(INDEX(Clientes!$B:$B,MATCH(C725,Clientes!$A:$A,0)),"Cód. não cadastrado"))</f>
        <v/>
      </c>
      <c r="K725" s="18">
        <f>IF(B725="","",YEAR(B725))</f>
        <v/>
      </c>
      <c r="L725" s="18">
        <f>IF(B725="","",MONTH(B725))</f>
        <v/>
      </c>
      <c r="M725" s="18">
        <f>IF(OR(B725="",I725=""),"",I725-B725)</f>
        <v/>
      </c>
      <c r="N725" s="21">
        <f>IF(B725="","",IF(I725="",IF(H725="","",IF(TODAY()&gt;H725,"Atrasado (em aberto)","Em aberto")),IF(I725&lt;=H725,"No prazo","Fora do prazo")))</f>
        <v/>
      </c>
    </row>
    <row r="726">
      <c r="B726" s="22" t="n"/>
      <c r="E726" s="23" t="n"/>
      <c r="F726" s="24" t="n"/>
      <c r="H726" s="22" t="n"/>
      <c r="I726" s="22" t="n"/>
      <c r="J726" s="21">
        <f>IF(C726="","",IFERROR(INDEX(Clientes!$B:$B,MATCH(C726,Clientes!$A:$A,0)),"Cód. não cadastrado"))</f>
        <v/>
      </c>
      <c r="K726" s="18">
        <f>IF(B726="","",YEAR(B726))</f>
        <v/>
      </c>
      <c r="L726" s="18">
        <f>IF(B726="","",MONTH(B726))</f>
        <v/>
      </c>
      <c r="M726" s="18">
        <f>IF(OR(B726="",I726=""),"",I726-B726)</f>
        <v/>
      </c>
      <c r="N726" s="21">
        <f>IF(B726="","",IF(I726="",IF(H726="","",IF(TODAY()&gt;H726,"Atrasado (em aberto)","Em aberto")),IF(I726&lt;=H726,"No prazo","Fora do prazo")))</f>
        <v/>
      </c>
    </row>
    <row r="727">
      <c r="B727" s="22" t="n"/>
      <c r="E727" s="23" t="n"/>
      <c r="F727" s="24" t="n"/>
      <c r="H727" s="22" t="n"/>
      <c r="I727" s="22" t="n"/>
      <c r="J727" s="21">
        <f>IF(C727="","",IFERROR(INDEX(Clientes!$B:$B,MATCH(C727,Clientes!$A:$A,0)),"Cód. não cadastrado"))</f>
        <v/>
      </c>
      <c r="K727" s="18">
        <f>IF(B727="","",YEAR(B727))</f>
        <v/>
      </c>
      <c r="L727" s="18">
        <f>IF(B727="","",MONTH(B727))</f>
        <v/>
      </c>
      <c r="M727" s="18">
        <f>IF(OR(B727="",I727=""),"",I727-B727)</f>
        <v/>
      </c>
      <c r="N727" s="21">
        <f>IF(B727="","",IF(I727="",IF(H727="","",IF(TODAY()&gt;H727,"Atrasado (em aberto)","Em aberto")),IF(I727&lt;=H727,"No prazo","Fora do prazo")))</f>
        <v/>
      </c>
    </row>
    <row r="728">
      <c r="B728" s="22" t="n"/>
      <c r="E728" s="23" t="n"/>
      <c r="F728" s="24" t="n"/>
      <c r="H728" s="22" t="n"/>
      <c r="I728" s="22" t="n"/>
      <c r="J728" s="21">
        <f>IF(C728="","",IFERROR(INDEX(Clientes!$B:$B,MATCH(C728,Clientes!$A:$A,0)),"Cód. não cadastrado"))</f>
        <v/>
      </c>
      <c r="K728" s="18">
        <f>IF(B728="","",YEAR(B728))</f>
        <v/>
      </c>
      <c r="L728" s="18">
        <f>IF(B728="","",MONTH(B728))</f>
        <v/>
      </c>
      <c r="M728" s="18">
        <f>IF(OR(B728="",I728=""),"",I728-B728)</f>
        <v/>
      </c>
      <c r="N728" s="21">
        <f>IF(B728="","",IF(I728="",IF(H728="","",IF(TODAY()&gt;H728,"Atrasado (em aberto)","Em aberto")),IF(I728&lt;=H728,"No prazo","Fora do prazo")))</f>
        <v/>
      </c>
    </row>
    <row r="729">
      <c r="B729" s="22" t="n"/>
      <c r="E729" s="23" t="n"/>
      <c r="F729" s="24" t="n"/>
      <c r="H729" s="22" t="n"/>
      <c r="I729" s="22" t="n"/>
      <c r="J729" s="21">
        <f>IF(C729="","",IFERROR(INDEX(Clientes!$B:$B,MATCH(C729,Clientes!$A:$A,0)),"Cód. não cadastrado"))</f>
        <v/>
      </c>
      <c r="K729" s="18">
        <f>IF(B729="","",YEAR(B729))</f>
        <v/>
      </c>
      <c r="L729" s="18">
        <f>IF(B729="","",MONTH(B729))</f>
        <v/>
      </c>
      <c r="M729" s="18">
        <f>IF(OR(B729="",I729=""),"",I729-B729)</f>
        <v/>
      </c>
      <c r="N729" s="21">
        <f>IF(B729="","",IF(I729="",IF(H729="","",IF(TODAY()&gt;H729,"Atrasado (em aberto)","Em aberto")),IF(I729&lt;=H729,"No prazo","Fora do prazo")))</f>
        <v/>
      </c>
    </row>
    <row r="730">
      <c r="B730" s="22" t="n"/>
      <c r="E730" s="23" t="n"/>
      <c r="F730" s="24" t="n"/>
      <c r="H730" s="22" t="n"/>
      <c r="I730" s="22" t="n"/>
      <c r="J730" s="21">
        <f>IF(C730="","",IFERROR(INDEX(Clientes!$B:$B,MATCH(C730,Clientes!$A:$A,0)),"Cód. não cadastrado"))</f>
        <v/>
      </c>
      <c r="K730" s="18">
        <f>IF(B730="","",YEAR(B730))</f>
        <v/>
      </c>
      <c r="L730" s="18">
        <f>IF(B730="","",MONTH(B730))</f>
        <v/>
      </c>
      <c r="M730" s="18">
        <f>IF(OR(B730="",I730=""),"",I730-B730)</f>
        <v/>
      </c>
      <c r="N730" s="21">
        <f>IF(B730="","",IF(I730="",IF(H730="","",IF(TODAY()&gt;H730,"Atrasado (em aberto)","Em aberto")),IF(I730&lt;=H730,"No prazo","Fora do prazo")))</f>
        <v/>
      </c>
    </row>
    <row r="731">
      <c r="B731" s="22" t="n"/>
      <c r="E731" s="23" t="n"/>
      <c r="F731" s="24" t="n"/>
      <c r="H731" s="22" t="n"/>
      <c r="I731" s="22" t="n"/>
      <c r="J731" s="21">
        <f>IF(C731="","",IFERROR(INDEX(Clientes!$B:$B,MATCH(C731,Clientes!$A:$A,0)),"Cód. não cadastrado"))</f>
        <v/>
      </c>
      <c r="K731" s="18">
        <f>IF(B731="","",YEAR(B731))</f>
        <v/>
      </c>
      <c r="L731" s="18">
        <f>IF(B731="","",MONTH(B731))</f>
        <v/>
      </c>
      <c r="M731" s="18">
        <f>IF(OR(B731="",I731=""),"",I731-B731)</f>
        <v/>
      </c>
      <c r="N731" s="21">
        <f>IF(B731="","",IF(I731="",IF(H731="","",IF(TODAY()&gt;H731,"Atrasado (em aberto)","Em aberto")),IF(I731&lt;=H731,"No prazo","Fora do prazo")))</f>
        <v/>
      </c>
    </row>
    <row r="732">
      <c r="B732" s="22" t="n"/>
      <c r="E732" s="23" t="n"/>
      <c r="F732" s="24" t="n"/>
      <c r="H732" s="22" t="n"/>
      <c r="I732" s="22" t="n"/>
      <c r="J732" s="21">
        <f>IF(C732="","",IFERROR(INDEX(Clientes!$B:$B,MATCH(C732,Clientes!$A:$A,0)),"Cód. não cadastrado"))</f>
        <v/>
      </c>
      <c r="K732" s="18">
        <f>IF(B732="","",YEAR(B732))</f>
        <v/>
      </c>
      <c r="L732" s="18">
        <f>IF(B732="","",MONTH(B732))</f>
        <v/>
      </c>
      <c r="M732" s="18">
        <f>IF(OR(B732="",I732=""),"",I732-B732)</f>
        <v/>
      </c>
      <c r="N732" s="21">
        <f>IF(B732="","",IF(I732="",IF(H732="","",IF(TODAY()&gt;H732,"Atrasado (em aberto)","Em aberto")),IF(I732&lt;=H732,"No prazo","Fora do prazo")))</f>
        <v/>
      </c>
    </row>
    <row r="733">
      <c r="B733" s="22" t="n"/>
      <c r="E733" s="23" t="n"/>
      <c r="F733" s="24" t="n"/>
      <c r="H733" s="22" t="n"/>
      <c r="I733" s="22" t="n"/>
      <c r="J733" s="21">
        <f>IF(C733="","",IFERROR(INDEX(Clientes!$B:$B,MATCH(C733,Clientes!$A:$A,0)),"Cód. não cadastrado"))</f>
        <v/>
      </c>
      <c r="K733" s="18">
        <f>IF(B733="","",YEAR(B733))</f>
        <v/>
      </c>
      <c r="L733" s="18">
        <f>IF(B733="","",MONTH(B733))</f>
        <v/>
      </c>
      <c r="M733" s="18">
        <f>IF(OR(B733="",I733=""),"",I733-B733)</f>
        <v/>
      </c>
      <c r="N733" s="21">
        <f>IF(B733="","",IF(I733="",IF(H733="","",IF(TODAY()&gt;H733,"Atrasado (em aberto)","Em aberto")),IF(I733&lt;=H733,"No prazo","Fora do prazo")))</f>
        <v/>
      </c>
    </row>
    <row r="734">
      <c r="B734" s="22" t="n"/>
      <c r="E734" s="23" t="n"/>
      <c r="F734" s="24" t="n"/>
      <c r="H734" s="22" t="n"/>
      <c r="I734" s="22" t="n"/>
      <c r="J734" s="21">
        <f>IF(C734="","",IFERROR(INDEX(Clientes!$B:$B,MATCH(C734,Clientes!$A:$A,0)),"Cód. não cadastrado"))</f>
        <v/>
      </c>
      <c r="K734" s="18">
        <f>IF(B734="","",YEAR(B734))</f>
        <v/>
      </c>
      <c r="L734" s="18">
        <f>IF(B734="","",MONTH(B734))</f>
        <v/>
      </c>
      <c r="M734" s="18">
        <f>IF(OR(B734="",I734=""),"",I734-B734)</f>
        <v/>
      </c>
      <c r="N734" s="21">
        <f>IF(B734="","",IF(I734="",IF(H734="","",IF(TODAY()&gt;H734,"Atrasado (em aberto)","Em aberto")),IF(I734&lt;=H734,"No prazo","Fora do prazo")))</f>
        <v/>
      </c>
    </row>
    <row r="735">
      <c r="B735" s="22" t="n"/>
      <c r="E735" s="23" t="n"/>
      <c r="F735" s="24" t="n"/>
      <c r="H735" s="22" t="n"/>
      <c r="I735" s="22" t="n"/>
      <c r="J735" s="21">
        <f>IF(C735="","",IFERROR(INDEX(Clientes!$B:$B,MATCH(C735,Clientes!$A:$A,0)),"Cód. não cadastrado"))</f>
        <v/>
      </c>
      <c r="K735" s="18">
        <f>IF(B735="","",YEAR(B735))</f>
        <v/>
      </c>
      <c r="L735" s="18">
        <f>IF(B735="","",MONTH(B735))</f>
        <v/>
      </c>
      <c r="M735" s="18">
        <f>IF(OR(B735="",I735=""),"",I735-B735)</f>
        <v/>
      </c>
      <c r="N735" s="21">
        <f>IF(B735="","",IF(I735="",IF(H735="","",IF(TODAY()&gt;H735,"Atrasado (em aberto)","Em aberto")),IF(I735&lt;=H735,"No prazo","Fora do prazo")))</f>
        <v/>
      </c>
    </row>
    <row r="736">
      <c r="B736" s="22" t="n"/>
      <c r="E736" s="23" t="n"/>
      <c r="F736" s="24" t="n"/>
      <c r="H736" s="22" t="n"/>
      <c r="I736" s="22" t="n"/>
      <c r="J736" s="21">
        <f>IF(C736="","",IFERROR(INDEX(Clientes!$B:$B,MATCH(C736,Clientes!$A:$A,0)),"Cód. não cadastrado"))</f>
        <v/>
      </c>
      <c r="K736" s="18">
        <f>IF(B736="","",YEAR(B736))</f>
        <v/>
      </c>
      <c r="L736" s="18">
        <f>IF(B736="","",MONTH(B736))</f>
        <v/>
      </c>
      <c r="M736" s="18">
        <f>IF(OR(B736="",I736=""),"",I736-B736)</f>
        <v/>
      </c>
      <c r="N736" s="21">
        <f>IF(B736="","",IF(I736="",IF(H736="","",IF(TODAY()&gt;H736,"Atrasado (em aberto)","Em aberto")),IF(I736&lt;=H736,"No prazo","Fora do prazo")))</f>
        <v/>
      </c>
    </row>
    <row r="737">
      <c r="B737" s="22" t="n"/>
      <c r="E737" s="23" t="n"/>
      <c r="F737" s="24" t="n"/>
      <c r="H737" s="22" t="n"/>
      <c r="I737" s="22" t="n"/>
      <c r="J737" s="21">
        <f>IF(C737="","",IFERROR(INDEX(Clientes!$B:$B,MATCH(C737,Clientes!$A:$A,0)),"Cód. não cadastrado"))</f>
        <v/>
      </c>
      <c r="K737" s="18">
        <f>IF(B737="","",YEAR(B737))</f>
        <v/>
      </c>
      <c r="L737" s="18">
        <f>IF(B737="","",MONTH(B737))</f>
        <v/>
      </c>
      <c r="M737" s="18">
        <f>IF(OR(B737="",I737=""),"",I737-B737)</f>
        <v/>
      </c>
      <c r="N737" s="21">
        <f>IF(B737="","",IF(I737="",IF(H737="","",IF(TODAY()&gt;H737,"Atrasado (em aberto)","Em aberto")),IF(I737&lt;=H737,"No prazo","Fora do prazo")))</f>
        <v/>
      </c>
    </row>
    <row r="738">
      <c r="B738" s="22" t="n"/>
      <c r="E738" s="23" t="n"/>
      <c r="F738" s="24" t="n"/>
      <c r="H738" s="22" t="n"/>
      <c r="I738" s="22" t="n"/>
      <c r="J738" s="21">
        <f>IF(C738="","",IFERROR(INDEX(Clientes!$B:$B,MATCH(C738,Clientes!$A:$A,0)),"Cód. não cadastrado"))</f>
        <v/>
      </c>
      <c r="K738" s="18">
        <f>IF(B738="","",YEAR(B738))</f>
        <v/>
      </c>
      <c r="L738" s="18">
        <f>IF(B738="","",MONTH(B738))</f>
        <v/>
      </c>
      <c r="M738" s="18">
        <f>IF(OR(B738="",I738=""),"",I738-B738)</f>
        <v/>
      </c>
      <c r="N738" s="21">
        <f>IF(B738="","",IF(I738="",IF(H738="","",IF(TODAY()&gt;H738,"Atrasado (em aberto)","Em aberto")),IF(I738&lt;=H738,"No prazo","Fora do prazo")))</f>
        <v/>
      </c>
    </row>
    <row r="739">
      <c r="B739" s="22" t="n"/>
      <c r="E739" s="23" t="n"/>
      <c r="F739" s="24" t="n"/>
      <c r="H739" s="22" t="n"/>
      <c r="I739" s="22" t="n"/>
      <c r="J739" s="21">
        <f>IF(C739="","",IFERROR(INDEX(Clientes!$B:$B,MATCH(C739,Clientes!$A:$A,0)),"Cód. não cadastrado"))</f>
        <v/>
      </c>
      <c r="K739" s="18">
        <f>IF(B739="","",YEAR(B739))</f>
        <v/>
      </c>
      <c r="L739" s="18">
        <f>IF(B739="","",MONTH(B739))</f>
        <v/>
      </c>
      <c r="M739" s="18">
        <f>IF(OR(B739="",I739=""),"",I739-B739)</f>
        <v/>
      </c>
      <c r="N739" s="21">
        <f>IF(B739="","",IF(I739="",IF(H739="","",IF(TODAY()&gt;H739,"Atrasado (em aberto)","Em aberto")),IF(I739&lt;=H739,"No prazo","Fora do prazo")))</f>
        <v/>
      </c>
    </row>
    <row r="740">
      <c r="B740" s="22" t="n"/>
      <c r="E740" s="23" t="n"/>
      <c r="F740" s="24" t="n"/>
      <c r="H740" s="22" t="n"/>
      <c r="I740" s="22" t="n"/>
      <c r="J740" s="21">
        <f>IF(C740="","",IFERROR(INDEX(Clientes!$B:$B,MATCH(C740,Clientes!$A:$A,0)),"Cód. não cadastrado"))</f>
        <v/>
      </c>
      <c r="K740" s="18">
        <f>IF(B740="","",YEAR(B740))</f>
        <v/>
      </c>
      <c r="L740" s="18">
        <f>IF(B740="","",MONTH(B740))</f>
        <v/>
      </c>
      <c r="M740" s="18">
        <f>IF(OR(B740="",I740=""),"",I740-B740)</f>
        <v/>
      </c>
      <c r="N740" s="21">
        <f>IF(B740="","",IF(I740="",IF(H740="","",IF(TODAY()&gt;H740,"Atrasado (em aberto)","Em aberto")),IF(I740&lt;=H740,"No prazo","Fora do prazo")))</f>
        <v/>
      </c>
    </row>
    <row r="741">
      <c r="B741" s="22" t="n"/>
      <c r="E741" s="23" t="n"/>
      <c r="F741" s="24" t="n"/>
      <c r="H741" s="22" t="n"/>
      <c r="I741" s="22" t="n"/>
      <c r="J741" s="21">
        <f>IF(C741="","",IFERROR(INDEX(Clientes!$B:$B,MATCH(C741,Clientes!$A:$A,0)),"Cód. não cadastrado"))</f>
        <v/>
      </c>
      <c r="K741" s="18">
        <f>IF(B741="","",YEAR(B741))</f>
        <v/>
      </c>
      <c r="L741" s="18">
        <f>IF(B741="","",MONTH(B741))</f>
        <v/>
      </c>
      <c r="M741" s="18">
        <f>IF(OR(B741="",I741=""),"",I741-B741)</f>
        <v/>
      </c>
      <c r="N741" s="21">
        <f>IF(B741="","",IF(I741="",IF(H741="","",IF(TODAY()&gt;H741,"Atrasado (em aberto)","Em aberto")),IF(I741&lt;=H741,"No prazo","Fora do prazo")))</f>
        <v/>
      </c>
    </row>
    <row r="742">
      <c r="B742" s="22" t="n"/>
      <c r="E742" s="23" t="n"/>
      <c r="F742" s="24" t="n"/>
      <c r="H742" s="22" t="n"/>
      <c r="I742" s="22" t="n"/>
      <c r="J742" s="21">
        <f>IF(C742="","",IFERROR(INDEX(Clientes!$B:$B,MATCH(C742,Clientes!$A:$A,0)),"Cód. não cadastrado"))</f>
        <v/>
      </c>
      <c r="K742" s="18">
        <f>IF(B742="","",YEAR(B742))</f>
        <v/>
      </c>
      <c r="L742" s="18">
        <f>IF(B742="","",MONTH(B742))</f>
        <v/>
      </c>
      <c r="M742" s="18">
        <f>IF(OR(B742="",I742=""),"",I742-B742)</f>
        <v/>
      </c>
      <c r="N742" s="21">
        <f>IF(B742="","",IF(I742="",IF(H742="","",IF(TODAY()&gt;H742,"Atrasado (em aberto)","Em aberto")),IF(I742&lt;=H742,"No prazo","Fora do prazo")))</f>
        <v/>
      </c>
    </row>
    <row r="743">
      <c r="B743" s="22" t="n"/>
      <c r="E743" s="23" t="n"/>
      <c r="F743" s="24" t="n"/>
      <c r="H743" s="22" t="n"/>
      <c r="I743" s="22" t="n"/>
      <c r="J743" s="21">
        <f>IF(C743="","",IFERROR(INDEX(Clientes!$B:$B,MATCH(C743,Clientes!$A:$A,0)),"Cód. não cadastrado"))</f>
        <v/>
      </c>
      <c r="K743" s="18">
        <f>IF(B743="","",YEAR(B743))</f>
        <v/>
      </c>
      <c r="L743" s="18">
        <f>IF(B743="","",MONTH(B743))</f>
        <v/>
      </c>
      <c r="M743" s="18">
        <f>IF(OR(B743="",I743=""),"",I743-B743)</f>
        <v/>
      </c>
      <c r="N743" s="21">
        <f>IF(B743="","",IF(I743="",IF(H743="","",IF(TODAY()&gt;H743,"Atrasado (em aberto)","Em aberto")),IF(I743&lt;=H743,"No prazo","Fora do prazo")))</f>
        <v/>
      </c>
    </row>
    <row r="744">
      <c r="B744" s="22" t="n"/>
      <c r="E744" s="23" t="n"/>
      <c r="F744" s="24" t="n"/>
      <c r="H744" s="22" t="n"/>
      <c r="I744" s="22" t="n"/>
      <c r="J744" s="21">
        <f>IF(C744="","",IFERROR(INDEX(Clientes!$B:$B,MATCH(C744,Clientes!$A:$A,0)),"Cód. não cadastrado"))</f>
        <v/>
      </c>
      <c r="K744" s="18">
        <f>IF(B744="","",YEAR(B744))</f>
        <v/>
      </c>
      <c r="L744" s="18">
        <f>IF(B744="","",MONTH(B744))</f>
        <v/>
      </c>
      <c r="M744" s="18">
        <f>IF(OR(B744="",I744=""),"",I744-B744)</f>
        <v/>
      </c>
      <c r="N744" s="21">
        <f>IF(B744="","",IF(I744="",IF(H744="","",IF(TODAY()&gt;H744,"Atrasado (em aberto)","Em aberto")),IF(I744&lt;=H744,"No prazo","Fora do prazo")))</f>
        <v/>
      </c>
    </row>
    <row r="745">
      <c r="B745" s="22" t="n"/>
      <c r="E745" s="23" t="n"/>
      <c r="F745" s="24" t="n"/>
      <c r="H745" s="22" t="n"/>
      <c r="I745" s="22" t="n"/>
      <c r="J745" s="21">
        <f>IF(C745="","",IFERROR(INDEX(Clientes!$B:$B,MATCH(C745,Clientes!$A:$A,0)),"Cód. não cadastrado"))</f>
        <v/>
      </c>
      <c r="K745" s="18">
        <f>IF(B745="","",YEAR(B745))</f>
        <v/>
      </c>
      <c r="L745" s="18">
        <f>IF(B745="","",MONTH(B745))</f>
        <v/>
      </c>
      <c r="M745" s="18">
        <f>IF(OR(B745="",I745=""),"",I745-B745)</f>
        <v/>
      </c>
      <c r="N745" s="21">
        <f>IF(B745="","",IF(I745="",IF(H745="","",IF(TODAY()&gt;H745,"Atrasado (em aberto)","Em aberto")),IF(I745&lt;=H745,"No prazo","Fora do prazo")))</f>
        <v/>
      </c>
    </row>
    <row r="746">
      <c r="B746" s="22" t="n"/>
      <c r="E746" s="23" t="n"/>
      <c r="F746" s="24" t="n"/>
      <c r="H746" s="22" t="n"/>
      <c r="I746" s="22" t="n"/>
      <c r="J746" s="21">
        <f>IF(C746="","",IFERROR(INDEX(Clientes!$B:$B,MATCH(C746,Clientes!$A:$A,0)),"Cód. não cadastrado"))</f>
        <v/>
      </c>
      <c r="K746" s="18">
        <f>IF(B746="","",YEAR(B746))</f>
        <v/>
      </c>
      <c r="L746" s="18">
        <f>IF(B746="","",MONTH(B746))</f>
        <v/>
      </c>
      <c r="M746" s="18">
        <f>IF(OR(B746="",I746=""),"",I746-B746)</f>
        <v/>
      </c>
      <c r="N746" s="21">
        <f>IF(B746="","",IF(I746="",IF(H746="","",IF(TODAY()&gt;H746,"Atrasado (em aberto)","Em aberto")),IF(I746&lt;=H746,"No prazo","Fora do prazo")))</f>
        <v/>
      </c>
    </row>
    <row r="747">
      <c r="B747" s="22" t="n"/>
      <c r="E747" s="23" t="n"/>
      <c r="F747" s="24" t="n"/>
      <c r="H747" s="22" t="n"/>
      <c r="I747" s="22" t="n"/>
      <c r="J747" s="21">
        <f>IF(C747="","",IFERROR(INDEX(Clientes!$B:$B,MATCH(C747,Clientes!$A:$A,0)),"Cód. não cadastrado"))</f>
        <v/>
      </c>
      <c r="K747" s="18">
        <f>IF(B747="","",YEAR(B747))</f>
        <v/>
      </c>
      <c r="L747" s="18">
        <f>IF(B747="","",MONTH(B747))</f>
        <v/>
      </c>
      <c r="M747" s="18">
        <f>IF(OR(B747="",I747=""),"",I747-B747)</f>
        <v/>
      </c>
      <c r="N747" s="21">
        <f>IF(B747="","",IF(I747="",IF(H747="","",IF(TODAY()&gt;H747,"Atrasado (em aberto)","Em aberto")),IF(I747&lt;=H747,"No prazo","Fora do prazo")))</f>
        <v/>
      </c>
    </row>
    <row r="748">
      <c r="B748" s="22" t="n"/>
      <c r="E748" s="23" t="n"/>
      <c r="F748" s="24" t="n"/>
      <c r="H748" s="22" t="n"/>
      <c r="I748" s="22" t="n"/>
      <c r="J748" s="21">
        <f>IF(C748="","",IFERROR(INDEX(Clientes!$B:$B,MATCH(C748,Clientes!$A:$A,0)),"Cód. não cadastrado"))</f>
        <v/>
      </c>
      <c r="K748" s="18">
        <f>IF(B748="","",YEAR(B748))</f>
        <v/>
      </c>
      <c r="L748" s="18">
        <f>IF(B748="","",MONTH(B748))</f>
        <v/>
      </c>
      <c r="M748" s="18">
        <f>IF(OR(B748="",I748=""),"",I748-B748)</f>
        <v/>
      </c>
      <c r="N748" s="21">
        <f>IF(B748="","",IF(I748="",IF(H748="","",IF(TODAY()&gt;H748,"Atrasado (em aberto)","Em aberto")),IF(I748&lt;=H748,"No prazo","Fora do prazo")))</f>
        <v/>
      </c>
    </row>
    <row r="749">
      <c r="B749" s="22" t="n"/>
      <c r="E749" s="23" t="n"/>
      <c r="F749" s="24" t="n"/>
      <c r="H749" s="22" t="n"/>
      <c r="I749" s="22" t="n"/>
      <c r="J749" s="21">
        <f>IF(C749="","",IFERROR(INDEX(Clientes!$B:$B,MATCH(C749,Clientes!$A:$A,0)),"Cód. não cadastrado"))</f>
        <v/>
      </c>
      <c r="K749" s="18">
        <f>IF(B749="","",YEAR(B749))</f>
        <v/>
      </c>
      <c r="L749" s="18">
        <f>IF(B749="","",MONTH(B749))</f>
        <v/>
      </c>
      <c r="M749" s="18">
        <f>IF(OR(B749="",I749=""),"",I749-B749)</f>
        <v/>
      </c>
      <c r="N749" s="21">
        <f>IF(B749="","",IF(I749="",IF(H749="","",IF(TODAY()&gt;H749,"Atrasado (em aberto)","Em aberto")),IF(I749&lt;=H749,"No prazo","Fora do prazo")))</f>
        <v/>
      </c>
    </row>
    <row r="750">
      <c r="B750" s="22" t="n"/>
      <c r="E750" s="23" t="n"/>
      <c r="F750" s="24" t="n"/>
      <c r="H750" s="22" t="n"/>
      <c r="I750" s="22" t="n"/>
      <c r="J750" s="21">
        <f>IF(C750="","",IFERROR(INDEX(Clientes!$B:$B,MATCH(C750,Clientes!$A:$A,0)),"Cód. não cadastrado"))</f>
        <v/>
      </c>
      <c r="K750" s="18">
        <f>IF(B750="","",YEAR(B750))</f>
        <v/>
      </c>
      <c r="L750" s="18">
        <f>IF(B750="","",MONTH(B750))</f>
        <v/>
      </c>
      <c r="M750" s="18">
        <f>IF(OR(B750="",I750=""),"",I750-B750)</f>
        <v/>
      </c>
      <c r="N750" s="21">
        <f>IF(B750="","",IF(I750="",IF(H750="","",IF(TODAY()&gt;H750,"Atrasado (em aberto)","Em aberto")),IF(I750&lt;=H750,"No prazo","Fora do prazo")))</f>
        <v/>
      </c>
    </row>
    <row r="751">
      <c r="B751" s="22" t="n"/>
      <c r="E751" s="23" t="n"/>
      <c r="F751" s="24" t="n"/>
      <c r="H751" s="22" t="n"/>
      <c r="I751" s="22" t="n"/>
      <c r="J751" s="21">
        <f>IF(C751="","",IFERROR(INDEX(Clientes!$B:$B,MATCH(C751,Clientes!$A:$A,0)),"Cód. não cadastrado"))</f>
        <v/>
      </c>
      <c r="K751" s="18">
        <f>IF(B751="","",YEAR(B751))</f>
        <v/>
      </c>
      <c r="L751" s="18">
        <f>IF(B751="","",MONTH(B751))</f>
        <v/>
      </c>
      <c r="M751" s="18">
        <f>IF(OR(B751="",I751=""),"",I751-B751)</f>
        <v/>
      </c>
      <c r="N751" s="21">
        <f>IF(B751="","",IF(I751="",IF(H751="","",IF(TODAY()&gt;H751,"Atrasado (em aberto)","Em aberto")),IF(I751&lt;=H751,"No prazo","Fora do prazo")))</f>
        <v/>
      </c>
    </row>
    <row r="752">
      <c r="B752" s="22" t="n"/>
      <c r="E752" s="23" t="n"/>
      <c r="F752" s="24" t="n"/>
      <c r="H752" s="22" t="n"/>
      <c r="I752" s="22" t="n"/>
      <c r="J752" s="21">
        <f>IF(C752="","",IFERROR(INDEX(Clientes!$B:$B,MATCH(C752,Clientes!$A:$A,0)),"Cód. não cadastrado"))</f>
        <v/>
      </c>
      <c r="K752" s="18">
        <f>IF(B752="","",YEAR(B752))</f>
        <v/>
      </c>
      <c r="L752" s="18">
        <f>IF(B752="","",MONTH(B752))</f>
        <v/>
      </c>
      <c r="M752" s="18">
        <f>IF(OR(B752="",I752=""),"",I752-B752)</f>
        <v/>
      </c>
      <c r="N752" s="21">
        <f>IF(B752="","",IF(I752="",IF(H752="","",IF(TODAY()&gt;H752,"Atrasado (em aberto)","Em aberto")),IF(I752&lt;=H752,"No prazo","Fora do prazo")))</f>
        <v/>
      </c>
    </row>
    <row r="753">
      <c r="B753" s="22" t="n"/>
      <c r="E753" s="23" t="n"/>
      <c r="F753" s="24" t="n"/>
      <c r="H753" s="22" t="n"/>
      <c r="I753" s="22" t="n"/>
      <c r="J753" s="21">
        <f>IF(C753="","",IFERROR(INDEX(Clientes!$B:$B,MATCH(C753,Clientes!$A:$A,0)),"Cód. não cadastrado"))</f>
        <v/>
      </c>
      <c r="K753" s="18">
        <f>IF(B753="","",YEAR(B753))</f>
        <v/>
      </c>
      <c r="L753" s="18">
        <f>IF(B753="","",MONTH(B753))</f>
        <v/>
      </c>
      <c r="M753" s="18">
        <f>IF(OR(B753="",I753=""),"",I753-B753)</f>
        <v/>
      </c>
      <c r="N753" s="21">
        <f>IF(B753="","",IF(I753="",IF(H753="","",IF(TODAY()&gt;H753,"Atrasado (em aberto)","Em aberto")),IF(I753&lt;=H753,"No prazo","Fora do prazo")))</f>
        <v/>
      </c>
    </row>
    <row r="754">
      <c r="B754" s="22" t="n"/>
      <c r="E754" s="23" t="n"/>
      <c r="F754" s="24" t="n"/>
      <c r="H754" s="22" t="n"/>
      <c r="I754" s="22" t="n"/>
      <c r="J754" s="21">
        <f>IF(C754="","",IFERROR(INDEX(Clientes!$B:$B,MATCH(C754,Clientes!$A:$A,0)),"Cód. não cadastrado"))</f>
        <v/>
      </c>
      <c r="K754" s="18">
        <f>IF(B754="","",YEAR(B754))</f>
        <v/>
      </c>
      <c r="L754" s="18">
        <f>IF(B754="","",MONTH(B754))</f>
        <v/>
      </c>
      <c r="M754" s="18">
        <f>IF(OR(B754="",I754=""),"",I754-B754)</f>
        <v/>
      </c>
      <c r="N754" s="21">
        <f>IF(B754="","",IF(I754="",IF(H754="","",IF(TODAY()&gt;H754,"Atrasado (em aberto)","Em aberto")),IF(I754&lt;=H754,"No prazo","Fora do prazo")))</f>
        <v/>
      </c>
    </row>
    <row r="755">
      <c r="B755" s="22" t="n"/>
      <c r="E755" s="23" t="n"/>
      <c r="F755" s="24" t="n"/>
      <c r="H755" s="22" t="n"/>
      <c r="I755" s="22" t="n"/>
      <c r="J755" s="21">
        <f>IF(C755="","",IFERROR(INDEX(Clientes!$B:$B,MATCH(C755,Clientes!$A:$A,0)),"Cód. não cadastrado"))</f>
        <v/>
      </c>
      <c r="K755" s="18">
        <f>IF(B755="","",YEAR(B755))</f>
        <v/>
      </c>
      <c r="L755" s="18">
        <f>IF(B755="","",MONTH(B755))</f>
        <v/>
      </c>
      <c r="M755" s="18">
        <f>IF(OR(B755="",I755=""),"",I755-B755)</f>
        <v/>
      </c>
      <c r="N755" s="21">
        <f>IF(B755="","",IF(I755="",IF(H755="","",IF(TODAY()&gt;H755,"Atrasado (em aberto)","Em aberto")),IF(I755&lt;=H755,"No prazo","Fora do prazo")))</f>
        <v/>
      </c>
    </row>
    <row r="756">
      <c r="B756" s="22" t="n"/>
      <c r="E756" s="23" t="n"/>
      <c r="F756" s="24" t="n"/>
      <c r="H756" s="22" t="n"/>
      <c r="I756" s="22" t="n"/>
      <c r="J756" s="21">
        <f>IF(C756="","",IFERROR(INDEX(Clientes!$B:$B,MATCH(C756,Clientes!$A:$A,0)),"Cód. não cadastrado"))</f>
        <v/>
      </c>
      <c r="K756" s="18">
        <f>IF(B756="","",YEAR(B756))</f>
        <v/>
      </c>
      <c r="L756" s="18">
        <f>IF(B756="","",MONTH(B756))</f>
        <v/>
      </c>
      <c r="M756" s="18">
        <f>IF(OR(B756="",I756=""),"",I756-B756)</f>
        <v/>
      </c>
      <c r="N756" s="21">
        <f>IF(B756="","",IF(I756="",IF(H756="","",IF(TODAY()&gt;H756,"Atrasado (em aberto)","Em aberto")),IF(I756&lt;=H756,"No prazo","Fora do prazo")))</f>
        <v/>
      </c>
    </row>
    <row r="757">
      <c r="B757" s="22" t="n"/>
      <c r="E757" s="23" t="n"/>
      <c r="F757" s="24" t="n"/>
      <c r="H757" s="22" t="n"/>
      <c r="I757" s="22" t="n"/>
      <c r="J757" s="21">
        <f>IF(C757="","",IFERROR(INDEX(Clientes!$B:$B,MATCH(C757,Clientes!$A:$A,0)),"Cód. não cadastrado"))</f>
        <v/>
      </c>
      <c r="K757" s="18">
        <f>IF(B757="","",YEAR(B757))</f>
        <v/>
      </c>
      <c r="L757" s="18">
        <f>IF(B757="","",MONTH(B757))</f>
        <v/>
      </c>
      <c r="M757" s="18">
        <f>IF(OR(B757="",I757=""),"",I757-B757)</f>
        <v/>
      </c>
      <c r="N757" s="21">
        <f>IF(B757="","",IF(I757="",IF(H757="","",IF(TODAY()&gt;H757,"Atrasado (em aberto)","Em aberto")),IF(I757&lt;=H757,"No prazo","Fora do prazo")))</f>
        <v/>
      </c>
    </row>
    <row r="758">
      <c r="B758" s="22" t="n"/>
      <c r="E758" s="23" t="n"/>
      <c r="F758" s="24" t="n"/>
      <c r="H758" s="22" t="n"/>
      <c r="I758" s="22" t="n"/>
      <c r="J758" s="21">
        <f>IF(C758="","",IFERROR(INDEX(Clientes!$B:$B,MATCH(C758,Clientes!$A:$A,0)),"Cód. não cadastrado"))</f>
        <v/>
      </c>
      <c r="K758" s="18">
        <f>IF(B758="","",YEAR(B758))</f>
        <v/>
      </c>
      <c r="L758" s="18">
        <f>IF(B758="","",MONTH(B758))</f>
        <v/>
      </c>
      <c r="M758" s="18">
        <f>IF(OR(B758="",I758=""),"",I758-B758)</f>
        <v/>
      </c>
      <c r="N758" s="21">
        <f>IF(B758="","",IF(I758="",IF(H758="","",IF(TODAY()&gt;H758,"Atrasado (em aberto)","Em aberto")),IF(I758&lt;=H758,"No prazo","Fora do prazo")))</f>
        <v/>
      </c>
    </row>
    <row r="759">
      <c r="B759" s="22" t="n"/>
      <c r="E759" s="23" t="n"/>
      <c r="F759" s="24" t="n"/>
      <c r="H759" s="22" t="n"/>
      <c r="I759" s="22" t="n"/>
      <c r="J759" s="21">
        <f>IF(C759="","",IFERROR(INDEX(Clientes!$B:$B,MATCH(C759,Clientes!$A:$A,0)),"Cód. não cadastrado"))</f>
        <v/>
      </c>
      <c r="K759" s="18">
        <f>IF(B759="","",YEAR(B759))</f>
        <v/>
      </c>
      <c r="L759" s="18">
        <f>IF(B759="","",MONTH(B759))</f>
        <v/>
      </c>
      <c r="M759" s="18">
        <f>IF(OR(B759="",I759=""),"",I759-B759)</f>
        <v/>
      </c>
      <c r="N759" s="21">
        <f>IF(B759="","",IF(I759="",IF(H759="","",IF(TODAY()&gt;H759,"Atrasado (em aberto)","Em aberto")),IF(I759&lt;=H759,"No prazo","Fora do prazo")))</f>
        <v/>
      </c>
    </row>
    <row r="760">
      <c r="B760" s="22" t="n"/>
      <c r="E760" s="23" t="n"/>
      <c r="F760" s="24" t="n"/>
      <c r="H760" s="22" t="n"/>
      <c r="I760" s="22" t="n"/>
      <c r="J760" s="21">
        <f>IF(C760="","",IFERROR(INDEX(Clientes!$B:$B,MATCH(C760,Clientes!$A:$A,0)),"Cód. não cadastrado"))</f>
        <v/>
      </c>
      <c r="K760" s="18">
        <f>IF(B760="","",YEAR(B760))</f>
        <v/>
      </c>
      <c r="L760" s="18">
        <f>IF(B760="","",MONTH(B760))</f>
        <v/>
      </c>
      <c r="M760" s="18">
        <f>IF(OR(B760="",I760=""),"",I760-B760)</f>
        <v/>
      </c>
      <c r="N760" s="21">
        <f>IF(B760="","",IF(I760="",IF(H760="","",IF(TODAY()&gt;H760,"Atrasado (em aberto)","Em aberto")),IF(I760&lt;=H760,"No prazo","Fora do prazo")))</f>
        <v/>
      </c>
    </row>
    <row r="761">
      <c r="B761" s="22" t="n"/>
      <c r="E761" s="23" t="n"/>
      <c r="F761" s="24" t="n"/>
      <c r="H761" s="22" t="n"/>
      <c r="I761" s="22" t="n"/>
      <c r="J761" s="21">
        <f>IF(C761="","",IFERROR(INDEX(Clientes!$B:$B,MATCH(C761,Clientes!$A:$A,0)),"Cód. não cadastrado"))</f>
        <v/>
      </c>
      <c r="K761" s="18">
        <f>IF(B761="","",YEAR(B761))</f>
        <v/>
      </c>
      <c r="L761" s="18">
        <f>IF(B761="","",MONTH(B761))</f>
        <v/>
      </c>
      <c r="M761" s="18">
        <f>IF(OR(B761="",I761=""),"",I761-B761)</f>
        <v/>
      </c>
      <c r="N761" s="21">
        <f>IF(B761="","",IF(I761="",IF(H761="","",IF(TODAY()&gt;H761,"Atrasado (em aberto)","Em aberto")),IF(I761&lt;=H761,"No prazo","Fora do prazo")))</f>
        <v/>
      </c>
    </row>
    <row r="762">
      <c r="B762" s="22" t="n"/>
      <c r="E762" s="23" t="n"/>
      <c r="F762" s="24" t="n"/>
      <c r="H762" s="22" t="n"/>
      <c r="I762" s="22" t="n"/>
      <c r="J762" s="21">
        <f>IF(C762="","",IFERROR(INDEX(Clientes!$B:$B,MATCH(C762,Clientes!$A:$A,0)),"Cód. não cadastrado"))</f>
        <v/>
      </c>
      <c r="K762" s="18">
        <f>IF(B762="","",YEAR(B762))</f>
        <v/>
      </c>
      <c r="L762" s="18">
        <f>IF(B762="","",MONTH(B762))</f>
        <v/>
      </c>
      <c r="M762" s="18">
        <f>IF(OR(B762="",I762=""),"",I762-B762)</f>
        <v/>
      </c>
      <c r="N762" s="21">
        <f>IF(B762="","",IF(I762="",IF(H762="","",IF(TODAY()&gt;H762,"Atrasado (em aberto)","Em aberto")),IF(I762&lt;=H762,"No prazo","Fora do prazo")))</f>
        <v/>
      </c>
    </row>
    <row r="763">
      <c r="B763" s="22" t="n"/>
      <c r="E763" s="23" t="n"/>
      <c r="F763" s="24" t="n"/>
      <c r="H763" s="22" t="n"/>
      <c r="I763" s="22" t="n"/>
      <c r="J763" s="21">
        <f>IF(C763="","",IFERROR(INDEX(Clientes!$B:$B,MATCH(C763,Clientes!$A:$A,0)),"Cód. não cadastrado"))</f>
        <v/>
      </c>
      <c r="K763" s="18">
        <f>IF(B763="","",YEAR(B763))</f>
        <v/>
      </c>
      <c r="L763" s="18">
        <f>IF(B763="","",MONTH(B763))</f>
        <v/>
      </c>
      <c r="M763" s="18">
        <f>IF(OR(B763="",I763=""),"",I763-B763)</f>
        <v/>
      </c>
      <c r="N763" s="21">
        <f>IF(B763="","",IF(I763="",IF(H763="","",IF(TODAY()&gt;H763,"Atrasado (em aberto)","Em aberto")),IF(I763&lt;=H763,"No prazo","Fora do prazo")))</f>
        <v/>
      </c>
    </row>
    <row r="764">
      <c r="B764" s="22" t="n"/>
      <c r="E764" s="23" t="n"/>
      <c r="F764" s="24" t="n"/>
      <c r="H764" s="22" t="n"/>
      <c r="I764" s="22" t="n"/>
      <c r="J764" s="21">
        <f>IF(C764="","",IFERROR(INDEX(Clientes!$B:$B,MATCH(C764,Clientes!$A:$A,0)),"Cód. não cadastrado"))</f>
        <v/>
      </c>
      <c r="K764" s="18">
        <f>IF(B764="","",YEAR(B764))</f>
        <v/>
      </c>
      <c r="L764" s="18">
        <f>IF(B764="","",MONTH(B764))</f>
        <v/>
      </c>
      <c r="M764" s="18">
        <f>IF(OR(B764="",I764=""),"",I764-B764)</f>
        <v/>
      </c>
      <c r="N764" s="21">
        <f>IF(B764="","",IF(I764="",IF(H764="","",IF(TODAY()&gt;H764,"Atrasado (em aberto)","Em aberto")),IF(I764&lt;=H764,"No prazo","Fora do prazo")))</f>
        <v/>
      </c>
    </row>
    <row r="765">
      <c r="B765" s="22" t="n"/>
      <c r="E765" s="23" t="n"/>
      <c r="F765" s="24" t="n"/>
      <c r="H765" s="22" t="n"/>
      <c r="I765" s="22" t="n"/>
      <c r="J765" s="21">
        <f>IF(C765="","",IFERROR(INDEX(Clientes!$B:$B,MATCH(C765,Clientes!$A:$A,0)),"Cód. não cadastrado"))</f>
        <v/>
      </c>
      <c r="K765" s="18">
        <f>IF(B765="","",YEAR(B765))</f>
        <v/>
      </c>
      <c r="L765" s="18">
        <f>IF(B765="","",MONTH(B765))</f>
        <v/>
      </c>
      <c r="M765" s="18">
        <f>IF(OR(B765="",I765=""),"",I765-B765)</f>
        <v/>
      </c>
      <c r="N765" s="21">
        <f>IF(B765="","",IF(I765="",IF(H765="","",IF(TODAY()&gt;H765,"Atrasado (em aberto)","Em aberto")),IF(I765&lt;=H765,"No prazo","Fora do prazo")))</f>
        <v/>
      </c>
    </row>
    <row r="766">
      <c r="B766" s="22" t="n"/>
      <c r="E766" s="23" t="n"/>
      <c r="F766" s="24" t="n"/>
      <c r="H766" s="22" t="n"/>
      <c r="I766" s="22" t="n"/>
      <c r="J766" s="21">
        <f>IF(C766="","",IFERROR(INDEX(Clientes!$B:$B,MATCH(C766,Clientes!$A:$A,0)),"Cód. não cadastrado"))</f>
        <v/>
      </c>
      <c r="K766" s="18">
        <f>IF(B766="","",YEAR(B766))</f>
        <v/>
      </c>
      <c r="L766" s="18">
        <f>IF(B766="","",MONTH(B766))</f>
        <v/>
      </c>
      <c r="M766" s="18">
        <f>IF(OR(B766="",I766=""),"",I766-B766)</f>
        <v/>
      </c>
      <c r="N766" s="21">
        <f>IF(B766="","",IF(I766="",IF(H766="","",IF(TODAY()&gt;H766,"Atrasado (em aberto)","Em aberto")),IF(I766&lt;=H766,"No prazo","Fora do prazo")))</f>
        <v/>
      </c>
    </row>
    <row r="767">
      <c r="B767" s="22" t="n"/>
      <c r="E767" s="23" t="n"/>
      <c r="F767" s="24" t="n"/>
      <c r="H767" s="22" t="n"/>
      <c r="I767" s="22" t="n"/>
      <c r="J767" s="21">
        <f>IF(C767="","",IFERROR(INDEX(Clientes!$B:$B,MATCH(C767,Clientes!$A:$A,0)),"Cód. não cadastrado"))</f>
        <v/>
      </c>
      <c r="K767" s="18">
        <f>IF(B767="","",YEAR(B767))</f>
        <v/>
      </c>
      <c r="L767" s="18">
        <f>IF(B767="","",MONTH(B767))</f>
        <v/>
      </c>
      <c r="M767" s="18">
        <f>IF(OR(B767="",I767=""),"",I767-B767)</f>
        <v/>
      </c>
      <c r="N767" s="21">
        <f>IF(B767="","",IF(I767="",IF(H767="","",IF(TODAY()&gt;H767,"Atrasado (em aberto)","Em aberto")),IF(I767&lt;=H767,"No prazo","Fora do prazo")))</f>
        <v/>
      </c>
    </row>
    <row r="768">
      <c r="B768" s="22" t="n"/>
      <c r="E768" s="23" t="n"/>
      <c r="F768" s="24" t="n"/>
      <c r="H768" s="22" t="n"/>
      <c r="I768" s="22" t="n"/>
      <c r="J768" s="21">
        <f>IF(C768="","",IFERROR(INDEX(Clientes!$B:$B,MATCH(C768,Clientes!$A:$A,0)),"Cód. não cadastrado"))</f>
        <v/>
      </c>
      <c r="K768" s="18">
        <f>IF(B768="","",YEAR(B768))</f>
        <v/>
      </c>
      <c r="L768" s="18">
        <f>IF(B768="","",MONTH(B768))</f>
        <v/>
      </c>
      <c r="M768" s="18">
        <f>IF(OR(B768="",I768=""),"",I768-B768)</f>
        <v/>
      </c>
      <c r="N768" s="21">
        <f>IF(B768="","",IF(I768="",IF(H768="","",IF(TODAY()&gt;H768,"Atrasado (em aberto)","Em aberto")),IF(I768&lt;=H768,"No prazo","Fora do prazo")))</f>
        <v/>
      </c>
    </row>
    <row r="769">
      <c r="B769" s="22" t="n"/>
      <c r="E769" s="23" t="n"/>
      <c r="F769" s="24" t="n"/>
      <c r="H769" s="22" t="n"/>
      <c r="I769" s="22" t="n"/>
      <c r="J769" s="21">
        <f>IF(C769="","",IFERROR(INDEX(Clientes!$B:$B,MATCH(C769,Clientes!$A:$A,0)),"Cód. não cadastrado"))</f>
        <v/>
      </c>
      <c r="K769" s="18">
        <f>IF(B769="","",YEAR(B769))</f>
        <v/>
      </c>
      <c r="L769" s="18">
        <f>IF(B769="","",MONTH(B769))</f>
        <v/>
      </c>
      <c r="M769" s="18">
        <f>IF(OR(B769="",I769=""),"",I769-B769)</f>
        <v/>
      </c>
      <c r="N769" s="21">
        <f>IF(B769="","",IF(I769="",IF(H769="","",IF(TODAY()&gt;H769,"Atrasado (em aberto)","Em aberto")),IF(I769&lt;=H769,"No prazo","Fora do prazo")))</f>
        <v/>
      </c>
    </row>
    <row r="770">
      <c r="B770" s="22" t="n"/>
      <c r="E770" s="23" t="n"/>
      <c r="F770" s="24" t="n"/>
      <c r="H770" s="22" t="n"/>
      <c r="I770" s="22" t="n"/>
      <c r="J770" s="21">
        <f>IF(C770="","",IFERROR(INDEX(Clientes!$B:$B,MATCH(C770,Clientes!$A:$A,0)),"Cód. não cadastrado"))</f>
        <v/>
      </c>
      <c r="K770" s="18">
        <f>IF(B770="","",YEAR(B770))</f>
        <v/>
      </c>
      <c r="L770" s="18">
        <f>IF(B770="","",MONTH(B770))</f>
        <v/>
      </c>
      <c r="M770" s="18">
        <f>IF(OR(B770="",I770=""),"",I770-B770)</f>
        <v/>
      </c>
      <c r="N770" s="21">
        <f>IF(B770="","",IF(I770="",IF(H770="","",IF(TODAY()&gt;H770,"Atrasado (em aberto)","Em aberto")),IF(I770&lt;=H770,"No prazo","Fora do prazo")))</f>
        <v/>
      </c>
    </row>
    <row r="771">
      <c r="B771" s="22" t="n"/>
      <c r="E771" s="23" t="n"/>
      <c r="F771" s="24" t="n"/>
      <c r="H771" s="22" t="n"/>
      <c r="I771" s="22" t="n"/>
      <c r="J771" s="21">
        <f>IF(C771="","",IFERROR(INDEX(Clientes!$B:$B,MATCH(C771,Clientes!$A:$A,0)),"Cód. não cadastrado"))</f>
        <v/>
      </c>
      <c r="K771" s="18">
        <f>IF(B771="","",YEAR(B771))</f>
        <v/>
      </c>
      <c r="L771" s="18">
        <f>IF(B771="","",MONTH(B771))</f>
        <v/>
      </c>
      <c r="M771" s="18">
        <f>IF(OR(B771="",I771=""),"",I771-B771)</f>
        <v/>
      </c>
      <c r="N771" s="21">
        <f>IF(B771="","",IF(I771="",IF(H771="","",IF(TODAY()&gt;H771,"Atrasado (em aberto)","Em aberto")),IF(I771&lt;=H771,"No prazo","Fora do prazo")))</f>
        <v/>
      </c>
    </row>
    <row r="772">
      <c r="B772" s="22" t="n"/>
      <c r="E772" s="23" t="n"/>
      <c r="F772" s="24" t="n"/>
      <c r="H772" s="22" t="n"/>
      <c r="I772" s="22" t="n"/>
      <c r="J772" s="21">
        <f>IF(C772="","",IFERROR(INDEX(Clientes!$B:$B,MATCH(C772,Clientes!$A:$A,0)),"Cód. não cadastrado"))</f>
        <v/>
      </c>
      <c r="K772" s="18">
        <f>IF(B772="","",YEAR(B772))</f>
        <v/>
      </c>
      <c r="L772" s="18">
        <f>IF(B772="","",MONTH(B772))</f>
        <v/>
      </c>
      <c r="M772" s="18">
        <f>IF(OR(B772="",I772=""),"",I772-B772)</f>
        <v/>
      </c>
      <c r="N772" s="21">
        <f>IF(B772="","",IF(I772="",IF(H772="","",IF(TODAY()&gt;H772,"Atrasado (em aberto)","Em aberto")),IF(I772&lt;=H772,"No prazo","Fora do prazo")))</f>
        <v/>
      </c>
    </row>
    <row r="773">
      <c r="B773" s="22" t="n"/>
      <c r="E773" s="23" t="n"/>
      <c r="F773" s="24" t="n"/>
      <c r="H773" s="22" t="n"/>
      <c r="I773" s="22" t="n"/>
      <c r="J773" s="21">
        <f>IF(C773="","",IFERROR(INDEX(Clientes!$B:$B,MATCH(C773,Clientes!$A:$A,0)),"Cód. não cadastrado"))</f>
        <v/>
      </c>
      <c r="K773" s="18">
        <f>IF(B773="","",YEAR(B773))</f>
        <v/>
      </c>
      <c r="L773" s="18">
        <f>IF(B773="","",MONTH(B773))</f>
        <v/>
      </c>
      <c r="M773" s="18">
        <f>IF(OR(B773="",I773=""),"",I773-B773)</f>
        <v/>
      </c>
      <c r="N773" s="21">
        <f>IF(B773="","",IF(I773="",IF(H773="","",IF(TODAY()&gt;H773,"Atrasado (em aberto)","Em aberto")),IF(I773&lt;=H773,"No prazo","Fora do prazo")))</f>
        <v/>
      </c>
    </row>
    <row r="774">
      <c r="B774" s="22" t="n"/>
      <c r="E774" s="23" t="n"/>
      <c r="F774" s="24" t="n"/>
      <c r="H774" s="22" t="n"/>
      <c r="I774" s="22" t="n"/>
      <c r="J774" s="21">
        <f>IF(C774="","",IFERROR(INDEX(Clientes!$B:$B,MATCH(C774,Clientes!$A:$A,0)),"Cód. não cadastrado"))</f>
        <v/>
      </c>
      <c r="K774" s="18">
        <f>IF(B774="","",YEAR(B774))</f>
        <v/>
      </c>
      <c r="L774" s="18">
        <f>IF(B774="","",MONTH(B774))</f>
        <v/>
      </c>
      <c r="M774" s="18">
        <f>IF(OR(B774="",I774=""),"",I774-B774)</f>
        <v/>
      </c>
      <c r="N774" s="21">
        <f>IF(B774="","",IF(I774="",IF(H774="","",IF(TODAY()&gt;H774,"Atrasado (em aberto)","Em aberto")),IF(I774&lt;=H774,"No prazo","Fora do prazo")))</f>
        <v/>
      </c>
    </row>
    <row r="775">
      <c r="B775" s="22" t="n"/>
      <c r="E775" s="23" t="n"/>
      <c r="F775" s="24" t="n"/>
      <c r="H775" s="22" t="n"/>
      <c r="I775" s="22" t="n"/>
      <c r="J775" s="21">
        <f>IF(C775="","",IFERROR(INDEX(Clientes!$B:$B,MATCH(C775,Clientes!$A:$A,0)),"Cód. não cadastrado"))</f>
        <v/>
      </c>
      <c r="K775" s="18">
        <f>IF(B775="","",YEAR(B775))</f>
        <v/>
      </c>
      <c r="L775" s="18">
        <f>IF(B775="","",MONTH(B775))</f>
        <v/>
      </c>
      <c r="M775" s="18">
        <f>IF(OR(B775="",I775=""),"",I775-B775)</f>
        <v/>
      </c>
      <c r="N775" s="21">
        <f>IF(B775="","",IF(I775="",IF(H775="","",IF(TODAY()&gt;H775,"Atrasado (em aberto)","Em aberto")),IF(I775&lt;=H775,"No prazo","Fora do prazo")))</f>
        <v/>
      </c>
    </row>
    <row r="776">
      <c r="B776" s="22" t="n"/>
      <c r="E776" s="23" t="n"/>
      <c r="F776" s="24" t="n"/>
      <c r="H776" s="22" t="n"/>
      <c r="I776" s="22" t="n"/>
      <c r="J776" s="21">
        <f>IF(C776="","",IFERROR(INDEX(Clientes!$B:$B,MATCH(C776,Clientes!$A:$A,0)),"Cód. não cadastrado"))</f>
        <v/>
      </c>
      <c r="K776" s="18">
        <f>IF(B776="","",YEAR(B776))</f>
        <v/>
      </c>
      <c r="L776" s="18">
        <f>IF(B776="","",MONTH(B776))</f>
        <v/>
      </c>
      <c r="M776" s="18">
        <f>IF(OR(B776="",I776=""),"",I776-B776)</f>
        <v/>
      </c>
      <c r="N776" s="21">
        <f>IF(B776="","",IF(I776="",IF(H776="","",IF(TODAY()&gt;H776,"Atrasado (em aberto)","Em aberto")),IF(I776&lt;=H776,"No prazo","Fora do prazo")))</f>
        <v/>
      </c>
    </row>
    <row r="777">
      <c r="B777" s="22" t="n"/>
      <c r="E777" s="23" t="n"/>
      <c r="F777" s="24" t="n"/>
      <c r="H777" s="22" t="n"/>
      <c r="I777" s="22" t="n"/>
      <c r="J777" s="21">
        <f>IF(C777="","",IFERROR(INDEX(Clientes!$B:$B,MATCH(C777,Clientes!$A:$A,0)),"Cód. não cadastrado"))</f>
        <v/>
      </c>
      <c r="K777" s="18">
        <f>IF(B777="","",YEAR(B777))</f>
        <v/>
      </c>
      <c r="L777" s="18">
        <f>IF(B777="","",MONTH(B777))</f>
        <v/>
      </c>
      <c r="M777" s="18">
        <f>IF(OR(B777="",I777=""),"",I777-B777)</f>
        <v/>
      </c>
      <c r="N777" s="21">
        <f>IF(B777="","",IF(I777="",IF(H777="","",IF(TODAY()&gt;H777,"Atrasado (em aberto)","Em aberto")),IF(I777&lt;=H777,"No prazo","Fora do prazo")))</f>
        <v/>
      </c>
    </row>
    <row r="778">
      <c r="B778" s="22" t="n"/>
      <c r="E778" s="23" t="n"/>
      <c r="F778" s="24" t="n"/>
      <c r="H778" s="22" t="n"/>
      <c r="I778" s="22" t="n"/>
      <c r="J778" s="21">
        <f>IF(C778="","",IFERROR(INDEX(Clientes!$B:$B,MATCH(C778,Clientes!$A:$A,0)),"Cód. não cadastrado"))</f>
        <v/>
      </c>
      <c r="K778" s="18">
        <f>IF(B778="","",YEAR(B778))</f>
        <v/>
      </c>
      <c r="L778" s="18">
        <f>IF(B778="","",MONTH(B778))</f>
        <v/>
      </c>
      <c r="M778" s="18">
        <f>IF(OR(B778="",I778=""),"",I778-B778)</f>
        <v/>
      </c>
      <c r="N778" s="21">
        <f>IF(B778="","",IF(I778="",IF(H778="","",IF(TODAY()&gt;H778,"Atrasado (em aberto)","Em aberto")),IF(I778&lt;=H778,"No prazo","Fora do prazo")))</f>
        <v/>
      </c>
    </row>
    <row r="779">
      <c r="B779" s="22" t="n"/>
      <c r="E779" s="23" t="n"/>
      <c r="F779" s="24" t="n"/>
      <c r="H779" s="22" t="n"/>
      <c r="I779" s="22" t="n"/>
      <c r="J779" s="21">
        <f>IF(C779="","",IFERROR(INDEX(Clientes!$B:$B,MATCH(C779,Clientes!$A:$A,0)),"Cód. não cadastrado"))</f>
        <v/>
      </c>
      <c r="K779" s="18">
        <f>IF(B779="","",YEAR(B779))</f>
        <v/>
      </c>
      <c r="L779" s="18">
        <f>IF(B779="","",MONTH(B779))</f>
        <v/>
      </c>
      <c r="M779" s="18">
        <f>IF(OR(B779="",I779=""),"",I779-B779)</f>
        <v/>
      </c>
      <c r="N779" s="21">
        <f>IF(B779="","",IF(I779="",IF(H779="","",IF(TODAY()&gt;H779,"Atrasado (em aberto)","Em aberto")),IF(I779&lt;=H779,"No prazo","Fora do prazo")))</f>
        <v/>
      </c>
    </row>
    <row r="780">
      <c r="B780" s="22" t="n"/>
      <c r="E780" s="23" t="n"/>
      <c r="F780" s="24" t="n"/>
      <c r="H780" s="22" t="n"/>
      <c r="I780" s="22" t="n"/>
      <c r="J780" s="21">
        <f>IF(C780="","",IFERROR(INDEX(Clientes!$B:$B,MATCH(C780,Clientes!$A:$A,0)),"Cód. não cadastrado"))</f>
        <v/>
      </c>
      <c r="K780" s="18">
        <f>IF(B780="","",YEAR(B780))</f>
        <v/>
      </c>
      <c r="L780" s="18">
        <f>IF(B780="","",MONTH(B780))</f>
        <v/>
      </c>
      <c r="M780" s="18">
        <f>IF(OR(B780="",I780=""),"",I780-B780)</f>
        <v/>
      </c>
      <c r="N780" s="21">
        <f>IF(B780="","",IF(I780="",IF(H780="","",IF(TODAY()&gt;H780,"Atrasado (em aberto)","Em aberto")),IF(I780&lt;=H780,"No prazo","Fora do prazo")))</f>
        <v/>
      </c>
    </row>
    <row r="781">
      <c r="B781" s="22" t="n"/>
      <c r="E781" s="23" t="n"/>
      <c r="F781" s="24" t="n"/>
      <c r="H781" s="22" t="n"/>
      <c r="I781" s="22" t="n"/>
      <c r="J781" s="21">
        <f>IF(C781="","",IFERROR(INDEX(Clientes!$B:$B,MATCH(C781,Clientes!$A:$A,0)),"Cód. não cadastrado"))</f>
        <v/>
      </c>
      <c r="K781" s="18">
        <f>IF(B781="","",YEAR(B781))</f>
        <v/>
      </c>
      <c r="L781" s="18">
        <f>IF(B781="","",MONTH(B781))</f>
        <v/>
      </c>
      <c r="M781" s="18">
        <f>IF(OR(B781="",I781=""),"",I781-B781)</f>
        <v/>
      </c>
      <c r="N781" s="21">
        <f>IF(B781="","",IF(I781="",IF(H781="","",IF(TODAY()&gt;H781,"Atrasado (em aberto)","Em aberto")),IF(I781&lt;=H781,"No prazo","Fora do prazo")))</f>
        <v/>
      </c>
    </row>
    <row r="782">
      <c r="B782" s="22" t="n"/>
      <c r="E782" s="23" t="n"/>
      <c r="F782" s="24" t="n"/>
      <c r="H782" s="22" t="n"/>
      <c r="I782" s="22" t="n"/>
      <c r="J782" s="21">
        <f>IF(C782="","",IFERROR(INDEX(Clientes!$B:$B,MATCH(C782,Clientes!$A:$A,0)),"Cód. não cadastrado"))</f>
        <v/>
      </c>
      <c r="K782" s="18">
        <f>IF(B782="","",YEAR(B782))</f>
        <v/>
      </c>
      <c r="L782" s="18">
        <f>IF(B782="","",MONTH(B782))</f>
        <v/>
      </c>
      <c r="M782" s="18">
        <f>IF(OR(B782="",I782=""),"",I782-B782)</f>
        <v/>
      </c>
      <c r="N782" s="21">
        <f>IF(B782="","",IF(I782="",IF(H782="","",IF(TODAY()&gt;H782,"Atrasado (em aberto)","Em aberto")),IF(I782&lt;=H782,"No prazo","Fora do prazo")))</f>
        <v/>
      </c>
    </row>
    <row r="783">
      <c r="B783" s="22" t="n"/>
      <c r="E783" s="23" t="n"/>
      <c r="F783" s="24" t="n"/>
      <c r="H783" s="22" t="n"/>
      <c r="I783" s="22" t="n"/>
      <c r="J783" s="21">
        <f>IF(C783="","",IFERROR(INDEX(Clientes!$B:$B,MATCH(C783,Clientes!$A:$A,0)),"Cód. não cadastrado"))</f>
        <v/>
      </c>
      <c r="K783" s="18">
        <f>IF(B783="","",YEAR(B783))</f>
        <v/>
      </c>
      <c r="L783" s="18">
        <f>IF(B783="","",MONTH(B783))</f>
        <v/>
      </c>
      <c r="M783" s="18">
        <f>IF(OR(B783="",I783=""),"",I783-B783)</f>
        <v/>
      </c>
      <c r="N783" s="21">
        <f>IF(B783="","",IF(I783="",IF(H783="","",IF(TODAY()&gt;H783,"Atrasado (em aberto)","Em aberto")),IF(I783&lt;=H783,"No prazo","Fora do prazo")))</f>
        <v/>
      </c>
    </row>
    <row r="784">
      <c r="B784" s="22" t="n"/>
      <c r="E784" s="23" t="n"/>
      <c r="F784" s="24" t="n"/>
      <c r="H784" s="22" t="n"/>
      <c r="I784" s="22" t="n"/>
      <c r="J784" s="21">
        <f>IF(C784="","",IFERROR(INDEX(Clientes!$B:$B,MATCH(C784,Clientes!$A:$A,0)),"Cód. não cadastrado"))</f>
        <v/>
      </c>
      <c r="K784" s="18">
        <f>IF(B784="","",YEAR(B784))</f>
        <v/>
      </c>
      <c r="L784" s="18">
        <f>IF(B784="","",MONTH(B784))</f>
        <v/>
      </c>
      <c r="M784" s="18">
        <f>IF(OR(B784="",I784=""),"",I784-B784)</f>
        <v/>
      </c>
      <c r="N784" s="21">
        <f>IF(B784="","",IF(I784="",IF(H784="","",IF(TODAY()&gt;H784,"Atrasado (em aberto)","Em aberto")),IF(I784&lt;=H784,"No prazo","Fora do prazo")))</f>
        <v/>
      </c>
    </row>
    <row r="785">
      <c r="B785" s="22" t="n"/>
      <c r="E785" s="23" t="n"/>
      <c r="F785" s="24" t="n"/>
      <c r="H785" s="22" t="n"/>
      <c r="I785" s="22" t="n"/>
      <c r="J785" s="21">
        <f>IF(C785="","",IFERROR(INDEX(Clientes!$B:$B,MATCH(C785,Clientes!$A:$A,0)),"Cód. não cadastrado"))</f>
        <v/>
      </c>
      <c r="K785" s="18">
        <f>IF(B785="","",YEAR(B785))</f>
        <v/>
      </c>
      <c r="L785" s="18">
        <f>IF(B785="","",MONTH(B785))</f>
        <v/>
      </c>
      <c r="M785" s="18">
        <f>IF(OR(B785="",I785=""),"",I785-B785)</f>
        <v/>
      </c>
      <c r="N785" s="21">
        <f>IF(B785="","",IF(I785="",IF(H785="","",IF(TODAY()&gt;H785,"Atrasado (em aberto)","Em aberto")),IF(I785&lt;=H785,"No prazo","Fora do prazo")))</f>
        <v/>
      </c>
    </row>
    <row r="786">
      <c r="B786" s="22" t="n"/>
      <c r="E786" s="23" t="n"/>
      <c r="F786" s="24" t="n"/>
      <c r="H786" s="22" t="n"/>
      <c r="I786" s="22" t="n"/>
      <c r="J786" s="21">
        <f>IF(C786="","",IFERROR(INDEX(Clientes!$B:$B,MATCH(C786,Clientes!$A:$A,0)),"Cód. não cadastrado"))</f>
        <v/>
      </c>
      <c r="K786" s="18">
        <f>IF(B786="","",YEAR(B786))</f>
        <v/>
      </c>
      <c r="L786" s="18">
        <f>IF(B786="","",MONTH(B786))</f>
        <v/>
      </c>
      <c r="M786" s="18">
        <f>IF(OR(B786="",I786=""),"",I786-B786)</f>
        <v/>
      </c>
      <c r="N786" s="21">
        <f>IF(B786="","",IF(I786="",IF(H786="","",IF(TODAY()&gt;H786,"Atrasado (em aberto)","Em aberto")),IF(I786&lt;=H786,"No prazo","Fora do prazo")))</f>
        <v/>
      </c>
    </row>
    <row r="787">
      <c r="B787" s="22" t="n"/>
      <c r="E787" s="23" t="n"/>
      <c r="F787" s="24" t="n"/>
      <c r="H787" s="22" t="n"/>
      <c r="I787" s="22" t="n"/>
      <c r="J787" s="21">
        <f>IF(C787="","",IFERROR(INDEX(Clientes!$B:$B,MATCH(C787,Clientes!$A:$A,0)),"Cód. não cadastrado"))</f>
        <v/>
      </c>
      <c r="K787" s="18">
        <f>IF(B787="","",YEAR(B787))</f>
        <v/>
      </c>
      <c r="L787" s="18">
        <f>IF(B787="","",MONTH(B787))</f>
        <v/>
      </c>
      <c r="M787" s="18">
        <f>IF(OR(B787="",I787=""),"",I787-B787)</f>
        <v/>
      </c>
      <c r="N787" s="21">
        <f>IF(B787="","",IF(I787="",IF(H787="","",IF(TODAY()&gt;H787,"Atrasado (em aberto)","Em aberto")),IF(I787&lt;=H787,"No prazo","Fora do prazo")))</f>
        <v/>
      </c>
    </row>
    <row r="788">
      <c r="B788" s="22" t="n"/>
      <c r="E788" s="23" t="n"/>
      <c r="F788" s="24" t="n"/>
      <c r="H788" s="22" t="n"/>
      <c r="I788" s="22" t="n"/>
      <c r="J788" s="21">
        <f>IF(C788="","",IFERROR(INDEX(Clientes!$B:$B,MATCH(C788,Clientes!$A:$A,0)),"Cód. não cadastrado"))</f>
        <v/>
      </c>
      <c r="K788" s="18">
        <f>IF(B788="","",YEAR(B788))</f>
        <v/>
      </c>
      <c r="L788" s="18">
        <f>IF(B788="","",MONTH(B788))</f>
        <v/>
      </c>
      <c r="M788" s="18">
        <f>IF(OR(B788="",I788=""),"",I788-B788)</f>
        <v/>
      </c>
      <c r="N788" s="21">
        <f>IF(B788="","",IF(I788="",IF(H788="","",IF(TODAY()&gt;H788,"Atrasado (em aberto)","Em aberto")),IF(I788&lt;=H788,"No prazo","Fora do prazo")))</f>
        <v/>
      </c>
    </row>
    <row r="789">
      <c r="B789" s="22" t="n"/>
      <c r="E789" s="23" t="n"/>
      <c r="F789" s="24" t="n"/>
      <c r="H789" s="22" t="n"/>
      <c r="I789" s="22" t="n"/>
      <c r="J789" s="21">
        <f>IF(C789="","",IFERROR(INDEX(Clientes!$B:$B,MATCH(C789,Clientes!$A:$A,0)),"Cód. não cadastrado"))</f>
        <v/>
      </c>
      <c r="K789" s="18">
        <f>IF(B789="","",YEAR(B789))</f>
        <v/>
      </c>
      <c r="L789" s="18">
        <f>IF(B789="","",MONTH(B789))</f>
        <v/>
      </c>
      <c r="M789" s="18">
        <f>IF(OR(B789="",I789=""),"",I789-B789)</f>
        <v/>
      </c>
      <c r="N789" s="21">
        <f>IF(B789="","",IF(I789="",IF(H789="","",IF(TODAY()&gt;H789,"Atrasado (em aberto)","Em aberto")),IF(I789&lt;=H789,"No prazo","Fora do prazo")))</f>
        <v/>
      </c>
    </row>
    <row r="790">
      <c r="B790" s="22" t="n"/>
      <c r="E790" s="23" t="n"/>
      <c r="F790" s="24" t="n"/>
      <c r="H790" s="22" t="n"/>
      <c r="I790" s="22" t="n"/>
      <c r="J790" s="21">
        <f>IF(C790="","",IFERROR(INDEX(Clientes!$B:$B,MATCH(C790,Clientes!$A:$A,0)),"Cód. não cadastrado"))</f>
        <v/>
      </c>
      <c r="K790" s="18">
        <f>IF(B790="","",YEAR(B790))</f>
        <v/>
      </c>
      <c r="L790" s="18">
        <f>IF(B790="","",MONTH(B790))</f>
        <v/>
      </c>
      <c r="M790" s="18">
        <f>IF(OR(B790="",I790=""),"",I790-B790)</f>
        <v/>
      </c>
      <c r="N790" s="21">
        <f>IF(B790="","",IF(I790="",IF(H790="","",IF(TODAY()&gt;H790,"Atrasado (em aberto)","Em aberto")),IF(I790&lt;=H790,"No prazo","Fora do prazo")))</f>
        <v/>
      </c>
    </row>
    <row r="791">
      <c r="B791" s="22" t="n"/>
      <c r="E791" s="23" t="n"/>
      <c r="F791" s="24" t="n"/>
      <c r="H791" s="22" t="n"/>
      <c r="I791" s="22" t="n"/>
      <c r="J791" s="21">
        <f>IF(C791="","",IFERROR(INDEX(Clientes!$B:$B,MATCH(C791,Clientes!$A:$A,0)),"Cód. não cadastrado"))</f>
        <v/>
      </c>
      <c r="K791" s="18">
        <f>IF(B791="","",YEAR(B791))</f>
        <v/>
      </c>
      <c r="L791" s="18">
        <f>IF(B791="","",MONTH(B791))</f>
        <v/>
      </c>
      <c r="M791" s="18">
        <f>IF(OR(B791="",I791=""),"",I791-B791)</f>
        <v/>
      </c>
      <c r="N791" s="21">
        <f>IF(B791="","",IF(I791="",IF(H791="","",IF(TODAY()&gt;H791,"Atrasado (em aberto)","Em aberto")),IF(I791&lt;=H791,"No prazo","Fora do prazo")))</f>
        <v/>
      </c>
    </row>
    <row r="792">
      <c r="B792" s="22" t="n"/>
      <c r="E792" s="23" t="n"/>
      <c r="F792" s="24" t="n"/>
      <c r="H792" s="22" t="n"/>
      <c r="I792" s="22" t="n"/>
      <c r="J792" s="21">
        <f>IF(C792="","",IFERROR(INDEX(Clientes!$B:$B,MATCH(C792,Clientes!$A:$A,0)),"Cód. não cadastrado"))</f>
        <v/>
      </c>
      <c r="K792" s="18">
        <f>IF(B792="","",YEAR(B792))</f>
        <v/>
      </c>
      <c r="L792" s="18">
        <f>IF(B792="","",MONTH(B792))</f>
        <v/>
      </c>
      <c r="M792" s="18">
        <f>IF(OR(B792="",I792=""),"",I792-B792)</f>
        <v/>
      </c>
      <c r="N792" s="21">
        <f>IF(B792="","",IF(I792="",IF(H792="","",IF(TODAY()&gt;H792,"Atrasado (em aberto)","Em aberto")),IF(I792&lt;=H792,"No prazo","Fora do prazo")))</f>
        <v/>
      </c>
    </row>
    <row r="793">
      <c r="B793" s="22" t="n"/>
      <c r="E793" s="23" t="n"/>
      <c r="F793" s="24" t="n"/>
      <c r="H793" s="22" t="n"/>
      <c r="I793" s="22" t="n"/>
      <c r="J793" s="21">
        <f>IF(C793="","",IFERROR(INDEX(Clientes!$B:$B,MATCH(C793,Clientes!$A:$A,0)),"Cód. não cadastrado"))</f>
        <v/>
      </c>
      <c r="K793" s="18">
        <f>IF(B793="","",YEAR(B793))</f>
        <v/>
      </c>
      <c r="L793" s="18">
        <f>IF(B793="","",MONTH(B793))</f>
        <v/>
      </c>
      <c r="M793" s="18">
        <f>IF(OR(B793="",I793=""),"",I793-B793)</f>
        <v/>
      </c>
      <c r="N793" s="21">
        <f>IF(B793="","",IF(I793="",IF(H793="","",IF(TODAY()&gt;H793,"Atrasado (em aberto)","Em aberto")),IF(I793&lt;=H793,"No prazo","Fora do prazo")))</f>
        <v/>
      </c>
    </row>
    <row r="794">
      <c r="B794" s="22" t="n"/>
      <c r="E794" s="23" t="n"/>
      <c r="F794" s="24" t="n"/>
      <c r="H794" s="22" t="n"/>
      <c r="I794" s="22" t="n"/>
      <c r="J794" s="21">
        <f>IF(C794="","",IFERROR(INDEX(Clientes!$B:$B,MATCH(C794,Clientes!$A:$A,0)),"Cód. não cadastrado"))</f>
        <v/>
      </c>
      <c r="K794" s="18">
        <f>IF(B794="","",YEAR(B794))</f>
        <v/>
      </c>
      <c r="L794" s="18">
        <f>IF(B794="","",MONTH(B794))</f>
        <v/>
      </c>
      <c r="M794" s="18">
        <f>IF(OR(B794="",I794=""),"",I794-B794)</f>
        <v/>
      </c>
      <c r="N794" s="21">
        <f>IF(B794="","",IF(I794="",IF(H794="","",IF(TODAY()&gt;H794,"Atrasado (em aberto)","Em aberto")),IF(I794&lt;=H794,"No prazo","Fora do prazo")))</f>
        <v/>
      </c>
    </row>
    <row r="795">
      <c r="B795" s="22" t="n"/>
      <c r="E795" s="23" t="n"/>
      <c r="F795" s="24" t="n"/>
      <c r="H795" s="22" t="n"/>
      <c r="I795" s="22" t="n"/>
      <c r="J795" s="21">
        <f>IF(C795="","",IFERROR(INDEX(Clientes!$B:$B,MATCH(C795,Clientes!$A:$A,0)),"Cód. não cadastrado"))</f>
        <v/>
      </c>
      <c r="K795" s="18">
        <f>IF(B795="","",YEAR(B795))</f>
        <v/>
      </c>
      <c r="L795" s="18">
        <f>IF(B795="","",MONTH(B795))</f>
        <v/>
      </c>
      <c r="M795" s="18">
        <f>IF(OR(B795="",I795=""),"",I795-B795)</f>
        <v/>
      </c>
      <c r="N795" s="21">
        <f>IF(B795="","",IF(I795="",IF(H795="","",IF(TODAY()&gt;H795,"Atrasado (em aberto)","Em aberto")),IF(I795&lt;=H795,"No prazo","Fora do prazo")))</f>
        <v/>
      </c>
    </row>
    <row r="796">
      <c r="B796" s="22" t="n"/>
      <c r="E796" s="23" t="n"/>
      <c r="F796" s="24" t="n"/>
      <c r="H796" s="22" t="n"/>
      <c r="I796" s="22" t="n"/>
      <c r="J796" s="21">
        <f>IF(C796="","",IFERROR(INDEX(Clientes!$B:$B,MATCH(C796,Clientes!$A:$A,0)),"Cód. não cadastrado"))</f>
        <v/>
      </c>
      <c r="K796" s="18">
        <f>IF(B796="","",YEAR(B796))</f>
        <v/>
      </c>
      <c r="L796" s="18">
        <f>IF(B796="","",MONTH(B796))</f>
        <v/>
      </c>
      <c r="M796" s="18">
        <f>IF(OR(B796="",I796=""),"",I796-B796)</f>
        <v/>
      </c>
      <c r="N796" s="21">
        <f>IF(B796="","",IF(I796="",IF(H796="","",IF(TODAY()&gt;H796,"Atrasado (em aberto)","Em aberto")),IF(I796&lt;=H796,"No prazo","Fora do prazo")))</f>
        <v/>
      </c>
    </row>
    <row r="797">
      <c r="B797" s="22" t="n"/>
      <c r="E797" s="23" t="n"/>
      <c r="F797" s="24" t="n"/>
      <c r="H797" s="22" t="n"/>
      <c r="I797" s="22" t="n"/>
      <c r="J797" s="21">
        <f>IF(C797="","",IFERROR(INDEX(Clientes!$B:$B,MATCH(C797,Clientes!$A:$A,0)),"Cód. não cadastrado"))</f>
        <v/>
      </c>
      <c r="K797" s="18">
        <f>IF(B797="","",YEAR(B797))</f>
        <v/>
      </c>
      <c r="L797" s="18">
        <f>IF(B797="","",MONTH(B797))</f>
        <v/>
      </c>
      <c r="M797" s="18">
        <f>IF(OR(B797="",I797=""),"",I797-B797)</f>
        <v/>
      </c>
      <c r="N797" s="21">
        <f>IF(B797="","",IF(I797="",IF(H797="","",IF(TODAY()&gt;H797,"Atrasado (em aberto)","Em aberto")),IF(I797&lt;=H797,"No prazo","Fora do prazo")))</f>
        <v/>
      </c>
    </row>
    <row r="798">
      <c r="B798" s="22" t="n"/>
      <c r="E798" s="23" t="n"/>
      <c r="F798" s="24" t="n"/>
      <c r="H798" s="22" t="n"/>
      <c r="I798" s="22" t="n"/>
      <c r="J798" s="21">
        <f>IF(C798="","",IFERROR(INDEX(Clientes!$B:$B,MATCH(C798,Clientes!$A:$A,0)),"Cód. não cadastrado"))</f>
        <v/>
      </c>
      <c r="K798" s="18">
        <f>IF(B798="","",YEAR(B798))</f>
        <v/>
      </c>
      <c r="L798" s="18">
        <f>IF(B798="","",MONTH(B798))</f>
        <v/>
      </c>
      <c r="M798" s="18">
        <f>IF(OR(B798="",I798=""),"",I798-B798)</f>
        <v/>
      </c>
      <c r="N798" s="21">
        <f>IF(B798="","",IF(I798="",IF(H798="","",IF(TODAY()&gt;H798,"Atrasado (em aberto)","Em aberto")),IF(I798&lt;=H798,"No prazo","Fora do prazo")))</f>
        <v/>
      </c>
    </row>
    <row r="799">
      <c r="B799" s="22" t="n"/>
      <c r="E799" s="23" t="n"/>
      <c r="F799" s="24" t="n"/>
      <c r="H799" s="22" t="n"/>
      <c r="I799" s="22" t="n"/>
      <c r="J799" s="21">
        <f>IF(C799="","",IFERROR(INDEX(Clientes!$B:$B,MATCH(C799,Clientes!$A:$A,0)),"Cód. não cadastrado"))</f>
        <v/>
      </c>
      <c r="K799" s="18">
        <f>IF(B799="","",YEAR(B799))</f>
        <v/>
      </c>
      <c r="L799" s="18">
        <f>IF(B799="","",MONTH(B799))</f>
        <v/>
      </c>
      <c r="M799" s="18">
        <f>IF(OR(B799="",I799=""),"",I799-B799)</f>
        <v/>
      </c>
      <c r="N799" s="21">
        <f>IF(B799="","",IF(I799="",IF(H799="","",IF(TODAY()&gt;H799,"Atrasado (em aberto)","Em aberto")),IF(I799&lt;=H799,"No prazo","Fora do prazo")))</f>
        <v/>
      </c>
    </row>
    <row r="800">
      <c r="B800" s="22" t="n"/>
      <c r="E800" s="23" t="n"/>
      <c r="F800" s="24" t="n"/>
      <c r="H800" s="22" t="n"/>
      <c r="I800" s="22" t="n"/>
      <c r="J800" s="21">
        <f>IF(C800="","",IFERROR(INDEX(Clientes!$B:$B,MATCH(C800,Clientes!$A:$A,0)),"Cód. não cadastrado"))</f>
        <v/>
      </c>
      <c r="K800" s="18">
        <f>IF(B800="","",YEAR(B800))</f>
        <v/>
      </c>
      <c r="L800" s="18">
        <f>IF(B800="","",MONTH(B800))</f>
        <v/>
      </c>
      <c r="M800" s="18">
        <f>IF(OR(B800="",I800=""),"",I800-B800)</f>
        <v/>
      </c>
      <c r="N800" s="21">
        <f>IF(B800="","",IF(I800="",IF(H800="","",IF(TODAY()&gt;H800,"Atrasado (em aberto)","Em aberto")),IF(I800&lt;=H800,"No prazo","Fora do prazo")))</f>
        <v/>
      </c>
    </row>
    <row r="801">
      <c r="B801" s="22" t="n"/>
      <c r="E801" s="23" t="n"/>
      <c r="F801" s="24" t="n"/>
      <c r="H801" s="22" t="n"/>
      <c r="I801" s="22" t="n"/>
      <c r="J801" s="21">
        <f>IF(C801="","",IFERROR(INDEX(Clientes!$B:$B,MATCH(C801,Clientes!$A:$A,0)),"Cód. não cadastrado"))</f>
        <v/>
      </c>
      <c r="K801" s="18">
        <f>IF(B801="","",YEAR(B801))</f>
        <v/>
      </c>
      <c r="L801" s="18">
        <f>IF(B801="","",MONTH(B801))</f>
        <v/>
      </c>
      <c r="M801" s="18">
        <f>IF(OR(B801="",I801=""),"",I801-B801)</f>
        <v/>
      </c>
      <c r="N801" s="21">
        <f>IF(B801="","",IF(I801="",IF(H801="","",IF(TODAY()&gt;H801,"Atrasado (em aberto)","Em aberto")),IF(I801&lt;=H801,"No prazo","Fora do prazo")))</f>
        <v/>
      </c>
    </row>
    <row r="802">
      <c r="B802" s="22" t="n"/>
      <c r="E802" s="23" t="n"/>
      <c r="F802" s="24" t="n"/>
      <c r="H802" s="22" t="n"/>
      <c r="I802" s="22" t="n"/>
      <c r="J802" s="21">
        <f>IF(C802="","",IFERROR(INDEX(Clientes!$B:$B,MATCH(C802,Clientes!$A:$A,0)),"Cód. não cadastrado"))</f>
        <v/>
      </c>
      <c r="K802" s="18">
        <f>IF(B802="","",YEAR(B802))</f>
        <v/>
      </c>
      <c r="L802" s="18">
        <f>IF(B802="","",MONTH(B802))</f>
        <v/>
      </c>
      <c r="M802" s="18">
        <f>IF(OR(B802="",I802=""),"",I802-B802)</f>
        <v/>
      </c>
      <c r="N802" s="21">
        <f>IF(B802="","",IF(I802="",IF(H802="","",IF(TODAY()&gt;H802,"Atrasado (em aberto)","Em aberto")),IF(I802&lt;=H802,"No prazo","Fora do prazo")))</f>
        <v/>
      </c>
    </row>
    <row r="803">
      <c r="B803" s="22" t="n"/>
      <c r="E803" s="23" t="n"/>
      <c r="F803" s="24" t="n"/>
      <c r="H803" s="22" t="n"/>
      <c r="I803" s="22" t="n"/>
      <c r="J803" s="21">
        <f>IF(C803="","",IFERROR(INDEX(Clientes!$B:$B,MATCH(C803,Clientes!$A:$A,0)),"Cód. não cadastrado"))</f>
        <v/>
      </c>
      <c r="K803" s="18">
        <f>IF(B803="","",YEAR(B803))</f>
        <v/>
      </c>
      <c r="L803" s="18">
        <f>IF(B803="","",MONTH(B803))</f>
        <v/>
      </c>
      <c r="M803" s="18">
        <f>IF(OR(B803="",I803=""),"",I803-B803)</f>
        <v/>
      </c>
      <c r="N803" s="21">
        <f>IF(B803="","",IF(I803="",IF(H803="","",IF(TODAY()&gt;H803,"Atrasado (em aberto)","Em aberto")),IF(I803&lt;=H803,"No prazo","Fora do prazo")))</f>
        <v/>
      </c>
    </row>
    <row r="804">
      <c r="B804" s="22" t="n"/>
      <c r="E804" s="23" t="n"/>
      <c r="F804" s="24" t="n"/>
      <c r="H804" s="22" t="n"/>
      <c r="I804" s="22" t="n"/>
      <c r="J804" s="21">
        <f>IF(C804="","",IFERROR(INDEX(Clientes!$B:$B,MATCH(C804,Clientes!$A:$A,0)),"Cód. não cadastrado"))</f>
        <v/>
      </c>
      <c r="K804" s="18">
        <f>IF(B804="","",YEAR(B804))</f>
        <v/>
      </c>
      <c r="L804" s="18">
        <f>IF(B804="","",MONTH(B804))</f>
        <v/>
      </c>
      <c r="M804" s="18">
        <f>IF(OR(B804="",I804=""),"",I804-B804)</f>
        <v/>
      </c>
      <c r="N804" s="21">
        <f>IF(B804="","",IF(I804="",IF(H804="","",IF(TODAY()&gt;H804,"Atrasado (em aberto)","Em aberto")),IF(I804&lt;=H804,"No prazo","Fora do prazo")))</f>
        <v/>
      </c>
    </row>
    <row r="805">
      <c r="B805" s="22" t="n"/>
      <c r="E805" s="23" t="n"/>
      <c r="F805" s="24" t="n"/>
      <c r="H805" s="22" t="n"/>
      <c r="I805" s="22" t="n"/>
      <c r="J805" s="21">
        <f>IF(C805="","",IFERROR(INDEX(Clientes!$B:$B,MATCH(C805,Clientes!$A:$A,0)),"Cód. não cadastrado"))</f>
        <v/>
      </c>
      <c r="K805" s="18">
        <f>IF(B805="","",YEAR(B805))</f>
        <v/>
      </c>
      <c r="L805" s="18">
        <f>IF(B805="","",MONTH(B805))</f>
        <v/>
      </c>
      <c r="M805" s="18">
        <f>IF(OR(B805="",I805=""),"",I805-B805)</f>
        <v/>
      </c>
      <c r="N805" s="21">
        <f>IF(B805="","",IF(I805="",IF(H805="","",IF(TODAY()&gt;H805,"Atrasado (em aberto)","Em aberto")),IF(I805&lt;=H805,"No prazo","Fora do prazo")))</f>
        <v/>
      </c>
    </row>
    <row r="806">
      <c r="B806" s="22" t="n"/>
      <c r="E806" s="23" t="n"/>
      <c r="F806" s="24" t="n"/>
      <c r="H806" s="22" t="n"/>
      <c r="I806" s="22" t="n"/>
      <c r="J806" s="21">
        <f>IF(C806="","",IFERROR(INDEX(Clientes!$B:$B,MATCH(C806,Clientes!$A:$A,0)),"Cód. não cadastrado"))</f>
        <v/>
      </c>
      <c r="K806" s="18">
        <f>IF(B806="","",YEAR(B806))</f>
        <v/>
      </c>
      <c r="L806" s="18">
        <f>IF(B806="","",MONTH(B806))</f>
        <v/>
      </c>
      <c r="M806" s="18">
        <f>IF(OR(B806="",I806=""),"",I806-B806)</f>
        <v/>
      </c>
      <c r="N806" s="21">
        <f>IF(B806="","",IF(I806="",IF(H806="","",IF(TODAY()&gt;H806,"Atrasado (em aberto)","Em aberto")),IF(I806&lt;=H806,"No prazo","Fora do prazo")))</f>
        <v/>
      </c>
    </row>
    <row r="807">
      <c r="B807" s="22" t="n"/>
      <c r="E807" s="23" t="n"/>
      <c r="F807" s="24" t="n"/>
      <c r="H807" s="22" t="n"/>
      <c r="I807" s="22" t="n"/>
      <c r="J807" s="21">
        <f>IF(C807="","",IFERROR(INDEX(Clientes!$B:$B,MATCH(C807,Clientes!$A:$A,0)),"Cód. não cadastrado"))</f>
        <v/>
      </c>
      <c r="K807" s="18">
        <f>IF(B807="","",YEAR(B807))</f>
        <v/>
      </c>
      <c r="L807" s="18">
        <f>IF(B807="","",MONTH(B807))</f>
        <v/>
      </c>
      <c r="M807" s="18">
        <f>IF(OR(B807="",I807=""),"",I807-B807)</f>
        <v/>
      </c>
      <c r="N807" s="21">
        <f>IF(B807="","",IF(I807="",IF(H807="","",IF(TODAY()&gt;H807,"Atrasado (em aberto)","Em aberto")),IF(I807&lt;=H807,"No prazo","Fora do prazo")))</f>
        <v/>
      </c>
    </row>
    <row r="808">
      <c r="B808" s="22" t="n"/>
      <c r="E808" s="23" t="n"/>
      <c r="F808" s="24" t="n"/>
      <c r="H808" s="22" t="n"/>
      <c r="I808" s="22" t="n"/>
      <c r="J808" s="21">
        <f>IF(C808="","",IFERROR(INDEX(Clientes!$B:$B,MATCH(C808,Clientes!$A:$A,0)),"Cód. não cadastrado"))</f>
        <v/>
      </c>
      <c r="K808" s="18">
        <f>IF(B808="","",YEAR(B808))</f>
        <v/>
      </c>
      <c r="L808" s="18">
        <f>IF(B808="","",MONTH(B808))</f>
        <v/>
      </c>
      <c r="M808" s="18">
        <f>IF(OR(B808="",I808=""),"",I808-B808)</f>
        <v/>
      </c>
      <c r="N808" s="21">
        <f>IF(B808="","",IF(I808="",IF(H808="","",IF(TODAY()&gt;H808,"Atrasado (em aberto)","Em aberto")),IF(I808&lt;=H808,"No prazo","Fora do prazo")))</f>
        <v/>
      </c>
    </row>
    <row r="809">
      <c r="B809" s="22" t="n"/>
      <c r="E809" s="23" t="n"/>
      <c r="F809" s="24" t="n"/>
      <c r="H809" s="22" t="n"/>
      <c r="I809" s="22" t="n"/>
      <c r="J809" s="21">
        <f>IF(C809="","",IFERROR(INDEX(Clientes!$B:$B,MATCH(C809,Clientes!$A:$A,0)),"Cód. não cadastrado"))</f>
        <v/>
      </c>
      <c r="K809" s="18">
        <f>IF(B809="","",YEAR(B809))</f>
        <v/>
      </c>
      <c r="L809" s="18">
        <f>IF(B809="","",MONTH(B809))</f>
        <v/>
      </c>
      <c r="M809" s="18">
        <f>IF(OR(B809="",I809=""),"",I809-B809)</f>
        <v/>
      </c>
      <c r="N809" s="21">
        <f>IF(B809="","",IF(I809="",IF(H809="","",IF(TODAY()&gt;H809,"Atrasado (em aberto)","Em aberto")),IF(I809&lt;=H809,"No prazo","Fora do prazo")))</f>
        <v/>
      </c>
    </row>
    <row r="810">
      <c r="B810" s="22" t="n"/>
      <c r="E810" s="23" t="n"/>
      <c r="F810" s="24" t="n"/>
      <c r="H810" s="22" t="n"/>
      <c r="I810" s="22" t="n"/>
      <c r="J810" s="21">
        <f>IF(C810="","",IFERROR(INDEX(Clientes!$B:$B,MATCH(C810,Clientes!$A:$A,0)),"Cód. não cadastrado"))</f>
        <v/>
      </c>
      <c r="K810" s="18">
        <f>IF(B810="","",YEAR(B810))</f>
        <v/>
      </c>
      <c r="L810" s="18">
        <f>IF(B810="","",MONTH(B810))</f>
        <v/>
      </c>
      <c r="M810" s="18">
        <f>IF(OR(B810="",I810=""),"",I810-B810)</f>
        <v/>
      </c>
      <c r="N810" s="21">
        <f>IF(B810="","",IF(I810="",IF(H810="","",IF(TODAY()&gt;H810,"Atrasado (em aberto)","Em aberto")),IF(I810&lt;=H810,"No prazo","Fora do prazo")))</f>
        <v/>
      </c>
    </row>
    <row r="811">
      <c r="B811" s="22" t="n"/>
      <c r="E811" s="23" t="n"/>
      <c r="F811" s="24" t="n"/>
      <c r="H811" s="22" t="n"/>
      <c r="I811" s="22" t="n"/>
      <c r="J811" s="21">
        <f>IF(C811="","",IFERROR(INDEX(Clientes!$B:$B,MATCH(C811,Clientes!$A:$A,0)),"Cód. não cadastrado"))</f>
        <v/>
      </c>
      <c r="K811" s="18">
        <f>IF(B811="","",YEAR(B811))</f>
        <v/>
      </c>
      <c r="L811" s="18">
        <f>IF(B811="","",MONTH(B811))</f>
        <v/>
      </c>
      <c r="M811" s="18">
        <f>IF(OR(B811="",I811=""),"",I811-B811)</f>
        <v/>
      </c>
      <c r="N811" s="21">
        <f>IF(B811="","",IF(I811="",IF(H811="","",IF(TODAY()&gt;H811,"Atrasado (em aberto)","Em aberto")),IF(I811&lt;=H811,"No prazo","Fora do prazo")))</f>
        <v/>
      </c>
    </row>
    <row r="812">
      <c r="B812" s="22" t="n"/>
      <c r="E812" s="23" t="n"/>
      <c r="F812" s="24" t="n"/>
      <c r="H812" s="22" t="n"/>
      <c r="I812" s="22" t="n"/>
      <c r="J812" s="21">
        <f>IF(C812="","",IFERROR(INDEX(Clientes!$B:$B,MATCH(C812,Clientes!$A:$A,0)),"Cód. não cadastrado"))</f>
        <v/>
      </c>
      <c r="K812" s="18">
        <f>IF(B812="","",YEAR(B812))</f>
        <v/>
      </c>
      <c r="L812" s="18">
        <f>IF(B812="","",MONTH(B812))</f>
        <v/>
      </c>
      <c r="M812" s="18">
        <f>IF(OR(B812="",I812=""),"",I812-B812)</f>
        <v/>
      </c>
      <c r="N812" s="21">
        <f>IF(B812="","",IF(I812="",IF(H812="","",IF(TODAY()&gt;H812,"Atrasado (em aberto)","Em aberto")),IF(I812&lt;=H812,"No prazo","Fora do prazo")))</f>
        <v/>
      </c>
    </row>
    <row r="813">
      <c r="B813" s="22" t="n"/>
      <c r="E813" s="23" t="n"/>
      <c r="F813" s="24" t="n"/>
      <c r="H813" s="22" t="n"/>
      <c r="I813" s="22" t="n"/>
      <c r="J813" s="21">
        <f>IF(C813="","",IFERROR(INDEX(Clientes!$B:$B,MATCH(C813,Clientes!$A:$A,0)),"Cód. não cadastrado"))</f>
        <v/>
      </c>
      <c r="K813" s="18">
        <f>IF(B813="","",YEAR(B813))</f>
        <v/>
      </c>
      <c r="L813" s="18">
        <f>IF(B813="","",MONTH(B813))</f>
        <v/>
      </c>
      <c r="M813" s="18">
        <f>IF(OR(B813="",I813=""),"",I813-B813)</f>
        <v/>
      </c>
      <c r="N813" s="21">
        <f>IF(B813="","",IF(I813="",IF(H813="","",IF(TODAY()&gt;H813,"Atrasado (em aberto)","Em aberto")),IF(I813&lt;=H813,"No prazo","Fora do prazo")))</f>
        <v/>
      </c>
    </row>
    <row r="814">
      <c r="B814" s="22" t="n"/>
      <c r="E814" s="23" t="n"/>
      <c r="F814" s="24" t="n"/>
      <c r="H814" s="22" t="n"/>
      <c r="I814" s="22" t="n"/>
      <c r="J814" s="21">
        <f>IF(C814="","",IFERROR(INDEX(Clientes!$B:$B,MATCH(C814,Clientes!$A:$A,0)),"Cód. não cadastrado"))</f>
        <v/>
      </c>
      <c r="K814" s="18">
        <f>IF(B814="","",YEAR(B814))</f>
        <v/>
      </c>
      <c r="L814" s="18">
        <f>IF(B814="","",MONTH(B814))</f>
        <v/>
      </c>
      <c r="M814" s="18">
        <f>IF(OR(B814="",I814=""),"",I814-B814)</f>
        <v/>
      </c>
      <c r="N814" s="21">
        <f>IF(B814="","",IF(I814="",IF(H814="","",IF(TODAY()&gt;H814,"Atrasado (em aberto)","Em aberto")),IF(I814&lt;=H814,"No prazo","Fora do prazo")))</f>
        <v/>
      </c>
    </row>
    <row r="815">
      <c r="B815" s="22" t="n"/>
      <c r="E815" s="23" t="n"/>
      <c r="F815" s="24" t="n"/>
      <c r="H815" s="22" t="n"/>
      <c r="I815" s="22" t="n"/>
      <c r="J815" s="21">
        <f>IF(C815="","",IFERROR(INDEX(Clientes!$B:$B,MATCH(C815,Clientes!$A:$A,0)),"Cód. não cadastrado"))</f>
        <v/>
      </c>
      <c r="K815" s="18">
        <f>IF(B815="","",YEAR(B815))</f>
        <v/>
      </c>
      <c r="L815" s="18">
        <f>IF(B815="","",MONTH(B815))</f>
        <v/>
      </c>
      <c r="M815" s="18">
        <f>IF(OR(B815="",I815=""),"",I815-B815)</f>
        <v/>
      </c>
      <c r="N815" s="21">
        <f>IF(B815="","",IF(I815="",IF(H815="","",IF(TODAY()&gt;H815,"Atrasado (em aberto)","Em aberto")),IF(I815&lt;=H815,"No prazo","Fora do prazo")))</f>
        <v/>
      </c>
    </row>
    <row r="816">
      <c r="B816" s="22" t="n"/>
      <c r="E816" s="23" t="n"/>
      <c r="F816" s="24" t="n"/>
      <c r="H816" s="22" t="n"/>
      <c r="I816" s="22" t="n"/>
      <c r="J816" s="21">
        <f>IF(C816="","",IFERROR(INDEX(Clientes!$B:$B,MATCH(C816,Clientes!$A:$A,0)),"Cód. não cadastrado"))</f>
        <v/>
      </c>
      <c r="K816" s="18">
        <f>IF(B816="","",YEAR(B816))</f>
        <v/>
      </c>
      <c r="L816" s="18">
        <f>IF(B816="","",MONTH(B816))</f>
        <v/>
      </c>
      <c r="M816" s="18">
        <f>IF(OR(B816="",I816=""),"",I816-B816)</f>
        <v/>
      </c>
      <c r="N816" s="21">
        <f>IF(B816="","",IF(I816="",IF(H816="","",IF(TODAY()&gt;H816,"Atrasado (em aberto)","Em aberto")),IF(I816&lt;=H816,"No prazo","Fora do prazo")))</f>
        <v/>
      </c>
    </row>
    <row r="817">
      <c r="B817" s="22" t="n"/>
      <c r="E817" s="23" t="n"/>
      <c r="F817" s="24" t="n"/>
      <c r="H817" s="22" t="n"/>
      <c r="I817" s="22" t="n"/>
      <c r="J817" s="21">
        <f>IF(C817="","",IFERROR(INDEX(Clientes!$B:$B,MATCH(C817,Clientes!$A:$A,0)),"Cód. não cadastrado"))</f>
        <v/>
      </c>
      <c r="K817" s="18">
        <f>IF(B817="","",YEAR(B817))</f>
        <v/>
      </c>
      <c r="L817" s="18">
        <f>IF(B817="","",MONTH(B817))</f>
        <v/>
      </c>
      <c r="M817" s="18">
        <f>IF(OR(B817="",I817=""),"",I817-B817)</f>
        <v/>
      </c>
      <c r="N817" s="21">
        <f>IF(B817="","",IF(I817="",IF(H817="","",IF(TODAY()&gt;H817,"Atrasado (em aberto)","Em aberto")),IF(I817&lt;=H817,"No prazo","Fora do prazo")))</f>
        <v/>
      </c>
    </row>
    <row r="818">
      <c r="B818" s="22" t="n"/>
      <c r="E818" s="23" t="n"/>
      <c r="F818" s="24" t="n"/>
      <c r="H818" s="22" t="n"/>
      <c r="I818" s="22" t="n"/>
      <c r="J818" s="21">
        <f>IF(C818="","",IFERROR(INDEX(Clientes!$B:$B,MATCH(C818,Clientes!$A:$A,0)),"Cód. não cadastrado"))</f>
        <v/>
      </c>
      <c r="K818" s="18">
        <f>IF(B818="","",YEAR(B818))</f>
        <v/>
      </c>
      <c r="L818" s="18">
        <f>IF(B818="","",MONTH(B818))</f>
        <v/>
      </c>
      <c r="M818" s="18">
        <f>IF(OR(B818="",I818=""),"",I818-B818)</f>
        <v/>
      </c>
      <c r="N818" s="21">
        <f>IF(B818="","",IF(I818="",IF(H818="","",IF(TODAY()&gt;H818,"Atrasado (em aberto)","Em aberto")),IF(I818&lt;=H818,"No prazo","Fora do prazo")))</f>
        <v/>
      </c>
    </row>
    <row r="819">
      <c r="B819" s="22" t="n"/>
      <c r="E819" s="23" t="n"/>
      <c r="F819" s="24" t="n"/>
      <c r="H819" s="22" t="n"/>
      <c r="I819" s="22" t="n"/>
      <c r="J819" s="21">
        <f>IF(C819="","",IFERROR(INDEX(Clientes!$B:$B,MATCH(C819,Clientes!$A:$A,0)),"Cód. não cadastrado"))</f>
        <v/>
      </c>
      <c r="K819" s="18">
        <f>IF(B819="","",YEAR(B819))</f>
        <v/>
      </c>
      <c r="L819" s="18">
        <f>IF(B819="","",MONTH(B819))</f>
        <v/>
      </c>
      <c r="M819" s="18">
        <f>IF(OR(B819="",I819=""),"",I819-B819)</f>
        <v/>
      </c>
      <c r="N819" s="21">
        <f>IF(B819="","",IF(I819="",IF(H819="","",IF(TODAY()&gt;H819,"Atrasado (em aberto)","Em aberto")),IF(I819&lt;=H819,"No prazo","Fora do prazo")))</f>
        <v/>
      </c>
    </row>
    <row r="820">
      <c r="B820" s="22" t="n"/>
      <c r="E820" s="23" t="n"/>
      <c r="F820" s="24" t="n"/>
      <c r="H820" s="22" t="n"/>
      <c r="I820" s="22" t="n"/>
      <c r="J820" s="21">
        <f>IF(C820="","",IFERROR(INDEX(Clientes!$B:$B,MATCH(C820,Clientes!$A:$A,0)),"Cód. não cadastrado"))</f>
        <v/>
      </c>
      <c r="K820" s="18">
        <f>IF(B820="","",YEAR(B820))</f>
        <v/>
      </c>
      <c r="L820" s="18">
        <f>IF(B820="","",MONTH(B820))</f>
        <v/>
      </c>
      <c r="M820" s="18">
        <f>IF(OR(B820="",I820=""),"",I820-B820)</f>
        <v/>
      </c>
      <c r="N820" s="21">
        <f>IF(B820="","",IF(I820="",IF(H820="","",IF(TODAY()&gt;H820,"Atrasado (em aberto)","Em aberto")),IF(I820&lt;=H820,"No prazo","Fora do prazo")))</f>
        <v/>
      </c>
    </row>
    <row r="821">
      <c r="B821" s="22" t="n"/>
      <c r="E821" s="23" t="n"/>
      <c r="F821" s="24" t="n"/>
      <c r="H821" s="22" t="n"/>
      <c r="I821" s="22" t="n"/>
      <c r="J821" s="21">
        <f>IF(C821="","",IFERROR(INDEX(Clientes!$B:$B,MATCH(C821,Clientes!$A:$A,0)),"Cód. não cadastrado"))</f>
        <v/>
      </c>
      <c r="K821" s="18">
        <f>IF(B821="","",YEAR(B821))</f>
        <v/>
      </c>
      <c r="L821" s="18">
        <f>IF(B821="","",MONTH(B821))</f>
        <v/>
      </c>
      <c r="M821" s="18">
        <f>IF(OR(B821="",I821=""),"",I821-B821)</f>
        <v/>
      </c>
      <c r="N821" s="21">
        <f>IF(B821="","",IF(I821="",IF(H821="","",IF(TODAY()&gt;H821,"Atrasado (em aberto)","Em aberto")),IF(I821&lt;=H821,"No prazo","Fora do prazo")))</f>
        <v/>
      </c>
    </row>
    <row r="822">
      <c r="B822" s="22" t="n"/>
      <c r="E822" s="23" t="n"/>
      <c r="F822" s="24" t="n"/>
      <c r="H822" s="22" t="n"/>
      <c r="I822" s="22" t="n"/>
      <c r="J822" s="21">
        <f>IF(C822="","",IFERROR(INDEX(Clientes!$B:$B,MATCH(C822,Clientes!$A:$A,0)),"Cód. não cadastrado"))</f>
        <v/>
      </c>
      <c r="K822" s="18">
        <f>IF(B822="","",YEAR(B822))</f>
        <v/>
      </c>
      <c r="L822" s="18">
        <f>IF(B822="","",MONTH(B822))</f>
        <v/>
      </c>
      <c r="M822" s="18">
        <f>IF(OR(B822="",I822=""),"",I822-B822)</f>
        <v/>
      </c>
      <c r="N822" s="21">
        <f>IF(B822="","",IF(I822="",IF(H822="","",IF(TODAY()&gt;H822,"Atrasado (em aberto)","Em aberto")),IF(I822&lt;=H822,"No prazo","Fora do prazo")))</f>
        <v/>
      </c>
    </row>
    <row r="823">
      <c r="B823" s="22" t="n"/>
      <c r="E823" s="23" t="n"/>
      <c r="F823" s="24" t="n"/>
      <c r="H823" s="22" t="n"/>
      <c r="I823" s="22" t="n"/>
      <c r="J823" s="21">
        <f>IF(C823="","",IFERROR(INDEX(Clientes!$B:$B,MATCH(C823,Clientes!$A:$A,0)),"Cód. não cadastrado"))</f>
        <v/>
      </c>
      <c r="K823" s="18">
        <f>IF(B823="","",YEAR(B823))</f>
        <v/>
      </c>
      <c r="L823" s="18">
        <f>IF(B823="","",MONTH(B823))</f>
        <v/>
      </c>
      <c r="M823" s="18">
        <f>IF(OR(B823="",I823=""),"",I823-B823)</f>
        <v/>
      </c>
      <c r="N823" s="21">
        <f>IF(B823="","",IF(I823="",IF(H823="","",IF(TODAY()&gt;H823,"Atrasado (em aberto)","Em aberto")),IF(I823&lt;=H823,"No prazo","Fora do prazo")))</f>
        <v/>
      </c>
    </row>
    <row r="824">
      <c r="B824" s="22" t="n"/>
      <c r="E824" s="23" t="n"/>
      <c r="F824" s="24" t="n"/>
      <c r="H824" s="22" t="n"/>
      <c r="I824" s="22" t="n"/>
      <c r="J824" s="21">
        <f>IF(C824="","",IFERROR(INDEX(Clientes!$B:$B,MATCH(C824,Clientes!$A:$A,0)),"Cód. não cadastrado"))</f>
        <v/>
      </c>
      <c r="K824" s="18">
        <f>IF(B824="","",YEAR(B824))</f>
        <v/>
      </c>
      <c r="L824" s="18">
        <f>IF(B824="","",MONTH(B824))</f>
        <v/>
      </c>
      <c r="M824" s="18">
        <f>IF(OR(B824="",I824=""),"",I824-B824)</f>
        <v/>
      </c>
      <c r="N824" s="21">
        <f>IF(B824="","",IF(I824="",IF(H824="","",IF(TODAY()&gt;H824,"Atrasado (em aberto)","Em aberto")),IF(I824&lt;=H824,"No prazo","Fora do prazo")))</f>
        <v/>
      </c>
    </row>
    <row r="825">
      <c r="B825" s="22" t="n"/>
      <c r="E825" s="23" t="n"/>
      <c r="F825" s="24" t="n"/>
      <c r="H825" s="22" t="n"/>
      <c r="I825" s="22" t="n"/>
      <c r="J825" s="21">
        <f>IF(C825="","",IFERROR(INDEX(Clientes!$B:$B,MATCH(C825,Clientes!$A:$A,0)),"Cód. não cadastrado"))</f>
        <v/>
      </c>
      <c r="K825" s="18">
        <f>IF(B825="","",YEAR(B825))</f>
        <v/>
      </c>
      <c r="L825" s="18">
        <f>IF(B825="","",MONTH(B825))</f>
        <v/>
      </c>
      <c r="M825" s="18">
        <f>IF(OR(B825="",I825=""),"",I825-B825)</f>
        <v/>
      </c>
      <c r="N825" s="21">
        <f>IF(B825="","",IF(I825="",IF(H825="","",IF(TODAY()&gt;H825,"Atrasado (em aberto)","Em aberto")),IF(I825&lt;=H825,"No prazo","Fora do prazo")))</f>
        <v/>
      </c>
    </row>
    <row r="826">
      <c r="B826" s="22" t="n"/>
      <c r="E826" s="23" t="n"/>
      <c r="F826" s="24" t="n"/>
      <c r="H826" s="22" t="n"/>
      <c r="I826" s="22" t="n"/>
      <c r="J826" s="21">
        <f>IF(C826="","",IFERROR(INDEX(Clientes!$B:$B,MATCH(C826,Clientes!$A:$A,0)),"Cód. não cadastrado"))</f>
        <v/>
      </c>
      <c r="K826" s="18">
        <f>IF(B826="","",YEAR(B826))</f>
        <v/>
      </c>
      <c r="L826" s="18">
        <f>IF(B826="","",MONTH(B826))</f>
        <v/>
      </c>
      <c r="M826" s="18">
        <f>IF(OR(B826="",I826=""),"",I826-B826)</f>
        <v/>
      </c>
      <c r="N826" s="21">
        <f>IF(B826="","",IF(I826="",IF(H826="","",IF(TODAY()&gt;H826,"Atrasado (em aberto)","Em aberto")),IF(I826&lt;=H826,"No prazo","Fora do prazo")))</f>
        <v/>
      </c>
    </row>
    <row r="827">
      <c r="B827" s="22" t="n"/>
      <c r="E827" s="23" t="n"/>
      <c r="F827" s="24" t="n"/>
      <c r="H827" s="22" t="n"/>
      <c r="I827" s="22" t="n"/>
      <c r="J827" s="21">
        <f>IF(C827="","",IFERROR(INDEX(Clientes!$B:$B,MATCH(C827,Clientes!$A:$A,0)),"Cód. não cadastrado"))</f>
        <v/>
      </c>
      <c r="K827" s="18">
        <f>IF(B827="","",YEAR(B827))</f>
        <v/>
      </c>
      <c r="L827" s="18">
        <f>IF(B827="","",MONTH(B827))</f>
        <v/>
      </c>
      <c r="M827" s="18">
        <f>IF(OR(B827="",I827=""),"",I827-B827)</f>
        <v/>
      </c>
      <c r="N827" s="21">
        <f>IF(B827="","",IF(I827="",IF(H827="","",IF(TODAY()&gt;H827,"Atrasado (em aberto)","Em aberto")),IF(I827&lt;=H827,"No prazo","Fora do prazo")))</f>
        <v/>
      </c>
    </row>
    <row r="828">
      <c r="B828" s="22" t="n"/>
      <c r="E828" s="23" t="n"/>
      <c r="F828" s="24" t="n"/>
      <c r="H828" s="22" t="n"/>
      <c r="I828" s="22" t="n"/>
      <c r="J828" s="21">
        <f>IF(C828="","",IFERROR(INDEX(Clientes!$B:$B,MATCH(C828,Clientes!$A:$A,0)),"Cód. não cadastrado"))</f>
        <v/>
      </c>
      <c r="K828" s="18">
        <f>IF(B828="","",YEAR(B828))</f>
        <v/>
      </c>
      <c r="L828" s="18">
        <f>IF(B828="","",MONTH(B828))</f>
        <v/>
      </c>
      <c r="M828" s="18">
        <f>IF(OR(B828="",I828=""),"",I828-B828)</f>
        <v/>
      </c>
      <c r="N828" s="21">
        <f>IF(B828="","",IF(I828="",IF(H828="","",IF(TODAY()&gt;H828,"Atrasado (em aberto)","Em aberto")),IF(I828&lt;=H828,"No prazo","Fora do prazo")))</f>
        <v/>
      </c>
    </row>
    <row r="829">
      <c r="B829" s="22" t="n"/>
      <c r="E829" s="23" t="n"/>
      <c r="F829" s="24" t="n"/>
      <c r="H829" s="22" t="n"/>
      <c r="I829" s="22" t="n"/>
      <c r="J829" s="21">
        <f>IF(C829="","",IFERROR(INDEX(Clientes!$B:$B,MATCH(C829,Clientes!$A:$A,0)),"Cód. não cadastrado"))</f>
        <v/>
      </c>
      <c r="K829" s="18">
        <f>IF(B829="","",YEAR(B829))</f>
        <v/>
      </c>
      <c r="L829" s="18">
        <f>IF(B829="","",MONTH(B829))</f>
        <v/>
      </c>
      <c r="M829" s="18">
        <f>IF(OR(B829="",I829=""),"",I829-B829)</f>
        <v/>
      </c>
      <c r="N829" s="21">
        <f>IF(B829="","",IF(I829="",IF(H829="","",IF(TODAY()&gt;H829,"Atrasado (em aberto)","Em aberto")),IF(I829&lt;=H829,"No prazo","Fora do prazo")))</f>
        <v/>
      </c>
    </row>
    <row r="830">
      <c r="B830" s="22" t="n"/>
      <c r="E830" s="23" t="n"/>
      <c r="F830" s="24" t="n"/>
      <c r="H830" s="22" t="n"/>
      <c r="I830" s="22" t="n"/>
      <c r="J830" s="21">
        <f>IF(C830="","",IFERROR(INDEX(Clientes!$B:$B,MATCH(C830,Clientes!$A:$A,0)),"Cód. não cadastrado"))</f>
        <v/>
      </c>
      <c r="K830" s="18">
        <f>IF(B830="","",YEAR(B830))</f>
        <v/>
      </c>
      <c r="L830" s="18">
        <f>IF(B830="","",MONTH(B830))</f>
        <v/>
      </c>
      <c r="M830" s="18">
        <f>IF(OR(B830="",I830=""),"",I830-B830)</f>
        <v/>
      </c>
      <c r="N830" s="21">
        <f>IF(B830="","",IF(I830="",IF(H830="","",IF(TODAY()&gt;H830,"Atrasado (em aberto)","Em aberto")),IF(I830&lt;=H830,"No prazo","Fora do prazo")))</f>
        <v/>
      </c>
    </row>
    <row r="831">
      <c r="B831" s="22" t="n"/>
      <c r="E831" s="23" t="n"/>
      <c r="F831" s="24" t="n"/>
      <c r="H831" s="22" t="n"/>
      <c r="I831" s="22" t="n"/>
      <c r="J831" s="21">
        <f>IF(C831="","",IFERROR(INDEX(Clientes!$B:$B,MATCH(C831,Clientes!$A:$A,0)),"Cód. não cadastrado"))</f>
        <v/>
      </c>
      <c r="K831" s="18">
        <f>IF(B831="","",YEAR(B831))</f>
        <v/>
      </c>
      <c r="L831" s="18">
        <f>IF(B831="","",MONTH(B831))</f>
        <v/>
      </c>
      <c r="M831" s="18">
        <f>IF(OR(B831="",I831=""),"",I831-B831)</f>
        <v/>
      </c>
      <c r="N831" s="21">
        <f>IF(B831="","",IF(I831="",IF(H831="","",IF(TODAY()&gt;H831,"Atrasado (em aberto)","Em aberto")),IF(I831&lt;=H831,"No prazo","Fora do prazo")))</f>
        <v/>
      </c>
    </row>
    <row r="832">
      <c r="B832" s="22" t="n"/>
      <c r="E832" s="23" t="n"/>
      <c r="F832" s="24" t="n"/>
      <c r="H832" s="22" t="n"/>
      <c r="I832" s="22" t="n"/>
      <c r="J832" s="21">
        <f>IF(C832="","",IFERROR(INDEX(Clientes!$B:$B,MATCH(C832,Clientes!$A:$A,0)),"Cód. não cadastrado"))</f>
        <v/>
      </c>
      <c r="K832" s="18">
        <f>IF(B832="","",YEAR(B832))</f>
        <v/>
      </c>
      <c r="L832" s="18">
        <f>IF(B832="","",MONTH(B832))</f>
        <v/>
      </c>
      <c r="M832" s="18">
        <f>IF(OR(B832="",I832=""),"",I832-B832)</f>
        <v/>
      </c>
      <c r="N832" s="21">
        <f>IF(B832="","",IF(I832="",IF(H832="","",IF(TODAY()&gt;H832,"Atrasado (em aberto)","Em aberto")),IF(I832&lt;=H832,"No prazo","Fora do prazo")))</f>
        <v/>
      </c>
    </row>
    <row r="833">
      <c r="B833" s="22" t="n"/>
      <c r="E833" s="23" t="n"/>
      <c r="F833" s="24" t="n"/>
      <c r="H833" s="22" t="n"/>
      <c r="I833" s="22" t="n"/>
      <c r="J833" s="21">
        <f>IF(C833="","",IFERROR(INDEX(Clientes!$B:$B,MATCH(C833,Clientes!$A:$A,0)),"Cód. não cadastrado"))</f>
        <v/>
      </c>
      <c r="K833" s="18">
        <f>IF(B833="","",YEAR(B833))</f>
        <v/>
      </c>
      <c r="L833" s="18">
        <f>IF(B833="","",MONTH(B833))</f>
        <v/>
      </c>
      <c r="M833" s="18">
        <f>IF(OR(B833="",I833=""),"",I833-B833)</f>
        <v/>
      </c>
      <c r="N833" s="21">
        <f>IF(B833="","",IF(I833="",IF(H833="","",IF(TODAY()&gt;H833,"Atrasado (em aberto)","Em aberto")),IF(I833&lt;=H833,"No prazo","Fora do prazo")))</f>
        <v/>
      </c>
    </row>
    <row r="834">
      <c r="B834" s="22" t="n"/>
      <c r="E834" s="23" t="n"/>
      <c r="F834" s="24" t="n"/>
      <c r="H834" s="22" t="n"/>
      <c r="I834" s="22" t="n"/>
      <c r="J834" s="21">
        <f>IF(C834="","",IFERROR(INDEX(Clientes!$B:$B,MATCH(C834,Clientes!$A:$A,0)),"Cód. não cadastrado"))</f>
        <v/>
      </c>
      <c r="K834" s="18">
        <f>IF(B834="","",YEAR(B834))</f>
        <v/>
      </c>
      <c r="L834" s="18">
        <f>IF(B834="","",MONTH(B834))</f>
        <v/>
      </c>
      <c r="M834" s="18">
        <f>IF(OR(B834="",I834=""),"",I834-B834)</f>
        <v/>
      </c>
      <c r="N834" s="21">
        <f>IF(B834="","",IF(I834="",IF(H834="","",IF(TODAY()&gt;H834,"Atrasado (em aberto)","Em aberto")),IF(I834&lt;=H834,"No prazo","Fora do prazo")))</f>
        <v/>
      </c>
    </row>
    <row r="835">
      <c r="B835" s="22" t="n"/>
      <c r="E835" s="23" t="n"/>
      <c r="F835" s="24" t="n"/>
      <c r="H835" s="22" t="n"/>
      <c r="I835" s="22" t="n"/>
      <c r="J835" s="21">
        <f>IF(C835="","",IFERROR(INDEX(Clientes!$B:$B,MATCH(C835,Clientes!$A:$A,0)),"Cód. não cadastrado"))</f>
        <v/>
      </c>
      <c r="K835" s="18">
        <f>IF(B835="","",YEAR(B835))</f>
        <v/>
      </c>
      <c r="L835" s="18">
        <f>IF(B835="","",MONTH(B835))</f>
        <v/>
      </c>
      <c r="M835" s="18">
        <f>IF(OR(B835="",I835=""),"",I835-B835)</f>
        <v/>
      </c>
      <c r="N835" s="21">
        <f>IF(B835="","",IF(I835="",IF(H835="","",IF(TODAY()&gt;H835,"Atrasado (em aberto)","Em aberto")),IF(I835&lt;=H835,"No prazo","Fora do prazo")))</f>
        <v/>
      </c>
    </row>
    <row r="836">
      <c r="B836" s="22" t="n"/>
      <c r="E836" s="23" t="n"/>
      <c r="F836" s="24" t="n"/>
      <c r="H836" s="22" t="n"/>
      <c r="I836" s="22" t="n"/>
      <c r="J836" s="21">
        <f>IF(C836="","",IFERROR(INDEX(Clientes!$B:$B,MATCH(C836,Clientes!$A:$A,0)),"Cód. não cadastrado"))</f>
        <v/>
      </c>
      <c r="K836" s="18">
        <f>IF(B836="","",YEAR(B836))</f>
        <v/>
      </c>
      <c r="L836" s="18">
        <f>IF(B836="","",MONTH(B836))</f>
        <v/>
      </c>
      <c r="M836" s="18">
        <f>IF(OR(B836="",I836=""),"",I836-B836)</f>
        <v/>
      </c>
      <c r="N836" s="21">
        <f>IF(B836="","",IF(I836="",IF(H836="","",IF(TODAY()&gt;H836,"Atrasado (em aberto)","Em aberto")),IF(I836&lt;=H836,"No prazo","Fora do prazo")))</f>
        <v/>
      </c>
    </row>
    <row r="837">
      <c r="B837" s="22" t="n"/>
      <c r="E837" s="23" t="n"/>
      <c r="F837" s="24" t="n"/>
      <c r="H837" s="22" t="n"/>
      <c r="I837" s="22" t="n"/>
      <c r="J837" s="21">
        <f>IF(C837="","",IFERROR(INDEX(Clientes!$B:$B,MATCH(C837,Clientes!$A:$A,0)),"Cód. não cadastrado"))</f>
        <v/>
      </c>
      <c r="K837" s="18">
        <f>IF(B837="","",YEAR(B837))</f>
        <v/>
      </c>
      <c r="L837" s="18">
        <f>IF(B837="","",MONTH(B837))</f>
        <v/>
      </c>
      <c r="M837" s="18">
        <f>IF(OR(B837="",I837=""),"",I837-B837)</f>
        <v/>
      </c>
      <c r="N837" s="21">
        <f>IF(B837="","",IF(I837="",IF(H837="","",IF(TODAY()&gt;H837,"Atrasado (em aberto)","Em aberto")),IF(I837&lt;=H837,"No prazo","Fora do prazo")))</f>
        <v/>
      </c>
    </row>
    <row r="838">
      <c r="B838" s="22" t="n"/>
      <c r="E838" s="23" t="n"/>
      <c r="F838" s="24" t="n"/>
      <c r="H838" s="22" t="n"/>
      <c r="I838" s="22" t="n"/>
      <c r="J838" s="21">
        <f>IF(C838="","",IFERROR(INDEX(Clientes!$B:$B,MATCH(C838,Clientes!$A:$A,0)),"Cód. não cadastrado"))</f>
        <v/>
      </c>
      <c r="K838" s="18">
        <f>IF(B838="","",YEAR(B838))</f>
        <v/>
      </c>
      <c r="L838" s="18">
        <f>IF(B838="","",MONTH(B838))</f>
        <v/>
      </c>
      <c r="M838" s="18">
        <f>IF(OR(B838="",I838=""),"",I838-B838)</f>
        <v/>
      </c>
      <c r="N838" s="21">
        <f>IF(B838="","",IF(I838="",IF(H838="","",IF(TODAY()&gt;H838,"Atrasado (em aberto)","Em aberto")),IF(I838&lt;=H838,"No prazo","Fora do prazo")))</f>
        <v/>
      </c>
    </row>
    <row r="839">
      <c r="B839" s="22" t="n"/>
      <c r="E839" s="23" t="n"/>
      <c r="F839" s="24" t="n"/>
      <c r="H839" s="22" t="n"/>
      <c r="I839" s="22" t="n"/>
      <c r="J839" s="21">
        <f>IF(C839="","",IFERROR(INDEX(Clientes!$B:$B,MATCH(C839,Clientes!$A:$A,0)),"Cód. não cadastrado"))</f>
        <v/>
      </c>
      <c r="K839" s="18">
        <f>IF(B839="","",YEAR(B839))</f>
        <v/>
      </c>
      <c r="L839" s="18">
        <f>IF(B839="","",MONTH(B839))</f>
        <v/>
      </c>
      <c r="M839" s="18">
        <f>IF(OR(B839="",I839=""),"",I839-B839)</f>
        <v/>
      </c>
      <c r="N839" s="21">
        <f>IF(B839="","",IF(I839="",IF(H839="","",IF(TODAY()&gt;H839,"Atrasado (em aberto)","Em aberto")),IF(I839&lt;=H839,"No prazo","Fora do prazo")))</f>
        <v/>
      </c>
    </row>
    <row r="840">
      <c r="B840" s="22" t="n"/>
      <c r="E840" s="23" t="n"/>
      <c r="F840" s="24" t="n"/>
      <c r="H840" s="22" t="n"/>
      <c r="I840" s="22" t="n"/>
      <c r="J840" s="21">
        <f>IF(C840="","",IFERROR(INDEX(Clientes!$B:$B,MATCH(C840,Clientes!$A:$A,0)),"Cód. não cadastrado"))</f>
        <v/>
      </c>
      <c r="K840" s="18">
        <f>IF(B840="","",YEAR(B840))</f>
        <v/>
      </c>
      <c r="L840" s="18">
        <f>IF(B840="","",MONTH(B840))</f>
        <v/>
      </c>
      <c r="M840" s="18">
        <f>IF(OR(B840="",I840=""),"",I840-B840)</f>
        <v/>
      </c>
      <c r="N840" s="21">
        <f>IF(B840="","",IF(I840="",IF(H840="","",IF(TODAY()&gt;H840,"Atrasado (em aberto)","Em aberto")),IF(I840&lt;=H840,"No prazo","Fora do prazo")))</f>
        <v/>
      </c>
    </row>
    <row r="841">
      <c r="B841" s="22" t="n"/>
      <c r="E841" s="23" t="n"/>
      <c r="F841" s="24" t="n"/>
      <c r="H841" s="22" t="n"/>
      <c r="I841" s="22" t="n"/>
      <c r="J841" s="21">
        <f>IF(C841="","",IFERROR(INDEX(Clientes!$B:$B,MATCH(C841,Clientes!$A:$A,0)),"Cód. não cadastrado"))</f>
        <v/>
      </c>
      <c r="K841" s="18">
        <f>IF(B841="","",YEAR(B841))</f>
        <v/>
      </c>
      <c r="L841" s="18">
        <f>IF(B841="","",MONTH(B841))</f>
        <v/>
      </c>
      <c r="M841" s="18">
        <f>IF(OR(B841="",I841=""),"",I841-B841)</f>
        <v/>
      </c>
      <c r="N841" s="21">
        <f>IF(B841="","",IF(I841="",IF(H841="","",IF(TODAY()&gt;H841,"Atrasado (em aberto)","Em aberto")),IF(I841&lt;=H841,"No prazo","Fora do prazo")))</f>
        <v/>
      </c>
    </row>
    <row r="842">
      <c r="B842" s="22" t="n"/>
      <c r="E842" s="23" t="n"/>
      <c r="F842" s="24" t="n"/>
      <c r="H842" s="22" t="n"/>
      <c r="I842" s="22" t="n"/>
      <c r="J842" s="21">
        <f>IF(C842="","",IFERROR(INDEX(Clientes!$B:$B,MATCH(C842,Clientes!$A:$A,0)),"Cód. não cadastrado"))</f>
        <v/>
      </c>
      <c r="K842" s="18">
        <f>IF(B842="","",YEAR(B842))</f>
        <v/>
      </c>
      <c r="L842" s="18">
        <f>IF(B842="","",MONTH(B842))</f>
        <v/>
      </c>
      <c r="M842" s="18">
        <f>IF(OR(B842="",I842=""),"",I842-B842)</f>
        <v/>
      </c>
      <c r="N842" s="21">
        <f>IF(B842="","",IF(I842="",IF(H842="","",IF(TODAY()&gt;H842,"Atrasado (em aberto)","Em aberto")),IF(I842&lt;=H842,"No prazo","Fora do prazo")))</f>
        <v/>
      </c>
    </row>
    <row r="843">
      <c r="B843" s="22" t="n"/>
      <c r="E843" s="23" t="n"/>
      <c r="F843" s="24" t="n"/>
      <c r="H843" s="22" t="n"/>
      <c r="I843" s="22" t="n"/>
      <c r="J843" s="21">
        <f>IF(C843="","",IFERROR(INDEX(Clientes!$B:$B,MATCH(C843,Clientes!$A:$A,0)),"Cód. não cadastrado"))</f>
        <v/>
      </c>
      <c r="K843" s="18">
        <f>IF(B843="","",YEAR(B843))</f>
        <v/>
      </c>
      <c r="L843" s="18">
        <f>IF(B843="","",MONTH(B843))</f>
        <v/>
      </c>
      <c r="M843" s="18">
        <f>IF(OR(B843="",I843=""),"",I843-B843)</f>
        <v/>
      </c>
      <c r="N843" s="21">
        <f>IF(B843="","",IF(I843="",IF(H843="","",IF(TODAY()&gt;H843,"Atrasado (em aberto)","Em aberto")),IF(I843&lt;=H843,"No prazo","Fora do prazo")))</f>
        <v/>
      </c>
    </row>
    <row r="844">
      <c r="B844" s="22" t="n"/>
      <c r="E844" s="23" t="n"/>
      <c r="F844" s="24" t="n"/>
      <c r="H844" s="22" t="n"/>
      <c r="I844" s="22" t="n"/>
      <c r="J844" s="21">
        <f>IF(C844="","",IFERROR(INDEX(Clientes!$B:$B,MATCH(C844,Clientes!$A:$A,0)),"Cód. não cadastrado"))</f>
        <v/>
      </c>
      <c r="K844" s="18">
        <f>IF(B844="","",YEAR(B844))</f>
        <v/>
      </c>
      <c r="L844" s="18">
        <f>IF(B844="","",MONTH(B844))</f>
        <v/>
      </c>
      <c r="M844" s="18">
        <f>IF(OR(B844="",I844=""),"",I844-B844)</f>
        <v/>
      </c>
      <c r="N844" s="21">
        <f>IF(B844="","",IF(I844="",IF(H844="","",IF(TODAY()&gt;H844,"Atrasado (em aberto)","Em aberto")),IF(I844&lt;=H844,"No prazo","Fora do prazo")))</f>
        <v/>
      </c>
    </row>
    <row r="845">
      <c r="B845" s="22" t="n"/>
      <c r="E845" s="23" t="n"/>
      <c r="F845" s="24" t="n"/>
      <c r="H845" s="22" t="n"/>
      <c r="I845" s="22" t="n"/>
      <c r="J845" s="21">
        <f>IF(C845="","",IFERROR(INDEX(Clientes!$B:$B,MATCH(C845,Clientes!$A:$A,0)),"Cód. não cadastrado"))</f>
        <v/>
      </c>
      <c r="K845" s="18">
        <f>IF(B845="","",YEAR(B845))</f>
        <v/>
      </c>
      <c r="L845" s="18">
        <f>IF(B845="","",MONTH(B845))</f>
        <v/>
      </c>
      <c r="M845" s="18">
        <f>IF(OR(B845="",I845=""),"",I845-B845)</f>
        <v/>
      </c>
      <c r="N845" s="21">
        <f>IF(B845="","",IF(I845="",IF(H845="","",IF(TODAY()&gt;H845,"Atrasado (em aberto)","Em aberto")),IF(I845&lt;=H845,"No prazo","Fora do prazo")))</f>
        <v/>
      </c>
    </row>
    <row r="846">
      <c r="B846" s="22" t="n"/>
      <c r="E846" s="23" t="n"/>
      <c r="F846" s="24" t="n"/>
      <c r="H846" s="22" t="n"/>
      <c r="I846" s="22" t="n"/>
      <c r="J846" s="21">
        <f>IF(C846="","",IFERROR(INDEX(Clientes!$B:$B,MATCH(C846,Clientes!$A:$A,0)),"Cód. não cadastrado"))</f>
        <v/>
      </c>
      <c r="K846" s="18">
        <f>IF(B846="","",YEAR(B846))</f>
        <v/>
      </c>
      <c r="L846" s="18">
        <f>IF(B846="","",MONTH(B846))</f>
        <v/>
      </c>
      <c r="M846" s="18">
        <f>IF(OR(B846="",I846=""),"",I846-B846)</f>
        <v/>
      </c>
      <c r="N846" s="21">
        <f>IF(B846="","",IF(I846="",IF(H846="","",IF(TODAY()&gt;H846,"Atrasado (em aberto)","Em aberto")),IF(I846&lt;=H846,"No prazo","Fora do prazo")))</f>
        <v/>
      </c>
    </row>
    <row r="847">
      <c r="B847" s="22" t="n"/>
      <c r="E847" s="23" t="n"/>
      <c r="F847" s="24" t="n"/>
      <c r="H847" s="22" t="n"/>
      <c r="I847" s="22" t="n"/>
      <c r="J847" s="21">
        <f>IF(C847="","",IFERROR(INDEX(Clientes!$B:$B,MATCH(C847,Clientes!$A:$A,0)),"Cód. não cadastrado"))</f>
        <v/>
      </c>
      <c r="K847" s="18">
        <f>IF(B847="","",YEAR(B847))</f>
        <v/>
      </c>
      <c r="L847" s="18">
        <f>IF(B847="","",MONTH(B847))</f>
        <v/>
      </c>
      <c r="M847" s="18">
        <f>IF(OR(B847="",I847=""),"",I847-B847)</f>
        <v/>
      </c>
      <c r="N847" s="21">
        <f>IF(B847="","",IF(I847="",IF(H847="","",IF(TODAY()&gt;H847,"Atrasado (em aberto)","Em aberto")),IF(I847&lt;=H847,"No prazo","Fora do prazo")))</f>
        <v/>
      </c>
    </row>
    <row r="848">
      <c r="B848" s="22" t="n"/>
      <c r="E848" s="23" t="n"/>
      <c r="F848" s="24" t="n"/>
      <c r="H848" s="22" t="n"/>
      <c r="I848" s="22" t="n"/>
      <c r="J848" s="21">
        <f>IF(C848="","",IFERROR(INDEX(Clientes!$B:$B,MATCH(C848,Clientes!$A:$A,0)),"Cód. não cadastrado"))</f>
        <v/>
      </c>
      <c r="K848" s="18">
        <f>IF(B848="","",YEAR(B848))</f>
        <v/>
      </c>
      <c r="L848" s="18">
        <f>IF(B848="","",MONTH(B848))</f>
        <v/>
      </c>
      <c r="M848" s="18">
        <f>IF(OR(B848="",I848=""),"",I848-B848)</f>
        <v/>
      </c>
      <c r="N848" s="21">
        <f>IF(B848="","",IF(I848="",IF(H848="","",IF(TODAY()&gt;H848,"Atrasado (em aberto)","Em aberto")),IF(I848&lt;=H848,"No prazo","Fora do prazo")))</f>
        <v/>
      </c>
    </row>
    <row r="849">
      <c r="B849" s="22" t="n"/>
      <c r="E849" s="23" t="n"/>
      <c r="F849" s="24" t="n"/>
      <c r="H849" s="22" t="n"/>
      <c r="I849" s="22" t="n"/>
      <c r="J849" s="21">
        <f>IF(C849="","",IFERROR(INDEX(Clientes!$B:$B,MATCH(C849,Clientes!$A:$A,0)),"Cód. não cadastrado"))</f>
        <v/>
      </c>
      <c r="K849" s="18">
        <f>IF(B849="","",YEAR(B849))</f>
        <v/>
      </c>
      <c r="L849" s="18">
        <f>IF(B849="","",MONTH(B849))</f>
        <v/>
      </c>
      <c r="M849" s="18">
        <f>IF(OR(B849="",I849=""),"",I849-B849)</f>
        <v/>
      </c>
      <c r="N849" s="21">
        <f>IF(B849="","",IF(I849="",IF(H849="","",IF(TODAY()&gt;H849,"Atrasado (em aberto)","Em aberto")),IF(I849&lt;=H849,"No prazo","Fora do prazo")))</f>
        <v/>
      </c>
    </row>
    <row r="850">
      <c r="B850" s="22" t="n"/>
      <c r="E850" s="23" t="n"/>
      <c r="F850" s="24" t="n"/>
      <c r="H850" s="22" t="n"/>
      <c r="I850" s="22" t="n"/>
      <c r="J850" s="21">
        <f>IF(C850="","",IFERROR(INDEX(Clientes!$B:$B,MATCH(C850,Clientes!$A:$A,0)),"Cód. não cadastrado"))</f>
        <v/>
      </c>
      <c r="K850" s="18">
        <f>IF(B850="","",YEAR(B850))</f>
        <v/>
      </c>
      <c r="L850" s="18">
        <f>IF(B850="","",MONTH(B850))</f>
        <v/>
      </c>
      <c r="M850" s="18">
        <f>IF(OR(B850="",I850=""),"",I850-B850)</f>
        <v/>
      </c>
      <c r="N850" s="21">
        <f>IF(B850="","",IF(I850="",IF(H850="","",IF(TODAY()&gt;H850,"Atrasado (em aberto)","Em aberto")),IF(I850&lt;=H850,"No prazo","Fora do prazo")))</f>
        <v/>
      </c>
    </row>
    <row r="851">
      <c r="B851" s="22" t="n"/>
      <c r="E851" s="23" t="n"/>
      <c r="F851" s="24" t="n"/>
      <c r="H851" s="22" t="n"/>
      <c r="I851" s="22" t="n"/>
      <c r="J851" s="21">
        <f>IF(C851="","",IFERROR(INDEX(Clientes!$B:$B,MATCH(C851,Clientes!$A:$A,0)),"Cód. não cadastrado"))</f>
        <v/>
      </c>
      <c r="K851" s="18">
        <f>IF(B851="","",YEAR(B851))</f>
        <v/>
      </c>
      <c r="L851" s="18">
        <f>IF(B851="","",MONTH(B851))</f>
        <v/>
      </c>
      <c r="M851" s="18">
        <f>IF(OR(B851="",I851=""),"",I851-B851)</f>
        <v/>
      </c>
      <c r="N851" s="21">
        <f>IF(B851="","",IF(I851="",IF(H851="","",IF(TODAY()&gt;H851,"Atrasado (em aberto)","Em aberto")),IF(I851&lt;=H851,"No prazo","Fora do prazo")))</f>
        <v/>
      </c>
    </row>
    <row r="852">
      <c r="B852" s="22" t="n"/>
      <c r="E852" s="23" t="n"/>
      <c r="F852" s="24" t="n"/>
      <c r="H852" s="22" t="n"/>
      <c r="I852" s="22" t="n"/>
      <c r="J852" s="21">
        <f>IF(C852="","",IFERROR(INDEX(Clientes!$B:$B,MATCH(C852,Clientes!$A:$A,0)),"Cód. não cadastrado"))</f>
        <v/>
      </c>
      <c r="K852" s="18">
        <f>IF(B852="","",YEAR(B852))</f>
        <v/>
      </c>
      <c r="L852" s="18">
        <f>IF(B852="","",MONTH(B852))</f>
        <v/>
      </c>
      <c r="M852" s="18">
        <f>IF(OR(B852="",I852=""),"",I852-B852)</f>
        <v/>
      </c>
      <c r="N852" s="21">
        <f>IF(B852="","",IF(I852="",IF(H852="","",IF(TODAY()&gt;H852,"Atrasado (em aberto)","Em aberto")),IF(I852&lt;=H852,"No prazo","Fora do prazo")))</f>
        <v/>
      </c>
    </row>
    <row r="853">
      <c r="B853" s="22" t="n"/>
      <c r="E853" s="23" t="n"/>
      <c r="F853" s="24" t="n"/>
      <c r="H853" s="22" t="n"/>
      <c r="I853" s="22" t="n"/>
      <c r="J853" s="21">
        <f>IF(C853="","",IFERROR(INDEX(Clientes!$B:$B,MATCH(C853,Clientes!$A:$A,0)),"Cód. não cadastrado"))</f>
        <v/>
      </c>
      <c r="K853" s="18">
        <f>IF(B853="","",YEAR(B853))</f>
        <v/>
      </c>
      <c r="L853" s="18">
        <f>IF(B853="","",MONTH(B853))</f>
        <v/>
      </c>
      <c r="M853" s="18">
        <f>IF(OR(B853="",I853=""),"",I853-B853)</f>
        <v/>
      </c>
      <c r="N853" s="21">
        <f>IF(B853="","",IF(I853="",IF(H853="","",IF(TODAY()&gt;H853,"Atrasado (em aberto)","Em aberto")),IF(I853&lt;=H853,"No prazo","Fora do prazo")))</f>
        <v/>
      </c>
    </row>
    <row r="854">
      <c r="B854" s="22" t="n"/>
      <c r="E854" s="23" t="n"/>
      <c r="F854" s="24" t="n"/>
      <c r="H854" s="22" t="n"/>
      <c r="I854" s="22" t="n"/>
      <c r="J854" s="21">
        <f>IF(C854="","",IFERROR(INDEX(Clientes!$B:$B,MATCH(C854,Clientes!$A:$A,0)),"Cód. não cadastrado"))</f>
        <v/>
      </c>
      <c r="K854" s="18">
        <f>IF(B854="","",YEAR(B854))</f>
        <v/>
      </c>
      <c r="L854" s="18">
        <f>IF(B854="","",MONTH(B854))</f>
        <v/>
      </c>
      <c r="M854" s="18">
        <f>IF(OR(B854="",I854=""),"",I854-B854)</f>
        <v/>
      </c>
      <c r="N854" s="21">
        <f>IF(B854="","",IF(I854="",IF(H854="","",IF(TODAY()&gt;H854,"Atrasado (em aberto)","Em aberto")),IF(I854&lt;=H854,"No prazo","Fora do prazo")))</f>
        <v/>
      </c>
    </row>
    <row r="855">
      <c r="B855" s="22" t="n"/>
      <c r="E855" s="23" t="n"/>
      <c r="F855" s="24" t="n"/>
      <c r="H855" s="22" t="n"/>
      <c r="I855" s="22" t="n"/>
      <c r="J855" s="21">
        <f>IF(C855="","",IFERROR(INDEX(Clientes!$B:$B,MATCH(C855,Clientes!$A:$A,0)),"Cód. não cadastrado"))</f>
        <v/>
      </c>
      <c r="K855" s="18">
        <f>IF(B855="","",YEAR(B855))</f>
        <v/>
      </c>
      <c r="L855" s="18">
        <f>IF(B855="","",MONTH(B855))</f>
        <v/>
      </c>
      <c r="M855" s="18">
        <f>IF(OR(B855="",I855=""),"",I855-B855)</f>
        <v/>
      </c>
      <c r="N855" s="21">
        <f>IF(B855="","",IF(I855="",IF(H855="","",IF(TODAY()&gt;H855,"Atrasado (em aberto)","Em aberto")),IF(I855&lt;=H855,"No prazo","Fora do prazo")))</f>
        <v/>
      </c>
    </row>
    <row r="856">
      <c r="B856" s="22" t="n"/>
      <c r="E856" s="23" t="n"/>
      <c r="F856" s="24" t="n"/>
      <c r="H856" s="22" t="n"/>
      <c r="I856" s="22" t="n"/>
      <c r="J856" s="21">
        <f>IF(C856="","",IFERROR(INDEX(Clientes!$B:$B,MATCH(C856,Clientes!$A:$A,0)),"Cód. não cadastrado"))</f>
        <v/>
      </c>
      <c r="K856" s="18">
        <f>IF(B856="","",YEAR(B856))</f>
        <v/>
      </c>
      <c r="L856" s="18">
        <f>IF(B856="","",MONTH(B856))</f>
        <v/>
      </c>
      <c r="M856" s="18">
        <f>IF(OR(B856="",I856=""),"",I856-B856)</f>
        <v/>
      </c>
      <c r="N856" s="21">
        <f>IF(B856="","",IF(I856="",IF(H856="","",IF(TODAY()&gt;H856,"Atrasado (em aberto)","Em aberto")),IF(I856&lt;=H856,"No prazo","Fora do prazo")))</f>
        <v/>
      </c>
    </row>
    <row r="857">
      <c r="B857" s="22" t="n"/>
      <c r="E857" s="23" t="n"/>
      <c r="F857" s="24" t="n"/>
      <c r="H857" s="22" t="n"/>
      <c r="I857" s="22" t="n"/>
      <c r="J857" s="21">
        <f>IF(C857="","",IFERROR(INDEX(Clientes!$B:$B,MATCH(C857,Clientes!$A:$A,0)),"Cód. não cadastrado"))</f>
        <v/>
      </c>
      <c r="K857" s="18">
        <f>IF(B857="","",YEAR(B857))</f>
        <v/>
      </c>
      <c r="L857" s="18">
        <f>IF(B857="","",MONTH(B857))</f>
        <v/>
      </c>
      <c r="M857" s="18">
        <f>IF(OR(B857="",I857=""),"",I857-B857)</f>
        <v/>
      </c>
      <c r="N857" s="21">
        <f>IF(B857="","",IF(I857="",IF(H857="","",IF(TODAY()&gt;H857,"Atrasado (em aberto)","Em aberto")),IF(I857&lt;=H857,"No prazo","Fora do prazo")))</f>
        <v/>
      </c>
    </row>
    <row r="858">
      <c r="B858" s="22" t="n"/>
      <c r="E858" s="23" t="n"/>
      <c r="F858" s="24" t="n"/>
      <c r="H858" s="22" t="n"/>
      <c r="I858" s="22" t="n"/>
      <c r="J858" s="21">
        <f>IF(C858="","",IFERROR(INDEX(Clientes!$B:$B,MATCH(C858,Clientes!$A:$A,0)),"Cód. não cadastrado"))</f>
        <v/>
      </c>
      <c r="K858" s="18">
        <f>IF(B858="","",YEAR(B858))</f>
        <v/>
      </c>
      <c r="L858" s="18">
        <f>IF(B858="","",MONTH(B858))</f>
        <v/>
      </c>
      <c r="M858" s="18">
        <f>IF(OR(B858="",I858=""),"",I858-B858)</f>
        <v/>
      </c>
      <c r="N858" s="21">
        <f>IF(B858="","",IF(I858="",IF(H858="","",IF(TODAY()&gt;H858,"Atrasado (em aberto)","Em aberto")),IF(I858&lt;=H858,"No prazo","Fora do prazo")))</f>
        <v/>
      </c>
    </row>
    <row r="859">
      <c r="B859" s="22" t="n"/>
      <c r="E859" s="23" t="n"/>
      <c r="F859" s="24" t="n"/>
      <c r="H859" s="22" t="n"/>
      <c r="I859" s="22" t="n"/>
      <c r="J859" s="21">
        <f>IF(C859="","",IFERROR(INDEX(Clientes!$B:$B,MATCH(C859,Clientes!$A:$A,0)),"Cód. não cadastrado"))</f>
        <v/>
      </c>
      <c r="K859" s="18">
        <f>IF(B859="","",YEAR(B859))</f>
        <v/>
      </c>
      <c r="L859" s="18">
        <f>IF(B859="","",MONTH(B859))</f>
        <v/>
      </c>
      <c r="M859" s="18">
        <f>IF(OR(B859="",I859=""),"",I859-B859)</f>
        <v/>
      </c>
      <c r="N859" s="21">
        <f>IF(B859="","",IF(I859="",IF(H859="","",IF(TODAY()&gt;H859,"Atrasado (em aberto)","Em aberto")),IF(I859&lt;=H859,"No prazo","Fora do prazo")))</f>
        <v/>
      </c>
    </row>
    <row r="860">
      <c r="B860" s="22" t="n"/>
      <c r="E860" s="23" t="n"/>
      <c r="F860" s="24" t="n"/>
      <c r="H860" s="22" t="n"/>
      <c r="I860" s="22" t="n"/>
      <c r="J860" s="21">
        <f>IF(C860="","",IFERROR(INDEX(Clientes!$B:$B,MATCH(C860,Clientes!$A:$A,0)),"Cód. não cadastrado"))</f>
        <v/>
      </c>
      <c r="K860" s="18">
        <f>IF(B860="","",YEAR(B860))</f>
        <v/>
      </c>
      <c r="L860" s="18">
        <f>IF(B860="","",MONTH(B860))</f>
        <v/>
      </c>
      <c r="M860" s="18">
        <f>IF(OR(B860="",I860=""),"",I860-B860)</f>
        <v/>
      </c>
      <c r="N860" s="21">
        <f>IF(B860="","",IF(I860="",IF(H860="","",IF(TODAY()&gt;H860,"Atrasado (em aberto)","Em aberto")),IF(I860&lt;=H860,"No prazo","Fora do prazo")))</f>
        <v/>
      </c>
    </row>
    <row r="861">
      <c r="B861" s="22" t="n"/>
      <c r="E861" s="23" t="n"/>
      <c r="F861" s="24" t="n"/>
      <c r="H861" s="22" t="n"/>
      <c r="I861" s="22" t="n"/>
      <c r="J861" s="21">
        <f>IF(C861="","",IFERROR(INDEX(Clientes!$B:$B,MATCH(C861,Clientes!$A:$A,0)),"Cód. não cadastrado"))</f>
        <v/>
      </c>
      <c r="K861" s="18">
        <f>IF(B861="","",YEAR(B861))</f>
        <v/>
      </c>
      <c r="L861" s="18">
        <f>IF(B861="","",MONTH(B861))</f>
        <v/>
      </c>
      <c r="M861" s="18">
        <f>IF(OR(B861="",I861=""),"",I861-B861)</f>
        <v/>
      </c>
      <c r="N861" s="21">
        <f>IF(B861="","",IF(I861="",IF(H861="","",IF(TODAY()&gt;H861,"Atrasado (em aberto)","Em aberto")),IF(I861&lt;=H861,"No prazo","Fora do prazo")))</f>
        <v/>
      </c>
    </row>
    <row r="862">
      <c r="B862" s="22" t="n"/>
      <c r="E862" s="23" t="n"/>
      <c r="F862" s="24" t="n"/>
      <c r="H862" s="22" t="n"/>
      <c r="I862" s="22" t="n"/>
      <c r="J862" s="21">
        <f>IF(C862="","",IFERROR(INDEX(Clientes!$B:$B,MATCH(C862,Clientes!$A:$A,0)),"Cód. não cadastrado"))</f>
        <v/>
      </c>
      <c r="K862" s="18">
        <f>IF(B862="","",YEAR(B862))</f>
        <v/>
      </c>
      <c r="L862" s="18">
        <f>IF(B862="","",MONTH(B862))</f>
        <v/>
      </c>
      <c r="M862" s="18">
        <f>IF(OR(B862="",I862=""),"",I862-B862)</f>
        <v/>
      </c>
      <c r="N862" s="21">
        <f>IF(B862="","",IF(I862="",IF(H862="","",IF(TODAY()&gt;H862,"Atrasado (em aberto)","Em aberto")),IF(I862&lt;=H862,"No prazo","Fora do prazo")))</f>
        <v/>
      </c>
    </row>
    <row r="863">
      <c r="B863" s="22" t="n"/>
      <c r="E863" s="23" t="n"/>
      <c r="F863" s="24" t="n"/>
      <c r="H863" s="22" t="n"/>
      <c r="I863" s="22" t="n"/>
      <c r="J863" s="21">
        <f>IF(C863="","",IFERROR(INDEX(Clientes!$B:$B,MATCH(C863,Clientes!$A:$A,0)),"Cód. não cadastrado"))</f>
        <v/>
      </c>
      <c r="K863" s="18">
        <f>IF(B863="","",YEAR(B863))</f>
        <v/>
      </c>
      <c r="L863" s="18">
        <f>IF(B863="","",MONTH(B863))</f>
        <v/>
      </c>
      <c r="M863" s="18">
        <f>IF(OR(B863="",I863=""),"",I863-B863)</f>
        <v/>
      </c>
      <c r="N863" s="21">
        <f>IF(B863="","",IF(I863="",IF(H863="","",IF(TODAY()&gt;H863,"Atrasado (em aberto)","Em aberto")),IF(I863&lt;=H863,"No prazo","Fora do prazo")))</f>
        <v/>
      </c>
    </row>
    <row r="864">
      <c r="B864" s="22" t="n"/>
      <c r="E864" s="23" t="n"/>
      <c r="F864" s="24" t="n"/>
      <c r="H864" s="22" t="n"/>
      <c r="I864" s="22" t="n"/>
      <c r="J864" s="21">
        <f>IF(C864="","",IFERROR(INDEX(Clientes!$B:$B,MATCH(C864,Clientes!$A:$A,0)),"Cód. não cadastrado"))</f>
        <v/>
      </c>
      <c r="K864" s="18">
        <f>IF(B864="","",YEAR(B864))</f>
        <v/>
      </c>
      <c r="L864" s="18">
        <f>IF(B864="","",MONTH(B864))</f>
        <v/>
      </c>
      <c r="M864" s="18">
        <f>IF(OR(B864="",I864=""),"",I864-B864)</f>
        <v/>
      </c>
      <c r="N864" s="21">
        <f>IF(B864="","",IF(I864="",IF(H864="","",IF(TODAY()&gt;H864,"Atrasado (em aberto)","Em aberto")),IF(I864&lt;=H864,"No prazo","Fora do prazo")))</f>
        <v/>
      </c>
    </row>
    <row r="865">
      <c r="B865" s="22" t="n"/>
      <c r="E865" s="23" t="n"/>
      <c r="F865" s="24" t="n"/>
      <c r="H865" s="22" t="n"/>
      <c r="I865" s="22" t="n"/>
      <c r="J865" s="21">
        <f>IF(C865="","",IFERROR(INDEX(Clientes!$B:$B,MATCH(C865,Clientes!$A:$A,0)),"Cód. não cadastrado"))</f>
        <v/>
      </c>
      <c r="K865" s="18">
        <f>IF(B865="","",YEAR(B865))</f>
        <v/>
      </c>
      <c r="L865" s="18">
        <f>IF(B865="","",MONTH(B865))</f>
        <v/>
      </c>
      <c r="M865" s="18">
        <f>IF(OR(B865="",I865=""),"",I865-B865)</f>
        <v/>
      </c>
      <c r="N865" s="21">
        <f>IF(B865="","",IF(I865="",IF(H865="","",IF(TODAY()&gt;H865,"Atrasado (em aberto)","Em aberto")),IF(I865&lt;=H865,"No prazo","Fora do prazo")))</f>
        <v/>
      </c>
    </row>
    <row r="866">
      <c r="B866" s="22" t="n"/>
      <c r="E866" s="23" t="n"/>
      <c r="F866" s="24" t="n"/>
      <c r="H866" s="22" t="n"/>
      <c r="I866" s="22" t="n"/>
      <c r="J866" s="21">
        <f>IF(C866="","",IFERROR(INDEX(Clientes!$B:$B,MATCH(C866,Clientes!$A:$A,0)),"Cód. não cadastrado"))</f>
        <v/>
      </c>
      <c r="K866" s="18">
        <f>IF(B866="","",YEAR(B866))</f>
        <v/>
      </c>
      <c r="L866" s="18">
        <f>IF(B866="","",MONTH(B866))</f>
        <v/>
      </c>
      <c r="M866" s="18">
        <f>IF(OR(B866="",I866=""),"",I866-B866)</f>
        <v/>
      </c>
      <c r="N866" s="21">
        <f>IF(B866="","",IF(I866="",IF(H866="","",IF(TODAY()&gt;H866,"Atrasado (em aberto)","Em aberto")),IF(I866&lt;=H866,"No prazo","Fora do prazo")))</f>
        <v/>
      </c>
    </row>
    <row r="867">
      <c r="B867" s="22" t="n"/>
      <c r="E867" s="23" t="n"/>
      <c r="F867" s="24" t="n"/>
      <c r="H867" s="22" t="n"/>
      <c r="I867" s="22" t="n"/>
      <c r="J867" s="21">
        <f>IF(C867="","",IFERROR(INDEX(Clientes!$B:$B,MATCH(C867,Clientes!$A:$A,0)),"Cód. não cadastrado"))</f>
        <v/>
      </c>
      <c r="K867" s="18">
        <f>IF(B867="","",YEAR(B867))</f>
        <v/>
      </c>
      <c r="L867" s="18">
        <f>IF(B867="","",MONTH(B867))</f>
        <v/>
      </c>
      <c r="M867" s="18">
        <f>IF(OR(B867="",I867=""),"",I867-B867)</f>
        <v/>
      </c>
      <c r="N867" s="21">
        <f>IF(B867="","",IF(I867="",IF(H867="","",IF(TODAY()&gt;H867,"Atrasado (em aberto)","Em aberto")),IF(I867&lt;=H867,"No prazo","Fora do prazo")))</f>
        <v/>
      </c>
    </row>
    <row r="868">
      <c r="B868" s="22" t="n"/>
      <c r="E868" s="23" t="n"/>
      <c r="F868" s="24" t="n"/>
      <c r="H868" s="22" t="n"/>
      <c r="I868" s="22" t="n"/>
      <c r="J868" s="21">
        <f>IF(C868="","",IFERROR(INDEX(Clientes!$B:$B,MATCH(C868,Clientes!$A:$A,0)),"Cód. não cadastrado"))</f>
        <v/>
      </c>
      <c r="K868" s="18">
        <f>IF(B868="","",YEAR(B868))</f>
        <v/>
      </c>
      <c r="L868" s="18">
        <f>IF(B868="","",MONTH(B868))</f>
        <v/>
      </c>
      <c r="M868" s="18">
        <f>IF(OR(B868="",I868=""),"",I868-B868)</f>
        <v/>
      </c>
      <c r="N868" s="21">
        <f>IF(B868="","",IF(I868="",IF(H868="","",IF(TODAY()&gt;H868,"Atrasado (em aberto)","Em aberto")),IF(I868&lt;=H868,"No prazo","Fora do prazo")))</f>
        <v/>
      </c>
    </row>
    <row r="869">
      <c r="B869" s="22" t="n"/>
      <c r="E869" s="23" t="n"/>
      <c r="F869" s="24" t="n"/>
      <c r="H869" s="22" t="n"/>
      <c r="I869" s="22" t="n"/>
      <c r="J869" s="21">
        <f>IF(C869="","",IFERROR(INDEX(Clientes!$B:$B,MATCH(C869,Clientes!$A:$A,0)),"Cód. não cadastrado"))</f>
        <v/>
      </c>
      <c r="K869" s="18">
        <f>IF(B869="","",YEAR(B869))</f>
        <v/>
      </c>
      <c r="L869" s="18">
        <f>IF(B869="","",MONTH(B869))</f>
        <v/>
      </c>
      <c r="M869" s="18">
        <f>IF(OR(B869="",I869=""),"",I869-B869)</f>
        <v/>
      </c>
      <c r="N869" s="21">
        <f>IF(B869="","",IF(I869="",IF(H869="","",IF(TODAY()&gt;H869,"Atrasado (em aberto)","Em aberto")),IF(I869&lt;=H869,"No prazo","Fora do prazo")))</f>
        <v/>
      </c>
    </row>
    <row r="870">
      <c r="B870" s="22" t="n"/>
      <c r="E870" s="23" t="n"/>
      <c r="F870" s="24" t="n"/>
      <c r="H870" s="22" t="n"/>
      <c r="I870" s="22" t="n"/>
      <c r="J870" s="21">
        <f>IF(C870="","",IFERROR(INDEX(Clientes!$B:$B,MATCH(C870,Clientes!$A:$A,0)),"Cód. não cadastrado"))</f>
        <v/>
      </c>
      <c r="K870" s="18">
        <f>IF(B870="","",YEAR(B870))</f>
        <v/>
      </c>
      <c r="L870" s="18">
        <f>IF(B870="","",MONTH(B870))</f>
        <v/>
      </c>
      <c r="M870" s="18">
        <f>IF(OR(B870="",I870=""),"",I870-B870)</f>
        <v/>
      </c>
      <c r="N870" s="21">
        <f>IF(B870="","",IF(I870="",IF(H870="","",IF(TODAY()&gt;H870,"Atrasado (em aberto)","Em aberto")),IF(I870&lt;=H870,"No prazo","Fora do prazo")))</f>
        <v/>
      </c>
    </row>
    <row r="871">
      <c r="B871" s="22" t="n"/>
      <c r="E871" s="23" t="n"/>
      <c r="F871" s="24" t="n"/>
      <c r="H871" s="22" t="n"/>
      <c r="I871" s="22" t="n"/>
      <c r="J871" s="21">
        <f>IF(C871="","",IFERROR(INDEX(Clientes!$B:$B,MATCH(C871,Clientes!$A:$A,0)),"Cód. não cadastrado"))</f>
        <v/>
      </c>
      <c r="K871" s="18">
        <f>IF(B871="","",YEAR(B871))</f>
        <v/>
      </c>
      <c r="L871" s="18">
        <f>IF(B871="","",MONTH(B871))</f>
        <v/>
      </c>
      <c r="M871" s="18">
        <f>IF(OR(B871="",I871=""),"",I871-B871)</f>
        <v/>
      </c>
      <c r="N871" s="21">
        <f>IF(B871="","",IF(I871="",IF(H871="","",IF(TODAY()&gt;H871,"Atrasado (em aberto)","Em aberto")),IF(I871&lt;=H871,"No prazo","Fora do prazo")))</f>
        <v/>
      </c>
    </row>
    <row r="872">
      <c r="B872" s="22" t="n"/>
      <c r="E872" s="23" t="n"/>
      <c r="F872" s="24" t="n"/>
      <c r="H872" s="22" t="n"/>
      <c r="I872" s="22" t="n"/>
      <c r="J872" s="21">
        <f>IF(C872="","",IFERROR(INDEX(Clientes!$B:$B,MATCH(C872,Clientes!$A:$A,0)),"Cód. não cadastrado"))</f>
        <v/>
      </c>
      <c r="K872" s="18">
        <f>IF(B872="","",YEAR(B872))</f>
        <v/>
      </c>
      <c r="L872" s="18">
        <f>IF(B872="","",MONTH(B872))</f>
        <v/>
      </c>
      <c r="M872" s="18">
        <f>IF(OR(B872="",I872=""),"",I872-B872)</f>
        <v/>
      </c>
      <c r="N872" s="21">
        <f>IF(B872="","",IF(I872="",IF(H872="","",IF(TODAY()&gt;H872,"Atrasado (em aberto)","Em aberto")),IF(I872&lt;=H872,"No prazo","Fora do prazo")))</f>
        <v/>
      </c>
    </row>
    <row r="873">
      <c r="B873" s="22" t="n"/>
      <c r="E873" s="23" t="n"/>
      <c r="F873" s="24" t="n"/>
      <c r="H873" s="22" t="n"/>
      <c r="I873" s="22" t="n"/>
      <c r="J873" s="21">
        <f>IF(C873="","",IFERROR(INDEX(Clientes!$B:$B,MATCH(C873,Clientes!$A:$A,0)),"Cód. não cadastrado"))</f>
        <v/>
      </c>
      <c r="K873" s="18">
        <f>IF(B873="","",YEAR(B873))</f>
        <v/>
      </c>
      <c r="L873" s="18">
        <f>IF(B873="","",MONTH(B873))</f>
        <v/>
      </c>
      <c r="M873" s="18">
        <f>IF(OR(B873="",I873=""),"",I873-B873)</f>
        <v/>
      </c>
      <c r="N873" s="21">
        <f>IF(B873="","",IF(I873="",IF(H873="","",IF(TODAY()&gt;H873,"Atrasado (em aberto)","Em aberto")),IF(I873&lt;=H873,"No prazo","Fora do prazo")))</f>
        <v/>
      </c>
    </row>
    <row r="874">
      <c r="B874" s="22" t="n"/>
      <c r="E874" s="23" t="n"/>
      <c r="F874" s="24" t="n"/>
      <c r="H874" s="22" t="n"/>
      <c r="I874" s="22" t="n"/>
      <c r="J874" s="21">
        <f>IF(C874="","",IFERROR(INDEX(Clientes!$B:$B,MATCH(C874,Clientes!$A:$A,0)),"Cód. não cadastrado"))</f>
        <v/>
      </c>
      <c r="K874" s="18">
        <f>IF(B874="","",YEAR(B874))</f>
        <v/>
      </c>
      <c r="L874" s="18">
        <f>IF(B874="","",MONTH(B874))</f>
        <v/>
      </c>
      <c r="M874" s="18">
        <f>IF(OR(B874="",I874=""),"",I874-B874)</f>
        <v/>
      </c>
      <c r="N874" s="21">
        <f>IF(B874="","",IF(I874="",IF(H874="","",IF(TODAY()&gt;H874,"Atrasado (em aberto)","Em aberto")),IF(I874&lt;=H874,"No prazo","Fora do prazo")))</f>
        <v/>
      </c>
    </row>
    <row r="875">
      <c r="B875" s="22" t="n"/>
      <c r="E875" s="23" t="n"/>
      <c r="F875" s="24" t="n"/>
      <c r="H875" s="22" t="n"/>
      <c r="I875" s="22" t="n"/>
      <c r="J875" s="21">
        <f>IF(C875="","",IFERROR(INDEX(Clientes!$B:$B,MATCH(C875,Clientes!$A:$A,0)),"Cód. não cadastrado"))</f>
        <v/>
      </c>
      <c r="K875" s="18">
        <f>IF(B875="","",YEAR(B875))</f>
        <v/>
      </c>
      <c r="L875" s="18">
        <f>IF(B875="","",MONTH(B875))</f>
        <v/>
      </c>
      <c r="M875" s="18">
        <f>IF(OR(B875="",I875=""),"",I875-B875)</f>
        <v/>
      </c>
      <c r="N875" s="21">
        <f>IF(B875="","",IF(I875="",IF(H875="","",IF(TODAY()&gt;H875,"Atrasado (em aberto)","Em aberto")),IF(I875&lt;=H875,"No prazo","Fora do prazo")))</f>
        <v/>
      </c>
    </row>
    <row r="876">
      <c r="B876" s="22" t="n"/>
      <c r="E876" s="23" t="n"/>
      <c r="F876" s="24" t="n"/>
      <c r="H876" s="22" t="n"/>
      <c r="I876" s="22" t="n"/>
      <c r="J876" s="21">
        <f>IF(C876="","",IFERROR(INDEX(Clientes!$B:$B,MATCH(C876,Clientes!$A:$A,0)),"Cód. não cadastrado"))</f>
        <v/>
      </c>
      <c r="K876" s="18">
        <f>IF(B876="","",YEAR(B876))</f>
        <v/>
      </c>
      <c r="L876" s="18">
        <f>IF(B876="","",MONTH(B876))</f>
        <v/>
      </c>
      <c r="M876" s="18">
        <f>IF(OR(B876="",I876=""),"",I876-B876)</f>
        <v/>
      </c>
      <c r="N876" s="21">
        <f>IF(B876="","",IF(I876="",IF(H876="","",IF(TODAY()&gt;H876,"Atrasado (em aberto)","Em aberto")),IF(I876&lt;=H876,"No prazo","Fora do prazo")))</f>
        <v/>
      </c>
    </row>
    <row r="877">
      <c r="B877" s="22" t="n"/>
      <c r="E877" s="23" t="n"/>
      <c r="F877" s="24" t="n"/>
      <c r="H877" s="22" t="n"/>
      <c r="I877" s="22" t="n"/>
      <c r="J877" s="21">
        <f>IF(C877="","",IFERROR(INDEX(Clientes!$B:$B,MATCH(C877,Clientes!$A:$A,0)),"Cód. não cadastrado"))</f>
        <v/>
      </c>
      <c r="K877" s="18">
        <f>IF(B877="","",YEAR(B877))</f>
        <v/>
      </c>
      <c r="L877" s="18">
        <f>IF(B877="","",MONTH(B877))</f>
        <v/>
      </c>
      <c r="M877" s="18">
        <f>IF(OR(B877="",I877=""),"",I877-B877)</f>
        <v/>
      </c>
      <c r="N877" s="21">
        <f>IF(B877="","",IF(I877="",IF(H877="","",IF(TODAY()&gt;H877,"Atrasado (em aberto)","Em aberto")),IF(I877&lt;=H877,"No prazo","Fora do prazo")))</f>
        <v/>
      </c>
    </row>
    <row r="878">
      <c r="B878" s="22" t="n"/>
      <c r="E878" s="23" t="n"/>
      <c r="F878" s="24" t="n"/>
      <c r="H878" s="22" t="n"/>
      <c r="I878" s="22" t="n"/>
      <c r="J878" s="21">
        <f>IF(C878="","",IFERROR(INDEX(Clientes!$B:$B,MATCH(C878,Clientes!$A:$A,0)),"Cód. não cadastrado"))</f>
        <v/>
      </c>
      <c r="K878" s="18">
        <f>IF(B878="","",YEAR(B878))</f>
        <v/>
      </c>
      <c r="L878" s="18">
        <f>IF(B878="","",MONTH(B878))</f>
        <v/>
      </c>
      <c r="M878" s="18">
        <f>IF(OR(B878="",I878=""),"",I878-B878)</f>
        <v/>
      </c>
      <c r="N878" s="21">
        <f>IF(B878="","",IF(I878="",IF(H878="","",IF(TODAY()&gt;H878,"Atrasado (em aberto)","Em aberto")),IF(I878&lt;=H878,"No prazo","Fora do prazo")))</f>
        <v/>
      </c>
    </row>
    <row r="879">
      <c r="B879" s="22" t="n"/>
      <c r="E879" s="23" t="n"/>
      <c r="F879" s="24" t="n"/>
      <c r="H879" s="22" t="n"/>
      <c r="I879" s="22" t="n"/>
      <c r="J879" s="21">
        <f>IF(C879="","",IFERROR(INDEX(Clientes!$B:$B,MATCH(C879,Clientes!$A:$A,0)),"Cód. não cadastrado"))</f>
        <v/>
      </c>
      <c r="K879" s="18">
        <f>IF(B879="","",YEAR(B879))</f>
        <v/>
      </c>
      <c r="L879" s="18">
        <f>IF(B879="","",MONTH(B879))</f>
        <v/>
      </c>
      <c r="M879" s="18">
        <f>IF(OR(B879="",I879=""),"",I879-B879)</f>
        <v/>
      </c>
      <c r="N879" s="21">
        <f>IF(B879="","",IF(I879="",IF(H879="","",IF(TODAY()&gt;H879,"Atrasado (em aberto)","Em aberto")),IF(I879&lt;=H879,"No prazo","Fora do prazo")))</f>
        <v/>
      </c>
    </row>
    <row r="880">
      <c r="B880" s="22" t="n"/>
      <c r="E880" s="23" t="n"/>
      <c r="F880" s="24" t="n"/>
      <c r="H880" s="22" t="n"/>
      <c r="I880" s="22" t="n"/>
      <c r="J880" s="21">
        <f>IF(C880="","",IFERROR(INDEX(Clientes!$B:$B,MATCH(C880,Clientes!$A:$A,0)),"Cód. não cadastrado"))</f>
        <v/>
      </c>
      <c r="K880" s="18">
        <f>IF(B880="","",YEAR(B880))</f>
        <v/>
      </c>
      <c r="L880" s="18">
        <f>IF(B880="","",MONTH(B880))</f>
        <v/>
      </c>
      <c r="M880" s="18">
        <f>IF(OR(B880="",I880=""),"",I880-B880)</f>
        <v/>
      </c>
      <c r="N880" s="21">
        <f>IF(B880="","",IF(I880="",IF(H880="","",IF(TODAY()&gt;H880,"Atrasado (em aberto)","Em aberto")),IF(I880&lt;=H880,"No prazo","Fora do prazo")))</f>
        <v/>
      </c>
    </row>
    <row r="881">
      <c r="B881" s="22" t="n"/>
      <c r="E881" s="23" t="n"/>
      <c r="F881" s="24" t="n"/>
      <c r="H881" s="22" t="n"/>
      <c r="I881" s="22" t="n"/>
      <c r="J881" s="21">
        <f>IF(C881="","",IFERROR(INDEX(Clientes!$B:$B,MATCH(C881,Clientes!$A:$A,0)),"Cód. não cadastrado"))</f>
        <v/>
      </c>
      <c r="K881" s="18">
        <f>IF(B881="","",YEAR(B881))</f>
        <v/>
      </c>
      <c r="L881" s="18">
        <f>IF(B881="","",MONTH(B881))</f>
        <v/>
      </c>
      <c r="M881" s="18">
        <f>IF(OR(B881="",I881=""),"",I881-B881)</f>
        <v/>
      </c>
      <c r="N881" s="21">
        <f>IF(B881="","",IF(I881="",IF(H881="","",IF(TODAY()&gt;H881,"Atrasado (em aberto)","Em aberto")),IF(I881&lt;=H881,"No prazo","Fora do prazo")))</f>
        <v/>
      </c>
    </row>
    <row r="882">
      <c r="B882" s="22" t="n"/>
      <c r="E882" s="23" t="n"/>
      <c r="F882" s="24" t="n"/>
      <c r="H882" s="22" t="n"/>
      <c r="I882" s="22" t="n"/>
      <c r="J882" s="21">
        <f>IF(C882="","",IFERROR(INDEX(Clientes!$B:$B,MATCH(C882,Clientes!$A:$A,0)),"Cód. não cadastrado"))</f>
        <v/>
      </c>
      <c r="K882" s="18">
        <f>IF(B882="","",YEAR(B882))</f>
        <v/>
      </c>
      <c r="L882" s="18">
        <f>IF(B882="","",MONTH(B882))</f>
        <v/>
      </c>
      <c r="M882" s="18">
        <f>IF(OR(B882="",I882=""),"",I882-B882)</f>
        <v/>
      </c>
      <c r="N882" s="21">
        <f>IF(B882="","",IF(I882="",IF(H882="","",IF(TODAY()&gt;H882,"Atrasado (em aberto)","Em aberto")),IF(I882&lt;=H882,"No prazo","Fora do prazo")))</f>
        <v/>
      </c>
    </row>
    <row r="883">
      <c r="B883" s="22" t="n"/>
      <c r="E883" s="23" t="n"/>
      <c r="F883" s="24" t="n"/>
      <c r="H883" s="22" t="n"/>
      <c r="I883" s="22" t="n"/>
      <c r="J883" s="21">
        <f>IF(C883="","",IFERROR(INDEX(Clientes!$B:$B,MATCH(C883,Clientes!$A:$A,0)),"Cód. não cadastrado"))</f>
        <v/>
      </c>
      <c r="K883" s="18">
        <f>IF(B883="","",YEAR(B883))</f>
        <v/>
      </c>
      <c r="L883" s="18">
        <f>IF(B883="","",MONTH(B883))</f>
        <v/>
      </c>
      <c r="M883" s="18">
        <f>IF(OR(B883="",I883=""),"",I883-B883)</f>
        <v/>
      </c>
      <c r="N883" s="21">
        <f>IF(B883="","",IF(I883="",IF(H883="","",IF(TODAY()&gt;H883,"Atrasado (em aberto)","Em aberto")),IF(I883&lt;=H883,"No prazo","Fora do prazo")))</f>
        <v/>
      </c>
    </row>
    <row r="884">
      <c r="B884" s="22" t="n"/>
      <c r="E884" s="23" t="n"/>
      <c r="F884" s="24" t="n"/>
      <c r="H884" s="22" t="n"/>
      <c r="I884" s="22" t="n"/>
      <c r="J884" s="21">
        <f>IF(C884="","",IFERROR(INDEX(Clientes!$B:$B,MATCH(C884,Clientes!$A:$A,0)),"Cód. não cadastrado"))</f>
        <v/>
      </c>
      <c r="K884" s="18">
        <f>IF(B884="","",YEAR(B884))</f>
        <v/>
      </c>
      <c r="L884" s="18">
        <f>IF(B884="","",MONTH(B884))</f>
        <v/>
      </c>
      <c r="M884" s="18">
        <f>IF(OR(B884="",I884=""),"",I884-B884)</f>
        <v/>
      </c>
      <c r="N884" s="21">
        <f>IF(B884="","",IF(I884="",IF(H884="","",IF(TODAY()&gt;H884,"Atrasado (em aberto)","Em aberto")),IF(I884&lt;=H884,"No prazo","Fora do prazo")))</f>
        <v/>
      </c>
    </row>
    <row r="885">
      <c r="B885" s="22" t="n"/>
      <c r="E885" s="23" t="n"/>
      <c r="F885" s="24" t="n"/>
      <c r="H885" s="22" t="n"/>
      <c r="I885" s="22" t="n"/>
      <c r="J885" s="21">
        <f>IF(C885="","",IFERROR(INDEX(Clientes!$B:$B,MATCH(C885,Clientes!$A:$A,0)),"Cód. não cadastrado"))</f>
        <v/>
      </c>
      <c r="K885" s="18">
        <f>IF(B885="","",YEAR(B885))</f>
        <v/>
      </c>
      <c r="L885" s="18">
        <f>IF(B885="","",MONTH(B885))</f>
        <v/>
      </c>
      <c r="M885" s="18">
        <f>IF(OR(B885="",I885=""),"",I885-B885)</f>
        <v/>
      </c>
      <c r="N885" s="21">
        <f>IF(B885="","",IF(I885="",IF(H885="","",IF(TODAY()&gt;H885,"Atrasado (em aberto)","Em aberto")),IF(I885&lt;=H885,"No prazo","Fora do prazo")))</f>
        <v/>
      </c>
    </row>
    <row r="886">
      <c r="B886" s="22" t="n"/>
      <c r="E886" s="23" t="n"/>
      <c r="F886" s="24" t="n"/>
      <c r="H886" s="22" t="n"/>
      <c r="I886" s="22" t="n"/>
      <c r="J886" s="21">
        <f>IF(C886="","",IFERROR(INDEX(Clientes!$B:$B,MATCH(C886,Clientes!$A:$A,0)),"Cód. não cadastrado"))</f>
        <v/>
      </c>
      <c r="K886" s="18">
        <f>IF(B886="","",YEAR(B886))</f>
        <v/>
      </c>
      <c r="L886" s="18">
        <f>IF(B886="","",MONTH(B886))</f>
        <v/>
      </c>
      <c r="M886" s="18">
        <f>IF(OR(B886="",I886=""),"",I886-B886)</f>
        <v/>
      </c>
      <c r="N886" s="21">
        <f>IF(B886="","",IF(I886="",IF(H886="","",IF(TODAY()&gt;H886,"Atrasado (em aberto)","Em aberto")),IF(I886&lt;=H886,"No prazo","Fora do prazo")))</f>
        <v/>
      </c>
    </row>
    <row r="887">
      <c r="B887" s="22" t="n"/>
      <c r="E887" s="23" t="n"/>
      <c r="F887" s="24" t="n"/>
      <c r="H887" s="22" t="n"/>
      <c r="I887" s="22" t="n"/>
      <c r="J887" s="21">
        <f>IF(C887="","",IFERROR(INDEX(Clientes!$B:$B,MATCH(C887,Clientes!$A:$A,0)),"Cód. não cadastrado"))</f>
        <v/>
      </c>
      <c r="K887" s="18">
        <f>IF(B887="","",YEAR(B887))</f>
        <v/>
      </c>
      <c r="L887" s="18">
        <f>IF(B887="","",MONTH(B887))</f>
        <v/>
      </c>
      <c r="M887" s="18">
        <f>IF(OR(B887="",I887=""),"",I887-B887)</f>
        <v/>
      </c>
      <c r="N887" s="21">
        <f>IF(B887="","",IF(I887="",IF(H887="","",IF(TODAY()&gt;H887,"Atrasado (em aberto)","Em aberto")),IF(I887&lt;=H887,"No prazo","Fora do prazo")))</f>
        <v/>
      </c>
    </row>
    <row r="888">
      <c r="B888" s="22" t="n"/>
      <c r="E888" s="23" t="n"/>
      <c r="F888" s="24" t="n"/>
      <c r="H888" s="22" t="n"/>
      <c r="I888" s="22" t="n"/>
      <c r="J888" s="21">
        <f>IF(C888="","",IFERROR(INDEX(Clientes!$B:$B,MATCH(C888,Clientes!$A:$A,0)),"Cód. não cadastrado"))</f>
        <v/>
      </c>
      <c r="K888" s="18">
        <f>IF(B888="","",YEAR(B888))</f>
        <v/>
      </c>
      <c r="L888" s="18">
        <f>IF(B888="","",MONTH(B888))</f>
        <v/>
      </c>
      <c r="M888" s="18">
        <f>IF(OR(B888="",I888=""),"",I888-B888)</f>
        <v/>
      </c>
      <c r="N888" s="21">
        <f>IF(B888="","",IF(I888="",IF(H888="","",IF(TODAY()&gt;H888,"Atrasado (em aberto)","Em aberto")),IF(I888&lt;=H888,"No prazo","Fora do prazo")))</f>
        <v/>
      </c>
    </row>
    <row r="889">
      <c r="B889" s="22" t="n"/>
      <c r="E889" s="23" t="n"/>
      <c r="F889" s="24" t="n"/>
      <c r="H889" s="22" t="n"/>
      <c r="I889" s="22" t="n"/>
      <c r="J889" s="21">
        <f>IF(C889="","",IFERROR(INDEX(Clientes!$B:$B,MATCH(C889,Clientes!$A:$A,0)),"Cód. não cadastrado"))</f>
        <v/>
      </c>
      <c r="K889" s="18">
        <f>IF(B889="","",YEAR(B889))</f>
        <v/>
      </c>
      <c r="L889" s="18">
        <f>IF(B889="","",MONTH(B889))</f>
        <v/>
      </c>
      <c r="M889" s="18">
        <f>IF(OR(B889="",I889=""),"",I889-B889)</f>
        <v/>
      </c>
      <c r="N889" s="21">
        <f>IF(B889="","",IF(I889="",IF(H889="","",IF(TODAY()&gt;H889,"Atrasado (em aberto)","Em aberto")),IF(I889&lt;=H889,"No prazo","Fora do prazo")))</f>
        <v/>
      </c>
    </row>
    <row r="890">
      <c r="B890" s="22" t="n"/>
      <c r="E890" s="23" t="n"/>
      <c r="F890" s="24" t="n"/>
      <c r="H890" s="22" t="n"/>
      <c r="I890" s="22" t="n"/>
      <c r="J890" s="21">
        <f>IF(C890="","",IFERROR(INDEX(Clientes!$B:$B,MATCH(C890,Clientes!$A:$A,0)),"Cód. não cadastrado"))</f>
        <v/>
      </c>
      <c r="K890" s="18">
        <f>IF(B890="","",YEAR(B890))</f>
        <v/>
      </c>
      <c r="L890" s="18">
        <f>IF(B890="","",MONTH(B890))</f>
        <v/>
      </c>
      <c r="M890" s="18">
        <f>IF(OR(B890="",I890=""),"",I890-B890)</f>
        <v/>
      </c>
      <c r="N890" s="21">
        <f>IF(B890="","",IF(I890="",IF(H890="","",IF(TODAY()&gt;H890,"Atrasado (em aberto)","Em aberto")),IF(I890&lt;=H890,"No prazo","Fora do prazo")))</f>
        <v/>
      </c>
    </row>
    <row r="891">
      <c r="B891" s="22" t="n"/>
      <c r="E891" s="23" t="n"/>
      <c r="F891" s="24" t="n"/>
      <c r="H891" s="22" t="n"/>
      <c r="I891" s="22" t="n"/>
      <c r="J891" s="21">
        <f>IF(C891="","",IFERROR(INDEX(Clientes!$B:$B,MATCH(C891,Clientes!$A:$A,0)),"Cód. não cadastrado"))</f>
        <v/>
      </c>
      <c r="K891" s="18">
        <f>IF(B891="","",YEAR(B891))</f>
        <v/>
      </c>
      <c r="L891" s="18">
        <f>IF(B891="","",MONTH(B891))</f>
        <v/>
      </c>
      <c r="M891" s="18">
        <f>IF(OR(B891="",I891=""),"",I891-B891)</f>
        <v/>
      </c>
      <c r="N891" s="21">
        <f>IF(B891="","",IF(I891="",IF(H891="","",IF(TODAY()&gt;H891,"Atrasado (em aberto)","Em aberto")),IF(I891&lt;=H891,"No prazo","Fora do prazo")))</f>
        <v/>
      </c>
    </row>
    <row r="892">
      <c r="B892" s="22" t="n"/>
      <c r="E892" s="23" t="n"/>
      <c r="F892" s="24" t="n"/>
      <c r="H892" s="22" t="n"/>
      <c r="I892" s="22" t="n"/>
      <c r="J892" s="21">
        <f>IF(C892="","",IFERROR(INDEX(Clientes!$B:$B,MATCH(C892,Clientes!$A:$A,0)),"Cód. não cadastrado"))</f>
        <v/>
      </c>
      <c r="K892" s="18">
        <f>IF(B892="","",YEAR(B892))</f>
        <v/>
      </c>
      <c r="L892" s="18">
        <f>IF(B892="","",MONTH(B892))</f>
        <v/>
      </c>
      <c r="M892" s="18">
        <f>IF(OR(B892="",I892=""),"",I892-B892)</f>
        <v/>
      </c>
      <c r="N892" s="21">
        <f>IF(B892="","",IF(I892="",IF(H892="","",IF(TODAY()&gt;H892,"Atrasado (em aberto)","Em aberto")),IF(I892&lt;=H892,"No prazo","Fora do prazo")))</f>
        <v/>
      </c>
    </row>
    <row r="893">
      <c r="B893" s="22" t="n"/>
      <c r="E893" s="23" t="n"/>
      <c r="F893" s="24" t="n"/>
      <c r="H893" s="22" t="n"/>
      <c r="I893" s="22" t="n"/>
      <c r="J893" s="21">
        <f>IF(C893="","",IFERROR(INDEX(Clientes!$B:$B,MATCH(C893,Clientes!$A:$A,0)),"Cód. não cadastrado"))</f>
        <v/>
      </c>
      <c r="K893" s="18">
        <f>IF(B893="","",YEAR(B893))</f>
        <v/>
      </c>
      <c r="L893" s="18">
        <f>IF(B893="","",MONTH(B893))</f>
        <v/>
      </c>
      <c r="M893" s="18">
        <f>IF(OR(B893="",I893=""),"",I893-B893)</f>
        <v/>
      </c>
      <c r="N893" s="21">
        <f>IF(B893="","",IF(I893="",IF(H893="","",IF(TODAY()&gt;H893,"Atrasado (em aberto)","Em aberto")),IF(I893&lt;=H893,"No prazo","Fora do prazo")))</f>
        <v/>
      </c>
    </row>
    <row r="894">
      <c r="B894" s="22" t="n"/>
      <c r="E894" s="23" t="n"/>
      <c r="F894" s="24" t="n"/>
      <c r="H894" s="22" t="n"/>
      <c r="I894" s="22" t="n"/>
      <c r="J894" s="21">
        <f>IF(C894="","",IFERROR(INDEX(Clientes!$B:$B,MATCH(C894,Clientes!$A:$A,0)),"Cód. não cadastrado"))</f>
        <v/>
      </c>
      <c r="K894" s="18">
        <f>IF(B894="","",YEAR(B894))</f>
        <v/>
      </c>
      <c r="L894" s="18">
        <f>IF(B894="","",MONTH(B894))</f>
        <v/>
      </c>
      <c r="M894" s="18">
        <f>IF(OR(B894="",I894=""),"",I894-B894)</f>
        <v/>
      </c>
      <c r="N894" s="21">
        <f>IF(B894="","",IF(I894="",IF(H894="","",IF(TODAY()&gt;H894,"Atrasado (em aberto)","Em aberto")),IF(I894&lt;=H894,"No prazo","Fora do prazo")))</f>
        <v/>
      </c>
    </row>
    <row r="895">
      <c r="B895" s="22" t="n"/>
      <c r="E895" s="23" t="n"/>
      <c r="F895" s="24" t="n"/>
      <c r="H895" s="22" t="n"/>
      <c r="I895" s="22" t="n"/>
      <c r="J895" s="21">
        <f>IF(C895="","",IFERROR(INDEX(Clientes!$B:$B,MATCH(C895,Clientes!$A:$A,0)),"Cód. não cadastrado"))</f>
        <v/>
      </c>
      <c r="K895" s="18">
        <f>IF(B895="","",YEAR(B895))</f>
        <v/>
      </c>
      <c r="L895" s="18">
        <f>IF(B895="","",MONTH(B895))</f>
        <v/>
      </c>
      <c r="M895" s="18">
        <f>IF(OR(B895="",I895=""),"",I895-B895)</f>
        <v/>
      </c>
      <c r="N895" s="21">
        <f>IF(B895="","",IF(I895="",IF(H895="","",IF(TODAY()&gt;H895,"Atrasado (em aberto)","Em aberto")),IF(I895&lt;=H895,"No prazo","Fora do prazo")))</f>
        <v/>
      </c>
    </row>
    <row r="896">
      <c r="B896" s="22" t="n"/>
      <c r="E896" s="23" t="n"/>
      <c r="F896" s="24" t="n"/>
      <c r="H896" s="22" t="n"/>
      <c r="I896" s="22" t="n"/>
      <c r="J896" s="21">
        <f>IF(C896="","",IFERROR(INDEX(Clientes!$B:$B,MATCH(C896,Clientes!$A:$A,0)),"Cód. não cadastrado"))</f>
        <v/>
      </c>
      <c r="K896" s="18">
        <f>IF(B896="","",YEAR(B896))</f>
        <v/>
      </c>
      <c r="L896" s="18">
        <f>IF(B896="","",MONTH(B896))</f>
        <v/>
      </c>
      <c r="M896" s="18">
        <f>IF(OR(B896="",I896=""),"",I896-B896)</f>
        <v/>
      </c>
      <c r="N896" s="21">
        <f>IF(B896="","",IF(I896="",IF(H896="","",IF(TODAY()&gt;H896,"Atrasado (em aberto)","Em aberto")),IF(I896&lt;=H896,"No prazo","Fora do prazo")))</f>
        <v/>
      </c>
    </row>
    <row r="897">
      <c r="B897" s="22" t="n"/>
      <c r="E897" s="23" t="n"/>
      <c r="F897" s="24" t="n"/>
      <c r="H897" s="22" t="n"/>
      <c r="I897" s="22" t="n"/>
      <c r="J897" s="21">
        <f>IF(C897="","",IFERROR(INDEX(Clientes!$B:$B,MATCH(C897,Clientes!$A:$A,0)),"Cód. não cadastrado"))</f>
        <v/>
      </c>
      <c r="K897" s="18">
        <f>IF(B897="","",YEAR(B897))</f>
        <v/>
      </c>
      <c r="L897" s="18">
        <f>IF(B897="","",MONTH(B897))</f>
        <v/>
      </c>
      <c r="M897" s="18">
        <f>IF(OR(B897="",I897=""),"",I897-B897)</f>
        <v/>
      </c>
      <c r="N897" s="21">
        <f>IF(B897="","",IF(I897="",IF(H897="","",IF(TODAY()&gt;H897,"Atrasado (em aberto)","Em aberto")),IF(I897&lt;=H897,"No prazo","Fora do prazo")))</f>
        <v/>
      </c>
    </row>
    <row r="898">
      <c r="B898" s="22" t="n"/>
      <c r="E898" s="23" t="n"/>
      <c r="F898" s="24" t="n"/>
      <c r="H898" s="22" t="n"/>
      <c r="I898" s="22" t="n"/>
      <c r="J898" s="21">
        <f>IF(C898="","",IFERROR(INDEX(Clientes!$B:$B,MATCH(C898,Clientes!$A:$A,0)),"Cód. não cadastrado"))</f>
        <v/>
      </c>
      <c r="K898" s="18">
        <f>IF(B898="","",YEAR(B898))</f>
        <v/>
      </c>
      <c r="L898" s="18">
        <f>IF(B898="","",MONTH(B898))</f>
        <v/>
      </c>
      <c r="M898" s="18">
        <f>IF(OR(B898="",I898=""),"",I898-B898)</f>
        <v/>
      </c>
      <c r="N898" s="21">
        <f>IF(B898="","",IF(I898="",IF(H898="","",IF(TODAY()&gt;H898,"Atrasado (em aberto)","Em aberto")),IF(I898&lt;=H898,"No prazo","Fora do prazo")))</f>
        <v/>
      </c>
    </row>
    <row r="899">
      <c r="B899" s="22" t="n"/>
      <c r="E899" s="23" t="n"/>
      <c r="F899" s="24" t="n"/>
      <c r="H899" s="22" t="n"/>
      <c r="I899" s="22" t="n"/>
      <c r="J899" s="21">
        <f>IF(C899="","",IFERROR(INDEX(Clientes!$B:$B,MATCH(C899,Clientes!$A:$A,0)),"Cód. não cadastrado"))</f>
        <v/>
      </c>
      <c r="K899" s="18">
        <f>IF(B899="","",YEAR(B899))</f>
        <v/>
      </c>
      <c r="L899" s="18">
        <f>IF(B899="","",MONTH(B899))</f>
        <v/>
      </c>
      <c r="M899" s="18">
        <f>IF(OR(B899="",I899=""),"",I899-B899)</f>
        <v/>
      </c>
      <c r="N899" s="21">
        <f>IF(B899="","",IF(I899="",IF(H899="","",IF(TODAY()&gt;H899,"Atrasado (em aberto)","Em aberto")),IF(I899&lt;=H899,"No prazo","Fora do prazo")))</f>
        <v/>
      </c>
    </row>
    <row r="900">
      <c r="B900" s="22" t="n"/>
      <c r="E900" s="23" t="n"/>
      <c r="F900" s="24" t="n"/>
      <c r="H900" s="22" t="n"/>
      <c r="I900" s="22" t="n"/>
      <c r="J900" s="21">
        <f>IF(C900="","",IFERROR(INDEX(Clientes!$B:$B,MATCH(C900,Clientes!$A:$A,0)),"Cód. não cadastrado"))</f>
        <v/>
      </c>
      <c r="K900" s="18">
        <f>IF(B900="","",YEAR(B900))</f>
        <v/>
      </c>
      <c r="L900" s="18">
        <f>IF(B900="","",MONTH(B900))</f>
        <v/>
      </c>
      <c r="M900" s="18">
        <f>IF(OR(B900="",I900=""),"",I900-B900)</f>
        <v/>
      </c>
      <c r="N900" s="21">
        <f>IF(B900="","",IF(I900="",IF(H900="","",IF(TODAY()&gt;H900,"Atrasado (em aberto)","Em aberto")),IF(I900&lt;=H900,"No prazo","Fora do prazo")))</f>
        <v/>
      </c>
    </row>
    <row r="901">
      <c r="B901" s="22" t="n"/>
      <c r="E901" s="23" t="n"/>
      <c r="F901" s="24" t="n"/>
      <c r="H901" s="22" t="n"/>
      <c r="I901" s="22" t="n"/>
      <c r="J901" s="21">
        <f>IF(C901="","",IFERROR(INDEX(Clientes!$B:$B,MATCH(C901,Clientes!$A:$A,0)),"Cód. não cadastrado"))</f>
        <v/>
      </c>
      <c r="K901" s="18">
        <f>IF(B901="","",YEAR(B901))</f>
        <v/>
      </c>
      <c r="L901" s="18">
        <f>IF(B901="","",MONTH(B901))</f>
        <v/>
      </c>
      <c r="M901" s="18">
        <f>IF(OR(B901="",I901=""),"",I901-B901)</f>
        <v/>
      </c>
      <c r="N901" s="21">
        <f>IF(B901="","",IF(I901="",IF(H901="","",IF(TODAY()&gt;H901,"Atrasado (em aberto)","Em aberto")),IF(I901&lt;=H901,"No prazo","Fora do prazo")))</f>
        <v/>
      </c>
    </row>
    <row r="902">
      <c r="B902" s="22" t="n"/>
      <c r="E902" s="23" t="n"/>
      <c r="F902" s="24" t="n"/>
      <c r="H902" s="22" t="n"/>
      <c r="I902" s="22" t="n"/>
      <c r="J902" s="21">
        <f>IF(C902="","",IFERROR(INDEX(Clientes!$B:$B,MATCH(C902,Clientes!$A:$A,0)),"Cód. não cadastrado"))</f>
        <v/>
      </c>
      <c r="K902" s="18">
        <f>IF(B902="","",YEAR(B902))</f>
        <v/>
      </c>
      <c r="L902" s="18">
        <f>IF(B902="","",MONTH(B902))</f>
        <v/>
      </c>
      <c r="M902" s="18">
        <f>IF(OR(B902="",I902=""),"",I902-B902)</f>
        <v/>
      </c>
      <c r="N902" s="21">
        <f>IF(B902="","",IF(I902="",IF(H902="","",IF(TODAY()&gt;H902,"Atrasado (em aberto)","Em aberto")),IF(I902&lt;=H902,"No prazo","Fora do prazo")))</f>
        <v/>
      </c>
    </row>
    <row r="903">
      <c r="B903" s="22" t="n"/>
      <c r="E903" s="23" t="n"/>
      <c r="F903" s="24" t="n"/>
      <c r="H903" s="22" t="n"/>
      <c r="I903" s="22" t="n"/>
      <c r="J903" s="21">
        <f>IF(C903="","",IFERROR(INDEX(Clientes!$B:$B,MATCH(C903,Clientes!$A:$A,0)),"Cód. não cadastrado"))</f>
        <v/>
      </c>
      <c r="K903" s="18">
        <f>IF(B903="","",YEAR(B903))</f>
        <v/>
      </c>
      <c r="L903" s="18">
        <f>IF(B903="","",MONTH(B903))</f>
        <v/>
      </c>
      <c r="M903" s="18">
        <f>IF(OR(B903="",I903=""),"",I903-B903)</f>
        <v/>
      </c>
      <c r="N903" s="21">
        <f>IF(B903="","",IF(I903="",IF(H903="","",IF(TODAY()&gt;H903,"Atrasado (em aberto)","Em aberto")),IF(I903&lt;=H903,"No prazo","Fora do prazo")))</f>
        <v/>
      </c>
    </row>
    <row r="904">
      <c r="B904" s="22" t="n"/>
      <c r="E904" s="23" t="n"/>
      <c r="F904" s="24" t="n"/>
      <c r="H904" s="22" t="n"/>
      <c r="I904" s="22" t="n"/>
      <c r="J904" s="21">
        <f>IF(C904="","",IFERROR(INDEX(Clientes!$B:$B,MATCH(C904,Clientes!$A:$A,0)),"Cód. não cadastrado"))</f>
        <v/>
      </c>
      <c r="K904" s="18">
        <f>IF(B904="","",YEAR(B904))</f>
        <v/>
      </c>
      <c r="L904" s="18">
        <f>IF(B904="","",MONTH(B904))</f>
        <v/>
      </c>
      <c r="M904" s="18">
        <f>IF(OR(B904="",I904=""),"",I904-B904)</f>
        <v/>
      </c>
      <c r="N904" s="21">
        <f>IF(B904="","",IF(I904="",IF(H904="","",IF(TODAY()&gt;H904,"Atrasado (em aberto)","Em aberto")),IF(I904&lt;=H904,"No prazo","Fora do prazo")))</f>
        <v/>
      </c>
    </row>
    <row r="905">
      <c r="B905" s="22" t="n"/>
      <c r="E905" s="23" t="n"/>
      <c r="F905" s="24" t="n"/>
      <c r="H905" s="22" t="n"/>
      <c r="I905" s="22" t="n"/>
      <c r="J905" s="21">
        <f>IF(C905="","",IFERROR(INDEX(Clientes!$B:$B,MATCH(C905,Clientes!$A:$A,0)),"Cód. não cadastrado"))</f>
        <v/>
      </c>
      <c r="K905" s="18">
        <f>IF(B905="","",YEAR(B905))</f>
        <v/>
      </c>
      <c r="L905" s="18">
        <f>IF(B905="","",MONTH(B905))</f>
        <v/>
      </c>
      <c r="M905" s="18">
        <f>IF(OR(B905="",I905=""),"",I905-B905)</f>
        <v/>
      </c>
      <c r="N905" s="21">
        <f>IF(B905="","",IF(I905="",IF(H905="","",IF(TODAY()&gt;H905,"Atrasado (em aberto)","Em aberto")),IF(I905&lt;=H905,"No prazo","Fora do prazo")))</f>
        <v/>
      </c>
    </row>
    <row r="906">
      <c r="B906" s="22" t="n"/>
      <c r="E906" s="23" t="n"/>
      <c r="F906" s="24" t="n"/>
      <c r="H906" s="22" t="n"/>
      <c r="I906" s="22" t="n"/>
      <c r="J906" s="21">
        <f>IF(C906="","",IFERROR(INDEX(Clientes!$B:$B,MATCH(C906,Clientes!$A:$A,0)),"Cód. não cadastrado"))</f>
        <v/>
      </c>
      <c r="K906" s="18">
        <f>IF(B906="","",YEAR(B906))</f>
        <v/>
      </c>
      <c r="L906" s="18">
        <f>IF(B906="","",MONTH(B906))</f>
        <v/>
      </c>
      <c r="M906" s="18">
        <f>IF(OR(B906="",I906=""),"",I906-B906)</f>
        <v/>
      </c>
      <c r="N906" s="21">
        <f>IF(B906="","",IF(I906="",IF(H906="","",IF(TODAY()&gt;H906,"Atrasado (em aberto)","Em aberto")),IF(I906&lt;=H906,"No prazo","Fora do prazo")))</f>
        <v/>
      </c>
    </row>
    <row r="907">
      <c r="B907" s="22" t="n"/>
      <c r="E907" s="23" t="n"/>
      <c r="F907" s="24" t="n"/>
      <c r="H907" s="22" t="n"/>
      <c r="I907" s="22" t="n"/>
      <c r="J907" s="21">
        <f>IF(C907="","",IFERROR(INDEX(Clientes!$B:$B,MATCH(C907,Clientes!$A:$A,0)),"Cód. não cadastrado"))</f>
        <v/>
      </c>
      <c r="K907" s="18">
        <f>IF(B907="","",YEAR(B907))</f>
        <v/>
      </c>
      <c r="L907" s="18">
        <f>IF(B907="","",MONTH(B907))</f>
        <v/>
      </c>
      <c r="M907" s="18">
        <f>IF(OR(B907="",I907=""),"",I907-B907)</f>
        <v/>
      </c>
      <c r="N907" s="21">
        <f>IF(B907="","",IF(I907="",IF(H907="","",IF(TODAY()&gt;H907,"Atrasado (em aberto)","Em aberto")),IF(I907&lt;=H907,"No prazo","Fora do prazo")))</f>
        <v/>
      </c>
    </row>
    <row r="908">
      <c r="B908" s="22" t="n"/>
      <c r="E908" s="23" t="n"/>
      <c r="F908" s="24" t="n"/>
      <c r="H908" s="22" t="n"/>
      <c r="I908" s="22" t="n"/>
      <c r="J908" s="21">
        <f>IF(C908="","",IFERROR(INDEX(Clientes!$B:$B,MATCH(C908,Clientes!$A:$A,0)),"Cód. não cadastrado"))</f>
        <v/>
      </c>
      <c r="K908" s="18">
        <f>IF(B908="","",YEAR(B908))</f>
        <v/>
      </c>
      <c r="L908" s="18">
        <f>IF(B908="","",MONTH(B908))</f>
        <v/>
      </c>
      <c r="M908" s="18">
        <f>IF(OR(B908="",I908=""),"",I908-B908)</f>
        <v/>
      </c>
      <c r="N908" s="21">
        <f>IF(B908="","",IF(I908="",IF(H908="","",IF(TODAY()&gt;H908,"Atrasado (em aberto)","Em aberto")),IF(I908&lt;=H908,"No prazo","Fora do prazo")))</f>
        <v/>
      </c>
    </row>
    <row r="909">
      <c r="B909" s="22" t="n"/>
      <c r="E909" s="23" t="n"/>
      <c r="F909" s="24" t="n"/>
      <c r="H909" s="22" t="n"/>
      <c r="I909" s="22" t="n"/>
      <c r="J909" s="21">
        <f>IF(C909="","",IFERROR(INDEX(Clientes!$B:$B,MATCH(C909,Clientes!$A:$A,0)),"Cód. não cadastrado"))</f>
        <v/>
      </c>
      <c r="K909" s="18">
        <f>IF(B909="","",YEAR(B909))</f>
        <v/>
      </c>
      <c r="L909" s="18">
        <f>IF(B909="","",MONTH(B909))</f>
        <v/>
      </c>
      <c r="M909" s="18">
        <f>IF(OR(B909="",I909=""),"",I909-B909)</f>
        <v/>
      </c>
      <c r="N909" s="21">
        <f>IF(B909="","",IF(I909="",IF(H909="","",IF(TODAY()&gt;H909,"Atrasado (em aberto)","Em aberto")),IF(I909&lt;=H909,"No prazo","Fora do prazo")))</f>
        <v/>
      </c>
    </row>
    <row r="910">
      <c r="B910" s="22" t="n"/>
      <c r="E910" s="23" t="n"/>
      <c r="F910" s="24" t="n"/>
      <c r="H910" s="22" t="n"/>
      <c r="I910" s="22" t="n"/>
      <c r="J910" s="21">
        <f>IF(C910="","",IFERROR(INDEX(Clientes!$B:$B,MATCH(C910,Clientes!$A:$A,0)),"Cód. não cadastrado"))</f>
        <v/>
      </c>
      <c r="K910" s="18">
        <f>IF(B910="","",YEAR(B910))</f>
        <v/>
      </c>
      <c r="L910" s="18">
        <f>IF(B910="","",MONTH(B910))</f>
        <v/>
      </c>
      <c r="M910" s="18">
        <f>IF(OR(B910="",I910=""),"",I910-B910)</f>
        <v/>
      </c>
      <c r="N910" s="21">
        <f>IF(B910="","",IF(I910="",IF(H910="","",IF(TODAY()&gt;H910,"Atrasado (em aberto)","Em aberto")),IF(I910&lt;=H910,"No prazo","Fora do prazo")))</f>
        <v/>
      </c>
    </row>
    <row r="911">
      <c r="B911" s="22" t="n"/>
      <c r="E911" s="23" t="n"/>
      <c r="F911" s="24" t="n"/>
      <c r="H911" s="22" t="n"/>
      <c r="I911" s="22" t="n"/>
      <c r="J911" s="21">
        <f>IF(C911="","",IFERROR(INDEX(Clientes!$B:$B,MATCH(C911,Clientes!$A:$A,0)),"Cód. não cadastrado"))</f>
        <v/>
      </c>
      <c r="K911" s="18">
        <f>IF(B911="","",YEAR(B911))</f>
        <v/>
      </c>
      <c r="L911" s="18">
        <f>IF(B911="","",MONTH(B911))</f>
        <v/>
      </c>
      <c r="M911" s="18">
        <f>IF(OR(B911="",I911=""),"",I911-B911)</f>
        <v/>
      </c>
      <c r="N911" s="21">
        <f>IF(B911="","",IF(I911="",IF(H911="","",IF(TODAY()&gt;H911,"Atrasado (em aberto)","Em aberto")),IF(I911&lt;=H911,"No prazo","Fora do prazo")))</f>
        <v/>
      </c>
    </row>
    <row r="912">
      <c r="B912" s="22" t="n"/>
      <c r="E912" s="23" t="n"/>
      <c r="F912" s="24" t="n"/>
      <c r="H912" s="22" t="n"/>
      <c r="I912" s="22" t="n"/>
      <c r="J912" s="21">
        <f>IF(C912="","",IFERROR(INDEX(Clientes!$B:$B,MATCH(C912,Clientes!$A:$A,0)),"Cód. não cadastrado"))</f>
        <v/>
      </c>
      <c r="K912" s="18">
        <f>IF(B912="","",YEAR(B912))</f>
        <v/>
      </c>
      <c r="L912" s="18">
        <f>IF(B912="","",MONTH(B912))</f>
        <v/>
      </c>
      <c r="M912" s="18">
        <f>IF(OR(B912="",I912=""),"",I912-B912)</f>
        <v/>
      </c>
      <c r="N912" s="21">
        <f>IF(B912="","",IF(I912="",IF(H912="","",IF(TODAY()&gt;H912,"Atrasado (em aberto)","Em aberto")),IF(I912&lt;=H912,"No prazo","Fora do prazo")))</f>
        <v/>
      </c>
    </row>
    <row r="913">
      <c r="B913" s="22" t="n"/>
      <c r="E913" s="23" t="n"/>
      <c r="F913" s="24" t="n"/>
      <c r="H913" s="22" t="n"/>
      <c r="I913" s="22" t="n"/>
      <c r="J913" s="21">
        <f>IF(C913="","",IFERROR(INDEX(Clientes!$B:$B,MATCH(C913,Clientes!$A:$A,0)),"Cód. não cadastrado"))</f>
        <v/>
      </c>
      <c r="K913" s="18">
        <f>IF(B913="","",YEAR(B913))</f>
        <v/>
      </c>
      <c r="L913" s="18">
        <f>IF(B913="","",MONTH(B913))</f>
        <v/>
      </c>
      <c r="M913" s="18">
        <f>IF(OR(B913="",I913=""),"",I913-B913)</f>
        <v/>
      </c>
      <c r="N913" s="21">
        <f>IF(B913="","",IF(I913="",IF(H913="","",IF(TODAY()&gt;H913,"Atrasado (em aberto)","Em aberto")),IF(I913&lt;=H913,"No prazo","Fora do prazo")))</f>
        <v/>
      </c>
    </row>
    <row r="914">
      <c r="B914" s="22" t="n"/>
      <c r="E914" s="23" t="n"/>
      <c r="F914" s="24" t="n"/>
      <c r="H914" s="22" t="n"/>
      <c r="I914" s="22" t="n"/>
      <c r="J914" s="21">
        <f>IF(C914="","",IFERROR(INDEX(Clientes!$B:$B,MATCH(C914,Clientes!$A:$A,0)),"Cód. não cadastrado"))</f>
        <v/>
      </c>
      <c r="K914" s="18">
        <f>IF(B914="","",YEAR(B914))</f>
        <v/>
      </c>
      <c r="L914" s="18">
        <f>IF(B914="","",MONTH(B914))</f>
        <v/>
      </c>
      <c r="M914" s="18">
        <f>IF(OR(B914="",I914=""),"",I914-B914)</f>
        <v/>
      </c>
      <c r="N914" s="21">
        <f>IF(B914="","",IF(I914="",IF(H914="","",IF(TODAY()&gt;H914,"Atrasado (em aberto)","Em aberto")),IF(I914&lt;=H914,"No prazo","Fora do prazo")))</f>
        <v/>
      </c>
    </row>
    <row r="915">
      <c r="B915" s="22" t="n"/>
      <c r="E915" s="23" t="n"/>
      <c r="F915" s="24" t="n"/>
      <c r="H915" s="22" t="n"/>
      <c r="I915" s="22" t="n"/>
      <c r="J915" s="21">
        <f>IF(C915="","",IFERROR(INDEX(Clientes!$B:$B,MATCH(C915,Clientes!$A:$A,0)),"Cód. não cadastrado"))</f>
        <v/>
      </c>
      <c r="K915" s="18">
        <f>IF(B915="","",YEAR(B915))</f>
        <v/>
      </c>
      <c r="L915" s="18">
        <f>IF(B915="","",MONTH(B915))</f>
        <v/>
      </c>
      <c r="M915" s="18">
        <f>IF(OR(B915="",I915=""),"",I915-B915)</f>
        <v/>
      </c>
      <c r="N915" s="21">
        <f>IF(B915="","",IF(I915="",IF(H915="","",IF(TODAY()&gt;H915,"Atrasado (em aberto)","Em aberto")),IF(I915&lt;=H915,"No prazo","Fora do prazo")))</f>
        <v/>
      </c>
    </row>
    <row r="916">
      <c r="B916" s="22" t="n"/>
      <c r="E916" s="23" t="n"/>
      <c r="F916" s="24" t="n"/>
      <c r="H916" s="22" t="n"/>
      <c r="I916" s="22" t="n"/>
      <c r="J916" s="21">
        <f>IF(C916="","",IFERROR(INDEX(Clientes!$B:$B,MATCH(C916,Clientes!$A:$A,0)),"Cód. não cadastrado"))</f>
        <v/>
      </c>
      <c r="K916" s="18">
        <f>IF(B916="","",YEAR(B916))</f>
        <v/>
      </c>
      <c r="L916" s="18">
        <f>IF(B916="","",MONTH(B916))</f>
        <v/>
      </c>
      <c r="M916" s="18">
        <f>IF(OR(B916="",I916=""),"",I916-B916)</f>
        <v/>
      </c>
      <c r="N916" s="21">
        <f>IF(B916="","",IF(I916="",IF(H916="","",IF(TODAY()&gt;H916,"Atrasado (em aberto)","Em aberto")),IF(I916&lt;=H916,"No prazo","Fora do prazo")))</f>
        <v/>
      </c>
    </row>
    <row r="917">
      <c r="B917" s="22" t="n"/>
      <c r="E917" s="23" t="n"/>
      <c r="F917" s="24" t="n"/>
      <c r="H917" s="22" t="n"/>
      <c r="I917" s="22" t="n"/>
      <c r="J917" s="21">
        <f>IF(C917="","",IFERROR(INDEX(Clientes!$B:$B,MATCH(C917,Clientes!$A:$A,0)),"Cód. não cadastrado"))</f>
        <v/>
      </c>
      <c r="K917" s="18">
        <f>IF(B917="","",YEAR(B917))</f>
        <v/>
      </c>
      <c r="L917" s="18">
        <f>IF(B917="","",MONTH(B917))</f>
        <v/>
      </c>
      <c r="M917" s="18">
        <f>IF(OR(B917="",I917=""),"",I917-B917)</f>
        <v/>
      </c>
      <c r="N917" s="21">
        <f>IF(B917="","",IF(I917="",IF(H917="","",IF(TODAY()&gt;H917,"Atrasado (em aberto)","Em aberto")),IF(I917&lt;=H917,"No prazo","Fora do prazo")))</f>
        <v/>
      </c>
    </row>
    <row r="918">
      <c r="B918" s="22" t="n"/>
      <c r="E918" s="23" t="n"/>
      <c r="F918" s="24" t="n"/>
      <c r="H918" s="22" t="n"/>
      <c r="I918" s="22" t="n"/>
      <c r="J918" s="21">
        <f>IF(C918="","",IFERROR(INDEX(Clientes!$B:$B,MATCH(C918,Clientes!$A:$A,0)),"Cód. não cadastrado"))</f>
        <v/>
      </c>
      <c r="K918" s="18">
        <f>IF(B918="","",YEAR(B918))</f>
        <v/>
      </c>
      <c r="L918" s="18">
        <f>IF(B918="","",MONTH(B918))</f>
        <v/>
      </c>
      <c r="M918" s="18">
        <f>IF(OR(B918="",I918=""),"",I918-B918)</f>
        <v/>
      </c>
      <c r="N918" s="21">
        <f>IF(B918="","",IF(I918="",IF(H918="","",IF(TODAY()&gt;H918,"Atrasado (em aberto)","Em aberto")),IF(I918&lt;=H918,"No prazo","Fora do prazo")))</f>
        <v/>
      </c>
    </row>
    <row r="919">
      <c r="B919" s="22" t="n"/>
      <c r="E919" s="23" t="n"/>
      <c r="F919" s="24" t="n"/>
      <c r="H919" s="22" t="n"/>
      <c r="I919" s="22" t="n"/>
      <c r="J919" s="21">
        <f>IF(C919="","",IFERROR(INDEX(Clientes!$B:$B,MATCH(C919,Clientes!$A:$A,0)),"Cód. não cadastrado"))</f>
        <v/>
      </c>
      <c r="K919" s="18">
        <f>IF(B919="","",YEAR(B919))</f>
        <v/>
      </c>
      <c r="L919" s="18">
        <f>IF(B919="","",MONTH(B919))</f>
        <v/>
      </c>
      <c r="M919" s="18">
        <f>IF(OR(B919="",I919=""),"",I919-B919)</f>
        <v/>
      </c>
      <c r="N919" s="21">
        <f>IF(B919="","",IF(I919="",IF(H919="","",IF(TODAY()&gt;H919,"Atrasado (em aberto)","Em aberto")),IF(I919&lt;=H919,"No prazo","Fora do prazo")))</f>
        <v/>
      </c>
    </row>
    <row r="920">
      <c r="B920" s="22" t="n"/>
      <c r="E920" s="23" t="n"/>
      <c r="F920" s="24" t="n"/>
      <c r="H920" s="22" t="n"/>
      <c r="I920" s="22" t="n"/>
      <c r="J920" s="21">
        <f>IF(C920="","",IFERROR(INDEX(Clientes!$B:$B,MATCH(C920,Clientes!$A:$A,0)),"Cód. não cadastrado"))</f>
        <v/>
      </c>
      <c r="K920" s="18">
        <f>IF(B920="","",YEAR(B920))</f>
        <v/>
      </c>
      <c r="L920" s="18">
        <f>IF(B920="","",MONTH(B920))</f>
        <v/>
      </c>
      <c r="M920" s="18">
        <f>IF(OR(B920="",I920=""),"",I920-B920)</f>
        <v/>
      </c>
      <c r="N920" s="21">
        <f>IF(B920="","",IF(I920="",IF(H920="","",IF(TODAY()&gt;H920,"Atrasado (em aberto)","Em aberto")),IF(I920&lt;=H920,"No prazo","Fora do prazo")))</f>
        <v/>
      </c>
    </row>
    <row r="921">
      <c r="B921" s="22" t="n"/>
      <c r="E921" s="23" t="n"/>
      <c r="F921" s="24" t="n"/>
      <c r="H921" s="22" t="n"/>
      <c r="I921" s="22" t="n"/>
      <c r="J921" s="21">
        <f>IF(C921="","",IFERROR(INDEX(Clientes!$B:$B,MATCH(C921,Clientes!$A:$A,0)),"Cód. não cadastrado"))</f>
        <v/>
      </c>
      <c r="K921" s="18">
        <f>IF(B921="","",YEAR(B921))</f>
        <v/>
      </c>
      <c r="L921" s="18">
        <f>IF(B921="","",MONTH(B921))</f>
        <v/>
      </c>
      <c r="M921" s="18">
        <f>IF(OR(B921="",I921=""),"",I921-B921)</f>
        <v/>
      </c>
      <c r="N921" s="21">
        <f>IF(B921="","",IF(I921="",IF(H921="","",IF(TODAY()&gt;H921,"Atrasado (em aberto)","Em aberto")),IF(I921&lt;=H921,"No prazo","Fora do prazo")))</f>
        <v/>
      </c>
    </row>
    <row r="922">
      <c r="B922" s="22" t="n"/>
      <c r="E922" s="23" t="n"/>
      <c r="F922" s="24" t="n"/>
      <c r="H922" s="22" t="n"/>
      <c r="I922" s="22" t="n"/>
      <c r="J922" s="21">
        <f>IF(C922="","",IFERROR(INDEX(Clientes!$B:$B,MATCH(C922,Clientes!$A:$A,0)),"Cód. não cadastrado"))</f>
        <v/>
      </c>
      <c r="K922" s="18">
        <f>IF(B922="","",YEAR(B922))</f>
        <v/>
      </c>
      <c r="L922" s="18">
        <f>IF(B922="","",MONTH(B922))</f>
        <v/>
      </c>
      <c r="M922" s="18">
        <f>IF(OR(B922="",I922=""),"",I922-B922)</f>
        <v/>
      </c>
      <c r="N922" s="21">
        <f>IF(B922="","",IF(I922="",IF(H922="","",IF(TODAY()&gt;H922,"Atrasado (em aberto)","Em aberto")),IF(I922&lt;=H922,"No prazo","Fora do prazo")))</f>
        <v/>
      </c>
    </row>
    <row r="923">
      <c r="B923" s="22" t="n"/>
      <c r="E923" s="23" t="n"/>
      <c r="F923" s="24" t="n"/>
      <c r="H923" s="22" t="n"/>
      <c r="I923" s="22" t="n"/>
      <c r="J923" s="21">
        <f>IF(C923="","",IFERROR(INDEX(Clientes!$B:$B,MATCH(C923,Clientes!$A:$A,0)),"Cód. não cadastrado"))</f>
        <v/>
      </c>
      <c r="K923" s="18">
        <f>IF(B923="","",YEAR(B923))</f>
        <v/>
      </c>
      <c r="L923" s="18">
        <f>IF(B923="","",MONTH(B923))</f>
        <v/>
      </c>
      <c r="M923" s="18">
        <f>IF(OR(B923="",I923=""),"",I923-B923)</f>
        <v/>
      </c>
      <c r="N923" s="21">
        <f>IF(B923="","",IF(I923="",IF(H923="","",IF(TODAY()&gt;H923,"Atrasado (em aberto)","Em aberto")),IF(I923&lt;=H923,"No prazo","Fora do prazo")))</f>
        <v/>
      </c>
    </row>
    <row r="924">
      <c r="B924" s="22" t="n"/>
      <c r="E924" s="23" t="n"/>
      <c r="F924" s="24" t="n"/>
      <c r="H924" s="22" t="n"/>
      <c r="I924" s="22" t="n"/>
      <c r="J924" s="21">
        <f>IF(C924="","",IFERROR(INDEX(Clientes!$B:$B,MATCH(C924,Clientes!$A:$A,0)),"Cód. não cadastrado"))</f>
        <v/>
      </c>
      <c r="K924" s="18">
        <f>IF(B924="","",YEAR(B924))</f>
        <v/>
      </c>
      <c r="L924" s="18">
        <f>IF(B924="","",MONTH(B924))</f>
        <v/>
      </c>
      <c r="M924" s="18">
        <f>IF(OR(B924="",I924=""),"",I924-B924)</f>
        <v/>
      </c>
      <c r="N924" s="21">
        <f>IF(B924="","",IF(I924="",IF(H924="","",IF(TODAY()&gt;H924,"Atrasado (em aberto)","Em aberto")),IF(I924&lt;=H924,"No prazo","Fora do prazo")))</f>
        <v/>
      </c>
    </row>
    <row r="925">
      <c r="B925" s="22" t="n"/>
      <c r="E925" s="23" t="n"/>
      <c r="F925" s="24" t="n"/>
      <c r="H925" s="22" t="n"/>
      <c r="I925" s="22" t="n"/>
      <c r="J925" s="21">
        <f>IF(C925="","",IFERROR(INDEX(Clientes!$B:$B,MATCH(C925,Clientes!$A:$A,0)),"Cód. não cadastrado"))</f>
        <v/>
      </c>
      <c r="K925" s="18">
        <f>IF(B925="","",YEAR(B925))</f>
        <v/>
      </c>
      <c r="L925" s="18">
        <f>IF(B925="","",MONTH(B925))</f>
        <v/>
      </c>
      <c r="M925" s="18">
        <f>IF(OR(B925="",I925=""),"",I925-B925)</f>
        <v/>
      </c>
      <c r="N925" s="21">
        <f>IF(B925="","",IF(I925="",IF(H925="","",IF(TODAY()&gt;H925,"Atrasado (em aberto)","Em aberto")),IF(I925&lt;=H925,"No prazo","Fora do prazo")))</f>
        <v/>
      </c>
    </row>
    <row r="926">
      <c r="B926" s="22" t="n"/>
      <c r="E926" s="23" t="n"/>
      <c r="F926" s="24" t="n"/>
      <c r="H926" s="22" t="n"/>
      <c r="I926" s="22" t="n"/>
      <c r="J926" s="21">
        <f>IF(C926="","",IFERROR(INDEX(Clientes!$B:$B,MATCH(C926,Clientes!$A:$A,0)),"Cód. não cadastrado"))</f>
        <v/>
      </c>
      <c r="K926" s="18">
        <f>IF(B926="","",YEAR(B926))</f>
        <v/>
      </c>
      <c r="L926" s="18">
        <f>IF(B926="","",MONTH(B926))</f>
        <v/>
      </c>
      <c r="M926" s="18">
        <f>IF(OR(B926="",I926=""),"",I926-B926)</f>
        <v/>
      </c>
      <c r="N926" s="21">
        <f>IF(B926="","",IF(I926="",IF(H926="","",IF(TODAY()&gt;H926,"Atrasado (em aberto)","Em aberto")),IF(I926&lt;=H926,"No prazo","Fora do prazo")))</f>
        <v/>
      </c>
    </row>
    <row r="927">
      <c r="B927" s="22" t="n"/>
      <c r="E927" s="23" t="n"/>
      <c r="F927" s="24" t="n"/>
      <c r="H927" s="22" t="n"/>
      <c r="I927" s="22" t="n"/>
      <c r="J927" s="21">
        <f>IF(C927="","",IFERROR(INDEX(Clientes!$B:$B,MATCH(C927,Clientes!$A:$A,0)),"Cód. não cadastrado"))</f>
        <v/>
      </c>
      <c r="K927" s="18">
        <f>IF(B927="","",YEAR(B927))</f>
        <v/>
      </c>
      <c r="L927" s="18">
        <f>IF(B927="","",MONTH(B927))</f>
        <v/>
      </c>
      <c r="M927" s="18">
        <f>IF(OR(B927="",I927=""),"",I927-B927)</f>
        <v/>
      </c>
      <c r="N927" s="21">
        <f>IF(B927="","",IF(I927="",IF(H927="","",IF(TODAY()&gt;H927,"Atrasado (em aberto)","Em aberto")),IF(I927&lt;=H927,"No prazo","Fora do prazo")))</f>
        <v/>
      </c>
    </row>
    <row r="928">
      <c r="B928" s="22" t="n"/>
      <c r="E928" s="23" t="n"/>
      <c r="F928" s="24" t="n"/>
      <c r="H928" s="22" t="n"/>
      <c r="I928" s="22" t="n"/>
      <c r="J928" s="21">
        <f>IF(C928="","",IFERROR(INDEX(Clientes!$B:$B,MATCH(C928,Clientes!$A:$A,0)),"Cód. não cadastrado"))</f>
        <v/>
      </c>
      <c r="K928" s="18">
        <f>IF(B928="","",YEAR(B928))</f>
        <v/>
      </c>
      <c r="L928" s="18">
        <f>IF(B928="","",MONTH(B928))</f>
        <v/>
      </c>
      <c r="M928" s="18">
        <f>IF(OR(B928="",I928=""),"",I928-B928)</f>
        <v/>
      </c>
      <c r="N928" s="21">
        <f>IF(B928="","",IF(I928="",IF(H928="","",IF(TODAY()&gt;H928,"Atrasado (em aberto)","Em aberto")),IF(I928&lt;=H928,"No prazo","Fora do prazo")))</f>
        <v/>
      </c>
    </row>
    <row r="929">
      <c r="B929" s="22" t="n"/>
      <c r="E929" s="23" t="n"/>
      <c r="F929" s="24" t="n"/>
      <c r="H929" s="22" t="n"/>
      <c r="I929" s="22" t="n"/>
      <c r="J929" s="21">
        <f>IF(C929="","",IFERROR(INDEX(Clientes!$B:$B,MATCH(C929,Clientes!$A:$A,0)),"Cód. não cadastrado"))</f>
        <v/>
      </c>
      <c r="K929" s="18">
        <f>IF(B929="","",YEAR(B929))</f>
        <v/>
      </c>
      <c r="L929" s="18">
        <f>IF(B929="","",MONTH(B929))</f>
        <v/>
      </c>
      <c r="M929" s="18">
        <f>IF(OR(B929="",I929=""),"",I929-B929)</f>
        <v/>
      </c>
      <c r="N929" s="21">
        <f>IF(B929="","",IF(I929="",IF(H929="","",IF(TODAY()&gt;H929,"Atrasado (em aberto)","Em aberto")),IF(I929&lt;=H929,"No prazo","Fora do prazo")))</f>
        <v/>
      </c>
    </row>
    <row r="930">
      <c r="B930" s="22" t="n"/>
      <c r="E930" s="23" t="n"/>
      <c r="F930" s="24" t="n"/>
      <c r="H930" s="22" t="n"/>
      <c r="I930" s="22" t="n"/>
      <c r="J930" s="21">
        <f>IF(C930="","",IFERROR(INDEX(Clientes!$B:$B,MATCH(C930,Clientes!$A:$A,0)),"Cód. não cadastrado"))</f>
        <v/>
      </c>
      <c r="K930" s="18">
        <f>IF(B930="","",YEAR(B930))</f>
        <v/>
      </c>
      <c r="L930" s="18">
        <f>IF(B930="","",MONTH(B930))</f>
        <v/>
      </c>
      <c r="M930" s="18">
        <f>IF(OR(B930="",I930=""),"",I930-B930)</f>
        <v/>
      </c>
      <c r="N930" s="21">
        <f>IF(B930="","",IF(I930="",IF(H930="","",IF(TODAY()&gt;H930,"Atrasado (em aberto)","Em aberto")),IF(I930&lt;=H930,"No prazo","Fora do prazo")))</f>
        <v/>
      </c>
    </row>
    <row r="931">
      <c r="B931" s="22" t="n"/>
      <c r="E931" s="23" t="n"/>
      <c r="F931" s="24" t="n"/>
      <c r="H931" s="22" t="n"/>
      <c r="I931" s="22" t="n"/>
      <c r="J931" s="21">
        <f>IF(C931="","",IFERROR(INDEX(Clientes!$B:$B,MATCH(C931,Clientes!$A:$A,0)),"Cód. não cadastrado"))</f>
        <v/>
      </c>
      <c r="K931" s="18">
        <f>IF(B931="","",YEAR(B931))</f>
        <v/>
      </c>
      <c r="L931" s="18">
        <f>IF(B931="","",MONTH(B931))</f>
        <v/>
      </c>
      <c r="M931" s="18">
        <f>IF(OR(B931="",I931=""),"",I931-B931)</f>
        <v/>
      </c>
      <c r="N931" s="21">
        <f>IF(B931="","",IF(I931="",IF(H931="","",IF(TODAY()&gt;H931,"Atrasado (em aberto)","Em aberto")),IF(I931&lt;=H931,"No prazo","Fora do prazo")))</f>
        <v/>
      </c>
    </row>
    <row r="932">
      <c r="B932" s="22" t="n"/>
      <c r="E932" s="23" t="n"/>
      <c r="F932" s="24" t="n"/>
      <c r="H932" s="22" t="n"/>
      <c r="I932" s="22" t="n"/>
      <c r="J932" s="21">
        <f>IF(C932="","",IFERROR(INDEX(Clientes!$B:$B,MATCH(C932,Clientes!$A:$A,0)),"Cód. não cadastrado"))</f>
        <v/>
      </c>
      <c r="K932" s="18">
        <f>IF(B932="","",YEAR(B932))</f>
        <v/>
      </c>
      <c r="L932" s="18">
        <f>IF(B932="","",MONTH(B932))</f>
        <v/>
      </c>
      <c r="M932" s="18">
        <f>IF(OR(B932="",I932=""),"",I932-B932)</f>
        <v/>
      </c>
      <c r="N932" s="21">
        <f>IF(B932="","",IF(I932="",IF(H932="","",IF(TODAY()&gt;H932,"Atrasado (em aberto)","Em aberto")),IF(I932&lt;=H932,"No prazo","Fora do prazo")))</f>
        <v/>
      </c>
    </row>
    <row r="933">
      <c r="B933" s="22" t="n"/>
      <c r="E933" s="23" t="n"/>
      <c r="F933" s="24" t="n"/>
      <c r="H933" s="22" t="n"/>
      <c r="I933" s="22" t="n"/>
      <c r="J933" s="21">
        <f>IF(C933="","",IFERROR(INDEX(Clientes!$B:$B,MATCH(C933,Clientes!$A:$A,0)),"Cód. não cadastrado"))</f>
        <v/>
      </c>
      <c r="K933" s="18">
        <f>IF(B933="","",YEAR(B933))</f>
        <v/>
      </c>
      <c r="L933" s="18">
        <f>IF(B933="","",MONTH(B933))</f>
        <v/>
      </c>
      <c r="M933" s="18">
        <f>IF(OR(B933="",I933=""),"",I933-B933)</f>
        <v/>
      </c>
      <c r="N933" s="21">
        <f>IF(B933="","",IF(I933="",IF(H933="","",IF(TODAY()&gt;H933,"Atrasado (em aberto)","Em aberto")),IF(I933&lt;=H933,"No prazo","Fora do prazo")))</f>
        <v/>
      </c>
    </row>
    <row r="934">
      <c r="B934" s="22" t="n"/>
      <c r="E934" s="23" t="n"/>
      <c r="F934" s="24" t="n"/>
      <c r="H934" s="22" t="n"/>
      <c r="I934" s="22" t="n"/>
      <c r="J934" s="21">
        <f>IF(C934="","",IFERROR(INDEX(Clientes!$B:$B,MATCH(C934,Clientes!$A:$A,0)),"Cód. não cadastrado"))</f>
        <v/>
      </c>
      <c r="K934" s="18">
        <f>IF(B934="","",YEAR(B934))</f>
        <v/>
      </c>
      <c r="L934" s="18">
        <f>IF(B934="","",MONTH(B934))</f>
        <v/>
      </c>
      <c r="M934" s="18">
        <f>IF(OR(B934="",I934=""),"",I934-B934)</f>
        <v/>
      </c>
      <c r="N934" s="21">
        <f>IF(B934="","",IF(I934="",IF(H934="","",IF(TODAY()&gt;H934,"Atrasado (em aberto)","Em aberto")),IF(I934&lt;=H934,"No prazo","Fora do prazo")))</f>
        <v/>
      </c>
    </row>
    <row r="935">
      <c r="B935" s="22" t="n"/>
      <c r="E935" s="23" t="n"/>
      <c r="F935" s="24" t="n"/>
      <c r="H935" s="22" t="n"/>
      <c r="I935" s="22" t="n"/>
      <c r="J935" s="21">
        <f>IF(C935="","",IFERROR(INDEX(Clientes!$B:$B,MATCH(C935,Clientes!$A:$A,0)),"Cód. não cadastrado"))</f>
        <v/>
      </c>
      <c r="K935" s="18">
        <f>IF(B935="","",YEAR(B935))</f>
        <v/>
      </c>
      <c r="L935" s="18">
        <f>IF(B935="","",MONTH(B935))</f>
        <v/>
      </c>
      <c r="M935" s="18">
        <f>IF(OR(B935="",I935=""),"",I935-B935)</f>
        <v/>
      </c>
      <c r="N935" s="21">
        <f>IF(B935="","",IF(I935="",IF(H935="","",IF(TODAY()&gt;H935,"Atrasado (em aberto)","Em aberto")),IF(I935&lt;=H935,"No prazo","Fora do prazo")))</f>
        <v/>
      </c>
    </row>
    <row r="936">
      <c r="B936" s="22" t="n"/>
      <c r="E936" s="23" t="n"/>
      <c r="F936" s="24" t="n"/>
      <c r="H936" s="22" t="n"/>
      <c r="I936" s="22" t="n"/>
      <c r="J936" s="21">
        <f>IF(C936="","",IFERROR(INDEX(Clientes!$B:$B,MATCH(C936,Clientes!$A:$A,0)),"Cód. não cadastrado"))</f>
        <v/>
      </c>
      <c r="K936" s="18">
        <f>IF(B936="","",YEAR(B936))</f>
        <v/>
      </c>
      <c r="L936" s="18">
        <f>IF(B936="","",MONTH(B936))</f>
        <v/>
      </c>
      <c r="M936" s="18">
        <f>IF(OR(B936="",I936=""),"",I936-B936)</f>
        <v/>
      </c>
      <c r="N936" s="21">
        <f>IF(B936="","",IF(I936="",IF(H936="","",IF(TODAY()&gt;H936,"Atrasado (em aberto)","Em aberto")),IF(I936&lt;=H936,"No prazo","Fora do prazo")))</f>
        <v/>
      </c>
    </row>
    <row r="937">
      <c r="B937" s="22" t="n"/>
      <c r="E937" s="23" t="n"/>
      <c r="F937" s="24" t="n"/>
      <c r="H937" s="22" t="n"/>
      <c r="I937" s="22" t="n"/>
      <c r="J937" s="21">
        <f>IF(C937="","",IFERROR(INDEX(Clientes!$B:$B,MATCH(C937,Clientes!$A:$A,0)),"Cód. não cadastrado"))</f>
        <v/>
      </c>
      <c r="K937" s="18">
        <f>IF(B937="","",YEAR(B937))</f>
        <v/>
      </c>
      <c r="L937" s="18">
        <f>IF(B937="","",MONTH(B937))</f>
        <v/>
      </c>
      <c r="M937" s="18">
        <f>IF(OR(B937="",I937=""),"",I937-B937)</f>
        <v/>
      </c>
      <c r="N937" s="21">
        <f>IF(B937="","",IF(I937="",IF(H937="","",IF(TODAY()&gt;H937,"Atrasado (em aberto)","Em aberto")),IF(I937&lt;=H937,"No prazo","Fora do prazo")))</f>
        <v/>
      </c>
    </row>
    <row r="938">
      <c r="B938" s="22" t="n"/>
      <c r="E938" s="23" t="n"/>
      <c r="F938" s="24" t="n"/>
      <c r="H938" s="22" t="n"/>
      <c r="I938" s="22" t="n"/>
      <c r="J938" s="21">
        <f>IF(C938="","",IFERROR(INDEX(Clientes!$B:$B,MATCH(C938,Clientes!$A:$A,0)),"Cód. não cadastrado"))</f>
        <v/>
      </c>
      <c r="K938" s="18">
        <f>IF(B938="","",YEAR(B938))</f>
        <v/>
      </c>
      <c r="L938" s="18">
        <f>IF(B938="","",MONTH(B938))</f>
        <v/>
      </c>
      <c r="M938" s="18">
        <f>IF(OR(B938="",I938=""),"",I938-B938)</f>
        <v/>
      </c>
      <c r="N938" s="21">
        <f>IF(B938="","",IF(I938="",IF(H938="","",IF(TODAY()&gt;H938,"Atrasado (em aberto)","Em aberto")),IF(I938&lt;=H938,"No prazo","Fora do prazo")))</f>
        <v/>
      </c>
    </row>
    <row r="939">
      <c r="B939" s="22" t="n"/>
      <c r="E939" s="23" t="n"/>
      <c r="F939" s="24" t="n"/>
      <c r="H939" s="22" t="n"/>
      <c r="I939" s="22" t="n"/>
      <c r="J939" s="21">
        <f>IF(C939="","",IFERROR(INDEX(Clientes!$B:$B,MATCH(C939,Clientes!$A:$A,0)),"Cód. não cadastrado"))</f>
        <v/>
      </c>
      <c r="K939" s="18">
        <f>IF(B939="","",YEAR(B939))</f>
        <v/>
      </c>
      <c r="L939" s="18">
        <f>IF(B939="","",MONTH(B939))</f>
        <v/>
      </c>
      <c r="M939" s="18">
        <f>IF(OR(B939="",I939=""),"",I939-B939)</f>
        <v/>
      </c>
      <c r="N939" s="21">
        <f>IF(B939="","",IF(I939="",IF(H939="","",IF(TODAY()&gt;H939,"Atrasado (em aberto)","Em aberto")),IF(I939&lt;=H939,"No prazo","Fora do prazo")))</f>
        <v/>
      </c>
    </row>
    <row r="940">
      <c r="B940" s="22" t="n"/>
      <c r="E940" s="23" t="n"/>
      <c r="F940" s="24" t="n"/>
      <c r="H940" s="22" t="n"/>
      <c r="I940" s="22" t="n"/>
      <c r="J940" s="21">
        <f>IF(C940="","",IFERROR(INDEX(Clientes!$B:$B,MATCH(C940,Clientes!$A:$A,0)),"Cód. não cadastrado"))</f>
        <v/>
      </c>
      <c r="K940" s="18">
        <f>IF(B940="","",YEAR(B940))</f>
        <v/>
      </c>
      <c r="L940" s="18">
        <f>IF(B940="","",MONTH(B940))</f>
        <v/>
      </c>
      <c r="M940" s="18">
        <f>IF(OR(B940="",I940=""),"",I940-B940)</f>
        <v/>
      </c>
      <c r="N940" s="21">
        <f>IF(B940="","",IF(I940="",IF(H940="","",IF(TODAY()&gt;H940,"Atrasado (em aberto)","Em aberto")),IF(I940&lt;=H940,"No prazo","Fora do prazo")))</f>
        <v/>
      </c>
    </row>
    <row r="941">
      <c r="B941" s="22" t="n"/>
      <c r="E941" s="23" t="n"/>
      <c r="F941" s="24" t="n"/>
      <c r="H941" s="22" t="n"/>
      <c r="I941" s="22" t="n"/>
      <c r="J941" s="21">
        <f>IF(C941="","",IFERROR(INDEX(Clientes!$B:$B,MATCH(C941,Clientes!$A:$A,0)),"Cód. não cadastrado"))</f>
        <v/>
      </c>
      <c r="K941" s="18">
        <f>IF(B941="","",YEAR(B941))</f>
        <v/>
      </c>
      <c r="L941" s="18">
        <f>IF(B941="","",MONTH(B941))</f>
        <v/>
      </c>
      <c r="M941" s="18">
        <f>IF(OR(B941="",I941=""),"",I941-B941)</f>
        <v/>
      </c>
      <c r="N941" s="21">
        <f>IF(B941="","",IF(I941="",IF(H941="","",IF(TODAY()&gt;H941,"Atrasado (em aberto)","Em aberto")),IF(I941&lt;=H941,"No prazo","Fora do prazo")))</f>
        <v/>
      </c>
    </row>
    <row r="942">
      <c r="B942" s="22" t="n"/>
      <c r="E942" s="23" t="n"/>
      <c r="F942" s="24" t="n"/>
      <c r="H942" s="22" t="n"/>
      <c r="I942" s="22" t="n"/>
      <c r="J942" s="21">
        <f>IF(C942="","",IFERROR(INDEX(Clientes!$B:$B,MATCH(C942,Clientes!$A:$A,0)),"Cód. não cadastrado"))</f>
        <v/>
      </c>
      <c r="K942" s="18">
        <f>IF(B942="","",YEAR(B942))</f>
        <v/>
      </c>
      <c r="L942" s="18">
        <f>IF(B942="","",MONTH(B942))</f>
        <v/>
      </c>
      <c r="M942" s="18">
        <f>IF(OR(B942="",I942=""),"",I942-B942)</f>
        <v/>
      </c>
      <c r="N942" s="21">
        <f>IF(B942="","",IF(I942="",IF(H942="","",IF(TODAY()&gt;H942,"Atrasado (em aberto)","Em aberto")),IF(I942&lt;=H942,"No prazo","Fora do prazo")))</f>
        <v/>
      </c>
    </row>
    <row r="943">
      <c r="B943" s="22" t="n"/>
      <c r="E943" s="23" t="n"/>
      <c r="F943" s="24" t="n"/>
      <c r="H943" s="22" t="n"/>
      <c r="I943" s="22" t="n"/>
      <c r="J943" s="21">
        <f>IF(C943="","",IFERROR(INDEX(Clientes!$B:$B,MATCH(C943,Clientes!$A:$A,0)),"Cód. não cadastrado"))</f>
        <v/>
      </c>
      <c r="K943" s="18">
        <f>IF(B943="","",YEAR(B943))</f>
        <v/>
      </c>
      <c r="L943" s="18">
        <f>IF(B943="","",MONTH(B943))</f>
        <v/>
      </c>
      <c r="M943" s="18">
        <f>IF(OR(B943="",I943=""),"",I943-B943)</f>
        <v/>
      </c>
      <c r="N943" s="21">
        <f>IF(B943="","",IF(I943="",IF(H943="","",IF(TODAY()&gt;H943,"Atrasado (em aberto)","Em aberto")),IF(I943&lt;=H943,"No prazo","Fora do prazo")))</f>
        <v/>
      </c>
    </row>
    <row r="944">
      <c r="B944" s="22" t="n"/>
      <c r="E944" s="23" t="n"/>
      <c r="F944" s="24" t="n"/>
      <c r="H944" s="22" t="n"/>
      <c r="I944" s="22" t="n"/>
      <c r="J944" s="21">
        <f>IF(C944="","",IFERROR(INDEX(Clientes!$B:$B,MATCH(C944,Clientes!$A:$A,0)),"Cód. não cadastrado"))</f>
        <v/>
      </c>
      <c r="K944" s="18">
        <f>IF(B944="","",YEAR(B944))</f>
        <v/>
      </c>
      <c r="L944" s="18">
        <f>IF(B944="","",MONTH(B944))</f>
        <v/>
      </c>
      <c r="M944" s="18">
        <f>IF(OR(B944="",I944=""),"",I944-B944)</f>
        <v/>
      </c>
      <c r="N944" s="21">
        <f>IF(B944="","",IF(I944="",IF(H944="","",IF(TODAY()&gt;H944,"Atrasado (em aberto)","Em aberto")),IF(I944&lt;=H944,"No prazo","Fora do prazo")))</f>
        <v/>
      </c>
    </row>
    <row r="945">
      <c r="B945" s="22" t="n"/>
      <c r="E945" s="23" t="n"/>
      <c r="F945" s="24" t="n"/>
      <c r="H945" s="22" t="n"/>
      <c r="I945" s="22" t="n"/>
      <c r="J945" s="21">
        <f>IF(C945="","",IFERROR(INDEX(Clientes!$B:$B,MATCH(C945,Clientes!$A:$A,0)),"Cód. não cadastrado"))</f>
        <v/>
      </c>
      <c r="K945" s="18">
        <f>IF(B945="","",YEAR(B945))</f>
        <v/>
      </c>
      <c r="L945" s="18">
        <f>IF(B945="","",MONTH(B945))</f>
        <v/>
      </c>
      <c r="M945" s="18">
        <f>IF(OR(B945="",I945=""),"",I945-B945)</f>
        <v/>
      </c>
      <c r="N945" s="21">
        <f>IF(B945="","",IF(I945="",IF(H945="","",IF(TODAY()&gt;H945,"Atrasado (em aberto)","Em aberto")),IF(I945&lt;=H945,"No prazo","Fora do prazo")))</f>
        <v/>
      </c>
    </row>
    <row r="946">
      <c r="B946" s="22" t="n"/>
      <c r="E946" s="23" t="n"/>
      <c r="F946" s="24" t="n"/>
      <c r="H946" s="22" t="n"/>
      <c r="I946" s="22" t="n"/>
      <c r="J946" s="21">
        <f>IF(C946="","",IFERROR(INDEX(Clientes!$B:$B,MATCH(C946,Clientes!$A:$A,0)),"Cód. não cadastrado"))</f>
        <v/>
      </c>
      <c r="K946" s="18">
        <f>IF(B946="","",YEAR(B946))</f>
        <v/>
      </c>
      <c r="L946" s="18">
        <f>IF(B946="","",MONTH(B946))</f>
        <v/>
      </c>
      <c r="M946" s="18">
        <f>IF(OR(B946="",I946=""),"",I946-B946)</f>
        <v/>
      </c>
      <c r="N946" s="21">
        <f>IF(B946="","",IF(I946="",IF(H946="","",IF(TODAY()&gt;H946,"Atrasado (em aberto)","Em aberto")),IF(I946&lt;=H946,"No prazo","Fora do prazo")))</f>
        <v/>
      </c>
    </row>
    <row r="947">
      <c r="B947" s="22" t="n"/>
      <c r="E947" s="23" t="n"/>
      <c r="F947" s="24" t="n"/>
      <c r="H947" s="22" t="n"/>
      <c r="I947" s="22" t="n"/>
      <c r="J947" s="21">
        <f>IF(C947="","",IFERROR(INDEX(Clientes!$B:$B,MATCH(C947,Clientes!$A:$A,0)),"Cód. não cadastrado"))</f>
        <v/>
      </c>
      <c r="K947" s="18">
        <f>IF(B947="","",YEAR(B947))</f>
        <v/>
      </c>
      <c r="L947" s="18">
        <f>IF(B947="","",MONTH(B947))</f>
        <v/>
      </c>
      <c r="M947" s="18">
        <f>IF(OR(B947="",I947=""),"",I947-B947)</f>
        <v/>
      </c>
      <c r="N947" s="21">
        <f>IF(B947="","",IF(I947="",IF(H947="","",IF(TODAY()&gt;H947,"Atrasado (em aberto)","Em aberto")),IF(I947&lt;=H947,"No prazo","Fora do prazo")))</f>
        <v/>
      </c>
    </row>
    <row r="948">
      <c r="B948" s="22" t="n"/>
      <c r="E948" s="23" t="n"/>
      <c r="F948" s="24" t="n"/>
      <c r="H948" s="22" t="n"/>
      <c r="I948" s="22" t="n"/>
      <c r="J948" s="21">
        <f>IF(C948="","",IFERROR(INDEX(Clientes!$B:$B,MATCH(C948,Clientes!$A:$A,0)),"Cód. não cadastrado"))</f>
        <v/>
      </c>
      <c r="K948" s="18">
        <f>IF(B948="","",YEAR(B948))</f>
        <v/>
      </c>
      <c r="L948" s="18">
        <f>IF(B948="","",MONTH(B948))</f>
        <v/>
      </c>
      <c r="M948" s="18">
        <f>IF(OR(B948="",I948=""),"",I948-B948)</f>
        <v/>
      </c>
      <c r="N948" s="21">
        <f>IF(B948="","",IF(I948="",IF(H948="","",IF(TODAY()&gt;H948,"Atrasado (em aberto)","Em aberto")),IF(I948&lt;=H948,"No prazo","Fora do prazo")))</f>
        <v/>
      </c>
    </row>
    <row r="949">
      <c r="B949" s="22" t="n"/>
      <c r="E949" s="23" t="n"/>
      <c r="F949" s="24" t="n"/>
      <c r="H949" s="22" t="n"/>
      <c r="I949" s="22" t="n"/>
      <c r="J949" s="21">
        <f>IF(C949="","",IFERROR(INDEX(Clientes!$B:$B,MATCH(C949,Clientes!$A:$A,0)),"Cód. não cadastrado"))</f>
        <v/>
      </c>
      <c r="K949" s="18">
        <f>IF(B949="","",YEAR(B949))</f>
        <v/>
      </c>
      <c r="L949" s="18">
        <f>IF(B949="","",MONTH(B949))</f>
        <v/>
      </c>
      <c r="M949" s="18">
        <f>IF(OR(B949="",I949=""),"",I949-B949)</f>
        <v/>
      </c>
      <c r="N949" s="21">
        <f>IF(B949="","",IF(I949="",IF(H949="","",IF(TODAY()&gt;H949,"Atrasado (em aberto)","Em aberto")),IF(I949&lt;=H949,"No prazo","Fora do prazo")))</f>
        <v/>
      </c>
    </row>
    <row r="950">
      <c r="B950" s="22" t="n"/>
      <c r="E950" s="23" t="n"/>
      <c r="F950" s="24" t="n"/>
      <c r="H950" s="22" t="n"/>
      <c r="I950" s="22" t="n"/>
      <c r="J950" s="21">
        <f>IF(C950="","",IFERROR(INDEX(Clientes!$B:$B,MATCH(C950,Clientes!$A:$A,0)),"Cód. não cadastrado"))</f>
        <v/>
      </c>
      <c r="K950" s="18">
        <f>IF(B950="","",YEAR(B950))</f>
        <v/>
      </c>
      <c r="L950" s="18">
        <f>IF(B950="","",MONTH(B950))</f>
        <v/>
      </c>
      <c r="M950" s="18">
        <f>IF(OR(B950="",I950=""),"",I950-B950)</f>
        <v/>
      </c>
      <c r="N950" s="21">
        <f>IF(B950="","",IF(I950="",IF(H950="","",IF(TODAY()&gt;H950,"Atrasado (em aberto)","Em aberto")),IF(I950&lt;=H950,"No prazo","Fora do prazo")))</f>
        <v/>
      </c>
    </row>
    <row r="951">
      <c r="B951" s="22" t="n"/>
      <c r="E951" s="23" t="n"/>
      <c r="F951" s="24" t="n"/>
      <c r="H951" s="22" t="n"/>
      <c r="I951" s="22" t="n"/>
      <c r="J951" s="21">
        <f>IF(C951="","",IFERROR(INDEX(Clientes!$B:$B,MATCH(C951,Clientes!$A:$A,0)),"Cód. não cadastrado"))</f>
        <v/>
      </c>
      <c r="K951" s="18">
        <f>IF(B951="","",YEAR(B951))</f>
        <v/>
      </c>
      <c r="L951" s="18">
        <f>IF(B951="","",MONTH(B951))</f>
        <v/>
      </c>
      <c r="M951" s="18">
        <f>IF(OR(B951="",I951=""),"",I951-B951)</f>
        <v/>
      </c>
      <c r="N951" s="21">
        <f>IF(B951="","",IF(I951="",IF(H951="","",IF(TODAY()&gt;H951,"Atrasado (em aberto)","Em aberto")),IF(I951&lt;=H951,"No prazo","Fora do prazo")))</f>
        <v/>
      </c>
    </row>
    <row r="952">
      <c r="B952" s="22" t="n"/>
      <c r="E952" s="23" t="n"/>
      <c r="F952" s="24" t="n"/>
      <c r="H952" s="22" t="n"/>
      <c r="I952" s="22" t="n"/>
      <c r="J952" s="21">
        <f>IF(C952="","",IFERROR(INDEX(Clientes!$B:$B,MATCH(C952,Clientes!$A:$A,0)),"Cód. não cadastrado"))</f>
        <v/>
      </c>
      <c r="K952" s="18">
        <f>IF(B952="","",YEAR(B952))</f>
        <v/>
      </c>
      <c r="L952" s="18">
        <f>IF(B952="","",MONTH(B952))</f>
        <v/>
      </c>
      <c r="M952" s="18">
        <f>IF(OR(B952="",I952=""),"",I952-B952)</f>
        <v/>
      </c>
      <c r="N952" s="21">
        <f>IF(B952="","",IF(I952="",IF(H952="","",IF(TODAY()&gt;H952,"Atrasado (em aberto)","Em aberto")),IF(I952&lt;=H952,"No prazo","Fora do prazo")))</f>
        <v/>
      </c>
    </row>
    <row r="953">
      <c r="B953" s="22" t="n"/>
      <c r="E953" s="23" t="n"/>
      <c r="F953" s="24" t="n"/>
      <c r="H953" s="22" t="n"/>
      <c r="I953" s="22" t="n"/>
      <c r="J953" s="21">
        <f>IF(C953="","",IFERROR(INDEX(Clientes!$B:$B,MATCH(C953,Clientes!$A:$A,0)),"Cód. não cadastrado"))</f>
        <v/>
      </c>
      <c r="K953" s="18">
        <f>IF(B953="","",YEAR(B953))</f>
        <v/>
      </c>
      <c r="L953" s="18">
        <f>IF(B953="","",MONTH(B953))</f>
        <v/>
      </c>
      <c r="M953" s="18">
        <f>IF(OR(B953="",I953=""),"",I953-B953)</f>
        <v/>
      </c>
      <c r="N953" s="21">
        <f>IF(B953="","",IF(I953="",IF(H953="","",IF(TODAY()&gt;H953,"Atrasado (em aberto)","Em aberto")),IF(I953&lt;=H953,"No prazo","Fora do prazo")))</f>
        <v/>
      </c>
    </row>
    <row r="954">
      <c r="B954" s="22" t="n"/>
      <c r="E954" s="23" t="n"/>
      <c r="F954" s="24" t="n"/>
      <c r="H954" s="22" t="n"/>
      <c r="I954" s="22" t="n"/>
      <c r="J954" s="21">
        <f>IF(C954="","",IFERROR(INDEX(Clientes!$B:$B,MATCH(C954,Clientes!$A:$A,0)),"Cód. não cadastrado"))</f>
        <v/>
      </c>
      <c r="K954" s="18">
        <f>IF(B954="","",YEAR(B954))</f>
        <v/>
      </c>
      <c r="L954" s="18">
        <f>IF(B954="","",MONTH(B954))</f>
        <v/>
      </c>
      <c r="M954" s="18">
        <f>IF(OR(B954="",I954=""),"",I954-B954)</f>
        <v/>
      </c>
      <c r="N954" s="21">
        <f>IF(B954="","",IF(I954="",IF(H954="","",IF(TODAY()&gt;H954,"Atrasado (em aberto)","Em aberto")),IF(I954&lt;=H954,"No prazo","Fora do prazo")))</f>
        <v/>
      </c>
    </row>
    <row r="955">
      <c r="B955" s="22" t="n"/>
      <c r="E955" s="23" t="n"/>
      <c r="F955" s="24" t="n"/>
      <c r="H955" s="22" t="n"/>
      <c r="I955" s="22" t="n"/>
      <c r="J955" s="21">
        <f>IF(C955="","",IFERROR(INDEX(Clientes!$B:$B,MATCH(C955,Clientes!$A:$A,0)),"Cód. não cadastrado"))</f>
        <v/>
      </c>
      <c r="K955" s="18">
        <f>IF(B955="","",YEAR(B955))</f>
        <v/>
      </c>
      <c r="L955" s="18">
        <f>IF(B955="","",MONTH(B955))</f>
        <v/>
      </c>
      <c r="M955" s="18">
        <f>IF(OR(B955="",I955=""),"",I955-B955)</f>
        <v/>
      </c>
      <c r="N955" s="21">
        <f>IF(B955="","",IF(I955="",IF(H955="","",IF(TODAY()&gt;H955,"Atrasado (em aberto)","Em aberto")),IF(I955&lt;=H955,"No prazo","Fora do prazo")))</f>
        <v/>
      </c>
    </row>
    <row r="956">
      <c r="B956" s="22" t="n"/>
      <c r="E956" s="23" t="n"/>
      <c r="F956" s="24" t="n"/>
      <c r="H956" s="22" t="n"/>
      <c r="I956" s="22" t="n"/>
      <c r="J956" s="21">
        <f>IF(C956="","",IFERROR(INDEX(Clientes!$B:$B,MATCH(C956,Clientes!$A:$A,0)),"Cód. não cadastrado"))</f>
        <v/>
      </c>
      <c r="K956" s="18">
        <f>IF(B956="","",YEAR(B956))</f>
        <v/>
      </c>
      <c r="L956" s="18">
        <f>IF(B956="","",MONTH(B956))</f>
        <v/>
      </c>
      <c r="M956" s="18">
        <f>IF(OR(B956="",I956=""),"",I956-B956)</f>
        <v/>
      </c>
      <c r="N956" s="21">
        <f>IF(B956="","",IF(I956="",IF(H956="","",IF(TODAY()&gt;H956,"Atrasado (em aberto)","Em aberto")),IF(I956&lt;=H956,"No prazo","Fora do prazo")))</f>
        <v/>
      </c>
    </row>
    <row r="957">
      <c r="B957" s="22" t="n"/>
      <c r="E957" s="23" t="n"/>
      <c r="F957" s="24" t="n"/>
      <c r="H957" s="22" t="n"/>
      <c r="I957" s="22" t="n"/>
      <c r="J957" s="21">
        <f>IF(C957="","",IFERROR(INDEX(Clientes!$B:$B,MATCH(C957,Clientes!$A:$A,0)),"Cód. não cadastrado"))</f>
        <v/>
      </c>
      <c r="K957" s="18">
        <f>IF(B957="","",YEAR(B957))</f>
        <v/>
      </c>
      <c r="L957" s="18">
        <f>IF(B957="","",MONTH(B957))</f>
        <v/>
      </c>
      <c r="M957" s="18">
        <f>IF(OR(B957="",I957=""),"",I957-B957)</f>
        <v/>
      </c>
      <c r="N957" s="21">
        <f>IF(B957="","",IF(I957="",IF(H957="","",IF(TODAY()&gt;H957,"Atrasado (em aberto)","Em aberto")),IF(I957&lt;=H957,"No prazo","Fora do prazo")))</f>
        <v/>
      </c>
    </row>
    <row r="958">
      <c r="B958" s="22" t="n"/>
      <c r="E958" s="23" t="n"/>
      <c r="F958" s="24" t="n"/>
      <c r="H958" s="22" t="n"/>
      <c r="I958" s="22" t="n"/>
      <c r="J958" s="21">
        <f>IF(C958="","",IFERROR(INDEX(Clientes!$B:$B,MATCH(C958,Clientes!$A:$A,0)),"Cód. não cadastrado"))</f>
        <v/>
      </c>
      <c r="K958" s="18">
        <f>IF(B958="","",YEAR(B958))</f>
        <v/>
      </c>
      <c r="L958" s="18">
        <f>IF(B958="","",MONTH(B958))</f>
        <v/>
      </c>
      <c r="M958" s="18">
        <f>IF(OR(B958="",I958=""),"",I958-B958)</f>
        <v/>
      </c>
      <c r="N958" s="21">
        <f>IF(B958="","",IF(I958="",IF(H958="","",IF(TODAY()&gt;H958,"Atrasado (em aberto)","Em aberto")),IF(I958&lt;=H958,"No prazo","Fora do prazo")))</f>
        <v/>
      </c>
    </row>
    <row r="959">
      <c r="B959" s="22" t="n"/>
      <c r="E959" s="23" t="n"/>
      <c r="F959" s="24" t="n"/>
      <c r="H959" s="22" t="n"/>
      <c r="I959" s="22" t="n"/>
      <c r="J959" s="21">
        <f>IF(C959="","",IFERROR(INDEX(Clientes!$B:$B,MATCH(C959,Clientes!$A:$A,0)),"Cód. não cadastrado"))</f>
        <v/>
      </c>
      <c r="K959" s="18">
        <f>IF(B959="","",YEAR(B959))</f>
        <v/>
      </c>
      <c r="L959" s="18">
        <f>IF(B959="","",MONTH(B959))</f>
        <v/>
      </c>
      <c r="M959" s="18">
        <f>IF(OR(B959="",I959=""),"",I959-B959)</f>
        <v/>
      </c>
      <c r="N959" s="21">
        <f>IF(B959="","",IF(I959="",IF(H959="","",IF(TODAY()&gt;H959,"Atrasado (em aberto)","Em aberto")),IF(I959&lt;=H959,"No prazo","Fora do prazo")))</f>
        <v/>
      </c>
    </row>
    <row r="960">
      <c r="B960" s="22" t="n"/>
      <c r="E960" s="23" t="n"/>
      <c r="F960" s="24" t="n"/>
      <c r="H960" s="22" t="n"/>
      <c r="I960" s="22" t="n"/>
      <c r="J960" s="21">
        <f>IF(C960="","",IFERROR(INDEX(Clientes!$B:$B,MATCH(C960,Clientes!$A:$A,0)),"Cód. não cadastrado"))</f>
        <v/>
      </c>
      <c r="K960" s="18">
        <f>IF(B960="","",YEAR(B960))</f>
        <v/>
      </c>
      <c r="L960" s="18">
        <f>IF(B960="","",MONTH(B960))</f>
        <v/>
      </c>
      <c r="M960" s="18">
        <f>IF(OR(B960="",I960=""),"",I960-B960)</f>
        <v/>
      </c>
      <c r="N960" s="21">
        <f>IF(B960="","",IF(I960="",IF(H960="","",IF(TODAY()&gt;H960,"Atrasado (em aberto)","Em aberto")),IF(I960&lt;=H960,"No prazo","Fora do prazo")))</f>
        <v/>
      </c>
    </row>
    <row r="961">
      <c r="B961" s="22" t="n"/>
      <c r="E961" s="23" t="n"/>
      <c r="F961" s="24" t="n"/>
      <c r="H961" s="22" t="n"/>
      <c r="I961" s="22" t="n"/>
      <c r="J961" s="21">
        <f>IF(C961="","",IFERROR(INDEX(Clientes!$B:$B,MATCH(C961,Clientes!$A:$A,0)),"Cód. não cadastrado"))</f>
        <v/>
      </c>
      <c r="K961" s="18">
        <f>IF(B961="","",YEAR(B961))</f>
        <v/>
      </c>
      <c r="L961" s="18">
        <f>IF(B961="","",MONTH(B961))</f>
        <v/>
      </c>
      <c r="M961" s="18">
        <f>IF(OR(B961="",I961=""),"",I961-B961)</f>
        <v/>
      </c>
      <c r="N961" s="21">
        <f>IF(B961="","",IF(I961="",IF(H961="","",IF(TODAY()&gt;H961,"Atrasado (em aberto)","Em aberto")),IF(I961&lt;=H961,"No prazo","Fora do prazo")))</f>
        <v/>
      </c>
    </row>
    <row r="962">
      <c r="B962" s="22" t="n"/>
      <c r="E962" s="23" t="n"/>
      <c r="F962" s="24" t="n"/>
      <c r="H962" s="22" t="n"/>
      <c r="I962" s="22" t="n"/>
      <c r="J962" s="21">
        <f>IF(C962="","",IFERROR(INDEX(Clientes!$B:$B,MATCH(C962,Clientes!$A:$A,0)),"Cód. não cadastrado"))</f>
        <v/>
      </c>
      <c r="K962" s="18">
        <f>IF(B962="","",YEAR(B962))</f>
        <v/>
      </c>
      <c r="L962" s="18">
        <f>IF(B962="","",MONTH(B962))</f>
        <v/>
      </c>
      <c r="M962" s="18">
        <f>IF(OR(B962="",I962=""),"",I962-B962)</f>
        <v/>
      </c>
      <c r="N962" s="21">
        <f>IF(B962="","",IF(I962="",IF(H962="","",IF(TODAY()&gt;H962,"Atrasado (em aberto)","Em aberto")),IF(I962&lt;=H962,"No prazo","Fora do prazo")))</f>
        <v/>
      </c>
    </row>
    <row r="963">
      <c r="B963" s="22" t="n"/>
      <c r="E963" s="23" t="n"/>
      <c r="F963" s="24" t="n"/>
      <c r="H963" s="22" t="n"/>
      <c r="I963" s="22" t="n"/>
      <c r="J963" s="21">
        <f>IF(C963="","",IFERROR(INDEX(Clientes!$B:$B,MATCH(C963,Clientes!$A:$A,0)),"Cód. não cadastrado"))</f>
        <v/>
      </c>
      <c r="K963" s="18">
        <f>IF(B963="","",YEAR(B963))</f>
        <v/>
      </c>
      <c r="L963" s="18">
        <f>IF(B963="","",MONTH(B963))</f>
        <v/>
      </c>
      <c r="M963" s="18">
        <f>IF(OR(B963="",I963=""),"",I963-B963)</f>
        <v/>
      </c>
      <c r="N963" s="21">
        <f>IF(B963="","",IF(I963="",IF(H963="","",IF(TODAY()&gt;H963,"Atrasado (em aberto)","Em aberto")),IF(I963&lt;=H963,"No prazo","Fora do prazo")))</f>
        <v/>
      </c>
    </row>
    <row r="964">
      <c r="B964" s="22" t="n"/>
      <c r="E964" s="23" t="n"/>
      <c r="F964" s="24" t="n"/>
      <c r="H964" s="22" t="n"/>
      <c r="I964" s="22" t="n"/>
      <c r="J964" s="21">
        <f>IF(C964="","",IFERROR(INDEX(Clientes!$B:$B,MATCH(C964,Clientes!$A:$A,0)),"Cód. não cadastrado"))</f>
        <v/>
      </c>
      <c r="K964" s="18">
        <f>IF(B964="","",YEAR(B964))</f>
        <v/>
      </c>
      <c r="L964" s="18">
        <f>IF(B964="","",MONTH(B964))</f>
        <v/>
      </c>
      <c r="M964" s="18">
        <f>IF(OR(B964="",I964=""),"",I964-B964)</f>
        <v/>
      </c>
      <c r="N964" s="21">
        <f>IF(B964="","",IF(I964="",IF(H964="","",IF(TODAY()&gt;H964,"Atrasado (em aberto)","Em aberto")),IF(I964&lt;=H964,"No prazo","Fora do prazo")))</f>
        <v/>
      </c>
    </row>
    <row r="965">
      <c r="B965" s="22" t="n"/>
      <c r="E965" s="23" t="n"/>
      <c r="F965" s="24" t="n"/>
      <c r="H965" s="22" t="n"/>
      <c r="I965" s="22" t="n"/>
      <c r="J965" s="21">
        <f>IF(C965="","",IFERROR(INDEX(Clientes!$B:$B,MATCH(C965,Clientes!$A:$A,0)),"Cód. não cadastrado"))</f>
        <v/>
      </c>
      <c r="K965" s="18">
        <f>IF(B965="","",YEAR(B965))</f>
        <v/>
      </c>
      <c r="L965" s="18">
        <f>IF(B965="","",MONTH(B965))</f>
        <v/>
      </c>
      <c r="M965" s="18">
        <f>IF(OR(B965="",I965=""),"",I965-B965)</f>
        <v/>
      </c>
      <c r="N965" s="21">
        <f>IF(B965="","",IF(I965="",IF(H965="","",IF(TODAY()&gt;H965,"Atrasado (em aberto)","Em aberto")),IF(I965&lt;=H965,"No prazo","Fora do prazo")))</f>
        <v/>
      </c>
    </row>
    <row r="966">
      <c r="B966" s="22" t="n"/>
      <c r="E966" s="23" t="n"/>
      <c r="F966" s="24" t="n"/>
      <c r="H966" s="22" t="n"/>
      <c r="I966" s="22" t="n"/>
      <c r="J966" s="21">
        <f>IF(C966="","",IFERROR(INDEX(Clientes!$B:$B,MATCH(C966,Clientes!$A:$A,0)),"Cód. não cadastrado"))</f>
        <v/>
      </c>
      <c r="K966" s="18">
        <f>IF(B966="","",YEAR(B966))</f>
        <v/>
      </c>
      <c r="L966" s="18">
        <f>IF(B966="","",MONTH(B966))</f>
        <v/>
      </c>
      <c r="M966" s="18">
        <f>IF(OR(B966="",I966=""),"",I966-B966)</f>
        <v/>
      </c>
      <c r="N966" s="21">
        <f>IF(B966="","",IF(I966="",IF(H966="","",IF(TODAY()&gt;H966,"Atrasado (em aberto)","Em aberto")),IF(I966&lt;=H966,"No prazo","Fora do prazo")))</f>
        <v/>
      </c>
    </row>
    <row r="967">
      <c r="B967" s="22" t="n"/>
      <c r="E967" s="23" t="n"/>
      <c r="F967" s="24" t="n"/>
      <c r="H967" s="22" t="n"/>
      <c r="I967" s="22" t="n"/>
      <c r="J967" s="21">
        <f>IF(C967="","",IFERROR(INDEX(Clientes!$B:$B,MATCH(C967,Clientes!$A:$A,0)),"Cód. não cadastrado"))</f>
        <v/>
      </c>
      <c r="K967" s="18">
        <f>IF(B967="","",YEAR(B967))</f>
        <v/>
      </c>
      <c r="L967" s="18">
        <f>IF(B967="","",MONTH(B967))</f>
        <v/>
      </c>
      <c r="M967" s="18">
        <f>IF(OR(B967="",I967=""),"",I967-B967)</f>
        <v/>
      </c>
      <c r="N967" s="21">
        <f>IF(B967="","",IF(I967="",IF(H967="","",IF(TODAY()&gt;H967,"Atrasado (em aberto)","Em aberto")),IF(I967&lt;=H967,"No prazo","Fora do prazo")))</f>
        <v/>
      </c>
    </row>
    <row r="968">
      <c r="B968" s="22" t="n"/>
      <c r="E968" s="23" t="n"/>
      <c r="F968" s="24" t="n"/>
      <c r="H968" s="22" t="n"/>
      <c r="I968" s="22" t="n"/>
      <c r="J968" s="21">
        <f>IF(C968="","",IFERROR(INDEX(Clientes!$B:$B,MATCH(C968,Clientes!$A:$A,0)),"Cód. não cadastrado"))</f>
        <v/>
      </c>
      <c r="K968" s="18">
        <f>IF(B968="","",YEAR(B968))</f>
        <v/>
      </c>
      <c r="L968" s="18">
        <f>IF(B968="","",MONTH(B968))</f>
        <v/>
      </c>
      <c r="M968" s="18">
        <f>IF(OR(B968="",I968=""),"",I968-B968)</f>
        <v/>
      </c>
      <c r="N968" s="21">
        <f>IF(B968="","",IF(I968="",IF(H968="","",IF(TODAY()&gt;H968,"Atrasado (em aberto)","Em aberto")),IF(I968&lt;=H968,"No prazo","Fora do prazo")))</f>
        <v/>
      </c>
    </row>
    <row r="969">
      <c r="B969" s="22" t="n"/>
      <c r="E969" s="23" t="n"/>
      <c r="F969" s="24" t="n"/>
      <c r="H969" s="22" t="n"/>
      <c r="I969" s="22" t="n"/>
      <c r="J969" s="21">
        <f>IF(C969="","",IFERROR(INDEX(Clientes!$B:$B,MATCH(C969,Clientes!$A:$A,0)),"Cód. não cadastrado"))</f>
        <v/>
      </c>
      <c r="K969" s="18">
        <f>IF(B969="","",YEAR(B969))</f>
        <v/>
      </c>
      <c r="L969" s="18">
        <f>IF(B969="","",MONTH(B969))</f>
        <v/>
      </c>
      <c r="M969" s="18">
        <f>IF(OR(B969="",I969=""),"",I969-B969)</f>
        <v/>
      </c>
      <c r="N969" s="21">
        <f>IF(B969="","",IF(I969="",IF(H969="","",IF(TODAY()&gt;H969,"Atrasado (em aberto)","Em aberto")),IF(I969&lt;=H969,"No prazo","Fora do prazo")))</f>
        <v/>
      </c>
    </row>
    <row r="970">
      <c r="B970" s="22" t="n"/>
      <c r="E970" s="23" t="n"/>
      <c r="F970" s="24" t="n"/>
      <c r="H970" s="22" t="n"/>
      <c r="I970" s="22" t="n"/>
      <c r="J970" s="21">
        <f>IF(C970="","",IFERROR(INDEX(Clientes!$B:$B,MATCH(C970,Clientes!$A:$A,0)),"Cód. não cadastrado"))</f>
        <v/>
      </c>
      <c r="K970" s="18">
        <f>IF(B970="","",YEAR(B970))</f>
        <v/>
      </c>
      <c r="L970" s="18">
        <f>IF(B970="","",MONTH(B970))</f>
        <v/>
      </c>
      <c r="M970" s="18">
        <f>IF(OR(B970="",I970=""),"",I970-B970)</f>
        <v/>
      </c>
      <c r="N970" s="21">
        <f>IF(B970="","",IF(I970="",IF(H970="","",IF(TODAY()&gt;H970,"Atrasado (em aberto)","Em aberto")),IF(I970&lt;=H970,"No prazo","Fora do prazo")))</f>
        <v/>
      </c>
    </row>
    <row r="971">
      <c r="B971" s="22" t="n"/>
      <c r="E971" s="23" t="n"/>
      <c r="F971" s="24" t="n"/>
      <c r="H971" s="22" t="n"/>
      <c r="I971" s="22" t="n"/>
      <c r="J971" s="21">
        <f>IF(C971="","",IFERROR(INDEX(Clientes!$B:$B,MATCH(C971,Clientes!$A:$A,0)),"Cód. não cadastrado"))</f>
        <v/>
      </c>
      <c r="K971" s="18">
        <f>IF(B971="","",YEAR(B971))</f>
        <v/>
      </c>
      <c r="L971" s="18">
        <f>IF(B971="","",MONTH(B971))</f>
        <v/>
      </c>
      <c r="M971" s="18">
        <f>IF(OR(B971="",I971=""),"",I971-B971)</f>
        <v/>
      </c>
      <c r="N971" s="21">
        <f>IF(B971="","",IF(I971="",IF(H971="","",IF(TODAY()&gt;H971,"Atrasado (em aberto)","Em aberto")),IF(I971&lt;=H971,"No prazo","Fora do prazo")))</f>
        <v/>
      </c>
    </row>
    <row r="972">
      <c r="B972" s="22" t="n"/>
      <c r="E972" s="23" t="n"/>
      <c r="F972" s="24" t="n"/>
      <c r="H972" s="22" t="n"/>
      <c r="I972" s="22" t="n"/>
      <c r="J972" s="21">
        <f>IF(C972="","",IFERROR(INDEX(Clientes!$B:$B,MATCH(C972,Clientes!$A:$A,0)),"Cód. não cadastrado"))</f>
        <v/>
      </c>
      <c r="K972" s="18">
        <f>IF(B972="","",YEAR(B972))</f>
        <v/>
      </c>
      <c r="L972" s="18">
        <f>IF(B972="","",MONTH(B972))</f>
        <v/>
      </c>
      <c r="M972" s="18">
        <f>IF(OR(B972="",I972=""),"",I972-B972)</f>
        <v/>
      </c>
      <c r="N972" s="21">
        <f>IF(B972="","",IF(I972="",IF(H972="","",IF(TODAY()&gt;H972,"Atrasado (em aberto)","Em aberto")),IF(I972&lt;=H972,"No prazo","Fora do prazo")))</f>
        <v/>
      </c>
    </row>
    <row r="973">
      <c r="B973" s="22" t="n"/>
      <c r="E973" s="23" t="n"/>
      <c r="F973" s="24" t="n"/>
      <c r="H973" s="22" t="n"/>
      <c r="I973" s="22" t="n"/>
      <c r="J973" s="21">
        <f>IF(C973="","",IFERROR(INDEX(Clientes!$B:$B,MATCH(C973,Clientes!$A:$A,0)),"Cód. não cadastrado"))</f>
        <v/>
      </c>
      <c r="K973" s="18">
        <f>IF(B973="","",YEAR(B973))</f>
        <v/>
      </c>
      <c r="L973" s="18">
        <f>IF(B973="","",MONTH(B973))</f>
        <v/>
      </c>
      <c r="M973" s="18">
        <f>IF(OR(B973="",I973=""),"",I973-B973)</f>
        <v/>
      </c>
      <c r="N973" s="21">
        <f>IF(B973="","",IF(I973="",IF(H973="","",IF(TODAY()&gt;H973,"Atrasado (em aberto)","Em aberto")),IF(I973&lt;=H973,"No prazo","Fora do prazo")))</f>
        <v/>
      </c>
    </row>
    <row r="974">
      <c r="B974" s="22" t="n"/>
      <c r="E974" s="23" t="n"/>
      <c r="F974" s="24" t="n"/>
      <c r="H974" s="22" t="n"/>
      <c r="I974" s="22" t="n"/>
      <c r="J974" s="21">
        <f>IF(C974="","",IFERROR(INDEX(Clientes!$B:$B,MATCH(C974,Clientes!$A:$A,0)),"Cód. não cadastrado"))</f>
        <v/>
      </c>
      <c r="K974" s="18">
        <f>IF(B974="","",YEAR(B974))</f>
        <v/>
      </c>
      <c r="L974" s="18">
        <f>IF(B974="","",MONTH(B974))</f>
        <v/>
      </c>
      <c r="M974" s="18">
        <f>IF(OR(B974="",I974=""),"",I974-B974)</f>
        <v/>
      </c>
      <c r="N974" s="21">
        <f>IF(B974="","",IF(I974="",IF(H974="","",IF(TODAY()&gt;H974,"Atrasado (em aberto)","Em aberto")),IF(I974&lt;=H974,"No prazo","Fora do prazo")))</f>
        <v/>
      </c>
    </row>
    <row r="975">
      <c r="B975" s="22" t="n"/>
      <c r="E975" s="23" t="n"/>
      <c r="F975" s="24" t="n"/>
      <c r="H975" s="22" t="n"/>
      <c r="I975" s="22" t="n"/>
      <c r="J975" s="21">
        <f>IF(C975="","",IFERROR(INDEX(Clientes!$B:$B,MATCH(C975,Clientes!$A:$A,0)),"Cód. não cadastrado"))</f>
        <v/>
      </c>
      <c r="K975" s="18">
        <f>IF(B975="","",YEAR(B975))</f>
        <v/>
      </c>
      <c r="L975" s="18">
        <f>IF(B975="","",MONTH(B975))</f>
        <v/>
      </c>
      <c r="M975" s="18">
        <f>IF(OR(B975="",I975=""),"",I975-B975)</f>
        <v/>
      </c>
      <c r="N975" s="21">
        <f>IF(B975="","",IF(I975="",IF(H975="","",IF(TODAY()&gt;H975,"Atrasado (em aberto)","Em aberto")),IF(I975&lt;=H975,"No prazo","Fora do prazo")))</f>
        <v/>
      </c>
    </row>
    <row r="976">
      <c r="B976" s="22" t="n"/>
      <c r="E976" s="23" t="n"/>
      <c r="F976" s="24" t="n"/>
      <c r="H976" s="22" t="n"/>
      <c r="I976" s="22" t="n"/>
      <c r="J976" s="21">
        <f>IF(C976="","",IFERROR(INDEX(Clientes!$B:$B,MATCH(C976,Clientes!$A:$A,0)),"Cód. não cadastrado"))</f>
        <v/>
      </c>
      <c r="K976" s="18">
        <f>IF(B976="","",YEAR(B976))</f>
        <v/>
      </c>
      <c r="L976" s="18">
        <f>IF(B976="","",MONTH(B976))</f>
        <v/>
      </c>
      <c r="M976" s="18">
        <f>IF(OR(B976="",I976=""),"",I976-B976)</f>
        <v/>
      </c>
      <c r="N976" s="21">
        <f>IF(B976="","",IF(I976="",IF(H976="","",IF(TODAY()&gt;H976,"Atrasado (em aberto)","Em aberto")),IF(I976&lt;=H976,"No prazo","Fora do prazo")))</f>
        <v/>
      </c>
    </row>
    <row r="977">
      <c r="B977" s="22" t="n"/>
      <c r="E977" s="23" t="n"/>
      <c r="F977" s="24" t="n"/>
      <c r="H977" s="22" t="n"/>
      <c r="I977" s="22" t="n"/>
      <c r="J977" s="21">
        <f>IF(C977="","",IFERROR(INDEX(Clientes!$B:$B,MATCH(C977,Clientes!$A:$A,0)),"Cód. não cadastrado"))</f>
        <v/>
      </c>
      <c r="K977" s="18">
        <f>IF(B977="","",YEAR(B977))</f>
        <v/>
      </c>
      <c r="L977" s="18">
        <f>IF(B977="","",MONTH(B977))</f>
        <v/>
      </c>
      <c r="M977" s="18">
        <f>IF(OR(B977="",I977=""),"",I977-B977)</f>
        <v/>
      </c>
      <c r="N977" s="21">
        <f>IF(B977="","",IF(I977="",IF(H977="","",IF(TODAY()&gt;H977,"Atrasado (em aberto)","Em aberto")),IF(I977&lt;=H977,"No prazo","Fora do prazo")))</f>
        <v/>
      </c>
    </row>
    <row r="978">
      <c r="B978" s="22" t="n"/>
      <c r="E978" s="23" t="n"/>
      <c r="F978" s="24" t="n"/>
      <c r="H978" s="22" t="n"/>
      <c r="I978" s="22" t="n"/>
      <c r="J978" s="21">
        <f>IF(C978="","",IFERROR(INDEX(Clientes!$B:$B,MATCH(C978,Clientes!$A:$A,0)),"Cód. não cadastrado"))</f>
        <v/>
      </c>
      <c r="K978" s="18">
        <f>IF(B978="","",YEAR(B978))</f>
        <v/>
      </c>
      <c r="L978" s="18">
        <f>IF(B978="","",MONTH(B978))</f>
        <v/>
      </c>
      <c r="M978" s="18">
        <f>IF(OR(B978="",I978=""),"",I978-B978)</f>
        <v/>
      </c>
      <c r="N978" s="21">
        <f>IF(B978="","",IF(I978="",IF(H978="","",IF(TODAY()&gt;H978,"Atrasado (em aberto)","Em aberto")),IF(I978&lt;=H978,"No prazo","Fora do prazo")))</f>
        <v/>
      </c>
    </row>
    <row r="979">
      <c r="B979" s="22" t="n"/>
      <c r="E979" s="23" t="n"/>
      <c r="F979" s="24" t="n"/>
      <c r="H979" s="22" t="n"/>
      <c r="I979" s="22" t="n"/>
      <c r="J979" s="21">
        <f>IF(C979="","",IFERROR(INDEX(Clientes!$B:$B,MATCH(C979,Clientes!$A:$A,0)),"Cód. não cadastrado"))</f>
        <v/>
      </c>
      <c r="K979" s="18">
        <f>IF(B979="","",YEAR(B979))</f>
        <v/>
      </c>
      <c r="L979" s="18">
        <f>IF(B979="","",MONTH(B979))</f>
        <v/>
      </c>
      <c r="M979" s="18">
        <f>IF(OR(B979="",I979=""),"",I979-B979)</f>
        <v/>
      </c>
      <c r="N979" s="21">
        <f>IF(B979="","",IF(I979="",IF(H979="","",IF(TODAY()&gt;H979,"Atrasado (em aberto)","Em aberto")),IF(I979&lt;=H979,"No prazo","Fora do prazo")))</f>
        <v/>
      </c>
    </row>
    <row r="980">
      <c r="B980" s="22" t="n"/>
      <c r="E980" s="23" t="n"/>
      <c r="F980" s="24" t="n"/>
      <c r="H980" s="22" t="n"/>
      <c r="I980" s="22" t="n"/>
      <c r="J980" s="21">
        <f>IF(C980="","",IFERROR(INDEX(Clientes!$B:$B,MATCH(C980,Clientes!$A:$A,0)),"Cód. não cadastrado"))</f>
        <v/>
      </c>
      <c r="K980" s="18">
        <f>IF(B980="","",YEAR(B980))</f>
        <v/>
      </c>
      <c r="L980" s="18">
        <f>IF(B980="","",MONTH(B980))</f>
        <v/>
      </c>
      <c r="M980" s="18">
        <f>IF(OR(B980="",I980=""),"",I980-B980)</f>
        <v/>
      </c>
      <c r="N980" s="21">
        <f>IF(B980="","",IF(I980="",IF(H980="","",IF(TODAY()&gt;H980,"Atrasado (em aberto)","Em aberto")),IF(I980&lt;=H980,"No prazo","Fora do prazo")))</f>
        <v/>
      </c>
    </row>
    <row r="981">
      <c r="B981" s="22" t="n"/>
      <c r="E981" s="23" t="n"/>
      <c r="F981" s="24" t="n"/>
      <c r="H981" s="22" t="n"/>
      <c r="I981" s="22" t="n"/>
      <c r="J981" s="21">
        <f>IF(C981="","",IFERROR(INDEX(Clientes!$B:$B,MATCH(C981,Clientes!$A:$A,0)),"Cód. não cadastrado"))</f>
        <v/>
      </c>
      <c r="K981" s="18">
        <f>IF(B981="","",YEAR(B981))</f>
        <v/>
      </c>
      <c r="L981" s="18">
        <f>IF(B981="","",MONTH(B981))</f>
        <v/>
      </c>
      <c r="M981" s="18">
        <f>IF(OR(B981="",I981=""),"",I981-B981)</f>
        <v/>
      </c>
      <c r="N981" s="21">
        <f>IF(B981="","",IF(I981="",IF(H981="","",IF(TODAY()&gt;H981,"Atrasado (em aberto)","Em aberto")),IF(I981&lt;=H981,"No prazo","Fora do prazo")))</f>
        <v/>
      </c>
    </row>
    <row r="982">
      <c r="B982" s="22" t="n"/>
      <c r="E982" s="23" t="n"/>
      <c r="F982" s="24" t="n"/>
      <c r="H982" s="22" t="n"/>
      <c r="I982" s="22" t="n"/>
      <c r="J982" s="21">
        <f>IF(C982="","",IFERROR(INDEX(Clientes!$B:$B,MATCH(C982,Clientes!$A:$A,0)),"Cód. não cadastrado"))</f>
        <v/>
      </c>
      <c r="K982" s="18">
        <f>IF(B982="","",YEAR(B982))</f>
        <v/>
      </c>
      <c r="L982" s="18">
        <f>IF(B982="","",MONTH(B982))</f>
        <v/>
      </c>
      <c r="M982" s="18">
        <f>IF(OR(B982="",I982=""),"",I982-B982)</f>
        <v/>
      </c>
      <c r="N982" s="21">
        <f>IF(B982="","",IF(I982="",IF(H982="","",IF(TODAY()&gt;H982,"Atrasado (em aberto)","Em aberto")),IF(I982&lt;=H982,"No prazo","Fora do prazo")))</f>
        <v/>
      </c>
    </row>
    <row r="983">
      <c r="B983" s="22" t="n"/>
      <c r="E983" s="23" t="n"/>
      <c r="F983" s="24" t="n"/>
      <c r="H983" s="22" t="n"/>
      <c r="I983" s="22" t="n"/>
      <c r="J983" s="21">
        <f>IF(C983="","",IFERROR(INDEX(Clientes!$B:$B,MATCH(C983,Clientes!$A:$A,0)),"Cód. não cadastrado"))</f>
        <v/>
      </c>
      <c r="K983" s="18">
        <f>IF(B983="","",YEAR(B983))</f>
        <v/>
      </c>
      <c r="L983" s="18">
        <f>IF(B983="","",MONTH(B983))</f>
        <v/>
      </c>
      <c r="M983" s="18">
        <f>IF(OR(B983="",I983=""),"",I983-B983)</f>
        <v/>
      </c>
      <c r="N983" s="21">
        <f>IF(B983="","",IF(I983="",IF(H983="","",IF(TODAY()&gt;H983,"Atrasado (em aberto)","Em aberto")),IF(I983&lt;=H983,"No prazo","Fora do prazo")))</f>
        <v/>
      </c>
    </row>
    <row r="984">
      <c r="B984" s="22" t="n"/>
      <c r="E984" s="23" t="n"/>
      <c r="F984" s="24" t="n"/>
      <c r="H984" s="22" t="n"/>
      <c r="I984" s="22" t="n"/>
      <c r="J984" s="21">
        <f>IF(C984="","",IFERROR(INDEX(Clientes!$B:$B,MATCH(C984,Clientes!$A:$A,0)),"Cód. não cadastrado"))</f>
        <v/>
      </c>
      <c r="K984" s="18">
        <f>IF(B984="","",YEAR(B984))</f>
        <v/>
      </c>
      <c r="L984" s="18">
        <f>IF(B984="","",MONTH(B984))</f>
        <v/>
      </c>
      <c r="M984" s="18">
        <f>IF(OR(B984="",I984=""),"",I984-B984)</f>
        <v/>
      </c>
      <c r="N984" s="21">
        <f>IF(B984="","",IF(I984="",IF(H984="","",IF(TODAY()&gt;H984,"Atrasado (em aberto)","Em aberto")),IF(I984&lt;=H984,"No prazo","Fora do prazo")))</f>
        <v/>
      </c>
    </row>
    <row r="985">
      <c r="B985" s="22" t="n"/>
      <c r="E985" s="23" t="n"/>
      <c r="F985" s="24" t="n"/>
      <c r="H985" s="22" t="n"/>
      <c r="I985" s="22" t="n"/>
      <c r="J985" s="21">
        <f>IF(C985="","",IFERROR(INDEX(Clientes!$B:$B,MATCH(C985,Clientes!$A:$A,0)),"Cód. não cadastrado"))</f>
        <v/>
      </c>
      <c r="K985" s="18">
        <f>IF(B985="","",YEAR(B985))</f>
        <v/>
      </c>
      <c r="L985" s="18">
        <f>IF(B985="","",MONTH(B985))</f>
        <v/>
      </c>
      <c r="M985" s="18">
        <f>IF(OR(B985="",I985=""),"",I985-B985)</f>
        <v/>
      </c>
      <c r="N985" s="21">
        <f>IF(B985="","",IF(I985="",IF(H985="","",IF(TODAY()&gt;H985,"Atrasado (em aberto)","Em aberto")),IF(I985&lt;=H985,"No prazo","Fora do prazo")))</f>
        <v/>
      </c>
    </row>
    <row r="986">
      <c r="B986" s="22" t="n"/>
      <c r="E986" s="23" t="n"/>
      <c r="F986" s="24" t="n"/>
      <c r="H986" s="22" t="n"/>
      <c r="I986" s="22" t="n"/>
      <c r="J986" s="21">
        <f>IF(C986="","",IFERROR(INDEX(Clientes!$B:$B,MATCH(C986,Clientes!$A:$A,0)),"Cód. não cadastrado"))</f>
        <v/>
      </c>
      <c r="K986" s="18">
        <f>IF(B986="","",YEAR(B986))</f>
        <v/>
      </c>
      <c r="L986" s="18">
        <f>IF(B986="","",MONTH(B986))</f>
        <v/>
      </c>
      <c r="M986" s="18">
        <f>IF(OR(B986="",I986=""),"",I986-B986)</f>
        <v/>
      </c>
      <c r="N986" s="21">
        <f>IF(B986="","",IF(I986="",IF(H986="","",IF(TODAY()&gt;H986,"Atrasado (em aberto)","Em aberto")),IF(I986&lt;=H986,"No prazo","Fora do prazo")))</f>
        <v/>
      </c>
    </row>
    <row r="987">
      <c r="B987" s="22" t="n"/>
      <c r="E987" s="23" t="n"/>
      <c r="F987" s="24" t="n"/>
      <c r="H987" s="22" t="n"/>
      <c r="I987" s="22" t="n"/>
      <c r="J987" s="21">
        <f>IF(C987="","",IFERROR(INDEX(Clientes!$B:$B,MATCH(C987,Clientes!$A:$A,0)),"Cód. não cadastrado"))</f>
        <v/>
      </c>
      <c r="K987" s="18">
        <f>IF(B987="","",YEAR(B987))</f>
        <v/>
      </c>
      <c r="L987" s="18">
        <f>IF(B987="","",MONTH(B987))</f>
        <v/>
      </c>
      <c r="M987" s="18">
        <f>IF(OR(B987="",I987=""),"",I987-B987)</f>
        <v/>
      </c>
      <c r="N987" s="21">
        <f>IF(B987="","",IF(I987="",IF(H987="","",IF(TODAY()&gt;H987,"Atrasado (em aberto)","Em aberto")),IF(I987&lt;=H987,"No prazo","Fora do prazo")))</f>
        <v/>
      </c>
    </row>
    <row r="988">
      <c r="B988" s="22" t="n"/>
      <c r="E988" s="23" t="n"/>
      <c r="F988" s="24" t="n"/>
      <c r="H988" s="22" t="n"/>
      <c r="I988" s="22" t="n"/>
      <c r="J988" s="21">
        <f>IF(C988="","",IFERROR(INDEX(Clientes!$B:$B,MATCH(C988,Clientes!$A:$A,0)),"Cód. não cadastrado"))</f>
        <v/>
      </c>
      <c r="K988" s="18">
        <f>IF(B988="","",YEAR(B988))</f>
        <v/>
      </c>
      <c r="L988" s="18">
        <f>IF(B988="","",MONTH(B988))</f>
        <v/>
      </c>
      <c r="M988" s="18">
        <f>IF(OR(B988="",I988=""),"",I988-B988)</f>
        <v/>
      </c>
      <c r="N988" s="21">
        <f>IF(B988="","",IF(I988="",IF(H988="","",IF(TODAY()&gt;H988,"Atrasado (em aberto)","Em aberto")),IF(I988&lt;=H988,"No prazo","Fora do prazo")))</f>
        <v/>
      </c>
    </row>
    <row r="989">
      <c r="B989" s="22" t="n"/>
      <c r="E989" s="23" t="n"/>
      <c r="F989" s="24" t="n"/>
      <c r="H989" s="22" t="n"/>
      <c r="I989" s="22" t="n"/>
      <c r="J989" s="21">
        <f>IF(C989="","",IFERROR(INDEX(Clientes!$B:$B,MATCH(C989,Clientes!$A:$A,0)),"Cód. não cadastrado"))</f>
        <v/>
      </c>
      <c r="K989" s="18">
        <f>IF(B989="","",YEAR(B989))</f>
        <v/>
      </c>
      <c r="L989" s="18">
        <f>IF(B989="","",MONTH(B989))</f>
        <v/>
      </c>
      <c r="M989" s="18">
        <f>IF(OR(B989="",I989=""),"",I989-B989)</f>
        <v/>
      </c>
      <c r="N989" s="21">
        <f>IF(B989="","",IF(I989="",IF(H989="","",IF(TODAY()&gt;H989,"Atrasado (em aberto)","Em aberto")),IF(I989&lt;=H989,"No prazo","Fora do prazo")))</f>
        <v/>
      </c>
    </row>
    <row r="990">
      <c r="B990" s="22" t="n"/>
      <c r="E990" s="23" t="n"/>
      <c r="F990" s="24" t="n"/>
      <c r="H990" s="22" t="n"/>
      <c r="I990" s="22" t="n"/>
      <c r="J990" s="21">
        <f>IF(C990="","",IFERROR(INDEX(Clientes!$B:$B,MATCH(C990,Clientes!$A:$A,0)),"Cód. não cadastrado"))</f>
        <v/>
      </c>
      <c r="K990" s="18">
        <f>IF(B990="","",YEAR(B990))</f>
        <v/>
      </c>
      <c r="L990" s="18">
        <f>IF(B990="","",MONTH(B990))</f>
        <v/>
      </c>
      <c r="M990" s="18">
        <f>IF(OR(B990="",I990=""),"",I990-B990)</f>
        <v/>
      </c>
      <c r="N990" s="21">
        <f>IF(B990="","",IF(I990="",IF(H990="","",IF(TODAY()&gt;H990,"Atrasado (em aberto)","Em aberto")),IF(I990&lt;=H990,"No prazo","Fora do prazo")))</f>
        <v/>
      </c>
    </row>
    <row r="991">
      <c r="B991" s="22" t="n"/>
      <c r="E991" s="23" t="n"/>
      <c r="F991" s="24" t="n"/>
      <c r="H991" s="22" t="n"/>
      <c r="I991" s="22" t="n"/>
      <c r="J991" s="21">
        <f>IF(C991="","",IFERROR(INDEX(Clientes!$B:$B,MATCH(C991,Clientes!$A:$A,0)),"Cód. não cadastrado"))</f>
        <v/>
      </c>
      <c r="K991" s="18">
        <f>IF(B991="","",YEAR(B991))</f>
        <v/>
      </c>
      <c r="L991" s="18">
        <f>IF(B991="","",MONTH(B991))</f>
        <v/>
      </c>
      <c r="M991" s="18">
        <f>IF(OR(B991="",I991=""),"",I991-B991)</f>
        <v/>
      </c>
      <c r="N991" s="21">
        <f>IF(B991="","",IF(I991="",IF(H991="","",IF(TODAY()&gt;H991,"Atrasado (em aberto)","Em aberto")),IF(I991&lt;=H991,"No prazo","Fora do prazo")))</f>
        <v/>
      </c>
    </row>
    <row r="992">
      <c r="B992" s="22" t="n"/>
      <c r="E992" s="23" t="n"/>
      <c r="F992" s="24" t="n"/>
      <c r="H992" s="22" t="n"/>
      <c r="I992" s="22" t="n"/>
      <c r="J992" s="21">
        <f>IF(C992="","",IFERROR(INDEX(Clientes!$B:$B,MATCH(C992,Clientes!$A:$A,0)),"Cód. não cadastrado"))</f>
        <v/>
      </c>
      <c r="K992" s="18">
        <f>IF(B992="","",YEAR(B992))</f>
        <v/>
      </c>
      <c r="L992" s="18">
        <f>IF(B992="","",MONTH(B992))</f>
        <v/>
      </c>
      <c r="M992" s="18">
        <f>IF(OR(B992="",I992=""),"",I992-B992)</f>
        <v/>
      </c>
      <c r="N992" s="21">
        <f>IF(B992="","",IF(I992="",IF(H992="","",IF(TODAY()&gt;H992,"Atrasado (em aberto)","Em aberto")),IF(I992&lt;=H992,"No prazo","Fora do prazo")))</f>
        <v/>
      </c>
    </row>
    <row r="993">
      <c r="B993" s="22" t="n"/>
      <c r="E993" s="23" t="n"/>
      <c r="F993" s="24" t="n"/>
      <c r="H993" s="22" t="n"/>
      <c r="I993" s="22" t="n"/>
      <c r="J993" s="21">
        <f>IF(C993="","",IFERROR(INDEX(Clientes!$B:$B,MATCH(C993,Clientes!$A:$A,0)),"Cód. não cadastrado"))</f>
        <v/>
      </c>
      <c r="K993" s="18">
        <f>IF(B993="","",YEAR(B993))</f>
        <v/>
      </c>
      <c r="L993" s="18">
        <f>IF(B993="","",MONTH(B993))</f>
        <v/>
      </c>
      <c r="M993" s="18">
        <f>IF(OR(B993="",I993=""),"",I993-B993)</f>
        <v/>
      </c>
      <c r="N993" s="21">
        <f>IF(B993="","",IF(I993="",IF(H993="","",IF(TODAY()&gt;H993,"Atrasado (em aberto)","Em aberto")),IF(I993&lt;=H993,"No prazo","Fora do prazo")))</f>
        <v/>
      </c>
    </row>
    <row r="994">
      <c r="B994" s="22" t="n"/>
      <c r="E994" s="23" t="n"/>
      <c r="F994" s="24" t="n"/>
      <c r="H994" s="22" t="n"/>
      <c r="I994" s="22" t="n"/>
      <c r="J994" s="21">
        <f>IF(C994="","",IFERROR(INDEX(Clientes!$B:$B,MATCH(C994,Clientes!$A:$A,0)),"Cód. não cadastrado"))</f>
        <v/>
      </c>
      <c r="K994" s="18">
        <f>IF(B994="","",YEAR(B994))</f>
        <v/>
      </c>
      <c r="L994" s="18">
        <f>IF(B994="","",MONTH(B994))</f>
        <v/>
      </c>
      <c r="M994" s="18">
        <f>IF(OR(B994="",I994=""),"",I994-B994)</f>
        <v/>
      </c>
      <c r="N994" s="21">
        <f>IF(B994="","",IF(I994="",IF(H994="","",IF(TODAY()&gt;H994,"Atrasado (em aberto)","Em aberto")),IF(I994&lt;=H994,"No prazo","Fora do prazo")))</f>
        <v/>
      </c>
    </row>
    <row r="995">
      <c r="B995" s="22" t="n"/>
      <c r="E995" s="23" t="n"/>
      <c r="F995" s="24" t="n"/>
      <c r="H995" s="22" t="n"/>
      <c r="I995" s="22" t="n"/>
      <c r="J995" s="21">
        <f>IF(C995="","",IFERROR(INDEX(Clientes!$B:$B,MATCH(C995,Clientes!$A:$A,0)),"Cód. não cadastrado"))</f>
        <v/>
      </c>
      <c r="K995" s="18">
        <f>IF(B995="","",YEAR(B995))</f>
        <v/>
      </c>
      <c r="L995" s="18">
        <f>IF(B995="","",MONTH(B995))</f>
        <v/>
      </c>
      <c r="M995" s="18">
        <f>IF(OR(B995="",I995=""),"",I995-B995)</f>
        <v/>
      </c>
      <c r="N995" s="21">
        <f>IF(B995="","",IF(I995="",IF(H995="","",IF(TODAY()&gt;H995,"Atrasado (em aberto)","Em aberto")),IF(I995&lt;=H995,"No prazo","Fora do prazo")))</f>
        <v/>
      </c>
    </row>
    <row r="996">
      <c r="B996" s="22" t="n"/>
      <c r="E996" s="23" t="n"/>
      <c r="F996" s="24" t="n"/>
      <c r="H996" s="22" t="n"/>
      <c r="I996" s="22" t="n"/>
      <c r="J996" s="21">
        <f>IF(C996="","",IFERROR(INDEX(Clientes!$B:$B,MATCH(C996,Clientes!$A:$A,0)),"Cód. não cadastrado"))</f>
        <v/>
      </c>
      <c r="K996" s="18">
        <f>IF(B996="","",YEAR(B996))</f>
        <v/>
      </c>
      <c r="L996" s="18">
        <f>IF(B996="","",MONTH(B996))</f>
        <v/>
      </c>
      <c r="M996" s="18">
        <f>IF(OR(B996="",I996=""),"",I996-B996)</f>
        <v/>
      </c>
      <c r="N996" s="21">
        <f>IF(B996="","",IF(I996="",IF(H996="","",IF(TODAY()&gt;H996,"Atrasado (em aberto)","Em aberto")),IF(I996&lt;=H996,"No prazo","Fora do prazo")))</f>
        <v/>
      </c>
    </row>
    <row r="997">
      <c r="B997" s="22" t="n"/>
      <c r="E997" s="23" t="n"/>
      <c r="F997" s="24" t="n"/>
      <c r="H997" s="22" t="n"/>
      <c r="I997" s="22" t="n"/>
      <c r="J997" s="21">
        <f>IF(C997="","",IFERROR(INDEX(Clientes!$B:$B,MATCH(C997,Clientes!$A:$A,0)),"Cód. não cadastrado"))</f>
        <v/>
      </c>
      <c r="K997" s="18">
        <f>IF(B997="","",YEAR(B997))</f>
        <v/>
      </c>
      <c r="L997" s="18">
        <f>IF(B997="","",MONTH(B997))</f>
        <v/>
      </c>
      <c r="M997" s="18">
        <f>IF(OR(B997="",I997=""),"",I997-B997)</f>
        <v/>
      </c>
      <c r="N997" s="21">
        <f>IF(B997="","",IF(I997="",IF(H997="","",IF(TODAY()&gt;H997,"Atrasado (em aberto)","Em aberto")),IF(I997&lt;=H997,"No prazo","Fora do prazo")))</f>
        <v/>
      </c>
    </row>
    <row r="998">
      <c r="B998" s="22" t="n"/>
      <c r="E998" s="23" t="n"/>
      <c r="F998" s="24" t="n"/>
      <c r="H998" s="22" t="n"/>
      <c r="I998" s="22" t="n"/>
      <c r="J998" s="21">
        <f>IF(C998="","",IFERROR(INDEX(Clientes!$B:$B,MATCH(C998,Clientes!$A:$A,0)),"Cód. não cadastrado"))</f>
        <v/>
      </c>
      <c r="K998" s="18">
        <f>IF(B998="","",YEAR(B998))</f>
        <v/>
      </c>
      <c r="L998" s="18">
        <f>IF(B998="","",MONTH(B998))</f>
        <v/>
      </c>
      <c r="M998" s="18">
        <f>IF(OR(B998="",I998=""),"",I998-B998)</f>
        <v/>
      </c>
      <c r="N998" s="21">
        <f>IF(B998="","",IF(I998="",IF(H998="","",IF(TODAY()&gt;H998,"Atrasado (em aberto)","Em aberto")),IF(I998&lt;=H998,"No prazo","Fora do prazo")))</f>
        <v/>
      </c>
    </row>
    <row r="999">
      <c r="B999" s="22" t="n"/>
      <c r="E999" s="23" t="n"/>
      <c r="F999" s="24" t="n"/>
      <c r="H999" s="22" t="n"/>
      <c r="I999" s="22" t="n"/>
      <c r="J999" s="21">
        <f>IF(C999="","",IFERROR(INDEX(Clientes!$B:$B,MATCH(C999,Clientes!$A:$A,0)),"Cód. não cadastrado"))</f>
        <v/>
      </c>
      <c r="K999" s="18">
        <f>IF(B999="","",YEAR(B999))</f>
        <v/>
      </c>
      <c r="L999" s="18">
        <f>IF(B999="","",MONTH(B999))</f>
        <v/>
      </c>
      <c r="M999" s="18">
        <f>IF(OR(B999="",I999=""),"",I999-B999)</f>
        <v/>
      </c>
      <c r="N999" s="21">
        <f>IF(B999="","",IF(I999="",IF(H999="","",IF(TODAY()&gt;H999,"Atrasado (em aberto)","Em aberto")),IF(I999&lt;=H999,"No prazo","Fora do prazo")))</f>
        <v/>
      </c>
    </row>
    <row r="1000">
      <c r="B1000" s="22" t="n"/>
      <c r="E1000" s="23" t="n"/>
      <c r="F1000" s="24" t="n"/>
      <c r="H1000" s="22" t="n"/>
      <c r="I1000" s="22" t="n"/>
      <c r="J1000" s="21">
        <f>IF(C1000="","",IFERROR(INDEX(Clientes!$B:$B,MATCH(C1000,Clientes!$A:$A,0)),"Cód. não cadastrado"))</f>
        <v/>
      </c>
      <c r="K1000" s="18">
        <f>IF(B1000="","",YEAR(B1000))</f>
        <v/>
      </c>
      <c r="L1000" s="18">
        <f>IF(B1000="","",MONTH(B1000))</f>
        <v/>
      </c>
      <c r="M1000" s="18">
        <f>IF(OR(B1000="",I1000=""),"",I1000-B1000)</f>
        <v/>
      </c>
      <c r="N1000" s="21">
        <f>IF(B1000="","",IF(I1000="",IF(H1000="","",IF(TODAY()&gt;H1000,"Atrasado (em aberto)","Em aberto")),IF(I1000&lt;=H1000,"No prazo","Fora do prazo")))</f>
        <v/>
      </c>
    </row>
    <row r="1001">
      <c r="B1001" s="22" t="n"/>
      <c r="E1001" s="23" t="n"/>
      <c r="F1001" s="24" t="n"/>
      <c r="H1001" s="22" t="n"/>
      <c r="I1001" s="22" t="n"/>
      <c r="J1001" s="21">
        <f>IF(C1001="","",IFERROR(INDEX(Clientes!$B:$B,MATCH(C1001,Clientes!$A:$A,0)),"Cód. não cadastrado"))</f>
        <v/>
      </c>
      <c r="K1001" s="18">
        <f>IF(B1001="","",YEAR(B1001))</f>
        <v/>
      </c>
      <c r="L1001" s="18">
        <f>IF(B1001="","",MONTH(B1001))</f>
        <v/>
      </c>
      <c r="M1001" s="18">
        <f>IF(OR(B1001="",I1001=""),"",I1001-B1001)</f>
        <v/>
      </c>
      <c r="N1001" s="21">
        <f>IF(B1001="","",IF(I1001="",IF(H1001="","",IF(TODAY()&gt;H1001,"Atrasado (em aberto)","Em aberto")),IF(I1001&lt;=H1001,"No prazo","Fora do prazo")))</f>
        <v/>
      </c>
    </row>
    <row r="1002">
      <c r="B1002" s="22" t="n"/>
      <c r="E1002" s="23" t="n"/>
      <c r="F1002" s="24" t="n"/>
      <c r="H1002" s="22" t="n"/>
      <c r="I1002" s="22" t="n"/>
      <c r="J1002" s="21">
        <f>IF(C1002="","",IFERROR(INDEX(Clientes!$B:$B,MATCH(C1002,Clientes!$A:$A,0)),"Cód. não cadastrado"))</f>
        <v/>
      </c>
      <c r="K1002" s="18">
        <f>IF(B1002="","",YEAR(B1002))</f>
        <v/>
      </c>
      <c r="L1002" s="18">
        <f>IF(B1002="","",MONTH(B1002))</f>
        <v/>
      </c>
      <c r="M1002" s="18">
        <f>IF(OR(B1002="",I1002=""),"",I1002-B1002)</f>
        <v/>
      </c>
      <c r="N1002" s="21">
        <f>IF(B1002="","",IF(I1002="",IF(H1002="","",IF(TODAY()&gt;H1002,"Atrasado (em aberto)","Em aberto")),IF(I1002&lt;=H1002,"No prazo","Fora do prazo")))</f>
        <v/>
      </c>
    </row>
    <row r="1003">
      <c r="B1003" s="22" t="n"/>
      <c r="E1003" s="23" t="n"/>
      <c r="F1003" s="24" t="n"/>
      <c r="H1003" s="22" t="n"/>
      <c r="I1003" s="22" t="n"/>
      <c r="J1003" s="21">
        <f>IF(C1003="","",IFERROR(INDEX(Clientes!$B:$B,MATCH(C1003,Clientes!$A:$A,0)),"Cód. não cadastrado"))</f>
        <v/>
      </c>
      <c r="K1003" s="18">
        <f>IF(B1003="","",YEAR(B1003))</f>
        <v/>
      </c>
      <c r="L1003" s="18">
        <f>IF(B1003="","",MONTH(B1003))</f>
        <v/>
      </c>
      <c r="M1003" s="18">
        <f>IF(OR(B1003="",I1003=""),"",I1003-B1003)</f>
        <v/>
      </c>
      <c r="N1003" s="21">
        <f>IF(B1003="","",IF(I1003="",IF(H1003="","",IF(TODAY()&gt;H1003,"Atrasado (em aberto)","Em aberto")),IF(I1003&lt;=H1003,"No prazo","Fora do prazo")))</f>
        <v/>
      </c>
    </row>
    <row r="1004">
      <c r="B1004" s="22" t="n"/>
      <c r="E1004" s="23" t="n"/>
      <c r="F1004" s="24" t="n"/>
      <c r="H1004" s="22" t="n"/>
      <c r="I1004" s="22" t="n"/>
      <c r="J1004" s="21">
        <f>IF(C1004="","",IFERROR(INDEX(Clientes!$B:$B,MATCH(C1004,Clientes!$A:$A,0)),"Cód. não cadastrado"))</f>
        <v/>
      </c>
      <c r="K1004" s="18">
        <f>IF(B1004="","",YEAR(B1004))</f>
        <v/>
      </c>
      <c r="L1004" s="18">
        <f>IF(B1004="","",MONTH(B1004))</f>
        <v/>
      </c>
      <c r="M1004" s="18">
        <f>IF(OR(B1004="",I1004=""),"",I1004-B1004)</f>
        <v/>
      </c>
      <c r="N1004" s="21">
        <f>IF(B1004="","",IF(I1004="",IF(H1004="","",IF(TODAY()&gt;H1004,"Atrasado (em aberto)","Em aberto")),IF(I1004&lt;=H1004,"No prazo","Fora do prazo")))</f>
        <v/>
      </c>
    </row>
    <row r="1005">
      <c r="B1005" s="22" t="n"/>
      <c r="E1005" s="23" t="n"/>
      <c r="F1005" s="24" t="n"/>
      <c r="H1005" s="22" t="n"/>
      <c r="I1005" s="22" t="n"/>
      <c r="J1005" s="21">
        <f>IF(C1005="","",IFERROR(INDEX(Clientes!$B:$B,MATCH(C1005,Clientes!$A:$A,0)),"Cód. não cadastrado"))</f>
        <v/>
      </c>
      <c r="K1005" s="18">
        <f>IF(B1005="","",YEAR(B1005))</f>
        <v/>
      </c>
      <c r="L1005" s="18">
        <f>IF(B1005="","",MONTH(B1005))</f>
        <v/>
      </c>
      <c r="M1005" s="18">
        <f>IF(OR(B1005="",I1005=""),"",I1005-B1005)</f>
        <v/>
      </c>
      <c r="N1005" s="21">
        <f>IF(B1005="","",IF(I1005="",IF(H1005="","",IF(TODAY()&gt;H1005,"Atrasado (em aberto)","Em aberto")),IF(I1005&lt;=H1005,"No prazo","Fora do prazo")))</f>
        <v/>
      </c>
    </row>
    <row r="1006">
      <c r="B1006" s="22" t="n"/>
      <c r="E1006" s="23" t="n"/>
      <c r="F1006" s="24" t="n"/>
      <c r="H1006" s="22" t="n"/>
      <c r="I1006" s="22" t="n"/>
      <c r="J1006" s="21">
        <f>IF(C1006="","",IFERROR(INDEX(Clientes!$B:$B,MATCH(C1006,Clientes!$A:$A,0)),"Cód. não cadastrado"))</f>
        <v/>
      </c>
      <c r="K1006" s="18">
        <f>IF(B1006="","",YEAR(B1006))</f>
        <v/>
      </c>
      <c r="L1006" s="18">
        <f>IF(B1006="","",MONTH(B1006))</f>
        <v/>
      </c>
      <c r="M1006" s="18">
        <f>IF(OR(B1006="",I1006=""),"",I1006-B1006)</f>
        <v/>
      </c>
      <c r="N1006" s="21">
        <f>IF(B1006="","",IF(I1006="",IF(H1006="","",IF(TODAY()&gt;H1006,"Atrasado (em aberto)","Em aberto")),IF(I1006&lt;=H1006,"No prazo","Fora do prazo")))</f>
        <v/>
      </c>
    </row>
    <row r="1007">
      <c r="B1007" s="22" t="n"/>
      <c r="E1007" s="23" t="n"/>
      <c r="F1007" s="24" t="n"/>
      <c r="H1007" s="22" t="n"/>
      <c r="I1007" s="22" t="n"/>
      <c r="J1007" s="21">
        <f>IF(C1007="","",IFERROR(INDEX(Clientes!$B:$B,MATCH(C1007,Clientes!$A:$A,0)),"Cód. não cadastrado"))</f>
        <v/>
      </c>
      <c r="K1007" s="18">
        <f>IF(B1007="","",YEAR(B1007))</f>
        <v/>
      </c>
      <c r="L1007" s="18">
        <f>IF(B1007="","",MONTH(B1007))</f>
        <v/>
      </c>
      <c r="M1007" s="18">
        <f>IF(OR(B1007="",I1007=""),"",I1007-B1007)</f>
        <v/>
      </c>
      <c r="N1007" s="21">
        <f>IF(B1007="","",IF(I1007="",IF(H1007="","",IF(TODAY()&gt;H1007,"Atrasado (em aberto)","Em aberto")),IF(I1007&lt;=H1007,"No prazo","Fora do prazo")))</f>
        <v/>
      </c>
    </row>
    <row r="1008">
      <c r="B1008" s="22" t="n"/>
      <c r="E1008" s="23" t="n"/>
      <c r="F1008" s="24" t="n"/>
      <c r="H1008" s="22" t="n"/>
      <c r="I1008" s="22" t="n"/>
      <c r="J1008" s="21">
        <f>IF(C1008="","",IFERROR(INDEX(Clientes!$B:$B,MATCH(C1008,Clientes!$A:$A,0)),"Cód. não cadastrado"))</f>
        <v/>
      </c>
      <c r="K1008" s="18">
        <f>IF(B1008="","",YEAR(B1008))</f>
        <v/>
      </c>
      <c r="L1008" s="18">
        <f>IF(B1008="","",MONTH(B1008))</f>
        <v/>
      </c>
      <c r="M1008" s="18">
        <f>IF(OR(B1008="",I1008=""),"",I1008-B1008)</f>
        <v/>
      </c>
      <c r="N1008" s="21">
        <f>IF(B1008="","",IF(I1008="",IF(H1008="","",IF(TODAY()&gt;H1008,"Atrasado (em aberto)","Em aberto")),IF(I1008&lt;=H1008,"No prazo","Fora do prazo")))</f>
        <v/>
      </c>
    </row>
    <row r="1009">
      <c r="B1009" s="22" t="n"/>
      <c r="E1009" s="23" t="n"/>
      <c r="F1009" s="24" t="n"/>
      <c r="H1009" s="22" t="n"/>
      <c r="I1009" s="22" t="n"/>
      <c r="J1009" s="21">
        <f>IF(C1009="","",IFERROR(INDEX(Clientes!$B:$B,MATCH(C1009,Clientes!$A:$A,0)),"Cód. não cadastrado"))</f>
        <v/>
      </c>
      <c r="K1009" s="18">
        <f>IF(B1009="","",YEAR(B1009))</f>
        <v/>
      </c>
      <c r="L1009" s="18">
        <f>IF(B1009="","",MONTH(B1009))</f>
        <v/>
      </c>
      <c r="M1009" s="18">
        <f>IF(OR(B1009="",I1009=""),"",I1009-B1009)</f>
        <v/>
      </c>
      <c r="N1009" s="21">
        <f>IF(B1009="","",IF(I1009="",IF(H1009="","",IF(TODAY()&gt;H1009,"Atrasado (em aberto)","Em aberto")),IF(I1009&lt;=H1009,"No prazo","Fora do prazo")))</f>
        <v/>
      </c>
    </row>
    <row r="1010">
      <c r="B1010" s="22" t="n"/>
      <c r="E1010" s="23" t="n"/>
      <c r="F1010" s="24" t="n"/>
      <c r="H1010" s="22" t="n"/>
      <c r="I1010" s="22" t="n"/>
      <c r="J1010" s="21">
        <f>IF(C1010="","",IFERROR(INDEX(Clientes!$B:$B,MATCH(C1010,Clientes!$A:$A,0)),"Cód. não cadastrado"))</f>
        <v/>
      </c>
      <c r="K1010" s="18">
        <f>IF(B1010="","",YEAR(B1010))</f>
        <v/>
      </c>
      <c r="L1010" s="18">
        <f>IF(B1010="","",MONTH(B1010))</f>
        <v/>
      </c>
      <c r="M1010" s="18">
        <f>IF(OR(B1010="",I1010=""),"",I1010-B1010)</f>
        <v/>
      </c>
      <c r="N1010" s="21">
        <f>IF(B1010="","",IF(I1010="",IF(H1010="","",IF(TODAY()&gt;H1010,"Atrasado (em aberto)","Em aberto")),IF(I1010&lt;=H1010,"No prazo","Fora do prazo")))</f>
        <v/>
      </c>
    </row>
    <row r="1011">
      <c r="B1011" s="22" t="n"/>
      <c r="E1011" s="23" t="n"/>
      <c r="F1011" s="24" t="n"/>
      <c r="H1011" s="22" t="n"/>
      <c r="I1011" s="22" t="n"/>
      <c r="J1011" s="21">
        <f>IF(C1011="","",IFERROR(INDEX(Clientes!$B:$B,MATCH(C1011,Clientes!$A:$A,0)),"Cód. não cadastrado"))</f>
        <v/>
      </c>
      <c r="K1011" s="18">
        <f>IF(B1011="","",YEAR(B1011))</f>
        <v/>
      </c>
      <c r="L1011" s="18">
        <f>IF(B1011="","",MONTH(B1011))</f>
        <v/>
      </c>
      <c r="M1011" s="18">
        <f>IF(OR(B1011="",I1011=""),"",I1011-B1011)</f>
        <v/>
      </c>
      <c r="N1011" s="21">
        <f>IF(B1011="","",IF(I1011="",IF(H1011="","",IF(TODAY()&gt;H1011,"Atrasado (em aberto)","Em aberto")),IF(I1011&lt;=H1011,"No prazo","Fora do prazo")))</f>
        <v/>
      </c>
    </row>
    <row r="1012">
      <c r="B1012" s="22" t="n"/>
      <c r="E1012" s="23" t="n"/>
      <c r="F1012" s="24" t="n"/>
      <c r="H1012" s="22" t="n"/>
      <c r="I1012" s="22" t="n"/>
      <c r="J1012" s="21">
        <f>IF(C1012="","",IFERROR(INDEX(Clientes!$B:$B,MATCH(C1012,Clientes!$A:$A,0)),"Cód. não cadastrado"))</f>
        <v/>
      </c>
      <c r="K1012" s="18">
        <f>IF(B1012="","",YEAR(B1012))</f>
        <v/>
      </c>
      <c r="L1012" s="18">
        <f>IF(B1012="","",MONTH(B1012))</f>
        <v/>
      </c>
      <c r="M1012" s="18">
        <f>IF(OR(B1012="",I1012=""),"",I1012-B1012)</f>
        <v/>
      </c>
      <c r="N1012" s="21">
        <f>IF(B1012="","",IF(I1012="",IF(H1012="","",IF(TODAY()&gt;H1012,"Atrasado (em aberto)","Em aberto")),IF(I1012&lt;=H1012,"No prazo","Fora do prazo")))</f>
        <v/>
      </c>
    </row>
    <row r="1013">
      <c r="B1013" s="22" t="n"/>
      <c r="E1013" s="23" t="n"/>
      <c r="F1013" s="24" t="n"/>
      <c r="H1013" s="22" t="n"/>
      <c r="I1013" s="22" t="n"/>
      <c r="J1013" s="21">
        <f>IF(C1013="","",IFERROR(INDEX(Clientes!$B:$B,MATCH(C1013,Clientes!$A:$A,0)),"Cód. não cadastrado"))</f>
        <v/>
      </c>
      <c r="K1013" s="18">
        <f>IF(B1013="","",YEAR(B1013))</f>
        <v/>
      </c>
      <c r="L1013" s="18">
        <f>IF(B1013="","",MONTH(B1013))</f>
        <v/>
      </c>
      <c r="M1013" s="18">
        <f>IF(OR(B1013="",I1013=""),"",I1013-B1013)</f>
        <v/>
      </c>
      <c r="N1013" s="21">
        <f>IF(B1013="","",IF(I1013="",IF(H1013="","",IF(TODAY()&gt;H1013,"Atrasado (em aberto)","Em aberto")),IF(I1013&lt;=H1013,"No prazo","Fora do prazo")))</f>
        <v/>
      </c>
    </row>
    <row r="1014">
      <c r="B1014" s="22" t="n"/>
      <c r="E1014" s="23" t="n"/>
      <c r="F1014" s="24" t="n"/>
      <c r="H1014" s="22" t="n"/>
      <c r="I1014" s="22" t="n"/>
      <c r="J1014" s="21">
        <f>IF(C1014="","",IFERROR(INDEX(Clientes!$B:$B,MATCH(C1014,Clientes!$A:$A,0)),"Cód. não cadastrado"))</f>
        <v/>
      </c>
      <c r="K1014" s="18">
        <f>IF(B1014="","",YEAR(B1014))</f>
        <v/>
      </c>
      <c r="L1014" s="18">
        <f>IF(B1014="","",MONTH(B1014))</f>
        <v/>
      </c>
      <c r="M1014" s="18">
        <f>IF(OR(B1014="",I1014=""),"",I1014-B1014)</f>
        <v/>
      </c>
      <c r="N1014" s="21">
        <f>IF(B1014="","",IF(I1014="",IF(H1014="","",IF(TODAY()&gt;H1014,"Atrasado (em aberto)","Em aberto")),IF(I1014&lt;=H1014,"No prazo","Fora do prazo")))</f>
        <v/>
      </c>
    </row>
    <row r="1015">
      <c r="B1015" s="22" t="n"/>
      <c r="E1015" s="23" t="n"/>
      <c r="F1015" s="24" t="n"/>
      <c r="H1015" s="22" t="n"/>
      <c r="I1015" s="22" t="n"/>
      <c r="J1015" s="21">
        <f>IF(C1015="","",IFERROR(INDEX(Clientes!$B:$B,MATCH(C1015,Clientes!$A:$A,0)),"Cód. não cadastrado"))</f>
        <v/>
      </c>
      <c r="K1015" s="18">
        <f>IF(B1015="","",YEAR(B1015))</f>
        <v/>
      </c>
      <c r="L1015" s="18">
        <f>IF(B1015="","",MONTH(B1015))</f>
        <v/>
      </c>
      <c r="M1015" s="18">
        <f>IF(OR(B1015="",I1015=""),"",I1015-B1015)</f>
        <v/>
      </c>
      <c r="N1015" s="21">
        <f>IF(B1015="","",IF(I1015="",IF(H1015="","",IF(TODAY()&gt;H1015,"Atrasado (em aberto)","Em aberto")),IF(I1015&lt;=H1015,"No prazo","Fora do prazo")))</f>
        <v/>
      </c>
    </row>
    <row r="1016">
      <c r="B1016" s="22" t="n"/>
      <c r="E1016" s="23" t="n"/>
      <c r="F1016" s="24" t="n"/>
      <c r="H1016" s="22" t="n"/>
      <c r="I1016" s="22" t="n"/>
      <c r="J1016" s="21">
        <f>IF(C1016="","",IFERROR(INDEX(Clientes!$B:$B,MATCH(C1016,Clientes!$A:$A,0)),"Cód. não cadastrado"))</f>
        <v/>
      </c>
      <c r="K1016" s="18">
        <f>IF(B1016="","",YEAR(B1016))</f>
        <v/>
      </c>
      <c r="L1016" s="18">
        <f>IF(B1016="","",MONTH(B1016))</f>
        <v/>
      </c>
      <c r="M1016" s="18">
        <f>IF(OR(B1016="",I1016=""),"",I1016-B1016)</f>
        <v/>
      </c>
      <c r="N1016" s="21">
        <f>IF(B1016="","",IF(I1016="",IF(H1016="","",IF(TODAY()&gt;H1016,"Atrasado (em aberto)","Em aberto")),IF(I1016&lt;=H1016,"No prazo","Fora do prazo")))</f>
        <v/>
      </c>
    </row>
    <row r="1017">
      <c r="B1017" s="22" t="n"/>
      <c r="E1017" s="23" t="n"/>
      <c r="F1017" s="24" t="n"/>
      <c r="H1017" s="22" t="n"/>
      <c r="I1017" s="22" t="n"/>
      <c r="J1017" s="21">
        <f>IF(C1017="","",IFERROR(INDEX(Clientes!$B:$B,MATCH(C1017,Clientes!$A:$A,0)),"Cód. não cadastrado"))</f>
        <v/>
      </c>
      <c r="K1017" s="18">
        <f>IF(B1017="","",YEAR(B1017))</f>
        <v/>
      </c>
      <c r="L1017" s="18">
        <f>IF(B1017="","",MONTH(B1017))</f>
        <v/>
      </c>
      <c r="M1017" s="18">
        <f>IF(OR(B1017="",I1017=""),"",I1017-B1017)</f>
        <v/>
      </c>
      <c r="N1017" s="21">
        <f>IF(B1017="","",IF(I1017="",IF(H1017="","",IF(TODAY()&gt;H1017,"Atrasado (em aberto)","Em aberto")),IF(I1017&lt;=H1017,"No prazo","Fora do prazo")))</f>
        <v/>
      </c>
    </row>
    <row r="1018">
      <c r="B1018" s="22" t="n"/>
      <c r="E1018" s="23" t="n"/>
      <c r="F1018" s="24" t="n"/>
      <c r="H1018" s="22" t="n"/>
      <c r="I1018" s="22" t="n"/>
      <c r="J1018" s="21">
        <f>IF(C1018="","",IFERROR(INDEX(Clientes!$B:$B,MATCH(C1018,Clientes!$A:$A,0)),"Cód. não cadastrado"))</f>
        <v/>
      </c>
      <c r="K1018" s="18">
        <f>IF(B1018="","",YEAR(B1018))</f>
        <v/>
      </c>
      <c r="L1018" s="18">
        <f>IF(B1018="","",MONTH(B1018))</f>
        <v/>
      </c>
      <c r="M1018" s="18">
        <f>IF(OR(B1018="",I1018=""),"",I1018-B1018)</f>
        <v/>
      </c>
      <c r="N1018" s="21">
        <f>IF(B1018="","",IF(I1018="",IF(H1018="","",IF(TODAY()&gt;H1018,"Atrasado (em aberto)","Em aberto")),IF(I1018&lt;=H1018,"No prazo","Fora do prazo")))</f>
        <v/>
      </c>
    </row>
    <row r="1019">
      <c r="B1019" s="22" t="n"/>
      <c r="E1019" s="23" t="n"/>
      <c r="F1019" s="24" t="n"/>
      <c r="H1019" s="22" t="n"/>
      <c r="I1019" s="22" t="n"/>
      <c r="J1019" s="21">
        <f>IF(C1019="","",IFERROR(INDEX(Clientes!$B:$B,MATCH(C1019,Clientes!$A:$A,0)),"Cód. não cadastrado"))</f>
        <v/>
      </c>
      <c r="K1019" s="18">
        <f>IF(B1019="","",YEAR(B1019))</f>
        <v/>
      </c>
      <c r="L1019" s="18">
        <f>IF(B1019="","",MONTH(B1019))</f>
        <v/>
      </c>
      <c r="M1019" s="18">
        <f>IF(OR(B1019="",I1019=""),"",I1019-B1019)</f>
        <v/>
      </c>
      <c r="N1019" s="21">
        <f>IF(B1019="","",IF(I1019="",IF(H1019="","",IF(TODAY()&gt;H1019,"Atrasado (em aberto)","Em aberto")),IF(I1019&lt;=H1019,"No prazo","Fora do prazo")))</f>
        <v/>
      </c>
    </row>
    <row r="1020">
      <c r="B1020" s="22" t="n"/>
      <c r="E1020" s="23" t="n"/>
      <c r="F1020" s="24" t="n"/>
      <c r="H1020" s="22" t="n"/>
      <c r="I1020" s="22" t="n"/>
      <c r="J1020" s="21">
        <f>IF(C1020="","",IFERROR(INDEX(Clientes!$B:$B,MATCH(C1020,Clientes!$A:$A,0)),"Cód. não cadastrado"))</f>
        <v/>
      </c>
      <c r="K1020" s="18">
        <f>IF(B1020="","",YEAR(B1020))</f>
        <v/>
      </c>
      <c r="L1020" s="18">
        <f>IF(B1020="","",MONTH(B1020))</f>
        <v/>
      </c>
      <c r="M1020" s="18">
        <f>IF(OR(B1020="",I1020=""),"",I1020-B1020)</f>
        <v/>
      </c>
      <c r="N1020" s="21">
        <f>IF(B1020="","",IF(I1020="",IF(H1020="","",IF(TODAY()&gt;H1020,"Atrasado (em aberto)","Em aberto")),IF(I1020&lt;=H1020,"No prazo","Fora do prazo")))</f>
        <v/>
      </c>
    </row>
    <row r="1021">
      <c r="B1021" s="22" t="n"/>
      <c r="E1021" s="23" t="n"/>
      <c r="F1021" s="24" t="n"/>
      <c r="H1021" s="22" t="n"/>
      <c r="I1021" s="22" t="n"/>
      <c r="J1021" s="21">
        <f>IF(C1021="","",IFERROR(INDEX(Clientes!$B:$B,MATCH(C1021,Clientes!$A:$A,0)),"Cód. não cadastrado"))</f>
        <v/>
      </c>
      <c r="K1021" s="18">
        <f>IF(B1021="","",YEAR(B1021))</f>
        <v/>
      </c>
      <c r="L1021" s="18">
        <f>IF(B1021="","",MONTH(B1021))</f>
        <v/>
      </c>
      <c r="M1021" s="18">
        <f>IF(OR(B1021="",I1021=""),"",I1021-B1021)</f>
        <v/>
      </c>
      <c r="N1021" s="21">
        <f>IF(B1021="","",IF(I1021="",IF(H1021="","",IF(TODAY()&gt;H1021,"Atrasado (em aberto)","Em aberto")),IF(I1021&lt;=H1021,"No prazo","Fora do prazo")))</f>
        <v/>
      </c>
    </row>
    <row r="1022">
      <c r="B1022" s="22" t="n"/>
      <c r="E1022" s="23" t="n"/>
      <c r="F1022" s="24" t="n"/>
      <c r="H1022" s="22" t="n"/>
      <c r="I1022" s="22" t="n"/>
      <c r="J1022" s="21">
        <f>IF(C1022="","",IFERROR(INDEX(Clientes!$B:$B,MATCH(C1022,Clientes!$A:$A,0)),"Cód. não cadastrado"))</f>
        <v/>
      </c>
      <c r="K1022" s="18">
        <f>IF(B1022="","",YEAR(B1022))</f>
        <v/>
      </c>
      <c r="L1022" s="18">
        <f>IF(B1022="","",MONTH(B1022))</f>
        <v/>
      </c>
      <c r="M1022" s="18">
        <f>IF(OR(B1022="",I1022=""),"",I1022-B1022)</f>
        <v/>
      </c>
      <c r="N1022" s="21">
        <f>IF(B1022="","",IF(I1022="",IF(H1022="","",IF(TODAY()&gt;H1022,"Atrasado (em aberto)","Em aberto")),IF(I1022&lt;=H1022,"No prazo","Fora do prazo")))</f>
        <v/>
      </c>
    </row>
    <row r="1023">
      <c r="B1023" s="22" t="n"/>
      <c r="E1023" s="23" t="n"/>
      <c r="F1023" s="24" t="n"/>
      <c r="H1023" s="22" t="n"/>
      <c r="I1023" s="22" t="n"/>
      <c r="J1023" s="21">
        <f>IF(C1023="","",IFERROR(INDEX(Clientes!$B:$B,MATCH(C1023,Clientes!$A:$A,0)),"Cód. não cadastrado"))</f>
        <v/>
      </c>
      <c r="K1023" s="18">
        <f>IF(B1023="","",YEAR(B1023))</f>
        <v/>
      </c>
      <c r="L1023" s="18">
        <f>IF(B1023="","",MONTH(B1023))</f>
        <v/>
      </c>
      <c r="M1023" s="18">
        <f>IF(OR(B1023="",I1023=""),"",I1023-B1023)</f>
        <v/>
      </c>
      <c r="N1023" s="21">
        <f>IF(B1023="","",IF(I1023="",IF(H1023="","",IF(TODAY()&gt;H1023,"Atrasado (em aberto)","Em aberto")),IF(I1023&lt;=H1023,"No prazo","Fora do prazo")))</f>
        <v/>
      </c>
    </row>
    <row r="1024">
      <c r="B1024" s="22" t="n"/>
      <c r="E1024" s="23" t="n"/>
      <c r="F1024" s="24" t="n"/>
      <c r="H1024" s="22" t="n"/>
      <c r="I1024" s="22" t="n"/>
      <c r="J1024" s="21">
        <f>IF(C1024="","",IFERROR(INDEX(Clientes!$B:$B,MATCH(C1024,Clientes!$A:$A,0)),"Cód. não cadastrado"))</f>
        <v/>
      </c>
      <c r="K1024" s="18">
        <f>IF(B1024="","",YEAR(B1024))</f>
        <v/>
      </c>
      <c r="L1024" s="18">
        <f>IF(B1024="","",MONTH(B1024))</f>
        <v/>
      </c>
      <c r="M1024" s="18">
        <f>IF(OR(B1024="",I1024=""),"",I1024-B1024)</f>
        <v/>
      </c>
      <c r="N1024" s="21">
        <f>IF(B1024="","",IF(I1024="",IF(H1024="","",IF(TODAY()&gt;H1024,"Atrasado (em aberto)","Em aberto")),IF(I1024&lt;=H1024,"No prazo","Fora do prazo")))</f>
        <v/>
      </c>
    </row>
    <row r="1025">
      <c r="B1025" s="22" t="n"/>
      <c r="E1025" s="23" t="n"/>
      <c r="F1025" s="24" t="n"/>
      <c r="H1025" s="22" t="n"/>
      <c r="I1025" s="22" t="n"/>
      <c r="J1025" s="21">
        <f>IF(C1025="","",IFERROR(INDEX(Clientes!$B:$B,MATCH(C1025,Clientes!$A:$A,0)),"Cód. não cadastrado"))</f>
        <v/>
      </c>
      <c r="K1025" s="18">
        <f>IF(B1025="","",YEAR(B1025))</f>
        <v/>
      </c>
      <c r="L1025" s="18">
        <f>IF(B1025="","",MONTH(B1025))</f>
        <v/>
      </c>
      <c r="M1025" s="18">
        <f>IF(OR(B1025="",I1025=""),"",I1025-B1025)</f>
        <v/>
      </c>
      <c r="N1025" s="21">
        <f>IF(B1025="","",IF(I1025="",IF(H1025="","",IF(TODAY()&gt;H1025,"Atrasado (em aberto)","Em aberto")),IF(I1025&lt;=H1025,"No prazo","Fora do prazo")))</f>
        <v/>
      </c>
    </row>
    <row r="1026">
      <c r="B1026" s="22" t="n"/>
      <c r="E1026" s="23" t="n"/>
      <c r="F1026" s="24" t="n"/>
      <c r="H1026" s="22" t="n"/>
      <c r="I1026" s="22" t="n"/>
      <c r="J1026" s="21">
        <f>IF(C1026="","",IFERROR(INDEX(Clientes!$B:$B,MATCH(C1026,Clientes!$A:$A,0)),"Cód. não cadastrado"))</f>
        <v/>
      </c>
      <c r="K1026" s="18">
        <f>IF(B1026="","",YEAR(B1026))</f>
        <v/>
      </c>
      <c r="L1026" s="18">
        <f>IF(B1026="","",MONTH(B1026))</f>
        <v/>
      </c>
      <c r="M1026" s="18">
        <f>IF(OR(B1026="",I1026=""),"",I1026-B1026)</f>
        <v/>
      </c>
      <c r="N1026" s="21">
        <f>IF(B1026="","",IF(I1026="",IF(H1026="","",IF(TODAY()&gt;H1026,"Atrasado (em aberto)","Em aberto")),IF(I1026&lt;=H1026,"No prazo","Fora do prazo")))</f>
        <v/>
      </c>
    </row>
    <row r="1027">
      <c r="B1027" s="22" t="n"/>
      <c r="E1027" s="23" t="n"/>
      <c r="F1027" s="24" t="n"/>
      <c r="H1027" s="22" t="n"/>
      <c r="I1027" s="22" t="n"/>
      <c r="J1027" s="21">
        <f>IF(C1027="","",IFERROR(INDEX(Clientes!$B:$B,MATCH(C1027,Clientes!$A:$A,0)),"Cód. não cadastrado"))</f>
        <v/>
      </c>
      <c r="K1027" s="18">
        <f>IF(B1027="","",YEAR(B1027))</f>
        <v/>
      </c>
      <c r="L1027" s="18">
        <f>IF(B1027="","",MONTH(B1027))</f>
        <v/>
      </c>
      <c r="M1027" s="18">
        <f>IF(OR(B1027="",I1027=""),"",I1027-B1027)</f>
        <v/>
      </c>
      <c r="N1027" s="21">
        <f>IF(B1027="","",IF(I1027="",IF(H1027="","",IF(TODAY()&gt;H1027,"Atrasado (em aberto)","Em aberto")),IF(I1027&lt;=H1027,"No prazo","Fora do prazo")))</f>
        <v/>
      </c>
    </row>
    <row r="1028">
      <c r="B1028" s="22" t="n"/>
      <c r="E1028" s="23" t="n"/>
      <c r="F1028" s="24" t="n"/>
      <c r="H1028" s="22" t="n"/>
      <c r="I1028" s="22" t="n"/>
      <c r="J1028" s="21">
        <f>IF(C1028="","",IFERROR(INDEX(Clientes!$B:$B,MATCH(C1028,Clientes!$A:$A,0)),"Cód. não cadastrado"))</f>
        <v/>
      </c>
      <c r="K1028" s="18">
        <f>IF(B1028="","",YEAR(B1028))</f>
        <v/>
      </c>
      <c r="L1028" s="18">
        <f>IF(B1028="","",MONTH(B1028))</f>
        <v/>
      </c>
      <c r="M1028" s="18">
        <f>IF(OR(B1028="",I1028=""),"",I1028-B1028)</f>
        <v/>
      </c>
      <c r="N1028" s="21">
        <f>IF(B1028="","",IF(I1028="",IF(H1028="","",IF(TODAY()&gt;H1028,"Atrasado (em aberto)","Em aberto")),IF(I1028&lt;=H1028,"No prazo","Fora do prazo")))</f>
        <v/>
      </c>
    </row>
    <row r="1029">
      <c r="B1029" s="22" t="n"/>
      <c r="E1029" s="23" t="n"/>
      <c r="F1029" s="24" t="n"/>
      <c r="H1029" s="22" t="n"/>
      <c r="I1029" s="22" t="n"/>
      <c r="J1029" s="21">
        <f>IF(C1029="","",IFERROR(INDEX(Clientes!$B:$B,MATCH(C1029,Clientes!$A:$A,0)),"Cód. não cadastrado"))</f>
        <v/>
      </c>
      <c r="K1029" s="18">
        <f>IF(B1029="","",YEAR(B1029))</f>
        <v/>
      </c>
      <c r="L1029" s="18">
        <f>IF(B1029="","",MONTH(B1029))</f>
        <v/>
      </c>
      <c r="M1029" s="18">
        <f>IF(OR(B1029="",I1029=""),"",I1029-B1029)</f>
        <v/>
      </c>
      <c r="N1029" s="21">
        <f>IF(B1029="","",IF(I1029="",IF(H1029="","",IF(TODAY()&gt;H1029,"Atrasado (em aberto)","Em aberto")),IF(I1029&lt;=H1029,"No prazo","Fora do prazo")))</f>
        <v/>
      </c>
    </row>
    <row r="1030">
      <c r="B1030" s="22" t="n"/>
      <c r="E1030" s="23" t="n"/>
      <c r="F1030" s="24" t="n"/>
      <c r="H1030" s="22" t="n"/>
      <c r="I1030" s="22" t="n"/>
      <c r="J1030" s="21">
        <f>IF(C1030="","",IFERROR(INDEX(Clientes!$B:$B,MATCH(C1030,Clientes!$A:$A,0)),"Cód. não cadastrado"))</f>
        <v/>
      </c>
      <c r="K1030" s="18">
        <f>IF(B1030="","",YEAR(B1030))</f>
        <v/>
      </c>
      <c r="L1030" s="18">
        <f>IF(B1030="","",MONTH(B1030))</f>
        <v/>
      </c>
      <c r="M1030" s="18">
        <f>IF(OR(B1030="",I1030=""),"",I1030-B1030)</f>
        <v/>
      </c>
      <c r="N1030" s="21">
        <f>IF(B1030="","",IF(I1030="",IF(H1030="","",IF(TODAY()&gt;H1030,"Atrasado (em aberto)","Em aberto")),IF(I1030&lt;=H1030,"No prazo","Fora do prazo")))</f>
        <v/>
      </c>
    </row>
    <row r="1031">
      <c r="B1031" s="22" t="n"/>
      <c r="E1031" s="23" t="n"/>
      <c r="F1031" s="24" t="n"/>
      <c r="H1031" s="22" t="n"/>
      <c r="I1031" s="22" t="n"/>
      <c r="J1031" s="21">
        <f>IF(C1031="","",IFERROR(INDEX(Clientes!$B:$B,MATCH(C1031,Clientes!$A:$A,0)),"Cód. não cadastrado"))</f>
        <v/>
      </c>
      <c r="K1031" s="18">
        <f>IF(B1031="","",YEAR(B1031))</f>
        <v/>
      </c>
      <c r="L1031" s="18">
        <f>IF(B1031="","",MONTH(B1031))</f>
        <v/>
      </c>
      <c r="M1031" s="18">
        <f>IF(OR(B1031="",I1031=""),"",I1031-B1031)</f>
        <v/>
      </c>
      <c r="N1031" s="21">
        <f>IF(B1031="","",IF(I1031="",IF(H1031="","",IF(TODAY()&gt;H1031,"Atrasado (em aberto)","Em aberto")),IF(I1031&lt;=H1031,"No prazo","Fora do prazo")))</f>
        <v/>
      </c>
    </row>
    <row r="1032">
      <c r="B1032" s="22" t="n"/>
      <c r="E1032" s="23" t="n"/>
      <c r="F1032" s="24" t="n"/>
      <c r="H1032" s="22" t="n"/>
      <c r="I1032" s="22" t="n"/>
      <c r="J1032" s="21">
        <f>IF(C1032="","",IFERROR(INDEX(Clientes!$B:$B,MATCH(C1032,Clientes!$A:$A,0)),"Cód. não cadastrado"))</f>
        <v/>
      </c>
      <c r="K1032" s="18">
        <f>IF(B1032="","",YEAR(B1032))</f>
        <v/>
      </c>
      <c r="L1032" s="18">
        <f>IF(B1032="","",MONTH(B1032))</f>
        <v/>
      </c>
      <c r="M1032" s="18">
        <f>IF(OR(B1032="",I1032=""),"",I1032-B1032)</f>
        <v/>
      </c>
      <c r="N1032" s="21">
        <f>IF(B1032="","",IF(I1032="",IF(H1032="","",IF(TODAY()&gt;H1032,"Atrasado (em aberto)","Em aberto")),IF(I1032&lt;=H1032,"No prazo","Fora do prazo")))</f>
        <v/>
      </c>
    </row>
    <row r="1033">
      <c r="B1033" s="22" t="n"/>
      <c r="E1033" s="23" t="n"/>
      <c r="F1033" s="24" t="n"/>
      <c r="H1033" s="22" t="n"/>
      <c r="I1033" s="22" t="n"/>
      <c r="J1033" s="21">
        <f>IF(C1033="","",IFERROR(INDEX(Clientes!$B:$B,MATCH(C1033,Clientes!$A:$A,0)),"Cód. não cadastrado"))</f>
        <v/>
      </c>
      <c r="K1033" s="18">
        <f>IF(B1033="","",YEAR(B1033))</f>
        <v/>
      </c>
      <c r="L1033" s="18">
        <f>IF(B1033="","",MONTH(B1033))</f>
        <v/>
      </c>
      <c r="M1033" s="18">
        <f>IF(OR(B1033="",I1033=""),"",I1033-B1033)</f>
        <v/>
      </c>
      <c r="N1033" s="21">
        <f>IF(B1033="","",IF(I1033="",IF(H1033="","",IF(TODAY()&gt;H1033,"Atrasado (em aberto)","Em aberto")),IF(I1033&lt;=H1033,"No prazo","Fora do prazo")))</f>
        <v/>
      </c>
    </row>
    <row r="1034">
      <c r="B1034" s="22" t="n"/>
      <c r="E1034" s="23" t="n"/>
      <c r="F1034" s="24" t="n"/>
      <c r="H1034" s="22" t="n"/>
      <c r="I1034" s="22" t="n"/>
      <c r="J1034" s="21">
        <f>IF(C1034="","",IFERROR(INDEX(Clientes!$B:$B,MATCH(C1034,Clientes!$A:$A,0)),"Cód. não cadastrado"))</f>
        <v/>
      </c>
      <c r="K1034" s="18">
        <f>IF(B1034="","",YEAR(B1034))</f>
        <v/>
      </c>
      <c r="L1034" s="18">
        <f>IF(B1034="","",MONTH(B1034))</f>
        <v/>
      </c>
      <c r="M1034" s="18">
        <f>IF(OR(B1034="",I1034=""),"",I1034-B1034)</f>
        <v/>
      </c>
      <c r="N1034" s="21">
        <f>IF(B1034="","",IF(I1034="",IF(H1034="","",IF(TODAY()&gt;H1034,"Atrasado (em aberto)","Em aberto")),IF(I1034&lt;=H1034,"No prazo","Fora do prazo")))</f>
        <v/>
      </c>
    </row>
    <row r="1035">
      <c r="B1035" s="22" t="n"/>
      <c r="E1035" s="23" t="n"/>
      <c r="F1035" s="24" t="n"/>
      <c r="H1035" s="22" t="n"/>
      <c r="I1035" s="22" t="n"/>
      <c r="J1035" s="21">
        <f>IF(C1035="","",IFERROR(INDEX(Clientes!$B:$B,MATCH(C1035,Clientes!$A:$A,0)),"Cód. não cadastrado"))</f>
        <v/>
      </c>
      <c r="K1035" s="18">
        <f>IF(B1035="","",YEAR(B1035))</f>
        <v/>
      </c>
      <c r="L1035" s="18">
        <f>IF(B1035="","",MONTH(B1035))</f>
        <v/>
      </c>
      <c r="M1035" s="18">
        <f>IF(OR(B1035="",I1035=""),"",I1035-B1035)</f>
        <v/>
      </c>
      <c r="N1035" s="21">
        <f>IF(B1035="","",IF(I1035="",IF(H1035="","",IF(TODAY()&gt;H1035,"Atrasado (em aberto)","Em aberto")),IF(I1035&lt;=H1035,"No prazo","Fora do prazo")))</f>
        <v/>
      </c>
    </row>
    <row r="1036">
      <c r="B1036" s="22" t="n"/>
      <c r="E1036" s="23" t="n"/>
      <c r="F1036" s="24" t="n"/>
      <c r="H1036" s="22" t="n"/>
      <c r="I1036" s="22" t="n"/>
      <c r="J1036" s="21">
        <f>IF(C1036="","",IFERROR(INDEX(Clientes!$B:$B,MATCH(C1036,Clientes!$A:$A,0)),"Cód. não cadastrado"))</f>
        <v/>
      </c>
      <c r="K1036" s="18">
        <f>IF(B1036="","",YEAR(B1036))</f>
        <v/>
      </c>
      <c r="L1036" s="18">
        <f>IF(B1036="","",MONTH(B1036))</f>
        <v/>
      </c>
      <c r="M1036" s="18">
        <f>IF(OR(B1036="",I1036=""),"",I1036-B1036)</f>
        <v/>
      </c>
      <c r="N1036" s="21">
        <f>IF(B1036="","",IF(I1036="",IF(H1036="","",IF(TODAY()&gt;H1036,"Atrasado (em aberto)","Em aberto")),IF(I1036&lt;=H1036,"No prazo","Fora do prazo")))</f>
        <v/>
      </c>
    </row>
    <row r="1037">
      <c r="B1037" s="22" t="n"/>
      <c r="E1037" s="23" t="n"/>
      <c r="F1037" s="24" t="n"/>
      <c r="H1037" s="22" t="n"/>
      <c r="I1037" s="22" t="n"/>
      <c r="J1037" s="21">
        <f>IF(C1037="","",IFERROR(INDEX(Clientes!$B:$B,MATCH(C1037,Clientes!$A:$A,0)),"Cód. não cadastrado"))</f>
        <v/>
      </c>
      <c r="K1037" s="18">
        <f>IF(B1037="","",YEAR(B1037))</f>
        <v/>
      </c>
      <c r="L1037" s="18">
        <f>IF(B1037="","",MONTH(B1037))</f>
        <v/>
      </c>
      <c r="M1037" s="18">
        <f>IF(OR(B1037="",I1037=""),"",I1037-B1037)</f>
        <v/>
      </c>
      <c r="N1037" s="21">
        <f>IF(B1037="","",IF(I1037="",IF(H1037="","",IF(TODAY()&gt;H1037,"Atrasado (em aberto)","Em aberto")),IF(I1037&lt;=H1037,"No prazo","Fora do prazo")))</f>
        <v/>
      </c>
    </row>
    <row r="1038">
      <c r="B1038" s="22" t="n"/>
      <c r="E1038" s="23" t="n"/>
      <c r="F1038" s="24" t="n"/>
      <c r="H1038" s="22" t="n"/>
      <c r="I1038" s="22" t="n"/>
      <c r="J1038" s="21">
        <f>IF(C1038="","",IFERROR(INDEX(Clientes!$B:$B,MATCH(C1038,Clientes!$A:$A,0)),"Cód. não cadastrado"))</f>
        <v/>
      </c>
      <c r="K1038" s="18">
        <f>IF(B1038="","",YEAR(B1038))</f>
        <v/>
      </c>
      <c r="L1038" s="18">
        <f>IF(B1038="","",MONTH(B1038))</f>
        <v/>
      </c>
      <c r="M1038" s="18">
        <f>IF(OR(B1038="",I1038=""),"",I1038-B1038)</f>
        <v/>
      </c>
      <c r="N1038" s="21">
        <f>IF(B1038="","",IF(I1038="",IF(H1038="","",IF(TODAY()&gt;H1038,"Atrasado (em aberto)","Em aberto")),IF(I1038&lt;=H1038,"No prazo","Fora do prazo")))</f>
        <v/>
      </c>
    </row>
    <row r="1039">
      <c r="B1039" s="22" t="n"/>
      <c r="E1039" s="23" t="n"/>
      <c r="F1039" s="24" t="n"/>
      <c r="H1039" s="22" t="n"/>
      <c r="I1039" s="22" t="n"/>
      <c r="J1039" s="21">
        <f>IF(C1039="","",IFERROR(INDEX(Clientes!$B:$B,MATCH(C1039,Clientes!$A:$A,0)),"Cód. não cadastrado"))</f>
        <v/>
      </c>
      <c r="K1039" s="18">
        <f>IF(B1039="","",YEAR(B1039))</f>
        <v/>
      </c>
      <c r="L1039" s="18">
        <f>IF(B1039="","",MONTH(B1039))</f>
        <v/>
      </c>
      <c r="M1039" s="18">
        <f>IF(OR(B1039="",I1039=""),"",I1039-B1039)</f>
        <v/>
      </c>
      <c r="N1039" s="21">
        <f>IF(B1039="","",IF(I1039="",IF(H1039="","",IF(TODAY()&gt;H1039,"Atrasado (em aberto)","Em aberto")),IF(I1039&lt;=H1039,"No prazo","Fora do prazo")))</f>
        <v/>
      </c>
    </row>
    <row r="1040">
      <c r="B1040" s="22" t="n"/>
      <c r="E1040" s="23" t="n"/>
      <c r="F1040" s="24" t="n"/>
      <c r="H1040" s="22" t="n"/>
      <c r="I1040" s="22" t="n"/>
      <c r="J1040" s="21">
        <f>IF(C1040="","",IFERROR(INDEX(Clientes!$B:$B,MATCH(C1040,Clientes!$A:$A,0)),"Cód. não cadastrado"))</f>
        <v/>
      </c>
      <c r="K1040" s="18">
        <f>IF(B1040="","",YEAR(B1040))</f>
        <v/>
      </c>
      <c r="L1040" s="18">
        <f>IF(B1040="","",MONTH(B1040))</f>
        <v/>
      </c>
      <c r="M1040" s="18">
        <f>IF(OR(B1040="",I1040=""),"",I1040-B1040)</f>
        <v/>
      </c>
      <c r="N1040" s="21">
        <f>IF(B1040="","",IF(I1040="",IF(H1040="","",IF(TODAY()&gt;H1040,"Atrasado (em aberto)","Em aberto")),IF(I1040&lt;=H1040,"No prazo","Fora do prazo")))</f>
        <v/>
      </c>
    </row>
    <row r="1041">
      <c r="B1041" s="22" t="n"/>
      <c r="E1041" s="23" t="n"/>
      <c r="F1041" s="24" t="n"/>
      <c r="H1041" s="22" t="n"/>
      <c r="I1041" s="22" t="n"/>
      <c r="J1041" s="21">
        <f>IF(C1041="","",IFERROR(INDEX(Clientes!$B:$B,MATCH(C1041,Clientes!$A:$A,0)),"Cód. não cadastrado"))</f>
        <v/>
      </c>
      <c r="K1041" s="18">
        <f>IF(B1041="","",YEAR(B1041))</f>
        <v/>
      </c>
      <c r="L1041" s="18">
        <f>IF(B1041="","",MONTH(B1041))</f>
        <v/>
      </c>
      <c r="M1041" s="18">
        <f>IF(OR(B1041="",I1041=""),"",I1041-B1041)</f>
        <v/>
      </c>
      <c r="N1041" s="21">
        <f>IF(B1041="","",IF(I1041="",IF(H1041="","",IF(TODAY()&gt;H1041,"Atrasado (em aberto)","Em aberto")),IF(I1041&lt;=H1041,"No prazo","Fora do prazo")))</f>
        <v/>
      </c>
    </row>
    <row r="1042">
      <c r="B1042" s="22" t="n"/>
      <c r="E1042" s="23" t="n"/>
      <c r="F1042" s="24" t="n"/>
      <c r="H1042" s="22" t="n"/>
      <c r="I1042" s="22" t="n"/>
      <c r="J1042" s="21">
        <f>IF(C1042="","",IFERROR(INDEX(Clientes!$B:$B,MATCH(C1042,Clientes!$A:$A,0)),"Cód. não cadastrado"))</f>
        <v/>
      </c>
      <c r="K1042" s="18">
        <f>IF(B1042="","",YEAR(B1042))</f>
        <v/>
      </c>
      <c r="L1042" s="18">
        <f>IF(B1042="","",MONTH(B1042))</f>
        <v/>
      </c>
      <c r="M1042" s="18">
        <f>IF(OR(B1042="",I1042=""),"",I1042-B1042)</f>
        <v/>
      </c>
      <c r="N1042" s="21">
        <f>IF(B1042="","",IF(I1042="",IF(H1042="","",IF(TODAY()&gt;H1042,"Atrasado (em aberto)","Em aberto")),IF(I1042&lt;=H1042,"No prazo","Fora do prazo")))</f>
        <v/>
      </c>
    </row>
    <row r="1043">
      <c r="B1043" s="22" t="n"/>
      <c r="E1043" s="23" t="n"/>
      <c r="F1043" s="24" t="n"/>
      <c r="H1043" s="22" t="n"/>
      <c r="I1043" s="22" t="n"/>
      <c r="J1043" s="21">
        <f>IF(C1043="","",IFERROR(INDEX(Clientes!$B:$B,MATCH(C1043,Clientes!$A:$A,0)),"Cód. não cadastrado"))</f>
        <v/>
      </c>
      <c r="K1043" s="18">
        <f>IF(B1043="","",YEAR(B1043))</f>
        <v/>
      </c>
      <c r="L1043" s="18">
        <f>IF(B1043="","",MONTH(B1043))</f>
        <v/>
      </c>
      <c r="M1043" s="18">
        <f>IF(OR(B1043="",I1043=""),"",I1043-B1043)</f>
        <v/>
      </c>
      <c r="N1043" s="21">
        <f>IF(B1043="","",IF(I1043="",IF(H1043="","",IF(TODAY()&gt;H1043,"Atrasado (em aberto)","Em aberto")),IF(I1043&lt;=H1043,"No prazo","Fora do prazo")))</f>
        <v/>
      </c>
    </row>
    <row r="1044">
      <c r="B1044" s="22" t="n"/>
      <c r="E1044" s="23" t="n"/>
      <c r="F1044" s="24" t="n"/>
      <c r="H1044" s="22" t="n"/>
      <c r="I1044" s="22" t="n"/>
      <c r="J1044" s="21">
        <f>IF(C1044="","",IFERROR(INDEX(Clientes!$B:$B,MATCH(C1044,Clientes!$A:$A,0)),"Cód. não cadastrado"))</f>
        <v/>
      </c>
      <c r="K1044" s="18">
        <f>IF(B1044="","",YEAR(B1044))</f>
        <v/>
      </c>
      <c r="L1044" s="18">
        <f>IF(B1044="","",MONTH(B1044))</f>
        <v/>
      </c>
      <c r="M1044" s="18">
        <f>IF(OR(B1044="",I1044=""),"",I1044-B1044)</f>
        <v/>
      </c>
      <c r="N1044" s="21">
        <f>IF(B1044="","",IF(I1044="",IF(H1044="","",IF(TODAY()&gt;H1044,"Atrasado (em aberto)","Em aberto")),IF(I1044&lt;=H1044,"No prazo","Fora do prazo")))</f>
        <v/>
      </c>
    </row>
    <row r="1045">
      <c r="B1045" s="22" t="n"/>
      <c r="E1045" s="23" t="n"/>
      <c r="F1045" s="24" t="n"/>
      <c r="H1045" s="22" t="n"/>
      <c r="I1045" s="22" t="n"/>
      <c r="J1045" s="21">
        <f>IF(C1045="","",IFERROR(INDEX(Clientes!$B:$B,MATCH(C1045,Clientes!$A:$A,0)),"Cód. não cadastrado"))</f>
        <v/>
      </c>
      <c r="K1045" s="18">
        <f>IF(B1045="","",YEAR(B1045))</f>
        <v/>
      </c>
      <c r="L1045" s="18">
        <f>IF(B1045="","",MONTH(B1045))</f>
        <v/>
      </c>
      <c r="M1045" s="18">
        <f>IF(OR(B1045="",I1045=""),"",I1045-B1045)</f>
        <v/>
      </c>
      <c r="N1045" s="21">
        <f>IF(B1045="","",IF(I1045="",IF(H1045="","",IF(TODAY()&gt;H1045,"Atrasado (em aberto)","Em aberto")),IF(I1045&lt;=H1045,"No prazo","Fora do prazo")))</f>
        <v/>
      </c>
    </row>
    <row r="1046">
      <c r="B1046" s="22" t="n"/>
      <c r="E1046" s="23" t="n"/>
      <c r="F1046" s="24" t="n"/>
      <c r="H1046" s="22" t="n"/>
      <c r="I1046" s="22" t="n"/>
      <c r="J1046" s="21">
        <f>IF(C1046="","",IFERROR(INDEX(Clientes!$B:$B,MATCH(C1046,Clientes!$A:$A,0)),"Cód. não cadastrado"))</f>
        <v/>
      </c>
      <c r="K1046" s="18">
        <f>IF(B1046="","",YEAR(B1046))</f>
        <v/>
      </c>
      <c r="L1046" s="18">
        <f>IF(B1046="","",MONTH(B1046))</f>
        <v/>
      </c>
      <c r="M1046" s="18">
        <f>IF(OR(B1046="",I1046=""),"",I1046-B1046)</f>
        <v/>
      </c>
      <c r="N1046" s="21">
        <f>IF(B1046="","",IF(I1046="",IF(H1046="","",IF(TODAY()&gt;H1046,"Atrasado (em aberto)","Em aberto")),IF(I1046&lt;=H1046,"No prazo","Fora do prazo")))</f>
        <v/>
      </c>
    </row>
    <row r="1047">
      <c r="B1047" s="22" t="n"/>
      <c r="E1047" s="23" t="n"/>
      <c r="F1047" s="24" t="n"/>
      <c r="H1047" s="22" t="n"/>
      <c r="I1047" s="22" t="n"/>
      <c r="J1047" s="21">
        <f>IF(C1047="","",IFERROR(INDEX(Clientes!$B:$B,MATCH(C1047,Clientes!$A:$A,0)),"Cód. não cadastrado"))</f>
        <v/>
      </c>
      <c r="K1047" s="18">
        <f>IF(B1047="","",YEAR(B1047))</f>
        <v/>
      </c>
      <c r="L1047" s="18">
        <f>IF(B1047="","",MONTH(B1047))</f>
        <v/>
      </c>
      <c r="M1047" s="18">
        <f>IF(OR(B1047="",I1047=""),"",I1047-B1047)</f>
        <v/>
      </c>
      <c r="N1047" s="21">
        <f>IF(B1047="","",IF(I1047="",IF(H1047="","",IF(TODAY()&gt;H1047,"Atrasado (em aberto)","Em aberto")),IF(I1047&lt;=H1047,"No prazo","Fora do prazo")))</f>
        <v/>
      </c>
    </row>
    <row r="1048">
      <c r="B1048" s="22" t="n"/>
      <c r="E1048" s="23" t="n"/>
      <c r="F1048" s="24" t="n"/>
      <c r="H1048" s="22" t="n"/>
      <c r="I1048" s="22" t="n"/>
      <c r="J1048" s="21">
        <f>IF(C1048="","",IFERROR(INDEX(Clientes!$B:$B,MATCH(C1048,Clientes!$A:$A,0)),"Cód. não cadastrado"))</f>
        <v/>
      </c>
      <c r="K1048" s="18">
        <f>IF(B1048="","",YEAR(B1048))</f>
        <v/>
      </c>
      <c r="L1048" s="18">
        <f>IF(B1048="","",MONTH(B1048))</f>
        <v/>
      </c>
      <c r="M1048" s="18">
        <f>IF(OR(B1048="",I1048=""),"",I1048-B1048)</f>
        <v/>
      </c>
      <c r="N1048" s="21">
        <f>IF(B1048="","",IF(I1048="",IF(H1048="","",IF(TODAY()&gt;H1048,"Atrasado (em aberto)","Em aberto")),IF(I1048&lt;=H1048,"No prazo","Fora do prazo")))</f>
        <v/>
      </c>
    </row>
    <row r="1049">
      <c r="B1049" s="22" t="n"/>
      <c r="E1049" s="23" t="n"/>
      <c r="F1049" s="24" t="n"/>
      <c r="H1049" s="22" t="n"/>
      <c r="I1049" s="22" t="n"/>
      <c r="J1049" s="21">
        <f>IF(C1049="","",IFERROR(INDEX(Clientes!$B:$B,MATCH(C1049,Clientes!$A:$A,0)),"Cód. não cadastrado"))</f>
        <v/>
      </c>
      <c r="K1049" s="18">
        <f>IF(B1049="","",YEAR(B1049))</f>
        <v/>
      </c>
      <c r="L1049" s="18">
        <f>IF(B1049="","",MONTH(B1049))</f>
        <v/>
      </c>
      <c r="M1049" s="18">
        <f>IF(OR(B1049="",I1049=""),"",I1049-B1049)</f>
        <v/>
      </c>
      <c r="N1049" s="21">
        <f>IF(B1049="","",IF(I1049="",IF(H1049="","",IF(TODAY()&gt;H1049,"Atrasado (em aberto)","Em aberto")),IF(I1049&lt;=H1049,"No prazo","Fora do prazo")))</f>
        <v/>
      </c>
    </row>
    <row r="1050">
      <c r="B1050" s="22" t="n"/>
      <c r="E1050" s="23" t="n"/>
      <c r="F1050" s="24" t="n"/>
      <c r="H1050" s="22" t="n"/>
      <c r="I1050" s="22" t="n"/>
      <c r="J1050" s="21">
        <f>IF(C1050="","",IFERROR(INDEX(Clientes!$B:$B,MATCH(C1050,Clientes!$A:$A,0)),"Cód. não cadastrado"))</f>
        <v/>
      </c>
      <c r="K1050" s="18">
        <f>IF(B1050="","",YEAR(B1050))</f>
        <v/>
      </c>
      <c r="L1050" s="18">
        <f>IF(B1050="","",MONTH(B1050))</f>
        <v/>
      </c>
      <c r="M1050" s="18">
        <f>IF(OR(B1050="",I1050=""),"",I1050-B1050)</f>
        <v/>
      </c>
      <c r="N1050" s="21">
        <f>IF(B1050="","",IF(I1050="",IF(H1050="","",IF(TODAY()&gt;H1050,"Atrasado (em aberto)","Em aberto")),IF(I1050&lt;=H1050,"No prazo","Fora do prazo")))</f>
        <v/>
      </c>
    </row>
    <row r="1051">
      <c r="B1051" s="22" t="n"/>
      <c r="E1051" s="23" t="n"/>
      <c r="F1051" s="24" t="n"/>
      <c r="H1051" s="22" t="n"/>
      <c r="I1051" s="22" t="n"/>
      <c r="J1051" s="21">
        <f>IF(C1051="","",IFERROR(INDEX(Clientes!$B:$B,MATCH(C1051,Clientes!$A:$A,0)),"Cód. não cadastrado"))</f>
        <v/>
      </c>
      <c r="K1051" s="18">
        <f>IF(B1051="","",YEAR(B1051))</f>
        <v/>
      </c>
      <c r="L1051" s="18">
        <f>IF(B1051="","",MONTH(B1051))</f>
        <v/>
      </c>
      <c r="M1051" s="18">
        <f>IF(OR(B1051="",I1051=""),"",I1051-B1051)</f>
        <v/>
      </c>
      <c r="N1051" s="21">
        <f>IF(B1051="","",IF(I1051="",IF(H1051="","",IF(TODAY()&gt;H1051,"Atrasado (em aberto)","Em aberto")),IF(I1051&lt;=H1051,"No prazo","Fora do prazo")))</f>
        <v/>
      </c>
    </row>
    <row r="1052">
      <c r="B1052" s="22" t="n"/>
      <c r="E1052" s="23" t="n"/>
      <c r="F1052" s="24" t="n"/>
      <c r="H1052" s="22" t="n"/>
      <c r="I1052" s="22" t="n"/>
      <c r="J1052" s="21">
        <f>IF(C1052="","",IFERROR(INDEX(Clientes!$B:$B,MATCH(C1052,Clientes!$A:$A,0)),"Cód. não cadastrado"))</f>
        <v/>
      </c>
      <c r="K1052" s="18">
        <f>IF(B1052="","",YEAR(B1052))</f>
        <v/>
      </c>
      <c r="L1052" s="18">
        <f>IF(B1052="","",MONTH(B1052))</f>
        <v/>
      </c>
      <c r="M1052" s="18">
        <f>IF(OR(B1052="",I1052=""),"",I1052-B1052)</f>
        <v/>
      </c>
      <c r="N1052" s="21">
        <f>IF(B1052="","",IF(I1052="",IF(H1052="","",IF(TODAY()&gt;H1052,"Atrasado (em aberto)","Em aberto")),IF(I1052&lt;=H1052,"No prazo","Fora do prazo")))</f>
        <v/>
      </c>
    </row>
    <row r="1053">
      <c r="B1053" s="22" t="n"/>
      <c r="E1053" s="23" t="n"/>
      <c r="F1053" s="24" t="n"/>
      <c r="H1053" s="22" t="n"/>
      <c r="I1053" s="22" t="n"/>
      <c r="J1053" s="21">
        <f>IF(C1053="","",IFERROR(INDEX(Clientes!$B:$B,MATCH(C1053,Clientes!$A:$A,0)),"Cód. não cadastrado"))</f>
        <v/>
      </c>
      <c r="K1053" s="18">
        <f>IF(B1053="","",YEAR(B1053))</f>
        <v/>
      </c>
      <c r="L1053" s="18">
        <f>IF(B1053="","",MONTH(B1053))</f>
        <v/>
      </c>
      <c r="M1053" s="18">
        <f>IF(OR(B1053="",I1053=""),"",I1053-B1053)</f>
        <v/>
      </c>
      <c r="N1053" s="21">
        <f>IF(B1053="","",IF(I1053="",IF(H1053="","",IF(TODAY()&gt;H1053,"Atrasado (em aberto)","Em aberto")),IF(I1053&lt;=H1053,"No prazo","Fora do prazo")))</f>
        <v/>
      </c>
    </row>
    <row r="1054">
      <c r="B1054" s="22" t="n"/>
      <c r="E1054" s="23" t="n"/>
      <c r="F1054" s="24" t="n"/>
      <c r="H1054" s="22" t="n"/>
      <c r="I1054" s="22" t="n"/>
      <c r="J1054" s="21">
        <f>IF(C1054="","",IFERROR(INDEX(Clientes!$B:$B,MATCH(C1054,Clientes!$A:$A,0)),"Cód. não cadastrado"))</f>
        <v/>
      </c>
      <c r="K1054" s="18">
        <f>IF(B1054="","",YEAR(B1054))</f>
        <v/>
      </c>
      <c r="L1054" s="18">
        <f>IF(B1054="","",MONTH(B1054))</f>
        <v/>
      </c>
      <c r="M1054" s="18">
        <f>IF(OR(B1054="",I1054=""),"",I1054-B1054)</f>
        <v/>
      </c>
      <c r="N1054" s="21">
        <f>IF(B1054="","",IF(I1054="",IF(H1054="","",IF(TODAY()&gt;H1054,"Atrasado (em aberto)","Em aberto")),IF(I1054&lt;=H1054,"No prazo","Fora do prazo")))</f>
        <v/>
      </c>
    </row>
    <row r="1055">
      <c r="B1055" s="22" t="n"/>
      <c r="E1055" s="23" t="n"/>
      <c r="F1055" s="24" t="n"/>
      <c r="H1055" s="22" t="n"/>
      <c r="I1055" s="22" t="n"/>
      <c r="J1055" s="21">
        <f>IF(C1055="","",IFERROR(INDEX(Clientes!$B:$B,MATCH(C1055,Clientes!$A:$A,0)),"Cód. não cadastrado"))</f>
        <v/>
      </c>
      <c r="K1055" s="18">
        <f>IF(B1055="","",YEAR(B1055))</f>
        <v/>
      </c>
      <c r="L1055" s="18">
        <f>IF(B1055="","",MONTH(B1055))</f>
        <v/>
      </c>
      <c r="M1055" s="18">
        <f>IF(OR(B1055="",I1055=""),"",I1055-B1055)</f>
        <v/>
      </c>
      <c r="N1055" s="21">
        <f>IF(B1055="","",IF(I1055="",IF(H1055="","",IF(TODAY()&gt;H1055,"Atrasado (em aberto)","Em aberto")),IF(I1055&lt;=H1055,"No prazo","Fora do prazo")))</f>
        <v/>
      </c>
    </row>
    <row r="1056">
      <c r="B1056" s="22" t="n"/>
      <c r="E1056" s="23" t="n"/>
      <c r="F1056" s="24" t="n"/>
      <c r="H1056" s="22" t="n"/>
      <c r="I1056" s="22" t="n"/>
      <c r="J1056" s="21">
        <f>IF(C1056="","",IFERROR(INDEX(Clientes!$B:$B,MATCH(C1056,Clientes!$A:$A,0)),"Cód. não cadastrado"))</f>
        <v/>
      </c>
      <c r="K1056" s="18">
        <f>IF(B1056="","",YEAR(B1056))</f>
        <v/>
      </c>
      <c r="L1056" s="18">
        <f>IF(B1056="","",MONTH(B1056))</f>
        <v/>
      </c>
      <c r="M1056" s="18">
        <f>IF(OR(B1056="",I1056=""),"",I1056-B1056)</f>
        <v/>
      </c>
      <c r="N1056" s="21">
        <f>IF(B1056="","",IF(I1056="",IF(H1056="","",IF(TODAY()&gt;H1056,"Atrasado (em aberto)","Em aberto")),IF(I1056&lt;=H1056,"No prazo","Fora do prazo")))</f>
        <v/>
      </c>
    </row>
    <row r="1057">
      <c r="B1057" s="22" t="n"/>
      <c r="E1057" s="23" t="n"/>
      <c r="F1057" s="24" t="n"/>
      <c r="H1057" s="22" t="n"/>
      <c r="I1057" s="22" t="n"/>
      <c r="J1057" s="21">
        <f>IF(C1057="","",IFERROR(INDEX(Clientes!$B:$B,MATCH(C1057,Clientes!$A:$A,0)),"Cód. não cadastrado"))</f>
        <v/>
      </c>
      <c r="K1057" s="18">
        <f>IF(B1057="","",YEAR(B1057))</f>
        <v/>
      </c>
      <c r="L1057" s="18">
        <f>IF(B1057="","",MONTH(B1057))</f>
        <v/>
      </c>
      <c r="M1057" s="18">
        <f>IF(OR(B1057="",I1057=""),"",I1057-B1057)</f>
        <v/>
      </c>
      <c r="N1057" s="21">
        <f>IF(B1057="","",IF(I1057="",IF(H1057="","",IF(TODAY()&gt;H1057,"Atrasado (em aberto)","Em aberto")),IF(I1057&lt;=H1057,"No prazo","Fora do prazo")))</f>
        <v/>
      </c>
    </row>
    <row r="1058">
      <c r="B1058" s="22" t="n"/>
      <c r="E1058" s="23" t="n"/>
      <c r="F1058" s="24" t="n"/>
      <c r="H1058" s="22" t="n"/>
      <c r="I1058" s="22" t="n"/>
      <c r="J1058" s="21">
        <f>IF(C1058="","",IFERROR(INDEX(Clientes!$B:$B,MATCH(C1058,Clientes!$A:$A,0)),"Cód. não cadastrado"))</f>
        <v/>
      </c>
      <c r="K1058" s="18">
        <f>IF(B1058="","",YEAR(B1058))</f>
        <v/>
      </c>
      <c r="L1058" s="18">
        <f>IF(B1058="","",MONTH(B1058))</f>
        <v/>
      </c>
      <c r="M1058" s="18">
        <f>IF(OR(B1058="",I1058=""),"",I1058-B1058)</f>
        <v/>
      </c>
      <c r="N1058" s="21">
        <f>IF(B1058="","",IF(I1058="",IF(H1058="","",IF(TODAY()&gt;H1058,"Atrasado (em aberto)","Em aberto")),IF(I1058&lt;=H1058,"No prazo","Fora do prazo")))</f>
        <v/>
      </c>
    </row>
    <row r="1059">
      <c r="B1059" s="22" t="n"/>
      <c r="E1059" s="23" t="n"/>
      <c r="F1059" s="24" t="n"/>
      <c r="H1059" s="22" t="n"/>
      <c r="I1059" s="22" t="n"/>
      <c r="J1059" s="21">
        <f>IF(C1059="","",IFERROR(INDEX(Clientes!$B:$B,MATCH(C1059,Clientes!$A:$A,0)),"Cód. não cadastrado"))</f>
        <v/>
      </c>
      <c r="K1059" s="18">
        <f>IF(B1059="","",YEAR(B1059))</f>
        <v/>
      </c>
      <c r="L1059" s="18">
        <f>IF(B1059="","",MONTH(B1059))</f>
        <v/>
      </c>
      <c r="M1059" s="18">
        <f>IF(OR(B1059="",I1059=""),"",I1059-B1059)</f>
        <v/>
      </c>
      <c r="N1059" s="21">
        <f>IF(B1059="","",IF(I1059="",IF(H1059="","",IF(TODAY()&gt;H1059,"Atrasado (em aberto)","Em aberto")),IF(I1059&lt;=H1059,"No prazo","Fora do prazo")))</f>
        <v/>
      </c>
    </row>
    <row r="1060">
      <c r="B1060" s="22" t="n"/>
      <c r="E1060" s="23" t="n"/>
      <c r="F1060" s="24" t="n"/>
      <c r="H1060" s="22" t="n"/>
      <c r="I1060" s="22" t="n"/>
      <c r="J1060" s="21">
        <f>IF(C1060="","",IFERROR(INDEX(Clientes!$B:$B,MATCH(C1060,Clientes!$A:$A,0)),"Cód. não cadastrado"))</f>
        <v/>
      </c>
      <c r="K1060" s="18">
        <f>IF(B1060="","",YEAR(B1060))</f>
        <v/>
      </c>
      <c r="L1060" s="18">
        <f>IF(B1060="","",MONTH(B1060))</f>
        <v/>
      </c>
      <c r="M1060" s="18">
        <f>IF(OR(B1060="",I1060=""),"",I1060-B1060)</f>
        <v/>
      </c>
      <c r="N1060" s="21">
        <f>IF(B1060="","",IF(I1060="",IF(H1060="","",IF(TODAY()&gt;H1060,"Atrasado (em aberto)","Em aberto")),IF(I1060&lt;=H1060,"No prazo","Fora do prazo")))</f>
        <v/>
      </c>
    </row>
    <row r="1061">
      <c r="B1061" s="22" t="n"/>
      <c r="E1061" s="23" t="n"/>
      <c r="F1061" s="24" t="n"/>
      <c r="H1061" s="22" t="n"/>
      <c r="I1061" s="22" t="n"/>
      <c r="J1061" s="21">
        <f>IF(C1061="","",IFERROR(INDEX(Clientes!$B:$B,MATCH(C1061,Clientes!$A:$A,0)),"Cód. não cadastrado"))</f>
        <v/>
      </c>
      <c r="K1061" s="18">
        <f>IF(B1061="","",YEAR(B1061))</f>
        <v/>
      </c>
      <c r="L1061" s="18">
        <f>IF(B1061="","",MONTH(B1061))</f>
        <v/>
      </c>
      <c r="M1061" s="18">
        <f>IF(OR(B1061="",I1061=""),"",I1061-B1061)</f>
        <v/>
      </c>
      <c r="N1061" s="21">
        <f>IF(B1061="","",IF(I1061="",IF(H1061="","",IF(TODAY()&gt;H1061,"Atrasado (em aberto)","Em aberto")),IF(I1061&lt;=H1061,"No prazo","Fora do prazo")))</f>
        <v/>
      </c>
    </row>
    <row r="1062">
      <c r="B1062" s="22" t="n"/>
      <c r="E1062" s="23" t="n"/>
      <c r="F1062" s="24" t="n"/>
      <c r="H1062" s="22" t="n"/>
      <c r="I1062" s="22" t="n"/>
      <c r="J1062" s="21">
        <f>IF(C1062="","",IFERROR(INDEX(Clientes!$B:$B,MATCH(C1062,Clientes!$A:$A,0)),"Cód. não cadastrado"))</f>
        <v/>
      </c>
      <c r="K1062" s="18">
        <f>IF(B1062="","",YEAR(B1062))</f>
        <v/>
      </c>
      <c r="L1062" s="18">
        <f>IF(B1062="","",MONTH(B1062))</f>
        <v/>
      </c>
      <c r="M1062" s="18">
        <f>IF(OR(B1062="",I1062=""),"",I1062-B1062)</f>
        <v/>
      </c>
      <c r="N1062" s="21">
        <f>IF(B1062="","",IF(I1062="",IF(H1062="","",IF(TODAY()&gt;H1062,"Atrasado (em aberto)","Em aberto")),IF(I1062&lt;=H1062,"No prazo","Fora do prazo")))</f>
        <v/>
      </c>
    </row>
    <row r="1063">
      <c r="B1063" s="22" t="n"/>
      <c r="E1063" s="23" t="n"/>
      <c r="F1063" s="24" t="n"/>
      <c r="H1063" s="22" t="n"/>
      <c r="I1063" s="22" t="n"/>
      <c r="J1063" s="21">
        <f>IF(C1063="","",IFERROR(INDEX(Clientes!$B:$B,MATCH(C1063,Clientes!$A:$A,0)),"Cód. não cadastrado"))</f>
        <v/>
      </c>
      <c r="K1063" s="18">
        <f>IF(B1063="","",YEAR(B1063))</f>
        <v/>
      </c>
      <c r="L1063" s="18">
        <f>IF(B1063="","",MONTH(B1063))</f>
        <v/>
      </c>
      <c r="M1063" s="18">
        <f>IF(OR(B1063="",I1063=""),"",I1063-B1063)</f>
        <v/>
      </c>
      <c r="N1063" s="21">
        <f>IF(B1063="","",IF(I1063="",IF(H1063="","",IF(TODAY()&gt;H1063,"Atrasado (em aberto)","Em aberto")),IF(I1063&lt;=H1063,"No prazo","Fora do prazo")))</f>
        <v/>
      </c>
    </row>
    <row r="1064">
      <c r="B1064" s="22" t="n"/>
      <c r="E1064" s="23" t="n"/>
      <c r="F1064" s="24" t="n"/>
      <c r="H1064" s="22" t="n"/>
      <c r="I1064" s="22" t="n"/>
      <c r="J1064" s="21">
        <f>IF(C1064="","",IFERROR(INDEX(Clientes!$B:$B,MATCH(C1064,Clientes!$A:$A,0)),"Cód. não cadastrado"))</f>
        <v/>
      </c>
      <c r="K1064" s="18">
        <f>IF(B1064="","",YEAR(B1064))</f>
        <v/>
      </c>
      <c r="L1064" s="18">
        <f>IF(B1064="","",MONTH(B1064))</f>
        <v/>
      </c>
      <c r="M1064" s="18">
        <f>IF(OR(B1064="",I1064=""),"",I1064-B1064)</f>
        <v/>
      </c>
      <c r="N1064" s="21">
        <f>IF(B1064="","",IF(I1064="",IF(H1064="","",IF(TODAY()&gt;H1064,"Atrasado (em aberto)","Em aberto")),IF(I1064&lt;=H1064,"No prazo","Fora do prazo")))</f>
        <v/>
      </c>
    </row>
    <row r="1065">
      <c r="B1065" s="22" t="n"/>
      <c r="E1065" s="23" t="n"/>
      <c r="F1065" s="24" t="n"/>
      <c r="H1065" s="22" t="n"/>
      <c r="I1065" s="22" t="n"/>
      <c r="J1065" s="21">
        <f>IF(C1065="","",IFERROR(INDEX(Clientes!$B:$B,MATCH(C1065,Clientes!$A:$A,0)),"Cód. não cadastrado"))</f>
        <v/>
      </c>
      <c r="K1065" s="18">
        <f>IF(B1065="","",YEAR(B1065))</f>
        <v/>
      </c>
      <c r="L1065" s="18">
        <f>IF(B1065="","",MONTH(B1065))</f>
        <v/>
      </c>
      <c r="M1065" s="18">
        <f>IF(OR(B1065="",I1065=""),"",I1065-B1065)</f>
        <v/>
      </c>
      <c r="N1065" s="21">
        <f>IF(B1065="","",IF(I1065="",IF(H1065="","",IF(TODAY()&gt;H1065,"Atrasado (em aberto)","Em aberto")),IF(I1065&lt;=H1065,"No prazo","Fora do prazo")))</f>
        <v/>
      </c>
    </row>
    <row r="1066">
      <c r="B1066" s="22" t="n"/>
      <c r="E1066" s="23" t="n"/>
      <c r="F1066" s="24" t="n"/>
      <c r="H1066" s="22" t="n"/>
      <c r="I1066" s="22" t="n"/>
      <c r="J1066" s="21">
        <f>IF(C1066="","",IFERROR(INDEX(Clientes!$B:$B,MATCH(C1066,Clientes!$A:$A,0)),"Cód. não cadastrado"))</f>
        <v/>
      </c>
      <c r="K1066" s="18">
        <f>IF(B1066="","",YEAR(B1066))</f>
        <v/>
      </c>
      <c r="L1066" s="18">
        <f>IF(B1066="","",MONTH(B1066))</f>
        <v/>
      </c>
      <c r="M1066" s="18">
        <f>IF(OR(B1066="",I1066=""),"",I1066-B1066)</f>
        <v/>
      </c>
      <c r="N1066" s="21">
        <f>IF(B1066="","",IF(I1066="",IF(H1066="","",IF(TODAY()&gt;H1066,"Atrasado (em aberto)","Em aberto")),IF(I1066&lt;=H1066,"No prazo","Fora do prazo")))</f>
        <v/>
      </c>
    </row>
    <row r="1067">
      <c r="B1067" s="22" t="n"/>
      <c r="E1067" s="23" t="n"/>
      <c r="F1067" s="24" t="n"/>
      <c r="H1067" s="22" t="n"/>
      <c r="I1067" s="22" t="n"/>
      <c r="J1067" s="21">
        <f>IF(C1067="","",IFERROR(INDEX(Clientes!$B:$B,MATCH(C1067,Clientes!$A:$A,0)),"Cód. não cadastrado"))</f>
        <v/>
      </c>
      <c r="K1067" s="18">
        <f>IF(B1067="","",YEAR(B1067))</f>
        <v/>
      </c>
      <c r="L1067" s="18">
        <f>IF(B1067="","",MONTH(B1067))</f>
        <v/>
      </c>
      <c r="M1067" s="18">
        <f>IF(OR(B1067="",I1067=""),"",I1067-B1067)</f>
        <v/>
      </c>
      <c r="N1067" s="21">
        <f>IF(B1067="","",IF(I1067="",IF(H1067="","",IF(TODAY()&gt;H1067,"Atrasado (em aberto)","Em aberto")),IF(I1067&lt;=H1067,"No prazo","Fora do prazo")))</f>
        <v/>
      </c>
    </row>
    <row r="1068">
      <c r="B1068" s="22" t="n"/>
      <c r="E1068" s="23" t="n"/>
      <c r="F1068" s="24" t="n"/>
      <c r="H1068" s="22" t="n"/>
      <c r="I1068" s="22" t="n"/>
      <c r="J1068" s="21">
        <f>IF(C1068="","",IFERROR(INDEX(Clientes!$B:$B,MATCH(C1068,Clientes!$A:$A,0)),"Cód. não cadastrado"))</f>
        <v/>
      </c>
      <c r="K1068" s="18">
        <f>IF(B1068="","",YEAR(B1068))</f>
        <v/>
      </c>
      <c r="L1068" s="18">
        <f>IF(B1068="","",MONTH(B1068))</f>
        <v/>
      </c>
      <c r="M1068" s="18">
        <f>IF(OR(B1068="",I1068=""),"",I1068-B1068)</f>
        <v/>
      </c>
      <c r="N1068" s="21">
        <f>IF(B1068="","",IF(I1068="",IF(H1068="","",IF(TODAY()&gt;H1068,"Atrasado (em aberto)","Em aberto")),IF(I1068&lt;=H1068,"No prazo","Fora do prazo")))</f>
        <v/>
      </c>
    </row>
    <row r="1069">
      <c r="B1069" s="22" t="n"/>
      <c r="E1069" s="23" t="n"/>
      <c r="F1069" s="24" t="n"/>
      <c r="H1069" s="22" t="n"/>
      <c r="I1069" s="22" t="n"/>
      <c r="J1069" s="21">
        <f>IF(C1069="","",IFERROR(INDEX(Clientes!$B:$B,MATCH(C1069,Clientes!$A:$A,0)),"Cód. não cadastrado"))</f>
        <v/>
      </c>
      <c r="K1069" s="18">
        <f>IF(B1069="","",YEAR(B1069))</f>
        <v/>
      </c>
      <c r="L1069" s="18">
        <f>IF(B1069="","",MONTH(B1069))</f>
        <v/>
      </c>
      <c r="M1069" s="18">
        <f>IF(OR(B1069="",I1069=""),"",I1069-B1069)</f>
        <v/>
      </c>
      <c r="N1069" s="21">
        <f>IF(B1069="","",IF(I1069="",IF(H1069="","",IF(TODAY()&gt;H1069,"Atrasado (em aberto)","Em aberto")),IF(I1069&lt;=H1069,"No prazo","Fora do prazo")))</f>
        <v/>
      </c>
    </row>
    <row r="1070">
      <c r="B1070" s="22" t="n"/>
      <c r="E1070" s="23" t="n"/>
      <c r="F1070" s="24" t="n"/>
      <c r="H1070" s="22" t="n"/>
      <c r="I1070" s="22" t="n"/>
      <c r="J1070" s="21">
        <f>IF(C1070="","",IFERROR(INDEX(Clientes!$B:$B,MATCH(C1070,Clientes!$A:$A,0)),"Cód. não cadastrado"))</f>
        <v/>
      </c>
      <c r="K1070" s="18">
        <f>IF(B1070="","",YEAR(B1070))</f>
        <v/>
      </c>
      <c r="L1070" s="18">
        <f>IF(B1070="","",MONTH(B1070))</f>
        <v/>
      </c>
      <c r="M1070" s="18">
        <f>IF(OR(B1070="",I1070=""),"",I1070-B1070)</f>
        <v/>
      </c>
      <c r="N1070" s="21">
        <f>IF(B1070="","",IF(I1070="",IF(H1070="","",IF(TODAY()&gt;H1070,"Atrasado (em aberto)","Em aberto")),IF(I1070&lt;=H1070,"No prazo","Fora do prazo")))</f>
        <v/>
      </c>
    </row>
    <row r="1071">
      <c r="B1071" s="22" t="n"/>
      <c r="E1071" s="23" t="n"/>
      <c r="F1071" s="24" t="n"/>
      <c r="H1071" s="22" t="n"/>
      <c r="I1071" s="22" t="n"/>
      <c r="J1071" s="21">
        <f>IF(C1071="","",IFERROR(INDEX(Clientes!$B:$B,MATCH(C1071,Clientes!$A:$A,0)),"Cód. não cadastrado"))</f>
        <v/>
      </c>
      <c r="K1071" s="18">
        <f>IF(B1071="","",YEAR(B1071))</f>
        <v/>
      </c>
      <c r="L1071" s="18">
        <f>IF(B1071="","",MONTH(B1071))</f>
        <v/>
      </c>
      <c r="M1071" s="18">
        <f>IF(OR(B1071="",I1071=""),"",I1071-B1071)</f>
        <v/>
      </c>
      <c r="N1071" s="21">
        <f>IF(B1071="","",IF(I1071="",IF(H1071="","",IF(TODAY()&gt;H1071,"Atrasado (em aberto)","Em aberto")),IF(I1071&lt;=H1071,"No prazo","Fora do prazo")))</f>
        <v/>
      </c>
    </row>
    <row r="1072">
      <c r="B1072" s="22" t="n"/>
      <c r="E1072" s="23" t="n"/>
      <c r="F1072" s="24" t="n"/>
      <c r="H1072" s="22" t="n"/>
      <c r="I1072" s="22" t="n"/>
      <c r="J1072" s="21">
        <f>IF(C1072="","",IFERROR(INDEX(Clientes!$B:$B,MATCH(C1072,Clientes!$A:$A,0)),"Cód. não cadastrado"))</f>
        <v/>
      </c>
      <c r="K1072" s="18">
        <f>IF(B1072="","",YEAR(B1072))</f>
        <v/>
      </c>
      <c r="L1072" s="18">
        <f>IF(B1072="","",MONTH(B1072))</f>
        <v/>
      </c>
      <c r="M1072" s="18">
        <f>IF(OR(B1072="",I1072=""),"",I1072-B1072)</f>
        <v/>
      </c>
      <c r="N1072" s="21">
        <f>IF(B1072="","",IF(I1072="",IF(H1072="","",IF(TODAY()&gt;H1072,"Atrasado (em aberto)","Em aberto")),IF(I1072&lt;=H1072,"No prazo","Fora do prazo")))</f>
        <v/>
      </c>
    </row>
    <row r="1073">
      <c r="B1073" s="22" t="n"/>
      <c r="E1073" s="23" t="n"/>
      <c r="F1073" s="24" t="n"/>
      <c r="H1073" s="22" t="n"/>
      <c r="I1073" s="22" t="n"/>
      <c r="J1073" s="21">
        <f>IF(C1073="","",IFERROR(INDEX(Clientes!$B:$B,MATCH(C1073,Clientes!$A:$A,0)),"Cód. não cadastrado"))</f>
        <v/>
      </c>
      <c r="K1073" s="18">
        <f>IF(B1073="","",YEAR(B1073))</f>
        <v/>
      </c>
      <c r="L1073" s="18">
        <f>IF(B1073="","",MONTH(B1073))</f>
        <v/>
      </c>
      <c r="M1073" s="18">
        <f>IF(OR(B1073="",I1073=""),"",I1073-B1073)</f>
        <v/>
      </c>
      <c r="N1073" s="21">
        <f>IF(B1073="","",IF(I1073="",IF(H1073="","",IF(TODAY()&gt;H1073,"Atrasado (em aberto)","Em aberto")),IF(I1073&lt;=H1073,"No prazo","Fora do prazo")))</f>
        <v/>
      </c>
    </row>
    <row r="1074">
      <c r="B1074" s="22" t="n"/>
      <c r="E1074" s="23" t="n"/>
      <c r="F1074" s="24" t="n"/>
      <c r="H1074" s="22" t="n"/>
      <c r="I1074" s="22" t="n"/>
      <c r="J1074" s="21">
        <f>IF(C1074="","",IFERROR(INDEX(Clientes!$B:$B,MATCH(C1074,Clientes!$A:$A,0)),"Cód. não cadastrado"))</f>
        <v/>
      </c>
      <c r="K1074" s="18">
        <f>IF(B1074="","",YEAR(B1074))</f>
        <v/>
      </c>
      <c r="L1074" s="18">
        <f>IF(B1074="","",MONTH(B1074))</f>
        <v/>
      </c>
      <c r="M1074" s="18">
        <f>IF(OR(B1074="",I1074=""),"",I1074-B1074)</f>
        <v/>
      </c>
      <c r="N1074" s="21">
        <f>IF(B1074="","",IF(I1074="",IF(H1074="","",IF(TODAY()&gt;H1074,"Atrasado (em aberto)","Em aberto")),IF(I1074&lt;=H1074,"No prazo","Fora do prazo")))</f>
        <v/>
      </c>
    </row>
    <row r="1075">
      <c r="B1075" s="22" t="n"/>
      <c r="E1075" s="23" t="n"/>
      <c r="F1075" s="24" t="n"/>
      <c r="H1075" s="22" t="n"/>
      <c r="I1075" s="22" t="n"/>
      <c r="J1075" s="21">
        <f>IF(C1075="","",IFERROR(INDEX(Clientes!$B:$B,MATCH(C1075,Clientes!$A:$A,0)),"Cód. não cadastrado"))</f>
        <v/>
      </c>
      <c r="K1075" s="18">
        <f>IF(B1075="","",YEAR(B1075))</f>
        <v/>
      </c>
      <c r="L1075" s="18">
        <f>IF(B1075="","",MONTH(B1075))</f>
        <v/>
      </c>
      <c r="M1075" s="18">
        <f>IF(OR(B1075="",I1075=""),"",I1075-B1075)</f>
        <v/>
      </c>
      <c r="N1075" s="21">
        <f>IF(B1075="","",IF(I1075="",IF(H1075="","",IF(TODAY()&gt;H1075,"Atrasado (em aberto)","Em aberto")),IF(I1075&lt;=H1075,"No prazo","Fora do prazo")))</f>
        <v/>
      </c>
    </row>
    <row r="1076">
      <c r="B1076" s="22" t="n"/>
      <c r="E1076" s="23" t="n"/>
      <c r="F1076" s="24" t="n"/>
      <c r="H1076" s="22" t="n"/>
      <c r="I1076" s="22" t="n"/>
      <c r="J1076" s="21">
        <f>IF(C1076="","",IFERROR(INDEX(Clientes!$B:$B,MATCH(C1076,Clientes!$A:$A,0)),"Cód. não cadastrado"))</f>
        <v/>
      </c>
      <c r="K1076" s="18">
        <f>IF(B1076="","",YEAR(B1076))</f>
        <v/>
      </c>
      <c r="L1076" s="18">
        <f>IF(B1076="","",MONTH(B1076))</f>
        <v/>
      </c>
      <c r="M1076" s="18">
        <f>IF(OR(B1076="",I1076=""),"",I1076-B1076)</f>
        <v/>
      </c>
      <c r="N1076" s="21">
        <f>IF(B1076="","",IF(I1076="",IF(H1076="","",IF(TODAY()&gt;H1076,"Atrasado (em aberto)","Em aberto")),IF(I1076&lt;=H1076,"No prazo","Fora do prazo")))</f>
        <v/>
      </c>
    </row>
    <row r="1077">
      <c r="B1077" s="22" t="n"/>
      <c r="E1077" s="23" t="n"/>
      <c r="F1077" s="24" t="n"/>
      <c r="H1077" s="22" t="n"/>
      <c r="I1077" s="22" t="n"/>
      <c r="J1077" s="21">
        <f>IF(C1077="","",IFERROR(INDEX(Clientes!$B:$B,MATCH(C1077,Clientes!$A:$A,0)),"Cód. não cadastrado"))</f>
        <v/>
      </c>
      <c r="K1077" s="18">
        <f>IF(B1077="","",YEAR(B1077))</f>
        <v/>
      </c>
      <c r="L1077" s="18">
        <f>IF(B1077="","",MONTH(B1077))</f>
        <v/>
      </c>
      <c r="M1077" s="18">
        <f>IF(OR(B1077="",I1077=""),"",I1077-B1077)</f>
        <v/>
      </c>
      <c r="N1077" s="21">
        <f>IF(B1077="","",IF(I1077="",IF(H1077="","",IF(TODAY()&gt;H1077,"Atrasado (em aberto)","Em aberto")),IF(I1077&lt;=H1077,"No prazo","Fora do prazo")))</f>
        <v/>
      </c>
    </row>
    <row r="1078">
      <c r="B1078" s="22" t="n"/>
      <c r="E1078" s="23" t="n"/>
      <c r="F1078" s="24" t="n"/>
      <c r="H1078" s="22" t="n"/>
      <c r="I1078" s="22" t="n"/>
      <c r="J1078" s="21">
        <f>IF(C1078="","",IFERROR(INDEX(Clientes!$B:$B,MATCH(C1078,Clientes!$A:$A,0)),"Cód. não cadastrado"))</f>
        <v/>
      </c>
      <c r="K1078" s="18">
        <f>IF(B1078="","",YEAR(B1078))</f>
        <v/>
      </c>
      <c r="L1078" s="18">
        <f>IF(B1078="","",MONTH(B1078))</f>
        <v/>
      </c>
      <c r="M1078" s="18">
        <f>IF(OR(B1078="",I1078=""),"",I1078-B1078)</f>
        <v/>
      </c>
      <c r="N1078" s="21">
        <f>IF(B1078="","",IF(I1078="",IF(H1078="","",IF(TODAY()&gt;H1078,"Atrasado (em aberto)","Em aberto")),IF(I1078&lt;=H1078,"No prazo","Fora do prazo")))</f>
        <v/>
      </c>
    </row>
    <row r="1079">
      <c r="B1079" s="22" t="n"/>
      <c r="E1079" s="23" t="n"/>
      <c r="F1079" s="24" t="n"/>
      <c r="H1079" s="22" t="n"/>
      <c r="I1079" s="22" t="n"/>
      <c r="J1079" s="21">
        <f>IF(C1079="","",IFERROR(INDEX(Clientes!$B:$B,MATCH(C1079,Clientes!$A:$A,0)),"Cód. não cadastrado"))</f>
        <v/>
      </c>
      <c r="K1079" s="18">
        <f>IF(B1079="","",YEAR(B1079))</f>
        <v/>
      </c>
      <c r="L1079" s="18">
        <f>IF(B1079="","",MONTH(B1079))</f>
        <v/>
      </c>
      <c r="M1079" s="18">
        <f>IF(OR(B1079="",I1079=""),"",I1079-B1079)</f>
        <v/>
      </c>
      <c r="N1079" s="21">
        <f>IF(B1079="","",IF(I1079="",IF(H1079="","",IF(TODAY()&gt;H1079,"Atrasado (em aberto)","Em aberto")),IF(I1079&lt;=H1079,"No prazo","Fora do prazo")))</f>
        <v/>
      </c>
    </row>
    <row r="1080">
      <c r="B1080" s="22" t="n"/>
      <c r="E1080" s="23" t="n"/>
      <c r="F1080" s="24" t="n"/>
      <c r="H1080" s="22" t="n"/>
      <c r="I1080" s="22" t="n"/>
      <c r="J1080" s="21">
        <f>IF(C1080="","",IFERROR(INDEX(Clientes!$B:$B,MATCH(C1080,Clientes!$A:$A,0)),"Cód. não cadastrado"))</f>
        <v/>
      </c>
      <c r="K1080" s="18">
        <f>IF(B1080="","",YEAR(B1080))</f>
        <v/>
      </c>
      <c r="L1080" s="18">
        <f>IF(B1080="","",MONTH(B1080))</f>
        <v/>
      </c>
      <c r="M1080" s="18">
        <f>IF(OR(B1080="",I1080=""),"",I1080-B1080)</f>
        <v/>
      </c>
      <c r="N1080" s="21">
        <f>IF(B1080="","",IF(I1080="",IF(H1080="","",IF(TODAY()&gt;H1080,"Atrasado (em aberto)","Em aberto")),IF(I1080&lt;=H1080,"No prazo","Fora do prazo")))</f>
        <v/>
      </c>
    </row>
    <row r="1081">
      <c r="B1081" s="22" t="n"/>
      <c r="E1081" s="23" t="n"/>
      <c r="F1081" s="24" t="n"/>
      <c r="H1081" s="22" t="n"/>
      <c r="I1081" s="22" t="n"/>
      <c r="J1081" s="21">
        <f>IF(C1081="","",IFERROR(INDEX(Clientes!$B:$B,MATCH(C1081,Clientes!$A:$A,0)),"Cód. não cadastrado"))</f>
        <v/>
      </c>
      <c r="K1081" s="18">
        <f>IF(B1081="","",YEAR(B1081))</f>
        <v/>
      </c>
      <c r="L1081" s="18">
        <f>IF(B1081="","",MONTH(B1081))</f>
        <v/>
      </c>
      <c r="M1081" s="18">
        <f>IF(OR(B1081="",I1081=""),"",I1081-B1081)</f>
        <v/>
      </c>
      <c r="N1081" s="21">
        <f>IF(B1081="","",IF(I1081="",IF(H1081="","",IF(TODAY()&gt;H1081,"Atrasado (em aberto)","Em aberto")),IF(I1081&lt;=H1081,"No prazo","Fora do prazo")))</f>
        <v/>
      </c>
    </row>
    <row r="1082">
      <c r="B1082" s="22" t="n"/>
      <c r="E1082" s="23" t="n"/>
      <c r="F1082" s="24" t="n"/>
      <c r="H1082" s="22" t="n"/>
      <c r="I1082" s="22" t="n"/>
      <c r="J1082" s="21">
        <f>IF(C1082="","",IFERROR(INDEX(Clientes!$B:$B,MATCH(C1082,Clientes!$A:$A,0)),"Cód. não cadastrado"))</f>
        <v/>
      </c>
      <c r="K1082" s="18">
        <f>IF(B1082="","",YEAR(B1082))</f>
        <v/>
      </c>
      <c r="L1082" s="18">
        <f>IF(B1082="","",MONTH(B1082))</f>
        <v/>
      </c>
      <c r="M1082" s="18">
        <f>IF(OR(B1082="",I1082=""),"",I1082-B1082)</f>
        <v/>
      </c>
      <c r="N1082" s="21">
        <f>IF(B1082="","",IF(I1082="",IF(H1082="","",IF(TODAY()&gt;H1082,"Atrasado (em aberto)","Em aberto")),IF(I1082&lt;=H1082,"No prazo","Fora do prazo")))</f>
        <v/>
      </c>
    </row>
    <row r="1083">
      <c r="B1083" s="22" t="n"/>
      <c r="E1083" s="23" t="n"/>
      <c r="F1083" s="24" t="n"/>
      <c r="H1083" s="22" t="n"/>
      <c r="I1083" s="22" t="n"/>
      <c r="J1083" s="21">
        <f>IF(C1083="","",IFERROR(INDEX(Clientes!$B:$B,MATCH(C1083,Clientes!$A:$A,0)),"Cód. não cadastrado"))</f>
        <v/>
      </c>
      <c r="K1083" s="18">
        <f>IF(B1083="","",YEAR(B1083))</f>
        <v/>
      </c>
      <c r="L1083" s="18">
        <f>IF(B1083="","",MONTH(B1083))</f>
        <v/>
      </c>
      <c r="M1083" s="18">
        <f>IF(OR(B1083="",I1083=""),"",I1083-B1083)</f>
        <v/>
      </c>
      <c r="N1083" s="21">
        <f>IF(B1083="","",IF(I1083="",IF(H1083="","",IF(TODAY()&gt;H1083,"Atrasado (em aberto)","Em aberto")),IF(I1083&lt;=H1083,"No prazo","Fora do prazo")))</f>
        <v/>
      </c>
    </row>
    <row r="1084">
      <c r="B1084" s="22" t="n"/>
      <c r="E1084" s="23" t="n"/>
      <c r="F1084" s="24" t="n"/>
      <c r="H1084" s="22" t="n"/>
      <c r="I1084" s="22" t="n"/>
      <c r="J1084" s="21">
        <f>IF(C1084="","",IFERROR(INDEX(Clientes!$B:$B,MATCH(C1084,Clientes!$A:$A,0)),"Cód. não cadastrado"))</f>
        <v/>
      </c>
      <c r="K1084" s="18">
        <f>IF(B1084="","",YEAR(B1084))</f>
        <v/>
      </c>
      <c r="L1084" s="18">
        <f>IF(B1084="","",MONTH(B1084))</f>
        <v/>
      </c>
      <c r="M1084" s="18">
        <f>IF(OR(B1084="",I1084=""),"",I1084-B1084)</f>
        <v/>
      </c>
      <c r="N1084" s="21">
        <f>IF(B1084="","",IF(I1084="",IF(H1084="","",IF(TODAY()&gt;H1084,"Atrasado (em aberto)","Em aberto")),IF(I1084&lt;=H1084,"No prazo","Fora do prazo")))</f>
        <v/>
      </c>
    </row>
    <row r="1085">
      <c r="B1085" s="22" t="n"/>
      <c r="E1085" s="23" t="n"/>
      <c r="F1085" s="24" t="n"/>
      <c r="H1085" s="22" t="n"/>
      <c r="I1085" s="22" t="n"/>
      <c r="J1085" s="21">
        <f>IF(C1085="","",IFERROR(INDEX(Clientes!$B:$B,MATCH(C1085,Clientes!$A:$A,0)),"Cód. não cadastrado"))</f>
        <v/>
      </c>
      <c r="K1085" s="18">
        <f>IF(B1085="","",YEAR(B1085))</f>
        <v/>
      </c>
      <c r="L1085" s="18">
        <f>IF(B1085="","",MONTH(B1085))</f>
        <v/>
      </c>
      <c r="M1085" s="18">
        <f>IF(OR(B1085="",I1085=""),"",I1085-B1085)</f>
        <v/>
      </c>
      <c r="N1085" s="21">
        <f>IF(B1085="","",IF(I1085="",IF(H1085="","",IF(TODAY()&gt;H1085,"Atrasado (em aberto)","Em aberto")),IF(I1085&lt;=H1085,"No prazo","Fora do prazo")))</f>
        <v/>
      </c>
    </row>
    <row r="1086">
      <c r="B1086" s="22" t="n"/>
      <c r="E1086" s="23" t="n"/>
      <c r="F1086" s="24" t="n"/>
      <c r="H1086" s="22" t="n"/>
      <c r="I1086" s="22" t="n"/>
      <c r="J1086" s="21">
        <f>IF(C1086="","",IFERROR(INDEX(Clientes!$B:$B,MATCH(C1086,Clientes!$A:$A,0)),"Cód. não cadastrado"))</f>
        <v/>
      </c>
      <c r="K1086" s="18">
        <f>IF(B1086="","",YEAR(B1086))</f>
        <v/>
      </c>
      <c r="L1086" s="18">
        <f>IF(B1086="","",MONTH(B1086))</f>
        <v/>
      </c>
      <c r="M1086" s="18">
        <f>IF(OR(B1086="",I1086=""),"",I1086-B1086)</f>
        <v/>
      </c>
      <c r="N1086" s="21">
        <f>IF(B1086="","",IF(I1086="",IF(H1086="","",IF(TODAY()&gt;H1086,"Atrasado (em aberto)","Em aberto")),IF(I1086&lt;=H1086,"No prazo","Fora do prazo")))</f>
        <v/>
      </c>
    </row>
    <row r="1087">
      <c r="B1087" s="22" t="n"/>
      <c r="E1087" s="23" t="n"/>
      <c r="F1087" s="24" t="n"/>
      <c r="H1087" s="22" t="n"/>
      <c r="I1087" s="22" t="n"/>
      <c r="J1087" s="21">
        <f>IF(C1087="","",IFERROR(INDEX(Clientes!$B:$B,MATCH(C1087,Clientes!$A:$A,0)),"Cód. não cadastrado"))</f>
        <v/>
      </c>
      <c r="K1087" s="18">
        <f>IF(B1087="","",YEAR(B1087))</f>
        <v/>
      </c>
      <c r="L1087" s="18">
        <f>IF(B1087="","",MONTH(B1087))</f>
        <v/>
      </c>
      <c r="M1087" s="18">
        <f>IF(OR(B1087="",I1087=""),"",I1087-B1087)</f>
        <v/>
      </c>
      <c r="N1087" s="21">
        <f>IF(B1087="","",IF(I1087="",IF(H1087="","",IF(TODAY()&gt;H1087,"Atrasado (em aberto)","Em aberto")),IF(I1087&lt;=H1087,"No prazo","Fora do prazo")))</f>
        <v/>
      </c>
    </row>
    <row r="1088">
      <c r="B1088" s="22" t="n"/>
      <c r="E1088" s="23" t="n"/>
      <c r="F1088" s="24" t="n"/>
      <c r="H1088" s="22" t="n"/>
      <c r="I1088" s="22" t="n"/>
      <c r="J1088" s="21">
        <f>IF(C1088="","",IFERROR(INDEX(Clientes!$B:$B,MATCH(C1088,Clientes!$A:$A,0)),"Cód. não cadastrado"))</f>
        <v/>
      </c>
      <c r="K1088" s="18">
        <f>IF(B1088="","",YEAR(B1088))</f>
        <v/>
      </c>
      <c r="L1088" s="18">
        <f>IF(B1088="","",MONTH(B1088))</f>
        <v/>
      </c>
      <c r="M1088" s="18">
        <f>IF(OR(B1088="",I1088=""),"",I1088-B1088)</f>
        <v/>
      </c>
      <c r="N1088" s="21">
        <f>IF(B1088="","",IF(I1088="",IF(H1088="","",IF(TODAY()&gt;H1088,"Atrasado (em aberto)","Em aberto")),IF(I1088&lt;=H1088,"No prazo","Fora do prazo")))</f>
        <v/>
      </c>
    </row>
    <row r="1089">
      <c r="B1089" s="22" t="n"/>
      <c r="E1089" s="23" t="n"/>
      <c r="F1089" s="24" t="n"/>
      <c r="H1089" s="22" t="n"/>
      <c r="I1089" s="22" t="n"/>
      <c r="J1089" s="21">
        <f>IF(C1089="","",IFERROR(INDEX(Clientes!$B:$B,MATCH(C1089,Clientes!$A:$A,0)),"Cód. não cadastrado"))</f>
        <v/>
      </c>
      <c r="K1089" s="18">
        <f>IF(B1089="","",YEAR(B1089))</f>
        <v/>
      </c>
      <c r="L1089" s="18">
        <f>IF(B1089="","",MONTH(B1089))</f>
        <v/>
      </c>
      <c r="M1089" s="18">
        <f>IF(OR(B1089="",I1089=""),"",I1089-B1089)</f>
        <v/>
      </c>
      <c r="N1089" s="21">
        <f>IF(B1089="","",IF(I1089="",IF(H1089="","",IF(TODAY()&gt;H1089,"Atrasado (em aberto)","Em aberto")),IF(I1089&lt;=H1089,"No prazo","Fora do prazo")))</f>
        <v/>
      </c>
    </row>
    <row r="1090">
      <c r="B1090" s="22" t="n"/>
      <c r="E1090" s="23" t="n"/>
      <c r="F1090" s="24" t="n"/>
      <c r="H1090" s="22" t="n"/>
      <c r="I1090" s="22" t="n"/>
      <c r="J1090" s="21">
        <f>IF(C1090="","",IFERROR(INDEX(Clientes!$B:$B,MATCH(C1090,Clientes!$A:$A,0)),"Cód. não cadastrado"))</f>
        <v/>
      </c>
      <c r="K1090" s="18">
        <f>IF(B1090="","",YEAR(B1090))</f>
        <v/>
      </c>
      <c r="L1090" s="18">
        <f>IF(B1090="","",MONTH(B1090))</f>
        <v/>
      </c>
      <c r="M1090" s="18">
        <f>IF(OR(B1090="",I1090=""),"",I1090-B1090)</f>
        <v/>
      </c>
      <c r="N1090" s="21">
        <f>IF(B1090="","",IF(I1090="",IF(H1090="","",IF(TODAY()&gt;H1090,"Atrasado (em aberto)","Em aberto")),IF(I1090&lt;=H1090,"No prazo","Fora do prazo")))</f>
        <v/>
      </c>
    </row>
    <row r="1091">
      <c r="B1091" s="22" t="n"/>
      <c r="E1091" s="23" t="n"/>
      <c r="F1091" s="24" t="n"/>
      <c r="H1091" s="22" t="n"/>
      <c r="I1091" s="22" t="n"/>
      <c r="J1091" s="21">
        <f>IF(C1091="","",IFERROR(INDEX(Clientes!$B:$B,MATCH(C1091,Clientes!$A:$A,0)),"Cód. não cadastrado"))</f>
        <v/>
      </c>
      <c r="K1091" s="18">
        <f>IF(B1091="","",YEAR(B1091))</f>
        <v/>
      </c>
      <c r="L1091" s="18">
        <f>IF(B1091="","",MONTH(B1091))</f>
        <v/>
      </c>
      <c r="M1091" s="18">
        <f>IF(OR(B1091="",I1091=""),"",I1091-B1091)</f>
        <v/>
      </c>
      <c r="N1091" s="21">
        <f>IF(B1091="","",IF(I1091="",IF(H1091="","",IF(TODAY()&gt;H1091,"Atrasado (em aberto)","Em aberto")),IF(I1091&lt;=H1091,"No prazo","Fora do prazo")))</f>
        <v/>
      </c>
    </row>
    <row r="1092">
      <c r="B1092" s="22" t="n"/>
      <c r="E1092" s="23" t="n"/>
      <c r="F1092" s="24" t="n"/>
      <c r="H1092" s="22" t="n"/>
      <c r="I1092" s="22" t="n"/>
      <c r="J1092" s="21">
        <f>IF(C1092="","",IFERROR(INDEX(Clientes!$B:$B,MATCH(C1092,Clientes!$A:$A,0)),"Cód. não cadastrado"))</f>
        <v/>
      </c>
      <c r="K1092" s="18">
        <f>IF(B1092="","",YEAR(B1092))</f>
        <v/>
      </c>
      <c r="L1092" s="18">
        <f>IF(B1092="","",MONTH(B1092))</f>
        <v/>
      </c>
      <c r="M1092" s="18">
        <f>IF(OR(B1092="",I1092=""),"",I1092-B1092)</f>
        <v/>
      </c>
      <c r="N1092" s="21">
        <f>IF(B1092="","",IF(I1092="",IF(H1092="","",IF(TODAY()&gt;H1092,"Atrasado (em aberto)","Em aberto")),IF(I1092&lt;=H1092,"No prazo","Fora do prazo")))</f>
        <v/>
      </c>
    </row>
    <row r="1093">
      <c r="B1093" s="22" t="n"/>
      <c r="E1093" s="23" t="n"/>
      <c r="F1093" s="24" t="n"/>
      <c r="H1093" s="22" t="n"/>
      <c r="I1093" s="22" t="n"/>
      <c r="J1093" s="21">
        <f>IF(C1093="","",IFERROR(INDEX(Clientes!$B:$B,MATCH(C1093,Clientes!$A:$A,0)),"Cód. não cadastrado"))</f>
        <v/>
      </c>
      <c r="K1093" s="18">
        <f>IF(B1093="","",YEAR(B1093))</f>
        <v/>
      </c>
      <c r="L1093" s="18">
        <f>IF(B1093="","",MONTH(B1093))</f>
        <v/>
      </c>
      <c r="M1093" s="18">
        <f>IF(OR(B1093="",I1093=""),"",I1093-B1093)</f>
        <v/>
      </c>
      <c r="N1093" s="21">
        <f>IF(B1093="","",IF(I1093="",IF(H1093="","",IF(TODAY()&gt;H1093,"Atrasado (em aberto)","Em aberto")),IF(I1093&lt;=H1093,"No prazo","Fora do prazo")))</f>
        <v/>
      </c>
    </row>
    <row r="1094">
      <c r="B1094" s="22" t="n"/>
      <c r="E1094" s="23" t="n"/>
      <c r="F1094" s="24" t="n"/>
      <c r="H1094" s="22" t="n"/>
      <c r="I1094" s="22" t="n"/>
      <c r="J1094" s="21">
        <f>IF(C1094="","",IFERROR(INDEX(Clientes!$B:$B,MATCH(C1094,Clientes!$A:$A,0)),"Cód. não cadastrado"))</f>
        <v/>
      </c>
      <c r="K1094" s="18">
        <f>IF(B1094="","",YEAR(B1094))</f>
        <v/>
      </c>
      <c r="L1094" s="18">
        <f>IF(B1094="","",MONTH(B1094))</f>
        <v/>
      </c>
      <c r="M1094" s="18">
        <f>IF(OR(B1094="",I1094=""),"",I1094-B1094)</f>
        <v/>
      </c>
      <c r="N1094" s="21">
        <f>IF(B1094="","",IF(I1094="",IF(H1094="","",IF(TODAY()&gt;H1094,"Atrasado (em aberto)","Em aberto")),IF(I1094&lt;=H1094,"No prazo","Fora do prazo")))</f>
        <v/>
      </c>
    </row>
    <row r="1095">
      <c r="B1095" s="22" t="n"/>
      <c r="E1095" s="23" t="n"/>
      <c r="F1095" s="24" t="n"/>
      <c r="H1095" s="22" t="n"/>
      <c r="I1095" s="22" t="n"/>
      <c r="J1095" s="21">
        <f>IF(C1095="","",IFERROR(INDEX(Clientes!$B:$B,MATCH(C1095,Clientes!$A:$A,0)),"Cód. não cadastrado"))</f>
        <v/>
      </c>
      <c r="K1095" s="18">
        <f>IF(B1095="","",YEAR(B1095))</f>
        <v/>
      </c>
      <c r="L1095" s="18">
        <f>IF(B1095="","",MONTH(B1095))</f>
        <v/>
      </c>
      <c r="M1095" s="18">
        <f>IF(OR(B1095="",I1095=""),"",I1095-B1095)</f>
        <v/>
      </c>
      <c r="N1095" s="21">
        <f>IF(B1095="","",IF(I1095="",IF(H1095="","",IF(TODAY()&gt;H1095,"Atrasado (em aberto)","Em aberto")),IF(I1095&lt;=H1095,"No prazo","Fora do prazo")))</f>
        <v/>
      </c>
    </row>
    <row r="1096">
      <c r="B1096" s="22" t="n"/>
      <c r="E1096" s="23" t="n"/>
      <c r="F1096" s="24" t="n"/>
      <c r="H1096" s="22" t="n"/>
      <c r="I1096" s="22" t="n"/>
      <c r="J1096" s="21">
        <f>IF(C1096="","",IFERROR(INDEX(Clientes!$B:$B,MATCH(C1096,Clientes!$A:$A,0)),"Cód. não cadastrado"))</f>
        <v/>
      </c>
      <c r="K1096" s="18">
        <f>IF(B1096="","",YEAR(B1096))</f>
        <v/>
      </c>
      <c r="L1096" s="18">
        <f>IF(B1096="","",MONTH(B1096))</f>
        <v/>
      </c>
      <c r="M1096" s="18">
        <f>IF(OR(B1096="",I1096=""),"",I1096-B1096)</f>
        <v/>
      </c>
      <c r="N1096" s="21">
        <f>IF(B1096="","",IF(I1096="",IF(H1096="","",IF(TODAY()&gt;H1096,"Atrasado (em aberto)","Em aberto")),IF(I1096&lt;=H1096,"No prazo","Fora do prazo")))</f>
        <v/>
      </c>
    </row>
    <row r="1097">
      <c r="B1097" s="22" t="n"/>
      <c r="E1097" s="23" t="n"/>
      <c r="F1097" s="24" t="n"/>
      <c r="H1097" s="22" t="n"/>
      <c r="I1097" s="22" t="n"/>
      <c r="J1097" s="21">
        <f>IF(C1097="","",IFERROR(INDEX(Clientes!$B:$B,MATCH(C1097,Clientes!$A:$A,0)),"Cód. não cadastrado"))</f>
        <v/>
      </c>
      <c r="K1097" s="18">
        <f>IF(B1097="","",YEAR(B1097))</f>
        <v/>
      </c>
      <c r="L1097" s="18">
        <f>IF(B1097="","",MONTH(B1097))</f>
        <v/>
      </c>
      <c r="M1097" s="18">
        <f>IF(OR(B1097="",I1097=""),"",I1097-B1097)</f>
        <v/>
      </c>
      <c r="N1097" s="21">
        <f>IF(B1097="","",IF(I1097="",IF(H1097="","",IF(TODAY()&gt;H1097,"Atrasado (em aberto)","Em aberto")),IF(I1097&lt;=H1097,"No prazo","Fora do prazo")))</f>
        <v/>
      </c>
    </row>
    <row r="1098">
      <c r="B1098" s="22" t="n"/>
      <c r="E1098" s="23" t="n"/>
      <c r="F1098" s="24" t="n"/>
      <c r="H1098" s="22" t="n"/>
      <c r="I1098" s="22" t="n"/>
      <c r="J1098" s="21">
        <f>IF(C1098="","",IFERROR(INDEX(Clientes!$B:$B,MATCH(C1098,Clientes!$A:$A,0)),"Cód. não cadastrado"))</f>
        <v/>
      </c>
      <c r="K1098" s="18">
        <f>IF(B1098="","",YEAR(B1098))</f>
        <v/>
      </c>
      <c r="L1098" s="18">
        <f>IF(B1098="","",MONTH(B1098))</f>
        <v/>
      </c>
      <c r="M1098" s="18">
        <f>IF(OR(B1098="",I1098=""),"",I1098-B1098)</f>
        <v/>
      </c>
      <c r="N1098" s="21">
        <f>IF(B1098="","",IF(I1098="",IF(H1098="","",IF(TODAY()&gt;H1098,"Atrasado (em aberto)","Em aberto")),IF(I1098&lt;=H1098,"No prazo","Fora do prazo")))</f>
        <v/>
      </c>
    </row>
    <row r="1099">
      <c r="B1099" s="22" t="n"/>
      <c r="E1099" s="23" t="n"/>
      <c r="F1099" s="24" t="n"/>
      <c r="H1099" s="22" t="n"/>
      <c r="I1099" s="22" t="n"/>
      <c r="J1099" s="21">
        <f>IF(C1099="","",IFERROR(INDEX(Clientes!$B:$B,MATCH(C1099,Clientes!$A:$A,0)),"Cód. não cadastrado"))</f>
        <v/>
      </c>
      <c r="K1099" s="18">
        <f>IF(B1099="","",YEAR(B1099))</f>
        <v/>
      </c>
      <c r="L1099" s="18">
        <f>IF(B1099="","",MONTH(B1099))</f>
        <v/>
      </c>
      <c r="M1099" s="18">
        <f>IF(OR(B1099="",I1099=""),"",I1099-B1099)</f>
        <v/>
      </c>
      <c r="N1099" s="21">
        <f>IF(B1099="","",IF(I1099="",IF(H1099="","",IF(TODAY()&gt;H1099,"Atrasado (em aberto)","Em aberto")),IF(I1099&lt;=H1099,"No prazo","Fora do prazo")))</f>
        <v/>
      </c>
    </row>
    <row r="1100">
      <c r="B1100" s="22" t="n"/>
      <c r="E1100" s="23" t="n"/>
      <c r="F1100" s="24" t="n"/>
      <c r="H1100" s="22" t="n"/>
      <c r="I1100" s="22" t="n"/>
      <c r="J1100" s="21">
        <f>IF(C1100="","",IFERROR(INDEX(Clientes!$B:$B,MATCH(C1100,Clientes!$A:$A,0)),"Cód. não cadastrado"))</f>
        <v/>
      </c>
      <c r="K1100" s="18">
        <f>IF(B1100="","",YEAR(B1100))</f>
        <v/>
      </c>
      <c r="L1100" s="18">
        <f>IF(B1100="","",MONTH(B1100))</f>
        <v/>
      </c>
      <c r="M1100" s="18">
        <f>IF(OR(B1100="",I1100=""),"",I1100-B1100)</f>
        <v/>
      </c>
      <c r="N1100" s="21">
        <f>IF(B1100="","",IF(I1100="",IF(H1100="","",IF(TODAY()&gt;H1100,"Atrasado (em aberto)","Em aberto")),IF(I1100&lt;=H1100,"No prazo","Fora do prazo")))</f>
        <v/>
      </c>
    </row>
    <row r="1101">
      <c r="B1101" s="22" t="n"/>
      <c r="E1101" s="23" t="n"/>
      <c r="F1101" s="24" t="n"/>
      <c r="H1101" s="22" t="n"/>
      <c r="I1101" s="22" t="n"/>
      <c r="J1101" s="21">
        <f>IF(C1101="","",IFERROR(INDEX(Clientes!$B:$B,MATCH(C1101,Clientes!$A:$A,0)),"Cód. não cadastrado"))</f>
        <v/>
      </c>
      <c r="K1101" s="18">
        <f>IF(B1101="","",YEAR(B1101))</f>
        <v/>
      </c>
      <c r="L1101" s="18">
        <f>IF(B1101="","",MONTH(B1101))</f>
        <v/>
      </c>
      <c r="M1101" s="18">
        <f>IF(OR(B1101="",I1101=""),"",I1101-B1101)</f>
        <v/>
      </c>
      <c r="N1101" s="21">
        <f>IF(B1101="","",IF(I1101="",IF(H1101="","",IF(TODAY()&gt;H1101,"Atrasado (em aberto)","Em aberto")),IF(I1101&lt;=H1101,"No prazo","Fora do prazo")))</f>
        <v/>
      </c>
    </row>
    <row r="1102">
      <c r="B1102" s="22" t="n"/>
      <c r="E1102" s="23" t="n"/>
      <c r="F1102" s="24" t="n"/>
      <c r="H1102" s="22" t="n"/>
      <c r="I1102" s="22" t="n"/>
      <c r="J1102" s="21">
        <f>IF(C1102="","",IFERROR(INDEX(Clientes!$B:$B,MATCH(C1102,Clientes!$A:$A,0)),"Cód. não cadastrado"))</f>
        <v/>
      </c>
      <c r="K1102" s="18">
        <f>IF(B1102="","",YEAR(B1102))</f>
        <v/>
      </c>
      <c r="L1102" s="18">
        <f>IF(B1102="","",MONTH(B1102))</f>
        <v/>
      </c>
      <c r="M1102" s="18">
        <f>IF(OR(B1102="",I1102=""),"",I1102-B1102)</f>
        <v/>
      </c>
      <c r="N1102" s="21">
        <f>IF(B1102="","",IF(I1102="",IF(H1102="","",IF(TODAY()&gt;H1102,"Atrasado (em aberto)","Em aberto")),IF(I1102&lt;=H1102,"No prazo","Fora do prazo")))</f>
        <v/>
      </c>
    </row>
    <row r="1103">
      <c r="B1103" s="22" t="n"/>
      <c r="E1103" s="23" t="n"/>
      <c r="F1103" s="24" t="n"/>
      <c r="H1103" s="22" t="n"/>
      <c r="I1103" s="22" t="n"/>
      <c r="J1103" s="21">
        <f>IF(C1103="","",IFERROR(INDEX(Clientes!$B:$B,MATCH(C1103,Clientes!$A:$A,0)),"Cód. não cadastrado"))</f>
        <v/>
      </c>
      <c r="K1103" s="18">
        <f>IF(B1103="","",YEAR(B1103))</f>
        <v/>
      </c>
      <c r="L1103" s="18">
        <f>IF(B1103="","",MONTH(B1103))</f>
        <v/>
      </c>
      <c r="M1103" s="18">
        <f>IF(OR(B1103="",I1103=""),"",I1103-B1103)</f>
        <v/>
      </c>
      <c r="N1103" s="21">
        <f>IF(B1103="","",IF(I1103="",IF(H1103="","",IF(TODAY()&gt;H1103,"Atrasado (em aberto)","Em aberto")),IF(I1103&lt;=H1103,"No prazo","Fora do prazo")))</f>
        <v/>
      </c>
    </row>
    <row r="1104">
      <c r="B1104" s="22" t="n"/>
      <c r="E1104" s="23" t="n"/>
      <c r="F1104" s="24" t="n"/>
      <c r="H1104" s="22" t="n"/>
      <c r="I1104" s="22" t="n"/>
      <c r="J1104" s="21">
        <f>IF(C1104="","",IFERROR(INDEX(Clientes!$B:$B,MATCH(C1104,Clientes!$A:$A,0)),"Cód. não cadastrado"))</f>
        <v/>
      </c>
      <c r="K1104" s="18">
        <f>IF(B1104="","",YEAR(B1104))</f>
        <v/>
      </c>
      <c r="L1104" s="18">
        <f>IF(B1104="","",MONTH(B1104))</f>
        <v/>
      </c>
      <c r="M1104" s="18">
        <f>IF(OR(B1104="",I1104=""),"",I1104-B1104)</f>
        <v/>
      </c>
      <c r="N1104" s="21">
        <f>IF(B1104="","",IF(I1104="",IF(H1104="","",IF(TODAY()&gt;H1104,"Atrasado (em aberto)","Em aberto")),IF(I1104&lt;=H1104,"No prazo","Fora do prazo")))</f>
        <v/>
      </c>
    </row>
    <row r="1105">
      <c r="B1105" s="22" t="n"/>
      <c r="E1105" s="23" t="n"/>
      <c r="F1105" s="24" t="n"/>
      <c r="H1105" s="22" t="n"/>
      <c r="I1105" s="22" t="n"/>
      <c r="J1105" s="21">
        <f>IF(C1105="","",IFERROR(INDEX(Clientes!$B:$B,MATCH(C1105,Clientes!$A:$A,0)),"Cód. não cadastrado"))</f>
        <v/>
      </c>
      <c r="K1105" s="18">
        <f>IF(B1105="","",YEAR(B1105))</f>
        <v/>
      </c>
      <c r="L1105" s="18">
        <f>IF(B1105="","",MONTH(B1105))</f>
        <v/>
      </c>
      <c r="M1105" s="18">
        <f>IF(OR(B1105="",I1105=""),"",I1105-B1105)</f>
        <v/>
      </c>
      <c r="N1105" s="21">
        <f>IF(B1105="","",IF(I1105="",IF(H1105="","",IF(TODAY()&gt;H1105,"Atrasado (em aberto)","Em aberto")),IF(I1105&lt;=H1105,"No prazo","Fora do prazo")))</f>
        <v/>
      </c>
    </row>
    <row r="1106">
      <c r="B1106" s="22" t="n"/>
      <c r="E1106" s="23" t="n"/>
      <c r="F1106" s="24" t="n"/>
      <c r="H1106" s="22" t="n"/>
      <c r="I1106" s="22" t="n"/>
      <c r="J1106" s="21">
        <f>IF(C1106="","",IFERROR(INDEX(Clientes!$B:$B,MATCH(C1106,Clientes!$A:$A,0)),"Cód. não cadastrado"))</f>
        <v/>
      </c>
      <c r="K1106" s="18">
        <f>IF(B1106="","",YEAR(B1106))</f>
        <v/>
      </c>
      <c r="L1106" s="18">
        <f>IF(B1106="","",MONTH(B1106))</f>
        <v/>
      </c>
      <c r="M1106" s="18">
        <f>IF(OR(B1106="",I1106=""),"",I1106-B1106)</f>
        <v/>
      </c>
      <c r="N1106" s="21">
        <f>IF(B1106="","",IF(I1106="",IF(H1106="","",IF(TODAY()&gt;H1106,"Atrasado (em aberto)","Em aberto")),IF(I1106&lt;=H1106,"No prazo","Fora do prazo")))</f>
        <v/>
      </c>
    </row>
    <row r="1107">
      <c r="B1107" s="22" t="n"/>
      <c r="E1107" s="23" t="n"/>
      <c r="F1107" s="24" t="n"/>
      <c r="H1107" s="22" t="n"/>
      <c r="I1107" s="22" t="n"/>
      <c r="J1107" s="21">
        <f>IF(C1107="","",IFERROR(INDEX(Clientes!$B:$B,MATCH(C1107,Clientes!$A:$A,0)),"Cód. não cadastrado"))</f>
        <v/>
      </c>
      <c r="K1107" s="18">
        <f>IF(B1107="","",YEAR(B1107))</f>
        <v/>
      </c>
      <c r="L1107" s="18">
        <f>IF(B1107="","",MONTH(B1107))</f>
        <v/>
      </c>
      <c r="M1107" s="18">
        <f>IF(OR(B1107="",I1107=""),"",I1107-B1107)</f>
        <v/>
      </c>
      <c r="N1107" s="21">
        <f>IF(B1107="","",IF(I1107="",IF(H1107="","",IF(TODAY()&gt;H1107,"Atrasado (em aberto)","Em aberto")),IF(I1107&lt;=H1107,"No prazo","Fora do prazo")))</f>
        <v/>
      </c>
    </row>
    <row r="1108">
      <c r="B1108" s="22" t="n"/>
      <c r="E1108" s="23" t="n"/>
      <c r="F1108" s="24" t="n"/>
      <c r="H1108" s="22" t="n"/>
      <c r="I1108" s="22" t="n"/>
      <c r="J1108" s="21">
        <f>IF(C1108="","",IFERROR(INDEX(Clientes!$B:$B,MATCH(C1108,Clientes!$A:$A,0)),"Cód. não cadastrado"))</f>
        <v/>
      </c>
      <c r="K1108" s="18">
        <f>IF(B1108="","",YEAR(B1108))</f>
        <v/>
      </c>
      <c r="L1108" s="18">
        <f>IF(B1108="","",MONTH(B1108))</f>
        <v/>
      </c>
      <c r="M1108" s="18">
        <f>IF(OR(B1108="",I1108=""),"",I1108-B1108)</f>
        <v/>
      </c>
      <c r="N1108" s="21">
        <f>IF(B1108="","",IF(I1108="",IF(H1108="","",IF(TODAY()&gt;H1108,"Atrasado (em aberto)","Em aberto")),IF(I1108&lt;=H1108,"No prazo","Fora do prazo")))</f>
        <v/>
      </c>
    </row>
    <row r="1109">
      <c r="B1109" s="22" t="n"/>
      <c r="E1109" s="23" t="n"/>
      <c r="F1109" s="24" t="n"/>
      <c r="H1109" s="22" t="n"/>
      <c r="I1109" s="22" t="n"/>
      <c r="J1109" s="21">
        <f>IF(C1109="","",IFERROR(INDEX(Clientes!$B:$B,MATCH(C1109,Clientes!$A:$A,0)),"Cód. não cadastrado"))</f>
        <v/>
      </c>
      <c r="K1109" s="18">
        <f>IF(B1109="","",YEAR(B1109))</f>
        <v/>
      </c>
      <c r="L1109" s="18">
        <f>IF(B1109="","",MONTH(B1109))</f>
        <v/>
      </c>
      <c r="M1109" s="18">
        <f>IF(OR(B1109="",I1109=""),"",I1109-B1109)</f>
        <v/>
      </c>
      <c r="N1109" s="21">
        <f>IF(B1109="","",IF(I1109="",IF(H1109="","",IF(TODAY()&gt;H1109,"Atrasado (em aberto)","Em aberto")),IF(I1109&lt;=H1109,"No prazo","Fora do prazo")))</f>
        <v/>
      </c>
    </row>
    <row r="1110">
      <c r="B1110" s="22" t="n"/>
      <c r="E1110" s="23" t="n"/>
      <c r="F1110" s="24" t="n"/>
      <c r="H1110" s="22" t="n"/>
      <c r="I1110" s="22" t="n"/>
      <c r="J1110" s="21">
        <f>IF(C1110="","",IFERROR(INDEX(Clientes!$B:$B,MATCH(C1110,Clientes!$A:$A,0)),"Cód. não cadastrado"))</f>
        <v/>
      </c>
      <c r="K1110" s="18">
        <f>IF(B1110="","",YEAR(B1110))</f>
        <v/>
      </c>
      <c r="L1110" s="18">
        <f>IF(B1110="","",MONTH(B1110))</f>
        <v/>
      </c>
      <c r="M1110" s="18">
        <f>IF(OR(B1110="",I1110=""),"",I1110-B1110)</f>
        <v/>
      </c>
      <c r="N1110" s="21">
        <f>IF(B1110="","",IF(I1110="",IF(H1110="","",IF(TODAY()&gt;H1110,"Atrasado (em aberto)","Em aberto")),IF(I1110&lt;=H1110,"No prazo","Fora do prazo")))</f>
        <v/>
      </c>
    </row>
    <row r="1111">
      <c r="B1111" s="22" t="n"/>
      <c r="E1111" s="23" t="n"/>
      <c r="F1111" s="24" t="n"/>
      <c r="H1111" s="22" t="n"/>
      <c r="I1111" s="22" t="n"/>
      <c r="J1111" s="21">
        <f>IF(C1111="","",IFERROR(INDEX(Clientes!$B:$B,MATCH(C1111,Clientes!$A:$A,0)),"Cód. não cadastrado"))</f>
        <v/>
      </c>
      <c r="K1111" s="18">
        <f>IF(B1111="","",YEAR(B1111))</f>
        <v/>
      </c>
      <c r="L1111" s="18">
        <f>IF(B1111="","",MONTH(B1111))</f>
        <v/>
      </c>
      <c r="M1111" s="18">
        <f>IF(OR(B1111="",I1111=""),"",I1111-B1111)</f>
        <v/>
      </c>
      <c r="N1111" s="21">
        <f>IF(B1111="","",IF(I1111="",IF(H1111="","",IF(TODAY()&gt;H1111,"Atrasado (em aberto)","Em aberto")),IF(I1111&lt;=H1111,"No prazo","Fora do prazo")))</f>
        <v/>
      </c>
    </row>
    <row r="1112">
      <c r="B1112" s="22" t="n"/>
      <c r="E1112" s="23" t="n"/>
      <c r="F1112" s="24" t="n"/>
      <c r="H1112" s="22" t="n"/>
      <c r="I1112" s="22" t="n"/>
      <c r="J1112" s="21">
        <f>IF(C1112="","",IFERROR(INDEX(Clientes!$B:$B,MATCH(C1112,Clientes!$A:$A,0)),"Cód. não cadastrado"))</f>
        <v/>
      </c>
      <c r="K1112" s="18">
        <f>IF(B1112="","",YEAR(B1112))</f>
        <v/>
      </c>
      <c r="L1112" s="18">
        <f>IF(B1112="","",MONTH(B1112))</f>
        <v/>
      </c>
      <c r="M1112" s="18">
        <f>IF(OR(B1112="",I1112=""),"",I1112-B1112)</f>
        <v/>
      </c>
      <c r="N1112" s="21">
        <f>IF(B1112="","",IF(I1112="",IF(H1112="","",IF(TODAY()&gt;H1112,"Atrasado (em aberto)","Em aberto")),IF(I1112&lt;=H1112,"No prazo","Fora do prazo")))</f>
        <v/>
      </c>
    </row>
    <row r="1113">
      <c r="B1113" s="22" t="n"/>
      <c r="E1113" s="23" t="n"/>
      <c r="F1113" s="24" t="n"/>
      <c r="H1113" s="22" t="n"/>
      <c r="I1113" s="22" t="n"/>
      <c r="J1113" s="21">
        <f>IF(C1113="","",IFERROR(INDEX(Clientes!$B:$B,MATCH(C1113,Clientes!$A:$A,0)),"Cód. não cadastrado"))</f>
        <v/>
      </c>
      <c r="K1113" s="18">
        <f>IF(B1113="","",YEAR(B1113))</f>
        <v/>
      </c>
      <c r="L1113" s="18">
        <f>IF(B1113="","",MONTH(B1113))</f>
        <v/>
      </c>
      <c r="M1113" s="18">
        <f>IF(OR(B1113="",I1113=""),"",I1113-B1113)</f>
        <v/>
      </c>
      <c r="N1113" s="21">
        <f>IF(B1113="","",IF(I1113="",IF(H1113="","",IF(TODAY()&gt;H1113,"Atrasado (em aberto)","Em aberto")),IF(I1113&lt;=H1113,"No prazo","Fora do prazo")))</f>
        <v/>
      </c>
    </row>
    <row r="1114">
      <c r="B1114" s="22" t="n"/>
      <c r="E1114" s="23" t="n"/>
      <c r="F1114" s="24" t="n"/>
      <c r="H1114" s="22" t="n"/>
      <c r="I1114" s="22" t="n"/>
      <c r="J1114" s="21">
        <f>IF(C1114="","",IFERROR(INDEX(Clientes!$B:$B,MATCH(C1114,Clientes!$A:$A,0)),"Cód. não cadastrado"))</f>
        <v/>
      </c>
      <c r="K1114" s="18">
        <f>IF(B1114="","",YEAR(B1114))</f>
        <v/>
      </c>
      <c r="L1114" s="18">
        <f>IF(B1114="","",MONTH(B1114))</f>
        <v/>
      </c>
      <c r="M1114" s="18">
        <f>IF(OR(B1114="",I1114=""),"",I1114-B1114)</f>
        <v/>
      </c>
      <c r="N1114" s="21">
        <f>IF(B1114="","",IF(I1114="",IF(H1114="","",IF(TODAY()&gt;H1114,"Atrasado (em aberto)","Em aberto")),IF(I1114&lt;=H1114,"No prazo","Fora do prazo")))</f>
        <v/>
      </c>
    </row>
    <row r="1115">
      <c r="B1115" s="22" t="n"/>
      <c r="E1115" s="23" t="n"/>
      <c r="F1115" s="24" t="n"/>
      <c r="H1115" s="22" t="n"/>
      <c r="I1115" s="22" t="n"/>
      <c r="J1115" s="21">
        <f>IF(C1115="","",IFERROR(INDEX(Clientes!$B:$B,MATCH(C1115,Clientes!$A:$A,0)),"Cód. não cadastrado"))</f>
        <v/>
      </c>
      <c r="K1115" s="18">
        <f>IF(B1115="","",YEAR(B1115))</f>
        <v/>
      </c>
      <c r="L1115" s="18">
        <f>IF(B1115="","",MONTH(B1115))</f>
        <v/>
      </c>
      <c r="M1115" s="18">
        <f>IF(OR(B1115="",I1115=""),"",I1115-B1115)</f>
        <v/>
      </c>
      <c r="N1115" s="21">
        <f>IF(B1115="","",IF(I1115="",IF(H1115="","",IF(TODAY()&gt;H1115,"Atrasado (em aberto)","Em aberto")),IF(I1115&lt;=H1115,"No prazo","Fora do prazo")))</f>
        <v/>
      </c>
    </row>
    <row r="1116">
      <c r="B1116" s="22" t="n"/>
      <c r="E1116" s="23" t="n"/>
      <c r="F1116" s="24" t="n"/>
      <c r="H1116" s="22" t="n"/>
      <c r="I1116" s="22" t="n"/>
      <c r="J1116" s="21">
        <f>IF(C1116="","",IFERROR(INDEX(Clientes!$B:$B,MATCH(C1116,Clientes!$A:$A,0)),"Cód. não cadastrado"))</f>
        <v/>
      </c>
      <c r="K1116" s="18">
        <f>IF(B1116="","",YEAR(B1116))</f>
        <v/>
      </c>
      <c r="L1116" s="18">
        <f>IF(B1116="","",MONTH(B1116))</f>
        <v/>
      </c>
      <c r="M1116" s="18">
        <f>IF(OR(B1116="",I1116=""),"",I1116-B1116)</f>
        <v/>
      </c>
      <c r="N1116" s="21">
        <f>IF(B1116="","",IF(I1116="",IF(H1116="","",IF(TODAY()&gt;H1116,"Atrasado (em aberto)","Em aberto")),IF(I1116&lt;=H1116,"No prazo","Fora do prazo")))</f>
        <v/>
      </c>
    </row>
    <row r="1117">
      <c r="B1117" s="22" t="n"/>
      <c r="E1117" s="23" t="n"/>
      <c r="F1117" s="24" t="n"/>
      <c r="H1117" s="22" t="n"/>
      <c r="I1117" s="22" t="n"/>
      <c r="J1117" s="21">
        <f>IF(C1117="","",IFERROR(INDEX(Clientes!$B:$B,MATCH(C1117,Clientes!$A:$A,0)),"Cód. não cadastrado"))</f>
        <v/>
      </c>
      <c r="K1117" s="18">
        <f>IF(B1117="","",YEAR(B1117))</f>
        <v/>
      </c>
      <c r="L1117" s="18">
        <f>IF(B1117="","",MONTH(B1117))</f>
        <v/>
      </c>
      <c r="M1117" s="18">
        <f>IF(OR(B1117="",I1117=""),"",I1117-B1117)</f>
        <v/>
      </c>
      <c r="N1117" s="21">
        <f>IF(B1117="","",IF(I1117="",IF(H1117="","",IF(TODAY()&gt;H1117,"Atrasado (em aberto)","Em aberto")),IF(I1117&lt;=H1117,"No prazo","Fora do prazo")))</f>
        <v/>
      </c>
    </row>
    <row r="1118">
      <c r="B1118" s="22" t="n"/>
      <c r="E1118" s="23" t="n"/>
      <c r="F1118" s="24" t="n"/>
      <c r="H1118" s="22" t="n"/>
      <c r="I1118" s="22" t="n"/>
      <c r="J1118" s="21">
        <f>IF(C1118="","",IFERROR(INDEX(Clientes!$B:$B,MATCH(C1118,Clientes!$A:$A,0)),"Cód. não cadastrado"))</f>
        <v/>
      </c>
      <c r="K1118" s="18">
        <f>IF(B1118="","",YEAR(B1118))</f>
        <v/>
      </c>
      <c r="L1118" s="18">
        <f>IF(B1118="","",MONTH(B1118))</f>
        <v/>
      </c>
      <c r="M1118" s="18">
        <f>IF(OR(B1118="",I1118=""),"",I1118-B1118)</f>
        <v/>
      </c>
      <c r="N1118" s="21">
        <f>IF(B1118="","",IF(I1118="",IF(H1118="","",IF(TODAY()&gt;H1118,"Atrasado (em aberto)","Em aberto")),IF(I1118&lt;=H1118,"No prazo","Fora do prazo")))</f>
        <v/>
      </c>
    </row>
    <row r="1119">
      <c r="B1119" s="22" t="n"/>
      <c r="E1119" s="23" t="n"/>
      <c r="F1119" s="24" t="n"/>
      <c r="H1119" s="22" t="n"/>
      <c r="I1119" s="22" t="n"/>
      <c r="J1119" s="21">
        <f>IF(C1119="","",IFERROR(INDEX(Clientes!$B:$B,MATCH(C1119,Clientes!$A:$A,0)),"Cód. não cadastrado"))</f>
        <v/>
      </c>
      <c r="K1119" s="18">
        <f>IF(B1119="","",YEAR(B1119))</f>
        <v/>
      </c>
      <c r="L1119" s="18">
        <f>IF(B1119="","",MONTH(B1119))</f>
        <v/>
      </c>
      <c r="M1119" s="18">
        <f>IF(OR(B1119="",I1119=""),"",I1119-B1119)</f>
        <v/>
      </c>
      <c r="N1119" s="21">
        <f>IF(B1119="","",IF(I1119="",IF(H1119="","",IF(TODAY()&gt;H1119,"Atrasado (em aberto)","Em aberto")),IF(I1119&lt;=H1119,"No prazo","Fora do prazo")))</f>
        <v/>
      </c>
    </row>
    <row r="1120">
      <c r="B1120" s="22" t="n"/>
      <c r="E1120" s="23" t="n"/>
      <c r="F1120" s="24" t="n"/>
      <c r="H1120" s="22" t="n"/>
      <c r="I1120" s="22" t="n"/>
      <c r="J1120" s="21">
        <f>IF(C1120="","",IFERROR(INDEX(Clientes!$B:$B,MATCH(C1120,Clientes!$A:$A,0)),"Cód. não cadastrado"))</f>
        <v/>
      </c>
      <c r="K1120" s="18">
        <f>IF(B1120="","",YEAR(B1120))</f>
        <v/>
      </c>
      <c r="L1120" s="18">
        <f>IF(B1120="","",MONTH(B1120))</f>
        <v/>
      </c>
      <c r="M1120" s="18">
        <f>IF(OR(B1120="",I1120=""),"",I1120-B1120)</f>
        <v/>
      </c>
      <c r="N1120" s="21">
        <f>IF(B1120="","",IF(I1120="",IF(H1120="","",IF(TODAY()&gt;H1120,"Atrasado (em aberto)","Em aberto")),IF(I1120&lt;=H1120,"No prazo","Fora do prazo")))</f>
        <v/>
      </c>
    </row>
    <row r="1121">
      <c r="B1121" s="22" t="n"/>
      <c r="E1121" s="23" t="n"/>
      <c r="F1121" s="24" t="n"/>
      <c r="H1121" s="22" t="n"/>
      <c r="I1121" s="22" t="n"/>
      <c r="J1121" s="21">
        <f>IF(C1121="","",IFERROR(INDEX(Clientes!$B:$B,MATCH(C1121,Clientes!$A:$A,0)),"Cód. não cadastrado"))</f>
        <v/>
      </c>
      <c r="K1121" s="18">
        <f>IF(B1121="","",YEAR(B1121))</f>
        <v/>
      </c>
      <c r="L1121" s="18">
        <f>IF(B1121="","",MONTH(B1121))</f>
        <v/>
      </c>
      <c r="M1121" s="18">
        <f>IF(OR(B1121="",I1121=""),"",I1121-B1121)</f>
        <v/>
      </c>
      <c r="N1121" s="21">
        <f>IF(B1121="","",IF(I1121="",IF(H1121="","",IF(TODAY()&gt;H1121,"Atrasado (em aberto)","Em aberto")),IF(I1121&lt;=H1121,"No prazo","Fora do prazo")))</f>
        <v/>
      </c>
    </row>
    <row r="1122">
      <c r="B1122" s="22" t="n"/>
      <c r="E1122" s="23" t="n"/>
      <c r="F1122" s="24" t="n"/>
      <c r="H1122" s="22" t="n"/>
      <c r="I1122" s="22" t="n"/>
      <c r="J1122" s="21">
        <f>IF(C1122="","",IFERROR(INDEX(Clientes!$B:$B,MATCH(C1122,Clientes!$A:$A,0)),"Cód. não cadastrado"))</f>
        <v/>
      </c>
      <c r="K1122" s="18">
        <f>IF(B1122="","",YEAR(B1122))</f>
        <v/>
      </c>
      <c r="L1122" s="18">
        <f>IF(B1122="","",MONTH(B1122))</f>
        <v/>
      </c>
      <c r="M1122" s="18">
        <f>IF(OR(B1122="",I1122=""),"",I1122-B1122)</f>
        <v/>
      </c>
      <c r="N1122" s="21">
        <f>IF(B1122="","",IF(I1122="",IF(H1122="","",IF(TODAY()&gt;H1122,"Atrasado (em aberto)","Em aberto")),IF(I1122&lt;=H1122,"No prazo","Fora do prazo")))</f>
        <v/>
      </c>
    </row>
    <row r="1123">
      <c r="B1123" s="22" t="n"/>
      <c r="E1123" s="23" t="n"/>
      <c r="F1123" s="24" t="n"/>
      <c r="H1123" s="22" t="n"/>
      <c r="I1123" s="22" t="n"/>
      <c r="J1123" s="21">
        <f>IF(C1123="","",IFERROR(INDEX(Clientes!$B:$B,MATCH(C1123,Clientes!$A:$A,0)),"Cód. não cadastrado"))</f>
        <v/>
      </c>
      <c r="K1123" s="18">
        <f>IF(B1123="","",YEAR(B1123))</f>
        <v/>
      </c>
      <c r="L1123" s="18">
        <f>IF(B1123="","",MONTH(B1123))</f>
        <v/>
      </c>
      <c r="M1123" s="18">
        <f>IF(OR(B1123="",I1123=""),"",I1123-B1123)</f>
        <v/>
      </c>
      <c r="N1123" s="21">
        <f>IF(B1123="","",IF(I1123="",IF(H1123="","",IF(TODAY()&gt;H1123,"Atrasado (em aberto)","Em aberto")),IF(I1123&lt;=H1123,"No prazo","Fora do prazo")))</f>
        <v/>
      </c>
    </row>
    <row r="1124">
      <c r="B1124" s="22" t="n"/>
      <c r="E1124" s="23" t="n"/>
      <c r="F1124" s="24" t="n"/>
      <c r="H1124" s="22" t="n"/>
      <c r="I1124" s="22" t="n"/>
      <c r="J1124" s="21">
        <f>IF(C1124="","",IFERROR(INDEX(Clientes!$B:$B,MATCH(C1124,Clientes!$A:$A,0)),"Cód. não cadastrado"))</f>
        <v/>
      </c>
      <c r="K1124" s="18">
        <f>IF(B1124="","",YEAR(B1124))</f>
        <v/>
      </c>
      <c r="L1124" s="18">
        <f>IF(B1124="","",MONTH(B1124))</f>
        <v/>
      </c>
      <c r="M1124" s="18">
        <f>IF(OR(B1124="",I1124=""),"",I1124-B1124)</f>
        <v/>
      </c>
      <c r="N1124" s="21">
        <f>IF(B1124="","",IF(I1124="",IF(H1124="","",IF(TODAY()&gt;H1124,"Atrasado (em aberto)","Em aberto")),IF(I1124&lt;=H1124,"No prazo","Fora do prazo")))</f>
        <v/>
      </c>
    </row>
    <row r="1125">
      <c r="B1125" s="22" t="n"/>
      <c r="E1125" s="23" t="n"/>
      <c r="F1125" s="24" t="n"/>
      <c r="H1125" s="22" t="n"/>
      <c r="I1125" s="22" t="n"/>
      <c r="J1125" s="21">
        <f>IF(C1125="","",IFERROR(INDEX(Clientes!$B:$B,MATCH(C1125,Clientes!$A:$A,0)),"Cód. não cadastrado"))</f>
        <v/>
      </c>
      <c r="K1125" s="18">
        <f>IF(B1125="","",YEAR(B1125))</f>
        <v/>
      </c>
      <c r="L1125" s="18">
        <f>IF(B1125="","",MONTH(B1125))</f>
        <v/>
      </c>
      <c r="M1125" s="18">
        <f>IF(OR(B1125="",I1125=""),"",I1125-B1125)</f>
        <v/>
      </c>
      <c r="N1125" s="21">
        <f>IF(B1125="","",IF(I1125="",IF(H1125="","",IF(TODAY()&gt;H1125,"Atrasado (em aberto)","Em aberto")),IF(I1125&lt;=H1125,"No prazo","Fora do prazo")))</f>
        <v/>
      </c>
    </row>
    <row r="1126">
      <c r="B1126" s="22" t="n"/>
      <c r="E1126" s="23" t="n"/>
      <c r="F1126" s="24" t="n"/>
      <c r="H1126" s="22" t="n"/>
      <c r="I1126" s="22" t="n"/>
      <c r="J1126" s="21">
        <f>IF(C1126="","",IFERROR(INDEX(Clientes!$B:$B,MATCH(C1126,Clientes!$A:$A,0)),"Cód. não cadastrado"))</f>
        <v/>
      </c>
      <c r="K1126" s="18">
        <f>IF(B1126="","",YEAR(B1126))</f>
        <v/>
      </c>
      <c r="L1126" s="18">
        <f>IF(B1126="","",MONTH(B1126))</f>
        <v/>
      </c>
      <c r="M1126" s="18">
        <f>IF(OR(B1126="",I1126=""),"",I1126-B1126)</f>
        <v/>
      </c>
      <c r="N1126" s="21">
        <f>IF(B1126="","",IF(I1126="",IF(H1126="","",IF(TODAY()&gt;H1126,"Atrasado (em aberto)","Em aberto")),IF(I1126&lt;=H1126,"No prazo","Fora do prazo")))</f>
        <v/>
      </c>
    </row>
    <row r="1127">
      <c r="B1127" s="22" t="n"/>
      <c r="E1127" s="23" t="n"/>
      <c r="F1127" s="24" t="n"/>
      <c r="H1127" s="22" t="n"/>
      <c r="I1127" s="22" t="n"/>
      <c r="J1127" s="21">
        <f>IF(C1127="","",IFERROR(INDEX(Clientes!$B:$B,MATCH(C1127,Clientes!$A:$A,0)),"Cód. não cadastrado"))</f>
        <v/>
      </c>
      <c r="K1127" s="18">
        <f>IF(B1127="","",YEAR(B1127))</f>
        <v/>
      </c>
      <c r="L1127" s="18">
        <f>IF(B1127="","",MONTH(B1127))</f>
        <v/>
      </c>
      <c r="M1127" s="18">
        <f>IF(OR(B1127="",I1127=""),"",I1127-B1127)</f>
        <v/>
      </c>
      <c r="N1127" s="21">
        <f>IF(B1127="","",IF(I1127="",IF(H1127="","",IF(TODAY()&gt;H1127,"Atrasado (em aberto)","Em aberto")),IF(I1127&lt;=H1127,"No prazo","Fora do prazo")))</f>
        <v/>
      </c>
    </row>
    <row r="1128">
      <c r="B1128" s="22" t="n"/>
      <c r="E1128" s="23" t="n"/>
      <c r="F1128" s="24" t="n"/>
      <c r="H1128" s="22" t="n"/>
      <c r="I1128" s="22" t="n"/>
      <c r="J1128" s="21">
        <f>IF(C1128="","",IFERROR(INDEX(Clientes!$B:$B,MATCH(C1128,Clientes!$A:$A,0)),"Cód. não cadastrado"))</f>
        <v/>
      </c>
      <c r="K1128" s="18">
        <f>IF(B1128="","",YEAR(B1128))</f>
        <v/>
      </c>
      <c r="L1128" s="18">
        <f>IF(B1128="","",MONTH(B1128))</f>
        <v/>
      </c>
      <c r="M1128" s="18">
        <f>IF(OR(B1128="",I1128=""),"",I1128-B1128)</f>
        <v/>
      </c>
      <c r="N1128" s="21">
        <f>IF(B1128="","",IF(I1128="",IF(H1128="","",IF(TODAY()&gt;H1128,"Atrasado (em aberto)","Em aberto")),IF(I1128&lt;=H1128,"No prazo","Fora do prazo")))</f>
        <v/>
      </c>
    </row>
    <row r="1129">
      <c r="B1129" s="22" t="n"/>
      <c r="E1129" s="23" t="n"/>
      <c r="F1129" s="24" t="n"/>
      <c r="H1129" s="22" t="n"/>
      <c r="I1129" s="22" t="n"/>
      <c r="J1129" s="21">
        <f>IF(C1129="","",IFERROR(INDEX(Clientes!$B:$B,MATCH(C1129,Clientes!$A:$A,0)),"Cód. não cadastrado"))</f>
        <v/>
      </c>
      <c r="K1129" s="18">
        <f>IF(B1129="","",YEAR(B1129))</f>
        <v/>
      </c>
      <c r="L1129" s="18">
        <f>IF(B1129="","",MONTH(B1129))</f>
        <v/>
      </c>
      <c r="M1129" s="18">
        <f>IF(OR(B1129="",I1129=""),"",I1129-B1129)</f>
        <v/>
      </c>
      <c r="N1129" s="21">
        <f>IF(B1129="","",IF(I1129="",IF(H1129="","",IF(TODAY()&gt;H1129,"Atrasado (em aberto)","Em aberto")),IF(I1129&lt;=H1129,"No prazo","Fora do prazo")))</f>
        <v/>
      </c>
    </row>
    <row r="1130">
      <c r="B1130" s="22" t="n"/>
      <c r="E1130" s="23" t="n"/>
      <c r="F1130" s="24" t="n"/>
      <c r="H1130" s="22" t="n"/>
      <c r="I1130" s="22" t="n"/>
      <c r="J1130" s="21">
        <f>IF(C1130="","",IFERROR(INDEX(Clientes!$B:$B,MATCH(C1130,Clientes!$A:$A,0)),"Cód. não cadastrado"))</f>
        <v/>
      </c>
      <c r="K1130" s="18">
        <f>IF(B1130="","",YEAR(B1130))</f>
        <v/>
      </c>
      <c r="L1130" s="18">
        <f>IF(B1130="","",MONTH(B1130))</f>
        <v/>
      </c>
      <c r="M1130" s="18">
        <f>IF(OR(B1130="",I1130=""),"",I1130-B1130)</f>
        <v/>
      </c>
      <c r="N1130" s="21">
        <f>IF(B1130="","",IF(I1130="",IF(H1130="","",IF(TODAY()&gt;H1130,"Atrasado (em aberto)","Em aberto")),IF(I1130&lt;=H1130,"No prazo","Fora do prazo")))</f>
        <v/>
      </c>
    </row>
    <row r="1131">
      <c r="B1131" s="22" t="n"/>
      <c r="E1131" s="23" t="n"/>
      <c r="F1131" s="24" t="n"/>
      <c r="H1131" s="22" t="n"/>
      <c r="I1131" s="22" t="n"/>
      <c r="J1131" s="21">
        <f>IF(C1131="","",IFERROR(INDEX(Clientes!$B:$B,MATCH(C1131,Clientes!$A:$A,0)),"Cód. não cadastrado"))</f>
        <v/>
      </c>
      <c r="K1131" s="18">
        <f>IF(B1131="","",YEAR(B1131))</f>
        <v/>
      </c>
      <c r="L1131" s="18">
        <f>IF(B1131="","",MONTH(B1131))</f>
        <v/>
      </c>
      <c r="M1131" s="18">
        <f>IF(OR(B1131="",I1131=""),"",I1131-B1131)</f>
        <v/>
      </c>
      <c r="N1131" s="21">
        <f>IF(B1131="","",IF(I1131="",IF(H1131="","",IF(TODAY()&gt;H1131,"Atrasado (em aberto)","Em aberto")),IF(I1131&lt;=H1131,"No prazo","Fora do prazo")))</f>
        <v/>
      </c>
    </row>
    <row r="1132">
      <c r="B1132" s="22" t="n"/>
      <c r="E1132" s="23" t="n"/>
      <c r="F1132" s="24" t="n"/>
      <c r="H1132" s="22" t="n"/>
      <c r="I1132" s="22" t="n"/>
      <c r="J1132" s="21">
        <f>IF(C1132="","",IFERROR(INDEX(Clientes!$B:$B,MATCH(C1132,Clientes!$A:$A,0)),"Cód. não cadastrado"))</f>
        <v/>
      </c>
      <c r="K1132" s="18">
        <f>IF(B1132="","",YEAR(B1132))</f>
        <v/>
      </c>
      <c r="L1132" s="18">
        <f>IF(B1132="","",MONTH(B1132))</f>
        <v/>
      </c>
      <c r="M1132" s="18">
        <f>IF(OR(B1132="",I1132=""),"",I1132-B1132)</f>
        <v/>
      </c>
      <c r="N1132" s="21">
        <f>IF(B1132="","",IF(I1132="",IF(H1132="","",IF(TODAY()&gt;H1132,"Atrasado (em aberto)","Em aberto")),IF(I1132&lt;=H1132,"No prazo","Fora do prazo")))</f>
        <v/>
      </c>
    </row>
    <row r="1133">
      <c r="B1133" s="22" t="n"/>
      <c r="E1133" s="23" t="n"/>
      <c r="F1133" s="24" t="n"/>
      <c r="H1133" s="22" t="n"/>
      <c r="I1133" s="22" t="n"/>
      <c r="J1133" s="21">
        <f>IF(C1133="","",IFERROR(INDEX(Clientes!$B:$B,MATCH(C1133,Clientes!$A:$A,0)),"Cód. não cadastrado"))</f>
        <v/>
      </c>
      <c r="K1133" s="18">
        <f>IF(B1133="","",YEAR(B1133))</f>
        <v/>
      </c>
      <c r="L1133" s="18">
        <f>IF(B1133="","",MONTH(B1133))</f>
        <v/>
      </c>
      <c r="M1133" s="18">
        <f>IF(OR(B1133="",I1133=""),"",I1133-B1133)</f>
        <v/>
      </c>
      <c r="N1133" s="21">
        <f>IF(B1133="","",IF(I1133="",IF(H1133="","",IF(TODAY()&gt;H1133,"Atrasado (em aberto)","Em aberto")),IF(I1133&lt;=H1133,"No prazo","Fora do prazo")))</f>
        <v/>
      </c>
    </row>
    <row r="1134">
      <c r="B1134" s="22" t="n"/>
      <c r="E1134" s="23" t="n"/>
      <c r="F1134" s="24" t="n"/>
      <c r="H1134" s="22" t="n"/>
      <c r="I1134" s="22" t="n"/>
      <c r="J1134" s="21">
        <f>IF(C1134="","",IFERROR(INDEX(Clientes!$B:$B,MATCH(C1134,Clientes!$A:$A,0)),"Cód. não cadastrado"))</f>
        <v/>
      </c>
      <c r="K1134" s="18">
        <f>IF(B1134="","",YEAR(B1134))</f>
        <v/>
      </c>
      <c r="L1134" s="18">
        <f>IF(B1134="","",MONTH(B1134))</f>
        <v/>
      </c>
      <c r="M1134" s="18">
        <f>IF(OR(B1134="",I1134=""),"",I1134-B1134)</f>
        <v/>
      </c>
      <c r="N1134" s="21">
        <f>IF(B1134="","",IF(I1134="",IF(H1134="","",IF(TODAY()&gt;H1134,"Atrasado (em aberto)","Em aberto")),IF(I1134&lt;=H1134,"No prazo","Fora do prazo")))</f>
        <v/>
      </c>
    </row>
    <row r="1135">
      <c r="B1135" s="22" t="n"/>
      <c r="E1135" s="23" t="n"/>
      <c r="F1135" s="24" t="n"/>
      <c r="H1135" s="22" t="n"/>
      <c r="I1135" s="22" t="n"/>
      <c r="J1135" s="21">
        <f>IF(C1135="","",IFERROR(INDEX(Clientes!$B:$B,MATCH(C1135,Clientes!$A:$A,0)),"Cód. não cadastrado"))</f>
        <v/>
      </c>
      <c r="K1135" s="18">
        <f>IF(B1135="","",YEAR(B1135))</f>
        <v/>
      </c>
      <c r="L1135" s="18">
        <f>IF(B1135="","",MONTH(B1135))</f>
        <v/>
      </c>
      <c r="M1135" s="18">
        <f>IF(OR(B1135="",I1135=""),"",I1135-B1135)</f>
        <v/>
      </c>
      <c r="N1135" s="21">
        <f>IF(B1135="","",IF(I1135="",IF(H1135="","",IF(TODAY()&gt;H1135,"Atrasado (em aberto)","Em aberto")),IF(I1135&lt;=H1135,"No prazo","Fora do prazo")))</f>
        <v/>
      </c>
    </row>
    <row r="1136">
      <c r="B1136" s="22" t="n"/>
      <c r="E1136" s="23" t="n"/>
      <c r="F1136" s="24" t="n"/>
      <c r="H1136" s="22" t="n"/>
      <c r="I1136" s="22" t="n"/>
      <c r="J1136" s="21">
        <f>IF(C1136="","",IFERROR(INDEX(Clientes!$B:$B,MATCH(C1136,Clientes!$A:$A,0)),"Cód. não cadastrado"))</f>
        <v/>
      </c>
      <c r="K1136" s="18">
        <f>IF(B1136="","",YEAR(B1136))</f>
        <v/>
      </c>
      <c r="L1136" s="18">
        <f>IF(B1136="","",MONTH(B1136))</f>
        <v/>
      </c>
      <c r="M1136" s="18">
        <f>IF(OR(B1136="",I1136=""),"",I1136-B1136)</f>
        <v/>
      </c>
      <c r="N1136" s="21">
        <f>IF(B1136="","",IF(I1136="",IF(H1136="","",IF(TODAY()&gt;H1136,"Atrasado (em aberto)","Em aberto")),IF(I1136&lt;=H1136,"No prazo","Fora do prazo")))</f>
        <v/>
      </c>
    </row>
    <row r="1137">
      <c r="B1137" s="22" t="n"/>
      <c r="E1137" s="23" t="n"/>
      <c r="F1137" s="24" t="n"/>
      <c r="H1137" s="22" t="n"/>
      <c r="I1137" s="22" t="n"/>
      <c r="J1137" s="21">
        <f>IF(C1137="","",IFERROR(INDEX(Clientes!$B:$B,MATCH(C1137,Clientes!$A:$A,0)),"Cód. não cadastrado"))</f>
        <v/>
      </c>
      <c r="K1137" s="18">
        <f>IF(B1137="","",YEAR(B1137))</f>
        <v/>
      </c>
      <c r="L1137" s="18">
        <f>IF(B1137="","",MONTH(B1137))</f>
        <v/>
      </c>
      <c r="M1137" s="18">
        <f>IF(OR(B1137="",I1137=""),"",I1137-B1137)</f>
        <v/>
      </c>
      <c r="N1137" s="21">
        <f>IF(B1137="","",IF(I1137="",IF(H1137="","",IF(TODAY()&gt;H1137,"Atrasado (em aberto)","Em aberto")),IF(I1137&lt;=H1137,"No prazo","Fora do prazo")))</f>
        <v/>
      </c>
    </row>
    <row r="1138">
      <c r="B1138" s="22" t="n"/>
      <c r="E1138" s="23" t="n"/>
      <c r="F1138" s="24" t="n"/>
      <c r="H1138" s="22" t="n"/>
      <c r="I1138" s="22" t="n"/>
      <c r="J1138" s="21">
        <f>IF(C1138="","",IFERROR(INDEX(Clientes!$B:$B,MATCH(C1138,Clientes!$A:$A,0)),"Cód. não cadastrado"))</f>
        <v/>
      </c>
      <c r="K1138" s="18">
        <f>IF(B1138="","",YEAR(B1138))</f>
        <v/>
      </c>
      <c r="L1138" s="18">
        <f>IF(B1138="","",MONTH(B1138))</f>
        <v/>
      </c>
      <c r="M1138" s="18">
        <f>IF(OR(B1138="",I1138=""),"",I1138-B1138)</f>
        <v/>
      </c>
      <c r="N1138" s="21">
        <f>IF(B1138="","",IF(I1138="",IF(H1138="","",IF(TODAY()&gt;H1138,"Atrasado (em aberto)","Em aberto")),IF(I1138&lt;=H1138,"No prazo","Fora do prazo")))</f>
        <v/>
      </c>
    </row>
    <row r="1139">
      <c r="B1139" s="22" t="n"/>
      <c r="E1139" s="23" t="n"/>
      <c r="F1139" s="24" t="n"/>
      <c r="H1139" s="22" t="n"/>
      <c r="I1139" s="22" t="n"/>
      <c r="J1139" s="21">
        <f>IF(C1139="","",IFERROR(INDEX(Clientes!$B:$B,MATCH(C1139,Clientes!$A:$A,0)),"Cód. não cadastrado"))</f>
        <v/>
      </c>
      <c r="K1139" s="18">
        <f>IF(B1139="","",YEAR(B1139))</f>
        <v/>
      </c>
      <c r="L1139" s="18">
        <f>IF(B1139="","",MONTH(B1139))</f>
        <v/>
      </c>
      <c r="M1139" s="18">
        <f>IF(OR(B1139="",I1139=""),"",I1139-B1139)</f>
        <v/>
      </c>
      <c r="N1139" s="21">
        <f>IF(B1139="","",IF(I1139="",IF(H1139="","",IF(TODAY()&gt;H1139,"Atrasado (em aberto)","Em aberto")),IF(I1139&lt;=H1139,"No prazo","Fora do prazo")))</f>
        <v/>
      </c>
    </row>
    <row r="1140">
      <c r="B1140" s="22" t="n"/>
      <c r="E1140" s="23" t="n"/>
      <c r="F1140" s="24" t="n"/>
      <c r="H1140" s="22" t="n"/>
      <c r="I1140" s="22" t="n"/>
      <c r="J1140" s="21">
        <f>IF(C1140="","",IFERROR(INDEX(Clientes!$B:$B,MATCH(C1140,Clientes!$A:$A,0)),"Cód. não cadastrado"))</f>
        <v/>
      </c>
      <c r="K1140" s="18">
        <f>IF(B1140="","",YEAR(B1140))</f>
        <v/>
      </c>
      <c r="L1140" s="18">
        <f>IF(B1140="","",MONTH(B1140))</f>
        <v/>
      </c>
      <c r="M1140" s="18">
        <f>IF(OR(B1140="",I1140=""),"",I1140-B1140)</f>
        <v/>
      </c>
      <c r="N1140" s="21">
        <f>IF(B1140="","",IF(I1140="",IF(H1140="","",IF(TODAY()&gt;H1140,"Atrasado (em aberto)","Em aberto")),IF(I1140&lt;=H1140,"No prazo","Fora do prazo")))</f>
        <v/>
      </c>
    </row>
    <row r="1141">
      <c r="B1141" s="22" t="n"/>
      <c r="E1141" s="23" t="n"/>
      <c r="F1141" s="24" t="n"/>
      <c r="H1141" s="22" t="n"/>
      <c r="I1141" s="22" t="n"/>
      <c r="J1141" s="21">
        <f>IF(C1141="","",IFERROR(INDEX(Clientes!$B:$B,MATCH(C1141,Clientes!$A:$A,0)),"Cód. não cadastrado"))</f>
        <v/>
      </c>
      <c r="K1141" s="18">
        <f>IF(B1141="","",YEAR(B1141))</f>
        <v/>
      </c>
      <c r="L1141" s="18">
        <f>IF(B1141="","",MONTH(B1141))</f>
        <v/>
      </c>
      <c r="M1141" s="18">
        <f>IF(OR(B1141="",I1141=""),"",I1141-B1141)</f>
        <v/>
      </c>
      <c r="N1141" s="21">
        <f>IF(B1141="","",IF(I1141="",IF(H1141="","",IF(TODAY()&gt;H1141,"Atrasado (em aberto)","Em aberto")),IF(I1141&lt;=H1141,"No prazo","Fora do prazo")))</f>
        <v/>
      </c>
    </row>
    <row r="1142">
      <c r="B1142" s="22" t="n"/>
      <c r="E1142" s="23" t="n"/>
      <c r="F1142" s="24" t="n"/>
      <c r="H1142" s="22" t="n"/>
      <c r="I1142" s="22" t="n"/>
      <c r="J1142" s="21">
        <f>IF(C1142="","",IFERROR(INDEX(Clientes!$B:$B,MATCH(C1142,Clientes!$A:$A,0)),"Cód. não cadastrado"))</f>
        <v/>
      </c>
      <c r="K1142" s="18">
        <f>IF(B1142="","",YEAR(B1142))</f>
        <v/>
      </c>
      <c r="L1142" s="18">
        <f>IF(B1142="","",MONTH(B1142))</f>
        <v/>
      </c>
      <c r="M1142" s="18">
        <f>IF(OR(B1142="",I1142=""),"",I1142-B1142)</f>
        <v/>
      </c>
      <c r="N1142" s="21">
        <f>IF(B1142="","",IF(I1142="",IF(H1142="","",IF(TODAY()&gt;H1142,"Atrasado (em aberto)","Em aberto")),IF(I1142&lt;=H1142,"No prazo","Fora do prazo")))</f>
        <v/>
      </c>
    </row>
    <row r="1143">
      <c r="B1143" s="22" t="n"/>
      <c r="E1143" s="23" t="n"/>
      <c r="F1143" s="24" t="n"/>
      <c r="H1143" s="22" t="n"/>
      <c r="I1143" s="22" t="n"/>
      <c r="J1143" s="21">
        <f>IF(C1143="","",IFERROR(INDEX(Clientes!$B:$B,MATCH(C1143,Clientes!$A:$A,0)),"Cód. não cadastrado"))</f>
        <v/>
      </c>
      <c r="K1143" s="18">
        <f>IF(B1143="","",YEAR(B1143))</f>
        <v/>
      </c>
      <c r="L1143" s="18">
        <f>IF(B1143="","",MONTH(B1143))</f>
        <v/>
      </c>
      <c r="M1143" s="18">
        <f>IF(OR(B1143="",I1143=""),"",I1143-B1143)</f>
        <v/>
      </c>
      <c r="N1143" s="21">
        <f>IF(B1143="","",IF(I1143="",IF(H1143="","",IF(TODAY()&gt;H1143,"Atrasado (em aberto)","Em aberto")),IF(I1143&lt;=H1143,"No prazo","Fora do prazo")))</f>
        <v/>
      </c>
    </row>
    <row r="1144">
      <c r="B1144" s="22" t="n"/>
      <c r="E1144" s="23" t="n"/>
      <c r="F1144" s="24" t="n"/>
      <c r="H1144" s="22" t="n"/>
      <c r="I1144" s="22" t="n"/>
      <c r="J1144" s="21">
        <f>IF(C1144="","",IFERROR(INDEX(Clientes!$B:$B,MATCH(C1144,Clientes!$A:$A,0)),"Cód. não cadastrado"))</f>
        <v/>
      </c>
      <c r="K1144" s="18">
        <f>IF(B1144="","",YEAR(B1144))</f>
        <v/>
      </c>
      <c r="L1144" s="18">
        <f>IF(B1144="","",MONTH(B1144))</f>
        <v/>
      </c>
      <c r="M1144" s="18">
        <f>IF(OR(B1144="",I1144=""),"",I1144-B1144)</f>
        <v/>
      </c>
      <c r="N1144" s="21">
        <f>IF(B1144="","",IF(I1144="",IF(H1144="","",IF(TODAY()&gt;H1144,"Atrasado (em aberto)","Em aberto")),IF(I1144&lt;=H1144,"No prazo","Fora do prazo")))</f>
        <v/>
      </c>
    </row>
    <row r="1145">
      <c r="B1145" s="22" t="n"/>
      <c r="E1145" s="23" t="n"/>
      <c r="F1145" s="24" t="n"/>
      <c r="H1145" s="22" t="n"/>
      <c r="I1145" s="22" t="n"/>
      <c r="J1145" s="21">
        <f>IF(C1145="","",IFERROR(INDEX(Clientes!$B:$B,MATCH(C1145,Clientes!$A:$A,0)),"Cód. não cadastrado"))</f>
        <v/>
      </c>
      <c r="K1145" s="18">
        <f>IF(B1145="","",YEAR(B1145))</f>
        <v/>
      </c>
      <c r="L1145" s="18">
        <f>IF(B1145="","",MONTH(B1145))</f>
        <v/>
      </c>
      <c r="M1145" s="18">
        <f>IF(OR(B1145="",I1145=""),"",I1145-B1145)</f>
        <v/>
      </c>
      <c r="N1145" s="21">
        <f>IF(B1145="","",IF(I1145="",IF(H1145="","",IF(TODAY()&gt;H1145,"Atrasado (em aberto)","Em aberto")),IF(I1145&lt;=H1145,"No prazo","Fora do prazo")))</f>
        <v/>
      </c>
    </row>
    <row r="1146">
      <c r="B1146" s="22" t="n"/>
      <c r="E1146" s="23" t="n"/>
      <c r="F1146" s="24" t="n"/>
      <c r="H1146" s="22" t="n"/>
      <c r="I1146" s="22" t="n"/>
      <c r="J1146" s="21">
        <f>IF(C1146="","",IFERROR(INDEX(Clientes!$B:$B,MATCH(C1146,Clientes!$A:$A,0)),"Cód. não cadastrado"))</f>
        <v/>
      </c>
      <c r="K1146" s="18">
        <f>IF(B1146="","",YEAR(B1146))</f>
        <v/>
      </c>
      <c r="L1146" s="18">
        <f>IF(B1146="","",MONTH(B1146))</f>
        <v/>
      </c>
      <c r="M1146" s="18">
        <f>IF(OR(B1146="",I1146=""),"",I1146-B1146)</f>
        <v/>
      </c>
      <c r="N1146" s="21">
        <f>IF(B1146="","",IF(I1146="",IF(H1146="","",IF(TODAY()&gt;H1146,"Atrasado (em aberto)","Em aberto")),IF(I1146&lt;=H1146,"No prazo","Fora do prazo")))</f>
        <v/>
      </c>
    </row>
    <row r="1147">
      <c r="B1147" s="22" t="n"/>
      <c r="E1147" s="23" t="n"/>
      <c r="F1147" s="24" t="n"/>
      <c r="H1147" s="22" t="n"/>
      <c r="I1147" s="22" t="n"/>
      <c r="J1147" s="21">
        <f>IF(C1147="","",IFERROR(INDEX(Clientes!$B:$B,MATCH(C1147,Clientes!$A:$A,0)),"Cód. não cadastrado"))</f>
        <v/>
      </c>
      <c r="K1147" s="18">
        <f>IF(B1147="","",YEAR(B1147))</f>
        <v/>
      </c>
      <c r="L1147" s="18">
        <f>IF(B1147="","",MONTH(B1147))</f>
        <v/>
      </c>
      <c r="M1147" s="18">
        <f>IF(OR(B1147="",I1147=""),"",I1147-B1147)</f>
        <v/>
      </c>
      <c r="N1147" s="21">
        <f>IF(B1147="","",IF(I1147="",IF(H1147="","",IF(TODAY()&gt;H1147,"Atrasado (em aberto)","Em aberto")),IF(I1147&lt;=H1147,"No prazo","Fora do prazo")))</f>
        <v/>
      </c>
    </row>
    <row r="1148">
      <c r="B1148" s="22" t="n"/>
      <c r="E1148" s="23" t="n"/>
      <c r="F1148" s="24" t="n"/>
      <c r="H1148" s="22" t="n"/>
      <c r="I1148" s="22" t="n"/>
      <c r="J1148" s="21">
        <f>IF(C1148="","",IFERROR(INDEX(Clientes!$B:$B,MATCH(C1148,Clientes!$A:$A,0)),"Cód. não cadastrado"))</f>
        <v/>
      </c>
      <c r="K1148" s="18">
        <f>IF(B1148="","",YEAR(B1148))</f>
        <v/>
      </c>
      <c r="L1148" s="18">
        <f>IF(B1148="","",MONTH(B1148))</f>
        <v/>
      </c>
      <c r="M1148" s="18">
        <f>IF(OR(B1148="",I1148=""),"",I1148-B1148)</f>
        <v/>
      </c>
      <c r="N1148" s="21">
        <f>IF(B1148="","",IF(I1148="",IF(H1148="","",IF(TODAY()&gt;H1148,"Atrasado (em aberto)","Em aberto")),IF(I1148&lt;=H1148,"No prazo","Fora do prazo")))</f>
        <v/>
      </c>
    </row>
    <row r="1149">
      <c r="B1149" s="22" t="n"/>
      <c r="E1149" s="23" t="n"/>
      <c r="F1149" s="24" t="n"/>
      <c r="H1149" s="22" t="n"/>
      <c r="I1149" s="22" t="n"/>
      <c r="J1149" s="21">
        <f>IF(C1149="","",IFERROR(INDEX(Clientes!$B:$B,MATCH(C1149,Clientes!$A:$A,0)),"Cód. não cadastrado"))</f>
        <v/>
      </c>
      <c r="K1149" s="18">
        <f>IF(B1149="","",YEAR(B1149))</f>
        <v/>
      </c>
      <c r="L1149" s="18">
        <f>IF(B1149="","",MONTH(B1149))</f>
        <v/>
      </c>
      <c r="M1149" s="18">
        <f>IF(OR(B1149="",I1149=""),"",I1149-B1149)</f>
        <v/>
      </c>
      <c r="N1149" s="21">
        <f>IF(B1149="","",IF(I1149="",IF(H1149="","",IF(TODAY()&gt;H1149,"Atrasado (em aberto)","Em aberto")),IF(I1149&lt;=H1149,"No prazo","Fora do prazo")))</f>
        <v/>
      </c>
    </row>
    <row r="1150">
      <c r="B1150" s="22" t="n"/>
      <c r="E1150" s="23" t="n"/>
      <c r="F1150" s="24" t="n"/>
      <c r="H1150" s="22" t="n"/>
      <c r="I1150" s="22" t="n"/>
      <c r="J1150" s="21">
        <f>IF(C1150="","",IFERROR(INDEX(Clientes!$B:$B,MATCH(C1150,Clientes!$A:$A,0)),"Cód. não cadastrado"))</f>
        <v/>
      </c>
      <c r="K1150" s="18">
        <f>IF(B1150="","",YEAR(B1150))</f>
        <v/>
      </c>
      <c r="L1150" s="18">
        <f>IF(B1150="","",MONTH(B1150))</f>
        <v/>
      </c>
      <c r="M1150" s="18">
        <f>IF(OR(B1150="",I1150=""),"",I1150-B1150)</f>
        <v/>
      </c>
      <c r="N1150" s="21">
        <f>IF(B1150="","",IF(I1150="",IF(H1150="","",IF(TODAY()&gt;H1150,"Atrasado (em aberto)","Em aberto")),IF(I1150&lt;=H1150,"No prazo","Fora do prazo")))</f>
        <v/>
      </c>
    </row>
    <row r="1151">
      <c r="B1151" s="22" t="n"/>
      <c r="E1151" s="23" t="n"/>
      <c r="F1151" s="24" t="n"/>
      <c r="H1151" s="22" t="n"/>
      <c r="I1151" s="22" t="n"/>
      <c r="J1151" s="21">
        <f>IF(C1151="","",IFERROR(INDEX(Clientes!$B:$B,MATCH(C1151,Clientes!$A:$A,0)),"Cód. não cadastrado"))</f>
        <v/>
      </c>
      <c r="K1151" s="18">
        <f>IF(B1151="","",YEAR(B1151))</f>
        <v/>
      </c>
      <c r="L1151" s="18">
        <f>IF(B1151="","",MONTH(B1151))</f>
        <v/>
      </c>
      <c r="M1151" s="18">
        <f>IF(OR(B1151="",I1151=""),"",I1151-B1151)</f>
        <v/>
      </c>
      <c r="N1151" s="21">
        <f>IF(B1151="","",IF(I1151="",IF(H1151="","",IF(TODAY()&gt;H1151,"Atrasado (em aberto)","Em aberto")),IF(I1151&lt;=H1151,"No prazo","Fora do prazo")))</f>
        <v/>
      </c>
    </row>
    <row r="1152">
      <c r="B1152" s="22" t="n"/>
      <c r="E1152" s="23" t="n"/>
      <c r="F1152" s="24" t="n"/>
      <c r="H1152" s="22" t="n"/>
      <c r="I1152" s="22" t="n"/>
      <c r="J1152" s="21">
        <f>IF(C1152="","",IFERROR(INDEX(Clientes!$B:$B,MATCH(C1152,Clientes!$A:$A,0)),"Cód. não cadastrado"))</f>
        <v/>
      </c>
      <c r="K1152" s="18">
        <f>IF(B1152="","",YEAR(B1152))</f>
        <v/>
      </c>
      <c r="L1152" s="18">
        <f>IF(B1152="","",MONTH(B1152))</f>
        <v/>
      </c>
      <c r="M1152" s="18">
        <f>IF(OR(B1152="",I1152=""),"",I1152-B1152)</f>
        <v/>
      </c>
      <c r="N1152" s="21">
        <f>IF(B1152="","",IF(I1152="",IF(H1152="","",IF(TODAY()&gt;H1152,"Atrasado (em aberto)","Em aberto")),IF(I1152&lt;=H1152,"No prazo","Fora do prazo")))</f>
        <v/>
      </c>
    </row>
    <row r="1153">
      <c r="B1153" s="22" t="n"/>
      <c r="E1153" s="23" t="n"/>
      <c r="F1153" s="24" t="n"/>
      <c r="H1153" s="22" t="n"/>
      <c r="I1153" s="22" t="n"/>
      <c r="J1153" s="21">
        <f>IF(C1153="","",IFERROR(INDEX(Clientes!$B:$B,MATCH(C1153,Clientes!$A:$A,0)),"Cód. não cadastrado"))</f>
        <v/>
      </c>
      <c r="K1153" s="18">
        <f>IF(B1153="","",YEAR(B1153))</f>
        <v/>
      </c>
      <c r="L1153" s="18">
        <f>IF(B1153="","",MONTH(B1153))</f>
        <v/>
      </c>
      <c r="M1153" s="18">
        <f>IF(OR(B1153="",I1153=""),"",I1153-B1153)</f>
        <v/>
      </c>
      <c r="N1153" s="21">
        <f>IF(B1153="","",IF(I1153="",IF(H1153="","",IF(TODAY()&gt;H1153,"Atrasado (em aberto)","Em aberto")),IF(I1153&lt;=H1153,"No prazo","Fora do prazo")))</f>
        <v/>
      </c>
    </row>
    <row r="1154">
      <c r="B1154" s="22" t="n"/>
      <c r="E1154" s="23" t="n"/>
      <c r="F1154" s="24" t="n"/>
      <c r="H1154" s="22" t="n"/>
      <c r="I1154" s="22" t="n"/>
      <c r="J1154" s="21">
        <f>IF(C1154="","",IFERROR(INDEX(Clientes!$B:$B,MATCH(C1154,Clientes!$A:$A,0)),"Cód. não cadastrado"))</f>
        <v/>
      </c>
      <c r="K1154" s="18">
        <f>IF(B1154="","",YEAR(B1154))</f>
        <v/>
      </c>
      <c r="L1154" s="18">
        <f>IF(B1154="","",MONTH(B1154))</f>
        <v/>
      </c>
      <c r="M1154" s="18">
        <f>IF(OR(B1154="",I1154=""),"",I1154-B1154)</f>
        <v/>
      </c>
      <c r="N1154" s="21">
        <f>IF(B1154="","",IF(I1154="",IF(H1154="","",IF(TODAY()&gt;H1154,"Atrasado (em aberto)","Em aberto")),IF(I1154&lt;=H1154,"No prazo","Fora do prazo")))</f>
        <v/>
      </c>
    </row>
    <row r="1155">
      <c r="B1155" s="22" t="n"/>
      <c r="E1155" s="23" t="n"/>
      <c r="F1155" s="24" t="n"/>
      <c r="H1155" s="22" t="n"/>
      <c r="I1155" s="22" t="n"/>
      <c r="J1155" s="21">
        <f>IF(C1155="","",IFERROR(INDEX(Clientes!$B:$B,MATCH(C1155,Clientes!$A:$A,0)),"Cód. não cadastrado"))</f>
        <v/>
      </c>
      <c r="K1155" s="18">
        <f>IF(B1155="","",YEAR(B1155))</f>
        <v/>
      </c>
      <c r="L1155" s="18">
        <f>IF(B1155="","",MONTH(B1155))</f>
        <v/>
      </c>
      <c r="M1155" s="18">
        <f>IF(OR(B1155="",I1155=""),"",I1155-B1155)</f>
        <v/>
      </c>
      <c r="N1155" s="21">
        <f>IF(B1155="","",IF(I1155="",IF(H1155="","",IF(TODAY()&gt;H1155,"Atrasado (em aberto)","Em aberto")),IF(I1155&lt;=H1155,"No prazo","Fora do prazo")))</f>
        <v/>
      </c>
    </row>
    <row r="1156">
      <c r="B1156" s="22" t="n"/>
      <c r="E1156" s="23" t="n"/>
      <c r="F1156" s="24" t="n"/>
      <c r="H1156" s="22" t="n"/>
      <c r="I1156" s="22" t="n"/>
      <c r="J1156" s="21">
        <f>IF(C1156="","",IFERROR(INDEX(Clientes!$B:$B,MATCH(C1156,Clientes!$A:$A,0)),"Cód. não cadastrado"))</f>
        <v/>
      </c>
      <c r="K1156" s="18">
        <f>IF(B1156="","",YEAR(B1156))</f>
        <v/>
      </c>
      <c r="L1156" s="18">
        <f>IF(B1156="","",MONTH(B1156))</f>
        <v/>
      </c>
      <c r="M1156" s="18">
        <f>IF(OR(B1156="",I1156=""),"",I1156-B1156)</f>
        <v/>
      </c>
      <c r="N1156" s="21">
        <f>IF(B1156="","",IF(I1156="",IF(H1156="","",IF(TODAY()&gt;H1156,"Atrasado (em aberto)","Em aberto")),IF(I1156&lt;=H1156,"No prazo","Fora do prazo")))</f>
        <v/>
      </c>
    </row>
    <row r="1157">
      <c r="B1157" s="22" t="n"/>
      <c r="E1157" s="23" t="n"/>
      <c r="F1157" s="24" t="n"/>
      <c r="H1157" s="22" t="n"/>
      <c r="I1157" s="22" t="n"/>
      <c r="J1157" s="21">
        <f>IF(C1157="","",IFERROR(INDEX(Clientes!$B:$B,MATCH(C1157,Clientes!$A:$A,0)),"Cód. não cadastrado"))</f>
        <v/>
      </c>
      <c r="K1157" s="18">
        <f>IF(B1157="","",YEAR(B1157))</f>
        <v/>
      </c>
      <c r="L1157" s="18">
        <f>IF(B1157="","",MONTH(B1157))</f>
        <v/>
      </c>
      <c r="M1157" s="18">
        <f>IF(OR(B1157="",I1157=""),"",I1157-B1157)</f>
        <v/>
      </c>
      <c r="N1157" s="21">
        <f>IF(B1157="","",IF(I1157="",IF(H1157="","",IF(TODAY()&gt;H1157,"Atrasado (em aberto)","Em aberto")),IF(I1157&lt;=H1157,"No prazo","Fora do prazo")))</f>
        <v/>
      </c>
    </row>
    <row r="1158">
      <c r="B1158" s="22" t="n"/>
      <c r="E1158" s="23" t="n"/>
      <c r="F1158" s="24" t="n"/>
      <c r="H1158" s="22" t="n"/>
      <c r="I1158" s="22" t="n"/>
      <c r="J1158" s="21">
        <f>IF(C1158="","",IFERROR(INDEX(Clientes!$B:$B,MATCH(C1158,Clientes!$A:$A,0)),"Cód. não cadastrado"))</f>
        <v/>
      </c>
      <c r="K1158" s="18">
        <f>IF(B1158="","",YEAR(B1158))</f>
        <v/>
      </c>
      <c r="L1158" s="18">
        <f>IF(B1158="","",MONTH(B1158))</f>
        <v/>
      </c>
      <c r="M1158" s="18">
        <f>IF(OR(B1158="",I1158=""),"",I1158-B1158)</f>
        <v/>
      </c>
      <c r="N1158" s="21">
        <f>IF(B1158="","",IF(I1158="",IF(H1158="","",IF(TODAY()&gt;H1158,"Atrasado (em aberto)","Em aberto")),IF(I1158&lt;=H1158,"No prazo","Fora do prazo")))</f>
        <v/>
      </c>
    </row>
    <row r="1159">
      <c r="B1159" s="22" t="n"/>
      <c r="E1159" s="23" t="n"/>
      <c r="F1159" s="24" t="n"/>
      <c r="H1159" s="22" t="n"/>
      <c r="I1159" s="22" t="n"/>
      <c r="J1159" s="21">
        <f>IF(C1159="","",IFERROR(INDEX(Clientes!$B:$B,MATCH(C1159,Clientes!$A:$A,0)),"Cód. não cadastrado"))</f>
        <v/>
      </c>
      <c r="K1159" s="18">
        <f>IF(B1159="","",YEAR(B1159))</f>
        <v/>
      </c>
      <c r="L1159" s="18">
        <f>IF(B1159="","",MONTH(B1159))</f>
        <v/>
      </c>
      <c r="M1159" s="18">
        <f>IF(OR(B1159="",I1159=""),"",I1159-B1159)</f>
        <v/>
      </c>
      <c r="N1159" s="21">
        <f>IF(B1159="","",IF(I1159="",IF(H1159="","",IF(TODAY()&gt;H1159,"Atrasado (em aberto)","Em aberto")),IF(I1159&lt;=H1159,"No prazo","Fora do prazo")))</f>
        <v/>
      </c>
    </row>
    <row r="1160">
      <c r="B1160" s="22" t="n"/>
      <c r="E1160" s="23" t="n"/>
      <c r="F1160" s="24" t="n"/>
      <c r="H1160" s="22" t="n"/>
      <c r="I1160" s="22" t="n"/>
      <c r="J1160" s="21">
        <f>IF(C1160="","",IFERROR(INDEX(Clientes!$B:$B,MATCH(C1160,Clientes!$A:$A,0)),"Cód. não cadastrado"))</f>
        <v/>
      </c>
      <c r="K1160" s="18">
        <f>IF(B1160="","",YEAR(B1160))</f>
        <v/>
      </c>
      <c r="L1160" s="18">
        <f>IF(B1160="","",MONTH(B1160))</f>
        <v/>
      </c>
      <c r="M1160" s="18">
        <f>IF(OR(B1160="",I1160=""),"",I1160-B1160)</f>
        <v/>
      </c>
      <c r="N1160" s="21">
        <f>IF(B1160="","",IF(I1160="",IF(H1160="","",IF(TODAY()&gt;H1160,"Atrasado (em aberto)","Em aberto")),IF(I1160&lt;=H1160,"No prazo","Fora do prazo")))</f>
        <v/>
      </c>
    </row>
    <row r="1161">
      <c r="B1161" s="22" t="n"/>
      <c r="E1161" s="23" t="n"/>
      <c r="F1161" s="24" t="n"/>
      <c r="H1161" s="22" t="n"/>
      <c r="I1161" s="22" t="n"/>
      <c r="J1161" s="21">
        <f>IF(C1161="","",IFERROR(INDEX(Clientes!$B:$B,MATCH(C1161,Clientes!$A:$A,0)),"Cód. não cadastrado"))</f>
        <v/>
      </c>
      <c r="K1161" s="18">
        <f>IF(B1161="","",YEAR(B1161))</f>
        <v/>
      </c>
      <c r="L1161" s="18">
        <f>IF(B1161="","",MONTH(B1161))</f>
        <v/>
      </c>
      <c r="M1161" s="18">
        <f>IF(OR(B1161="",I1161=""),"",I1161-B1161)</f>
        <v/>
      </c>
      <c r="N1161" s="21">
        <f>IF(B1161="","",IF(I1161="",IF(H1161="","",IF(TODAY()&gt;H1161,"Atrasado (em aberto)","Em aberto")),IF(I1161&lt;=H1161,"No prazo","Fora do prazo")))</f>
        <v/>
      </c>
    </row>
    <row r="1162">
      <c r="B1162" s="22" t="n"/>
      <c r="E1162" s="23" t="n"/>
      <c r="F1162" s="24" t="n"/>
      <c r="H1162" s="22" t="n"/>
      <c r="I1162" s="22" t="n"/>
      <c r="J1162" s="21">
        <f>IF(C1162="","",IFERROR(INDEX(Clientes!$B:$B,MATCH(C1162,Clientes!$A:$A,0)),"Cód. não cadastrado"))</f>
        <v/>
      </c>
      <c r="K1162" s="18">
        <f>IF(B1162="","",YEAR(B1162))</f>
        <v/>
      </c>
      <c r="L1162" s="18">
        <f>IF(B1162="","",MONTH(B1162))</f>
        <v/>
      </c>
      <c r="M1162" s="18">
        <f>IF(OR(B1162="",I1162=""),"",I1162-B1162)</f>
        <v/>
      </c>
      <c r="N1162" s="21">
        <f>IF(B1162="","",IF(I1162="",IF(H1162="","",IF(TODAY()&gt;H1162,"Atrasado (em aberto)","Em aberto")),IF(I1162&lt;=H1162,"No prazo","Fora do prazo")))</f>
        <v/>
      </c>
    </row>
    <row r="1163">
      <c r="B1163" s="22" t="n"/>
      <c r="E1163" s="23" t="n"/>
      <c r="F1163" s="24" t="n"/>
      <c r="H1163" s="22" t="n"/>
      <c r="I1163" s="22" t="n"/>
      <c r="J1163" s="21">
        <f>IF(C1163="","",IFERROR(INDEX(Clientes!$B:$B,MATCH(C1163,Clientes!$A:$A,0)),"Cód. não cadastrado"))</f>
        <v/>
      </c>
      <c r="K1163" s="18">
        <f>IF(B1163="","",YEAR(B1163))</f>
        <v/>
      </c>
      <c r="L1163" s="18">
        <f>IF(B1163="","",MONTH(B1163))</f>
        <v/>
      </c>
      <c r="M1163" s="18">
        <f>IF(OR(B1163="",I1163=""),"",I1163-B1163)</f>
        <v/>
      </c>
      <c r="N1163" s="21">
        <f>IF(B1163="","",IF(I1163="",IF(H1163="","",IF(TODAY()&gt;H1163,"Atrasado (em aberto)","Em aberto")),IF(I1163&lt;=H1163,"No prazo","Fora do prazo")))</f>
        <v/>
      </c>
    </row>
    <row r="1164">
      <c r="B1164" s="22" t="n"/>
      <c r="E1164" s="23" t="n"/>
      <c r="F1164" s="24" t="n"/>
      <c r="H1164" s="22" t="n"/>
      <c r="I1164" s="22" t="n"/>
      <c r="J1164" s="21">
        <f>IF(C1164="","",IFERROR(INDEX(Clientes!$B:$B,MATCH(C1164,Clientes!$A:$A,0)),"Cód. não cadastrado"))</f>
        <v/>
      </c>
      <c r="K1164" s="18">
        <f>IF(B1164="","",YEAR(B1164))</f>
        <v/>
      </c>
      <c r="L1164" s="18">
        <f>IF(B1164="","",MONTH(B1164))</f>
        <v/>
      </c>
      <c r="M1164" s="18">
        <f>IF(OR(B1164="",I1164=""),"",I1164-B1164)</f>
        <v/>
      </c>
      <c r="N1164" s="21">
        <f>IF(B1164="","",IF(I1164="",IF(H1164="","",IF(TODAY()&gt;H1164,"Atrasado (em aberto)","Em aberto")),IF(I1164&lt;=H1164,"No prazo","Fora do prazo")))</f>
        <v/>
      </c>
    </row>
    <row r="1165">
      <c r="B1165" s="22" t="n"/>
      <c r="E1165" s="23" t="n"/>
      <c r="F1165" s="24" t="n"/>
      <c r="H1165" s="22" t="n"/>
      <c r="I1165" s="22" t="n"/>
      <c r="J1165" s="21">
        <f>IF(C1165="","",IFERROR(INDEX(Clientes!$B:$B,MATCH(C1165,Clientes!$A:$A,0)),"Cód. não cadastrado"))</f>
        <v/>
      </c>
      <c r="K1165" s="18">
        <f>IF(B1165="","",YEAR(B1165))</f>
        <v/>
      </c>
      <c r="L1165" s="18">
        <f>IF(B1165="","",MONTH(B1165))</f>
        <v/>
      </c>
      <c r="M1165" s="18">
        <f>IF(OR(B1165="",I1165=""),"",I1165-B1165)</f>
        <v/>
      </c>
      <c r="N1165" s="21">
        <f>IF(B1165="","",IF(I1165="",IF(H1165="","",IF(TODAY()&gt;H1165,"Atrasado (em aberto)","Em aberto")),IF(I1165&lt;=H1165,"No prazo","Fora do prazo")))</f>
        <v/>
      </c>
    </row>
    <row r="1166">
      <c r="B1166" s="22" t="n"/>
      <c r="E1166" s="23" t="n"/>
      <c r="F1166" s="24" t="n"/>
      <c r="H1166" s="22" t="n"/>
      <c r="I1166" s="22" t="n"/>
      <c r="J1166" s="21">
        <f>IF(C1166="","",IFERROR(INDEX(Clientes!$B:$B,MATCH(C1166,Clientes!$A:$A,0)),"Cód. não cadastrado"))</f>
        <v/>
      </c>
      <c r="K1166" s="18">
        <f>IF(B1166="","",YEAR(B1166))</f>
        <v/>
      </c>
      <c r="L1166" s="18">
        <f>IF(B1166="","",MONTH(B1166))</f>
        <v/>
      </c>
      <c r="M1166" s="18">
        <f>IF(OR(B1166="",I1166=""),"",I1166-B1166)</f>
        <v/>
      </c>
      <c r="N1166" s="21">
        <f>IF(B1166="","",IF(I1166="",IF(H1166="","",IF(TODAY()&gt;H1166,"Atrasado (em aberto)","Em aberto")),IF(I1166&lt;=H1166,"No prazo","Fora do prazo")))</f>
        <v/>
      </c>
    </row>
    <row r="1167">
      <c r="B1167" s="22" t="n"/>
      <c r="E1167" s="23" t="n"/>
      <c r="F1167" s="24" t="n"/>
      <c r="H1167" s="22" t="n"/>
      <c r="I1167" s="22" t="n"/>
      <c r="J1167" s="21">
        <f>IF(C1167="","",IFERROR(INDEX(Clientes!$B:$B,MATCH(C1167,Clientes!$A:$A,0)),"Cód. não cadastrado"))</f>
        <v/>
      </c>
      <c r="K1167" s="18">
        <f>IF(B1167="","",YEAR(B1167))</f>
        <v/>
      </c>
      <c r="L1167" s="18">
        <f>IF(B1167="","",MONTH(B1167))</f>
        <v/>
      </c>
      <c r="M1167" s="18">
        <f>IF(OR(B1167="",I1167=""),"",I1167-B1167)</f>
        <v/>
      </c>
      <c r="N1167" s="21">
        <f>IF(B1167="","",IF(I1167="",IF(H1167="","",IF(TODAY()&gt;H1167,"Atrasado (em aberto)","Em aberto")),IF(I1167&lt;=H1167,"No prazo","Fora do prazo")))</f>
        <v/>
      </c>
    </row>
    <row r="1168">
      <c r="B1168" s="22" t="n"/>
      <c r="E1168" s="23" t="n"/>
      <c r="F1168" s="24" t="n"/>
      <c r="H1168" s="22" t="n"/>
      <c r="I1168" s="22" t="n"/>
      <c r="J1168" s="21">
        <f>IF(C1168="","",IFERROR(INDEX(Clientes!$B:$B,MATCH(C1168,Clientes!$A:$A,0)),"Cód. não cadastrado"))</f>
        <v/>
      </c>
      <c r="K1168" s="18">
        <f>IF(B1168="","",YEAR(B1168))</f>
        <v/>
      </c>
      <c r="L1168" s="18">
        <f>IF(B1168="","",MONTH(B1168))</f>
        <v/>
      </c>
      <c r="M1168" s="18">
        <f>IF(OR(B1168="",I1168=""),"",I1168-B1168)</f>
        <v/>
      </c>
      <c r="N1168" s="21">
        <f>IF(B1168="","",IF(I1168="",IF(H1168="","",IF(TODAY()&gt;H1168,"Atrasado (em aberto)","Em aberto")),IF(I1168&lt;=H1168,"No prazo","Fora do prazo")))</f>
        <v/>
      </c>
    </row>
    <row r="1169">
      <c r="B1169" s="22" t="n"/>
      <c r="E1169" s="23" t="n"/>
      <c r="F1169" s="24" t="n"/>
      <c r="H1169" s="22" t="n"/>
      <c r="I1169" s="22" t="n"/>
      <c r="J1169" s="21">
        <f>IF(C1169="","",IFERROR(INDEX(Clientes!$B:$B,MATCH(C1169,Clientes!$A:$A,0)),"Cód. não cadastrado"))</f>
        <v/>
      </c>
      <c r="K1169" s="18">
        <f>IF(B1169="","",YEAR(B1169))</f>
        <v/>
      </c>
      <c r="L1169" s="18">
        <f>IF(B1169="","",MONTH(B1169))</f>
        <v/>
      </c>
      <c r="M1169" s="18">
        <f>IF(OR(B1169="",I1169=""),"",I1169-B1169)</f>
        <v/>
      </c>
      <c r="N1169" s="21">
        <f>IF(B1169="","",IF(I1169="",IF(H1169="","",IF(TODAY()&gt;H1169,"Atrasado (em aberto)","Em aberto")),IF(I1169&lt;=H1169,"No prazo","Fora do prazo")))</f>
        <v/>
      </c>
    </row>
    <row r="1170">
      <c r="B1170" s="22" t="n"/>
      <c r="E1170" s="23" t="n"/>
      <c r="F1170" s="24" t="n"/>
      <c r="H1170" s="22" t="n"/>
      <c r="I1170" s="22" t="n"/>
      <c r="J1170" s="21">
        <f>IF(C1170="","",IFERROR(INDEX(Clientes!$B:$B,MATCH(C1170,Clientes!$A:$A,0)),"Cód. não cadastrado"))</f>
        <v/>
      </c>
      <c r="K1170" s="18">
        <f>IF(B1170="","",YEAR(B1170))</f>
        <v/>
      </c>
      <c r="L1170" s="18">
        <f>IF(B1170="","",MONTH(B1170))</f>
        <v/>
      </c>
      <c r="M1170" s="18">
        <f>IF(OR(B1170="",I1170=""),"",I1170-B1170)</f>
        <v/>
      </c>
      <c r="N1170" s="21">
        <f>IF(B1170="","",IF(I1170="",IF(H1170="","",IF(TODAY()&gt;H1170,"Atrasado (em aberto)","Em aberto")),IF(I1170&lt;=H1170,"No prazo","Fora do prazo")))</f>
        <v/>
      </c>
    </row>
    <row r="1171">
      <c r="B1171" s="22" t="n"/>
      <c r="E1171" s="23" t="n"/>
      <c r="F1171" s="24" t="n"/>
      <c r="H1171" s="22" t="n"/>
      <c r="I1171" s="22" t="n"/>
      <c r="J1171" s="21">
        <f>IF(C1171="","",IFERROR(INDEX(Clientes!$B:$B,MATCH(C1171,Clientes!$A:$A,0)),"Cód. não cadastrado"))</f>
        <v/>
      </c>
      <c r="K1171" s="18">
        <f>IF(B1171="","",YEAR(B1171))</f>
        <v/>
      </c>
      <c r="L1171" s="18">
        <f>IF(B1171="","",MONTH(B1171))</f>
        <v/>
      </c>
      <c r="M1171" s="18">
        <f>IF(OR(B1171="",I1171=""),"",I1171-B1171)</f>
        <v/>
      </c>
      <c r="N1171" s="21">
        <f>IF(B1171="","",IF(I1171="",IF(H1171="","",IF(TODAY()&gt;H1171,"Atrasado (em aberto)","Em aberto")),IF(I1171&lt;=H1171,"No prazo","Fora do prazo")))</f>
        <v/>
      </c>
    </row>
    <row r="1172">
      <c r="B1172" s="22" t="n"/>
      <c r="E1172" s="23" t="n"/>
      <c r="F1172" s="24" t="n"/>
      <c r="H1172" s="22" t="n"/>
      <c r="I1172" s="22" t="n"/>
      <c r="J1172" s="21">
        <f>IF(C1172="","",IFERROR(INDEX(Clientes!$B:$B,MATCH(C1172,Clientes!$A:$A,0)),"Cód. não cadastrado"))</f>
        <v/>
      </c>
      <c r="K1172" s="18">
        <f>IF(B1172="","",YEAR(B1172))</f>
        <v/>
      </c>
      <c r="L1172" s="18">
        <f>IF(B1172="","",MONTH(B1172))</f>
        <v/>
      </c>
      <c r="M1172" s="18">
        <f>IF(OR(B1172="",I1172=""),"",I1172-B1172)</f>
        <v/>
      </c>
      <c r="N1172" s="21">
        <f>IF(B1172="","",IF(I1172="",IF(H1172="","",IF(TODAY()&gt;H1172,"Atrasado (em aberto)","Em aberto")),IF(I1172&lt;=H1172,"No prazo","Fora do prazo")))</f>
        <v/>
      </c>
    </row>
    <row r="1173">
      <c r="B1173" s="22" t="n"/>
      <c r="E1173" s="23" t="n"/>
      <c r="F1173" s="24" t="n"/>
      <c r="H1173" s="22" t="n"/>
      <c r="I1173" s="22" t="n"/>
      <c r="J1173" s="21">
        <f>IF(C1173="","",IFERROR(INDEX(Clientes!$B:$B,MATCH(C1173,Clientes!$A:$A,0)),"Cód. não cadastrado"))</f>
        <v/>
      </c>
      <c r="K1173" s="18">
        <f>IF(B1173="","",YEAR(B1173))</f>
        <v/>
      </c>
      <c r="L1173" s="18">
        <f>IF(B1173="","",MONTH(B1173))</f>
        <v/>
      </c>
      <c r="M1173" s="18">
        <f>IF(OR(B1173="",I1173=""),"",I1173-B1173)</f>
        <v/>
      </c>
      <c r="N1173" s="21">
        <f>IF(B1173="","",IF(I1173="",IF(H1173="","",IF(TODAY()&gt;H1173,"Atrasado (em aberto)","Em aberto")),IF(I1173&lt;=H1173,"No prazo","Fora do prazo")))</f>
        <v/>
      </c>
    </row>
    <row r="1174">
      <c r="B1174" s="22" t="n"/>
      <c r="E1174" s="23" t="n"/>
      <c r="F1174" s="24" t="n"/>
      <c r="H1174" s="22" t="n"/>
      <c r="I1174" s="22" t="n"/>
      <c r="J1174" s="21">
        <f>IF(C1174="","",IFERROR(INDEX(Clientes!$B:$B,MATCH(C1174,Clientes!$A:$A,0)),"Cód. não cadastrado"))</f>
        <v/>
      </c>
      <c r="K1174" s="18">
        <f>IF(B1174="","",YEAR(B1174))</f>
        <v/>
      </c>
      <c r="L1174" s="18">
        <f>IF(B1174="","",MONTH(B1174))</f>
        <v/>
      </c>
      <c r="M1174" s="18">
        <f>IF(OR(B1174="",I1174=""),"",I1174-B1174)</f>
        <v/>
      </c>
      <c r="N1174" s="21">
        <f>IF(B1174="","",IF(I1174="",IF(H1174="","",IF(TODAY()&gt;H1174,"Atrasado (em aberto)","Em aberto")),IF(I1174&lt;=H1174,"No prazo","Fora do prazo")))</f>
        <v/>
      </c>
    </row>
    <row r="1175">
      <c r="B1175" s="22" t="n"/>
      <c r="E1175" s="23" t="n"/>
      <c r="F1175" s="24" t="n"/>
      <c r="H1175" s="22" t="n"/>
      <c r="I1175" s="22" t="n"/>
      <c r="J1175" s="21">
        <f>IF(C1175="","",IFERROR(INDEX(Clientes!$B:$B,MATCH(C1175,Clientes!$A:$A,0)),"Cód. não cadastrado"))</f>
        <v/>
      </c>
      <c r="K1175" s="18">
        <f>IF(B1175="","",YEAR(B1175))</f>
        <v/>
      </c>
      <c r="L1175" s="18">
        <f>IF(B1175="","",MONTH(B1175))</f>
        <v/>
      </c>
      <c r="M1175" s="18">
        <f>IF(OR(B1175="",I1175=""),"",I1175-B1175)</f>
        <v/>
      </c>
      <c r="N1175" s="21">
        <f>IF(B1175="","",IF(I1175="",IF(H1175="","",IF(TODAY()&gt;H1175,"Atrasado (em aberto)","Em aberto")),IF(I1175&lt;=H1175,"No prazo","Fora do prazo")))</f>
        <v/>
      </c>
    </row>
    <row r="1176">
      <c r="B1176" s="22" t="n"/>
      <c r="E1176" s="23" t="n"/>
      <c r="F1176" s="24" t="n"/>
      <c r="H1176" s="22" t="n"/>
      <c r="I1176" s="22" t="n"/>
      <c r="J1176" s="21">
        <f>IF(C1176="","",IFERROR(INDEX(Clientes!$B:$B,MATCH(C1176,Clientes!$A:$A,0)),"Cód. não cadastrado"))</f>
        <v/>
      </c>
      <c r="K1176" s="18">
        <f>IF(B1176="","",YEAR(B1176))</f>
        <v/>
      </c>
      <c r="L1176" s="18">
        <f>IF(B1176="","",MONTH(B1176))</f>
        <v/>
      </c>
      <c r="M1176" s="18">
        <f>IF(OR(B1176="",I1176=""),"",I1176-B1176)</f>
        <v/>
      </c>
      <c r="N1176" s="21">
        <f>IF(B1176="","",IF(I1176="",IF(H1176="","",IF(TODAY()&gt;H1176,"Atrasado (em aberto)","Em aberto")),IF(I1176&lt;=H1176,"No prazo","Fora do prazo")))</f>
        <v/>
      </c>
    </row>
    <row r="1177">
      <c r="B1177" s="22" t="n"/>
      <c r="E1177" s="23" t="n"/>
      <c r="F1177" s="24" t="n"/>
      <c r="H1177" s="22" t="n"/>
      <c r="I1177" s="22" t="n"/>
      <c r="J1177" s="21">
        <f>IF(C1177="","",IFERROR(INDEX(Clientes!$B:$B,MATCH(C1177,Clientes!$A:$A,0)),"Cód. não cadastrado"))</f>
        <v/>
      </c>
      <c r="K1177" s="18">
        <f>IF(B1177="","",YEAR(B1177))</f>
        <v/>
      </c>
      <c r="L1177" s="18">
        <f>IF(B1177="","",MONTH(B1177))</f>
        <v/>
      </c>
      <c r="M1177" s="18">
        <f>IF(OR(B1177="",I1177=""),"",I1177-B1177)</f>
        <v/>
      </c>
      <c r="N1177" s="21">
        <f>IF(B1177="","",IF(I1177="",IF(H1177="","",IF(TODAY()&gt;H1177,"Atrasado (em aberto)","Em aberto")),IF(I1177&lt;=H1177,"No prazo","Fora do prazo")))</f>
        <v/>
      </c>
    </row>
    <row r="1178">
      <c r="B1178" s="22" t="n"/>
      <c r="E1178" s="23" t="n"/>
      <c r="F1178" s="24" t="n"/>
      <c r="H1178" s="22" t="n"/>
      <c r="I1178" s="22" t="n"/>
      <c r="J1178" s="21">
        <f>IF(C1178="","",IFERROR(INDEX(Clientes!$B:$B,MATCH(C1178,Clientes!$A:$A,0)),"Cód. não cadastrado"))</f>
        <v/>
      </c>
      <c r="K1178" s="18">
        <f>IF(B1178="","",YEAR(B1178))</f>
        <v/>
      </c>
      <c r="L1178" s="18">
        <f>IF(B1178="","",MONTH(B1178))</f>
        <v/>
      </c>
      <c r="M1178" s="18">
        <f>IF(OR(B1178="",I1178=""),"",I1178-B1178)</f>
        <v/>
      </c>
      <c r="N1178" s="21">
        <f>IF(B1178="","",IF(I1178="",IF(H1178="","",IF(TODAY()&gt;H1178,"Atrasado (em aberto)","Em aberto")),IF(I1178&lt;=H1178,"No prazo","Fora do prazo")))</f>
        <v/>
      </c>
    </row>
    <row r="1179">
      <c r="B1179" s="22" t="n"/>
      <c r="E1179" s="23" t="n"/>
      <c r="F1179" s="24" t="n"/>
      <c r="H1179" s="22" t="n"/>
      <c r="I1179" s="22" t="n"/>
      <c r="J1179" s="21">
        <f>IF(C1179="","",IFERROR(INDEX(Clientes!$B:$B,MATCH(C1179,Clientes!$A:$A,0)),"Cód. não cadastrado"))</f>
        <v/>
      </c>
      <c r="K1179" s="18">
        <f>IF(B1179="","",YEAR(B1179))</f>
        <v/>
      </c>
      <c r="L1179" s="18">
        <f>IF(B1179="","",MONTH(B1179))</f>
        <v/>
      </c>
      <c r="M1179" s="18">
        <f>IF(OR(B1179="",I1179=""),"",I1179-B1179)</f>
        <v/>
      </c>
      <c r="N1179" s="21">
        <f>IF(B1179="","",IF(I1179="",IF(H1179="","",IF(TODAY()&gt;H1179,"Atrasado (em aberto)","Em aberto")),IF(I1179&lt;=H1179,"No prazo","Fora do prazo")))</f>
        <v/>
      </c>
    </row>
    <row r="1180">
      <c r="B1180" s="22" t="n"/>
      <c r="E1180" s="23" t="n"/>
      <c r="F1180" s="24" t="n"/>
      <c r="H1180" s="22" t="n"/>
      <c r="I1180" s="22" t="n"/>
      <c r="J1180" s="21">
        <f>IF(C1180="","",IFERROR(INDEX(Clientes!$B:$B,MATCH(C1180,Clientes!$A:$A,0)),"Cód. não cadastrado"))</f>
        <v/>
      </c>
      <c r="K1180" s="18">
        <f>IF(B1180="","",YEAR(B1180))</f>
        <v/>
      </c>
      <c r="L1180" s="18">
        <f>IF(B1180="","",MONTH(B1180))</f>
        <v/>
      </c>
      <c r="M1180" s="18">
        <f>IF(OR(B1180="",I1180=""),"",I1180-B1180)</f>
        <v/>
      </c>
      <c r="N1180" s="21">
        <f>IF(B1180="","",IF(I1180="",IF(H1180="","",IF(TODAY()&gt;H1180,"Atrasado (em aberto)","Em aberto")),IF(I1180&lt;=H1180,"No prazo","Fora do prazo")))</f>
        <v/>
      </c>
    </row>
    <row r="1181">
      <c r="B1181" s="22" t="n"/>
      <c r="E1181" s="23" t="n"/>
      <c r="F1181" s="24" t="n"/>
      <c r="H1181" s="22" t="n"/>
      <c r="I1181" s="22" t="n"/>
      <c r="J1181" s="21">
        <f>IF(C1181="","",IFERROR(INDEX(Clientes!$B:$B,MATCH(C1181,Clientes!$A:$A,0)),"Cód. não cadastrado"))</f>
        <v/>
      </c>
      <c r="K1181" s="18">
        <f>IF(B1181="","",YEAR(B1181))</f>
        <v/>
      </c>
      <c r="L1181" s="18">
        <f>IF(B1181="","",MONTH(B1181))</f>
        <v/>
      </c>
      <c r="M1181" s="18">
        <f>IF(OR(B1181="",I1181=""),"",I1181-B1181)</f>
        <v/>
      </c>
      <c r="N1181" s="21">
        <f>IF(B1181="","",IF(I1181="",IF(H1181="","",IF(TODAY()&gt;H1181,"Atrasado (em aberto)","Em aberto")),IF(I1181&lt;=H1181,"No prazo","Fora do prazo")))</f>
        <v/>
      </c>
    </row>
    <row r="1182">
      <c r="B1182" s="22" t="n"/>
      <c r="E1182" s="23" t="n"/>
      <c r="F1182" s="24" t="n"/>
      <c r="H1182" s="22" t="n"/>
      <c r="I1182" s="22" t="n"/>
      <c r="J1182" s="21">
        <f>IF(C1182="","",IFERROR(INDEX(Clientes!$B:$B,MATCH(C1182,Clientes!$A:$A,0)),"Cód. não cadastrado"))</f>
        <v/>
      </c>
      <c r="K1182" s="18">
        <f>IF(B1182="","",YEAR(B1182))</f>
        <v/>
      </c>
      <c r="L1182" s="18">
        <f>IF(B1182="","",MONTH(B1182))</f>
        <v/>
      </c>
      <c r="M1182" s="18">
        <f>IF(OR(B1182="",I1182=""),"",I1182-B1182)</f>
        <v/>
      </c>
      <c r="N1182" s="21">
        <f>IF(B1182="","",IF(I1182="",IF(H1182="","",IF(TODAY()&gt;H1182,"Atrasado (em aberto)","Em aberto")),IF(I1182&lt;=H1182,"No prazo","Fora do prazo")))</f>
        <v/>
      </c>
    </row>
    <row r="1183">
      <c r="B1183" s="22" t="n"/>
      <c r="E1183" s="23" t="n"/>
      <c r="F1183" s="24" t="n"/>
      <c r="H1183" s="22" t="n"/>
      <c r="I1183" s="22" t="n"/>
      <c r="J1183" s="21">
        <f>IF(C1183="","",IFERROR(INDEX(Clientes!$B:$B,MATCH(C1183,Clientes!$A:$A,0)),"Cód. não cadastrado"))</f>
        <v/>
      </c>
      <c r="K1183" s="18">
        <f>IF(B1183="","",YEAR(B1183))</f>
        <v/>
      </c>
      <c r="L1183" s="18">
        <f>IF(B1183="","",MONTH(B1183))</f>
        <v/>
      </c>
      <c r="M1183" s="18">
        <f>IF(OR(B1183="",I1183=""),"",I1183-B1183)</f>
        <v/>
      </c>
      <c r="N1183" s="21">
        <f>IF(B1183="","",IF(I1183="",IF(H1183="","",IF(TODAY()&gt;H1183,"Atrasado (em aberto)","Em aberto")),IF(I1183&lt;=H1183,"No prazo","Fora do prazo")))</f>
        <v/>
      </c>
    </row>
    <row r="1184">
      <c r="B1184" s="22" t="n"/>
      <c r="E1184" s="23" t="n"/>
      <c r="F1184" s="24" t="n"/>
      <c r="H1184" s="22" t="n"/>
      <c r="I1184" s="22" t="n"/>
      <c r="J1184" s="21">
        <f>IF(C1184="","",IFERROR(INDEX(Clientes!$B:$B,MATCH(C1184,Clientes!$A:$A,0)),"Cód. não cadastrado"))</f>
        <v/>
      </c>
      <c r="K1184" s="18">
        <f>IF(B1184="","",YEAR(B1184))</f>
        <v/>
      </c>
      <c r="L1184" s="18">
        <f>IF(B1184="","",MONTH(B1184))</f>
        <v/>
      </c>
      <c r="M1184" s="18">
        <f>IF(OR(B1184="",I1184=""),"",I1184-B1184)</f>
        <v/>
      </c>
      <c r="N1184" s="21">
        <f>IF(B1184="","",IF(I1184="",IF(H1184="","",IF(TODAY()&gt;H1184,"Atrasado (em aberto)","Em aberto")),IF(I1184&lt;=H1184,"No prazo","Fora do prazo")))</f>
        <v/>
      </c>
    </row>
    <row r="1185">
      <c r="B1185" s="22" t="n"/>
      <c r="E1185" s="23" t="n"/>
      <c r="F1185" s="24" t="n"/>
      <c r="H1185" s="22" t="n"/>
      <c r="I1185" s="22" t="n"/>
      <c r="J1185" s="21">
        <f>IF(C1185="","",IFERROR(INDEX(Clientes!$B:$B,MATCH(C1185,Clientes!$A:$A,0)),"Cód. não cadastrado"))</f>
        <v/>
      </c>
      <c r="K1185" s="18">
        <f>IF(B1185="","",YEAR(B1185))</f>
        <v/>
      </c>
      <c r="L1185" s="18">
        <f>IF(B1185="","",MONTH(B1185))</f>
        <v/>
      </c>
      <c r="M1185" s="18">
        <f>IF(OR(B1185="",I1185=""),"",I1185-B1185)</f>
        <v/>
      </c>
      <c r="N1185" s="21">
        <f>IF(B1185="","",IF(I1185="",IF(H1185="","",IF(TODAY()&gt;H1185,"Atrasado (em aberto)","Em aberto")),IF(I1185&lt;=H1185,"No prazo","Fora do prazo")))</f>
        <v/>
      </c>
    </row>
    <row r="1186">
      <c r="B1186" s="22" t="n"/>
      <c r="E1186" s="23" t="n"/>
      <c r="F1186" s="24" t="n"/>
      <c r="H1186" s="22" t="n"/>
      <c r="I1186" s="22" t="n"/>
      <c r="J1186" s="21">
        <f>IF(C1186="","",IFERROR(INDEX(Clientes!$B:$B,MATCH(C1186,Clientes!$A:$A,0)),"Cód. não cadastrado"))</f>
        <v/>
      </c>
      <c r="K1186" s="18">
        <f>IF(B1186="","",YEAR(B1186))</f>
        <v/>
      </c>
      <c r="L1186" s="18">
        <f>IF(B1186="","",MONTH(B1186))</f>
        <v/>
      </c>
      <c r="M1186" s="18">
        <f>IF(OR(B1186="",I1186=""),"",I1186-B1186)</f>
        <v/>
      </c>
      <c r="N1186" s="21">
        <f>IF(B1186="","",IF(I1186="",IF(H1186="","",IF(TODAY()&gt;H1186,"Atrasado (em aberto)","Em aberto")),IF(I1186&lt;=H1186,"No prazo","Fora do prazo")))</f>
        <v/>
      </c>
    </row>
    <row r="1187">
      <c r="B1187" s="22" t="n"/>
      <c r="E1187" s="23" t="n"/>
      <c r="F1187" s="24" t="n"/>
      <c r="H1187" s="22" t="n"/>
      <c r="I1187" s="22" t="n"/>
      <c r="J1187" s="21">
        <f>IF(C1187="","",IFERROR(INDEX(Clientes!$B:$B,MATCH(C1187,Clientes!$A:$A,0)),"Cód. não cadastrado"))</f>
        <v/>
      </c>
      <c r="K1187" s="18">
        <f>IF(B1187="","",YEAR(B1187))</f>
        <v/>
      </c>
      <c r="L1187" s="18">
        <f>IF(B1187="","",MONTH(B1187))</f>
        <v/>
      </c>
      <c r="M1187" s="18">
        <f>IF(OR(B1187="",I1187=""),"",I1187-B1187)</f>
        <v/>
      </c>
      <c r="N1187" s="21">
        <f>IF(B1187="","",IF(I1187="",IF(H1187="","",IF(TODAY()&gt;H1187,"Atrasado (em aberto)","Em aberto")),IF(I1187&lt;=H1187,"No prazo","Fora do prazo")))</f>
        <v/>
      </c>
    </row>
    <row r="1188">
      <c r="B1188" s="22" t="n"/>
      <c r="E1188" s="23" t="n"/>
      <c r="F1188" s="24" t="n"/>
      <c r="H1188" s="22" t="n"/>
      <c r="I1188" s="22" t="n"/>
      <c r="J1188" s="21">
        <f>IF(C1188="","",IFERROR(INDEX(Clientes!$B:$B,MATCH(C1188,Clientes!$A:$A,0)),"Cód. não cadastrado"))</f>
        <v/>
      </c>
      <c r="K1188" s="18">
        <f>IF(B1188="","",YEAR(B1188))</f>
        <v/>
      </c>
      <c r="L1188" s="18">
        <f>IF(B1188="","",MONTH(B1188))</f>
        <v/>
      </c>
      <c r="M1188" s="18">
        <f>IF(OR(B1188="",I1188=""),"",I1188-B1188)</f>
        <v/>
      </c>
      <c r="N1188" s="21">
        <f>IF(B1188="","",IF(I1188="",IF(H1188="","",IF(TODAY()&gt;H1188,"Atrasado (em aberto)","Em aberto")),IF(I1188&lt;=H1188,"No prazo","Fora do prazo")))</f>
        <v/>
      </c>
    </row>
    <row r="1189">
      <c r="B1189" s="22" t="n"/>
      <c r="E1189" s="23" t="n"/>
      <c r="F1189" s="24" t="n"/>
      <c r="H1189" s="22" t="n"/>
      <c r="I1189" s="22" t="n"/>
      <c r="J1189" s="21">
        <f>IF(C1189="","",IFERROR(INDEX(Clientes!$B:$B,MATCH(C1189,Clientes!$A:$A,0)),"Cód. não cadastrado"))</f>
        <v/>
      </c>
      <c r="K1189" s="18">
        <f>IF(B1189="","",YEAR(B1189))</f>
        <v/>
      </c>
      <c r="L1189" s="18">
        <f>IF(B1189="","",MONTH(B1189))</f>
        <v/>
      </c>
      <c r="M1189" s="18">
        <f>IF(OR(B1189="",I1189=""),"",I1189-B1189)</f>
        <v/>
      </c>
      <c r="N1189" s="21">
        <f>IF(B1189="","",IF(I1189="",IF(H1189="","",IF(TODAY()&gt;H1189,"Atrasado (em aberto)","Em aberto")),IF(I1189&lt;=H1189,"No prazo","Fora do prazo")))</f>
        <v/>
      </c>
    </row>
    <row r="1190">
      <c r="B1190" s="22" t="n"/>
      <c r="E1190" s="23" t="n"/>
      <c r="F1190" s="24" t="n"/>
      <c r="H1190" s="22" t="n"/>
      <c r="I1190" s="22" t="n"/>
      <c r="J1190" s="21">
        <f>IF(C1190="","",IFERROR(INDEX(Clientes!$B:$B,MATCH(C1190,Clientes!$A:$A,0)),"Cód. não cadastrado"))</f>
        <v/>
      </c>
      <c r="K1190" s="18">
        <f>IF(B1190="","",YEAR(B1190))</f>
        <v/>
      </c>
      <c r="L1190" s="18">
        <f>IF(B1190="","",MONTH(B1190))</f>
        <v/>
      </c>
      <c r="M1190" s="18">
        <f>IF(OR(B1190="",I1190=""),"",I1190-B1190)</f>
        <v/>
      </c>
      <c r="N1190" s="21">
        <f>IF(B1190="","",IF(I1190="",IF(H1190="","",IF(TODAY()&gt;H1190,"Atrasado (em aberto)","Em aberto")),IF(I1190&lt;=H1190,"No prazo","Fora do prazo")))</f>
        <v/>
      </c>
    </row>
    <row r="1191">
      <c r="B1191" s="22" t="n"/>
      <c r="E1191" s="23" t="n"/>
      <c r="F1191" s="24" t="n"/>
      <c r="H1191" s="22" t="n"/>
      <c r="I1191" s="22" t="n"/>
      <c r="J1191" s="21">
        <f>IF(C1191="","",IFERROR(INDEX(Clientes!$B:$B,MATCH(C1191,Clientes!$A:$A,0)),"Cód. não cadastrado"))</f>
        <v/>
      </c>
      <c r="K1191" s="18">
        <f>IF(B1191="","",YEAR(B1191))</f>
        <v/>
      </c>
      <c r="L1191" s="18">
        <f>IF(B1191="","",MONTH(B1191))</f>
        <v/>
      </c>
      <c r="M1191" s="18">
        <f>IF(OR(B1191="",I1191=""),"",I1191-B1191)</f>
        <v/>
      </c>
      <c r="N1191" s="21">
        <f>IF(B1191="","",IF(I1191="",IF(H1191="","",IF(TODAY()&gt;H1191,"Atrasado (em aberto)","Em aberto")),IF(I1191&lt;=H1191,"No prazo","Fora do prazo")))</f>
        <v/>
      </c>
    </row>
    <row r="1192">
      <c r="B1192" s="22" t="n"/>
      <c r="E1192" s="23" t="n"/>
      <c r="F1192" s="24" t="n"/>
      <c r="H1192" s="22" t="n"/>
      <c r="I1192" s="22" t="n"/>
      <c r="J1192" s="21">
        <f>IF(C1192="","",IFERROR(INDEX(Clientes!$B:$B,MATCH(C1192,Clientes!$A:$A,0)),"Cód. não cadastrado"))</f>
        <v/>
      </c>
      <c r="K1192" s="18">
        <f>IF(B1192="","",YEAR(B1192))</f>
        <v/>
      </c>
      <c r="L1192" s="18">
        <f>IF(B1192="","",MONTH(B1192))</f>
        <v/>
      </c>
      <c r="M1192" s="18">
        <f>IF(OR(B1192="",I1192=""),"",I1192-B1192)</f>
        <v/>
      </c>
      <c r="N1192" s="21">
        <f>IF(B1192="","",IF(I1192="",IF(H1192="","",IF(TODAY()&gt;H1192,"Atrasado (em aberto)","Em aberto")),IF(I1192&lt;=H1192,"No prazo","Fora do prazo")))</f>
        <v/>
      </c>
    </row>
    <row r="1193">
      <c r="B1193" s="22" t="n"/>
      <c r="E1193" s="23" t="n"/>
      <c r="F1193" s="24" t="n"/>
      <c r="H1193" s="22" t="n"/>
      <c r="I1193" s="22" t="n"/>
      <c r="J1193" s="21">
        <f>IF(C1193="","",IFERROR(INDEX(Clientes!$B:$B,MATCH(C1193,Clientes!$A:$A,0)),"Cód. não cadastrado"))</f>
        <v/>
      </c>
      <c r="K1193" s="18">
        <f>IF(B1193="","",YEAR(B1193))</f>
        <v/>
      </c>
      <c r="L1193" s="18">
        <f>IF(B1193="","",MONTH(B1193))</f>
        <v/>
      </c>
      <c r="M1193" s="18">
        <f>IF(OR(B1193="",I1193=""),"",I1193-B1193)</f>
        <v/>
      </c>
      <c r="N1193" s="21">
        <f>IF(B1193="","",IF(I1193="",IF(H1193="","",IF(TODAY()&gt;H1193,"Atrasado (em aberto)","Em aberto")),IF(I1193&lt;=H1193,"No prazo","Fora do prazo")))</f>
        <v/>
      </c>
    </row>
    <row r="1194">
      <c r="B1194" s="22" t="n"/>
      <c r="E1194" s="23" t="n"/>
      <c r="F1194" s="24" t="n"/>
      <c r="H1194" s="22" t="n"/>
      <c r="I1194" s="22" t="n"/>
      <c r="J1194" s="21">
        <f>IF(C1194="","",IFERROR(INDEX(Clientes!$B:$B,MATCH(C1194,Clientes!$A:$A,0)),"Cód. não cadastrado"))</f>
        <v/>
      </c>
      <c r="K1194" s="18">
        <f>IF(B1194="","",YEAR(B1194))</f>
        <v/>
      </c>
      <c r="L1194" s="18">
        <f>IF(B1194="","",MONTH(B1194))</f>
        <v/>
      </c>
      <c r="M1194" s="18">
        <f>IF(OR(B1194="",I1194=""),"",I1194-B1194)</f>
        <v/>
      </c>
      <c r="N1194" s="21">
        <f>IF(B1194="","",IF(I1194="",IF(H1194="","",IF(TODAY()&gt;H1194,"Atrasado (em aberto)","Em aberto")),IF(I1194&lt;=H1194,"No prazo","Fora do prazo")))</f>
        <v/>
      </c>
    </row>
    <row r="1195">
      <c r="B1195" s="22" t="n"/>
      <c r="E1195" s="23" t="n"/>
      <c r="F1195" s="24" t="n"/>
      <c r="H1195" s="22" t="n"/>
      <c r="I1195" s="22" t="n"/>
      <c r="J1195" s="21">
        <f>IF(C1195="","",IFERROR(INDEX(Clientes!$B:$B,MATCH(C1195,Clientes!$A:$A,0)),"Cód. não cadastrado"))</f>
        <v/>
      </c>
      <c r="K1195" s="18">
        <f>IF(B1195="","",YEAR(B1195))</f>
        <v/>
      </c>
      <c r="L1195" s="18">
        <f>IF(B1195="","",MONTH(B1195))</f>
        <v/>
      </c>
      <c r="M1195" s="18">
        <f>IF(OR(B1195="",I1195=""),"",I1195-B1195)</f>
        <v/>
      </c>
      <c r="N1195" s="21">
        <f>IF(B1195="","",IF(I1195="",IF(H1195="","",IF(TODAY()&gt;H1195,"Atrasado (em aberto)","Em aberto")),IF(I1195&lt;=H1195,"No prazo","Fora do prazo")))</f>
        <v/>
      </c>
    </row>
    <row r="1196">
      <c r="B1196" s="22" t="n"/>
      <c r="E1196" s="23" t="n"/>
      <c r="F1196" s="24" t="n"/>
      <c r="H1196" s="22" t="n"/>
      <c r="I1196" s="22" t="n"/>
      <c r="J1196" s="21">
        <f>IF(C1196="","",IFERROR(INDEX(Clientes!$B:$B,MATCH(C1196,Clientes!$A:$A,0)),"Cód. não cadastrado"))</f>
        <v/>
      </c>
      <c r="K1196" s="18">
        <f>IF(B1196="","",YEAR(B1196))</f>
        <v/>
      </c>
      <c r="L1196" s="18">
        <f>IF(B1196="","",MONTH(B1196))</f>
        <v/>
      </c>
      <c r="M1196" s="18">
        <f>IF(OR(B1196="",I1196=""),"",I1196-B1196)</f>
        <v/>
      </c>
      <c r="N1196" s="21">
        <f>IF(B1196="","",IF(I1196="",IF(H1196="","",IF(TODAY()&gt;H1196,"Atrasado (em aberto)","Em aberto")),IF(I1196&lt;=H1196,"No prazo","Fora do prazo")))</f>
        <v/>
      </c>
    </row>
    <row r="1197">
      <c r="B1197" s="22" t="n"/>
      <c r="E1197" s="23" t="n"/>
      <c r="F1197" s="24" t="n"/>
      <c r="H1197" s="22" t="n"/>
      <c r="I1197" s="22" t="n"/>
      <c r="J1197" s="21">
        <f>IF(C1197="","",IFERROR(INDEX(Clientes!$B:$B,MATCH(C1197,Clientes!$A:$A,0)),"Cód. não cadastrado"))</f>
        <v/>
      </c>
      <c r="K1197" s="18">
        <f>IF(B1197="","",YEAR(B1197))</f>
        <v/>
      </c>
      <c r="L1197" s="18">
        <f>IF(B1197="","",MONTH(B1197))</f>
        <v/>
      </c>
      <c r="M1197" s="18">
        <f>IF(OR(B1197="",I1197=""),"",I1197-B1197)</f>
        <v/>
      </c>
      <c r="N1197" s="21">
        <f>IF(B1197="","",IF(I1197="",IF(H1197="","",IF(TODAY()&gt;H1197,"Atrasado (em aberto)","Em aberto")),IF(I1197&lt;=H1197,"No prazo","Fora do prazo")))</f>
        <v/>
      </c>
    </row>
    <row r="1198">
      <c r="B1198" s="22" t="n"/>
      <c r="E1198" s="23" t="n"/>
      <c r="F1198" s="24" t="n"/>
      <c r="H1198" s="22" t="n"/>
      <c r="I1198" s="22" t="n"/>
      <c r="J1198" s="21">
        <f>IF(C1198="","",IFERROR(INDEX(Clientes!$B:$B,MATCH(C1198,Clientes!$A:$A,0)),"Cód. não cadastrado"))</f>
        <v/>
      </c>
      <c r="K1198" s="18">
        <f>IF(B1198="","",YEAR(B1198))</f>
        <v/>
      </c>
      <c r="L1198" s="18">
        <f>IF(B1198="","",MONTH(B1198))</f>
        <v/>
      </c>
      <c r="M1198" s="18">
        <f>IF(OR(B1198="",I1198=""),"",I1198-B1198)</f>
        <v/>
      </c>
      <c r="N1198" s="21">
        <f>IF(B1198="","",IF(I1198="",IF(H1198="","",IF(TODAY()&gt;H1198,"Atrasado (em aberto)","Em aberto")),IF(I1198&lt;=H1198,"No prazo","Fora do prazo")))</f>
        <v/>
      </c>
    </row>
    <row r="1199">
      <c r="B1199" s="22" t="n"/>
      <c r="E1199" s="23" t="n"/>
      <c r="F1199" s="24" t="n"/>
      <c r="H1199" s="22" t="n"/>
      <c r="I1199" s="22" t="n"/>
      <c r="J1199" s="21">
        <f>IF(C1199="","",IFERROR(INDEX(Clientes!$B:$B,MATCH(C1199,Clientes!$A:$A,0)),"Cód. não cadastrado"))</f>
        <v/>
      </c>
      <c r="K1199" s="18">
        <f>IF(B1199="","",YEAR(B1199))</f>
        <v/>
      </c>
      <c r="L1199" s="18">
        <f>IF(B1199="","",MONTH(B1199))</f>
        <v/>
      </c>
      <c r="M1199" s="18">
        <f>IF(OR(B1199="",I1199=""),"",I1199-B1199)</f>
        <v/>
      </c>
      <c r="N1199" s="21">
        <f>IF(B1199="","",IF(I1199="",IF(H1199="","",IF(TODAY()&gt;H1199,"Atrasado (em aberto)","Em aberto")),IF(I1199&lt;=H1199,"No prazo","Fora do prazo")))</f>
        <v/>
      </c>
    </row>
    <row r="1200">
      <c r="B1200" s="22" t="n"/>
      <c r="E1200" s="23" t="n"/>
      <c r="F1200" s="24" t="n"/>
      <c r="H1200" s="22" t="n"/>
      <c r="I1200" s="22" t="n"/>
      <c r="J1200" s="21">
        <f>IF(C1200="","",IFERROR(INDEX(Clientes!$B:$B,MATCH(C1200,Clientes!$A:$A,0)),"Cód. não cadastrado"))</f>
        <v/>
      </c>
      <c r="K1200" s="18">
        <f>IF(B1200="","",YEAR(B1200))</f>
        <v/>
      </c>
      <c r="L1200" s="18">
        <f>IF(B1200="","",MONTH(B1200))</f>
        <v/>
      </c>
      <c r="M1200" s="18">
        <f>IF(OR(B1200="",I1200=""),"",I1200-B1200)</f>
        <v/>
      </c>
      <c r="N1200" s="21">
        <f>IF(B1200="","",IF(I1200="",IF(H1200="","",IF(TODAY()&gt;H1200,"Atrasado (em aberto)","Em aberto")),IF(I1200&lt;=H1200,"No prazo","Fora do prazo")))</f>
        <v/>
      </c>
    </row>
    <row r="1201">
      <c r="B1201" s="22" t="n"/>
      <c r="E1201" s="23" t="n"/>
      <c r="F1201" s="24" t="n"/>
      <c r="H1201" s="22" t="n"/>
      <c r="I1201" s="22" t="n"/>
      <c r="J1201" s="21">
        <f>IF(C1201="","",IFERROR(INDEX(Clientes!$B:$B,MATCH(C1201,Clientes!$A:$A,0)),"Cód. não cadastrado"))</f>
        <v/>
      </c>
      <c r="K1201" s="18">
        <f>IF(B1201="","",YEAR(B1201))</f>
        <v/>
      </c>
      <c r="L1201" s="18">
        <f>IF(B1201="","",MONTH(B1201))</f>
        <v/>
      </c>
      <c r="M1201" s="18">
        <f>IF(OR(B1201="",I1201=""),"",I1201-B1201)</f>
        <v/>
      </c>
      <c r="N1201" s="21">
        <f>IF(B1201="","",IF(I1201="",IF(H1201="","",IF(TODAY()&gt;H1201,"Atrasado (em aberto)","Em aberto")),IF(I1201&lt;=H1201,"No prazo","Fora do prazo")))</f>
        <v/>
      </c>
    </row>
    <row r="1202">
      <c r="B1202" s="22" t="n"/>
      <c r="E1202" s="23" t="n"/>
      <c r="F1202" s="24" t="n"/>
      <c r="H1202" s="22" t="n"/>
      <c r="I1202" s="22" t="n"/>
      <c r="J1202" s="21">
        <f>IF(C1202="","",IFERROR(INDEX(Clientes!$B:$B,MATCH(C1202,Clientes!$A:$A,0)),"Cód. não cadastrado"))</f>
        <v/>
      </c>
      <c r="K1202" s="18">
        <f>IF(B1202="","",YEAR(B1202))</f>
        <v/>
      </c>
      <c r="L1202" s="18">
        <f>IF(B1202="","",MONTH(B1202))</f>
        <v/>
      </c>
      <c r="M1202" s="18">
        <f>IF(OR(B1202="",I1202=""),"",I1202-B1202)</f>
        <v/>
      </c>
      <c r="N1202" s="21">
        <f>IF(B1202="","",IF(I1202="",IF(H1202="","",IF(TODAY()&gt;H1202,"Atrasado (em aberto)","Em aberto")),IF(I1202&lt;=H1202,"No prazo","Fora do prazo")))</f>
        <v/>
      </c>
    </row>
    <row r="1203">
      <c r="B1203" s="22" t="n"/>
      <c r="E1203" s="23" t="n"/>
      <c r="F1203" s="24" t="n"/>
      <c r="H1203" s="22" t="n"/>
      <c r="I1203" s="22" t="n"/>
      <c r="J1203" s="21">
        <f>IF(C1203="","",IFERROR(INDEX(Clientes!$B:$B,MATCH(C1203,Clientes!$A:$A,0)),"Cód. não cadastrado"))</f>
        <v/>
      </c>
      <c r="K1203" s="18">
        <f>IF(B1203="","",YEAR(B1203))</f>
        <v/>
      </c>
      <c r="L1203" s="18">
        <f>IF(B1203="","",MONTH(B1203))</f>
        <v/>
      </c>
      <c r="M1203" s="18">
        <f>IF(OR(B1203="",I1203=""),"",I1203-B1203)</f>
        <v/>
      </c>
      <c r="N1203" s="21">
        <f>IF(B1203="","",IF(I1203="",IF(H1203="","",IF(TODAY()&gt;H1203,"Atrasado (em aberto)","Em aberto")),IF(I1203&lt;=H1203,"No prazo","Fora do prazo")))</f>
        <v/>
      </c>
    </row>
    <row r="1204">
      <c r="B1204" s="22" t="n"/>
      <c r="E1204" s="23" t="n"/>
      <c r="F1204" s="24" t="n"/>
      <c r="H1204" s="22" t="n"/>
      <c r="I1204" s="22" t="n"/>
      <c r="J1204" s="21">
        <f>IF(C1204="","",IFERROR(INDEX(Clientes!$B:$B,MATCH(C1204,Clientes!$A:$A,0)),"Cód. não cadastrado"))</f>
        <v/>
      </c>
      <c r="K1204" s="18">
        <f>IF(B1204="","",YEAR(B1204))</f>
        <v/>
      </c>
      <c r="L1204" s="18">
        <f>IF(B1204="","",MONTH(B1204))</f>
        <v/>
      </c>
      <c r="M1204" s="18">
        <f>IF(OR(B1204="",I1204=""),"",I1204-B1204)</f>
        <v/>
      </c>
      <c r="N1204" s="21">
        <f>IF(B1204="","",IF(I1204="",IF(H1204="","",IF(TODAY()&gt;H1204,"Atrasado (em aberto)","Em aberto")),IF(I1204&lt;=H1204,"No prazo","Fora do prazo")))</f>
        <v/>
      </c>
    </row>
    <row r="1205">
      <c r="B1205" s="22" t="n"/>
      <c r="E1205" s="23" t="n"/>
      <c r="F1205" s="24" t="n"/>
      <c r="H1205" s="22" t="n"/>
      <c r="I1205" s="22" t="n"/>
      <c r="J1205" s="21">
        <f>IF(C1205="","",IFERROR(INDEX(Clientes!$B:$B,MATCH(C1205,Clientes!$A:$A,0)),"Cód. não cadastrado"))</f>
        <v/>
      </c>
      <c r="K1205" s="18">
        <f>IF(B1205="","",YEAR(B1205))</f>
        <v/>
      </c>
      <c r="L1205" s="18">
        <f>IF(B1205="","",MONTH(B1205))</f>
        <v/>
      </c>
      <c r="M1205" s="18">
        <f>IF(OR(B1205="",I1205=""),"",I1205-B1205)</f>
        <v/>
      </c>
      <c r="N1205" s="21">
        <f>IF(B1205="","",IF(I1205="",IF(H1205="","",IF(TODAY()&gt;H1205,"Atrasado (em aberto)","Em aberto")),IF(I1205&lt;=H1205,"No prazo","Fora do prazo")))</f>
        <v/>
      </c>
    </row>
    <row r="1206">
      <c r="B1206" s="22" t="n"/>
      <c r="E1206" s="23" t="n"/>
      <c r="F1206" s="24" t="n"/>
      <c r="H1206" s="22" t="n"/>
      <c r="I1206" s="22" t="n"/>
      <c r="J1206" s="21">
        <f>IF(C1206="","",IFERROR(INDEX(Clientes!$B:$B,MATCH(C1206,Clientes!$A:$A,0)),"Cód. não cadastrado"))</f>
        <v/>
      </c>
      <c r="K1206" s="18">
        <f>IF(B1206="","",YEAR(B1206))</f>
        <v/>
      </c>
      <c r="L1206" s="18">
        <f>IF(B1206="","",MONTH(B1206))</f>
        <v/>
      </c>
      <c r="M1206" s="18">
        <f>IF(OR(B1206="",I1206=""),"",I1206-B1206)</f>
        <v/>
      </c>
      <c r="N1206" s="21">
        <f>IF(B1206="","",IF(I1206="",IF(H1206="","",IF(TODAY()&gt;H1206,"Atrasado (em aberto)","Em aberto")),IF(I1206&lt;=H1206,"No prazo","Fora do prazo")))</f>
        <v/>
      </c>
    </row>
    <row r="1207">
      <c r="B1207" s="22" t="n"/>
      <c r="E1207" s="23" t="n"/>
      <c r="F1207" s="24" t="n"/>
      <c r="H1207" s="22" t="n"/>
      <c r="I1207" s="22" t="n"/>
      <c r="J1207" s="21">
        <f>IF(C1207="","",IFERROR(INDEX(Clientes!$B:$B,MATCH(C1207,Clientes!$A:$A,0)),"Cód. não cadastrado"))</f>
        <v/>
      </c>
      <c r="K1207" s="18">
        <f>IF(B1207="","",YEAR(B1207))</f>
        <v/>
      </c>
      <c r="L1207" s="18">
        <f>IF(B1207="","",MONTH(B1207))</f>
        <v/>
      </c>
      <c r="M1207" s="18">
        <f>IF(OR(B1207="",I1207=""),"",I1207-B1207)</f>
        <v/>
      </c>
      <c r="N1207" s="21">
        <f>IF(B1207="","",IF(I1207="",IF(H1207="","",IF(TODAY()&gt;H1207,"Atrasado (em aberto)","Em aberto")),IF(I1207&lt;=H1207,"No prazo","Fora do prazo")))</f>
        <v/>
      </c>
    </row>
    <row r="1208">
      <c r="B1208" s="22" t="n"/>
      <c r="E1208" s="23" t="n"/>
      <c r="F1208" s="24" t="n"/>
      <c r="H1208" s="22" t="n"/>
      <c r="I1208" s="22" t="n"/>
      <c r="J1208" s="21">
        <f>IF(C1208="","",IFERROR(INDEX(Clientes!$B:$B,MATCH(C1208,Clientes!$A:$A,0)),"Cód. não cadastrado"))</f>
        <v/>
      </c>
      <c r="K1208" s="18">
        <f>IF(B1208="","",YEAR(B1208))</f>
        <v/>
      </c>
      <c r="L1208" s="18">
        <f>IF(B1208="","",MONTH(B1208))</f>
        <v/>
      </c>
      <c r="M1208" s="18">
        <f>IF(OR(B1208="",I1208=""),"",I1208-B1208)</f>
        <v/>
      </c>
      <c r="N1208" s="21">
        <f>IF(B1208="","",IF(I1208="",IF(H1208="","",IF(TODAY()&gt;H1208,"Atrasado (em aberto)","Em aberto")),IF(I1208&lt;=H1208,"No prazo","Fora do prazo")))</f>
        <v/>
      </c>
    </row>
    <row r="1209">
      <c r="B1209" s="22" t="n"/>
      <c r="E1209" s="23" t="n"/>
      <c r="F1209" s="24" t="n"/>
      <c r="H1209" s="22" t="n"/>
      <c r="I1209" s="22" t="n"/>
      <c r="J1209" s="21">
        <f>IF(C1209="","",IFERROR(INDEX(Clientes!$B:$B,MATCH(C1209,Clientes!$A:$A,0)),"Cód. não cadastrado"))</f>
        <v/>
      </c>
      <c r="K1209" s="18">
        <f>IF(B1209="","",YEAR(B1209))</f>
        <v/>
      </c>
      <c r="L1209" s="18">
        <f>IF(B1209="","",MONTH(B1209))</f>
        <v/>
      </c>
      <c r="M1209" s="18">
        <f>IF(OR(B1209="",I1209=""),"",I1209-B1209)</f>
        <v/>
      </c>
      <c r="N1209" s="21">
        <f>IF(B1209="","",IF(I1209="",IF(H1209="","",IF(TODAY()&gt;H1209,"Atrasado (em aberto)","Em aberto")),IF(I1209&lt;=H1209,"No prazo","Fora do prazo")))</f>
        <v/>
      </c>
    </row>
    <row r="1210">
      <c r="B1210" s="22" t="n"/>
      <c r="E1210" s="23" t="n"/>
      <c r="F1210" s="24" t="n"/>
      <c r="H1210" s="22" t="n"/>
      <c r="I1210" s="22" t="n"/>
      <c r="J1210" s="21">
        <f>IF(C1210="","",IFERROR(INDEX(Clientes!$B:$B,MATCH(C1210,Clientes!$A:$A,0)),"Cód. não cadastrado"))</f>
        <v/>
      </c>
      <c r="K1210" s="18">
        <f>IF(B1210="","",YEAR(B1210))</f>
        <v/>
      </c>
      <c r="L1210" s="18">
        <f>IF(B1210="","",MONTH(B1210))</f>
        <v/>
      </c>
      <c r="M1210" s="18">
        <f>IF(OR(B1210="",I1210=""),"",I1210-B1210)</f>
        <v/>
      </c>
      <c r="N1210" s="21">
        <f>IF(B1210="","",IF(I1210="",IF(H1210="","",IF(TODAY()&gt;H1210,"Atrasado (em aberto)","Em aberto")),IF(I1210&lt;=H1210,"No prazo","Fora do prazo")))</f>
        <v/>
      </c>
    </row>
    <row r="1211">
      <c r="B1211" s="22" t="n"/>
      <c r="E1211" s="23" t="n"/>
      <c r="F1211" s="24" t="n"/>
      <c r="H1211" s="22" t="n"/>
      <c r="I1211" s="22" t="n"/>
      <c r="J1211" s="21">
        <f>IF(C1211="","",IFERROR(INDEX(Clientes!$B:$B,MATCH(C1211,Clientes!$A:$A,0)),"Cód. não cadastrado"))</f>
        <v/>
      </c>
      <c r="K1211" s="18">
        <f>IF(B1211="","",YEAR(B1211))</f>
        <v/>
      </c>
      <c r="L1211" s="18">
        <f>IF(B1211="","",MONTH(B1211))</f>
        <v/>
      </c>
      <c r="M1211" s="18">
        <f>IF(OR(B1211="",I1211=""),"",I1211-B1211)</f>
        <v/>
      </c>
      <c r="N1211" s="21">
        <f>IF(B1211="","",IF(I1211="",IF(H1211="","",IF(TODAY()&gt;H1211,"Atrasado (em aberto)","Em aberto")),IF(I1211&lt;=H1211,"No prazo","Fora do prazo")))</f>
        <v/>
      </c>
    </row>
    <row r="1212">
      <c r="B1212" s="22" t="n"/>
      <c r="E1212" s="23" t="n"/>
      <c r="F1212" s="24" t="n"/>
      <c r="H1212" s="22" t="n"/>
      <c r="I1212" s="22" t="n"/>
      <c r="J1212" s="21">
        <f>IF(C1212="","",IFERROR(INDEX(Clientes!$B:$B,MATCH(C1212,Clientes!$A:$A,0)),"Cód. não cadastrado"))</f>
        <v/>
      </c>
      <c r="K1212" s="18">
        <f>IF(B1212="","",YEAR(B1212))</f>
        <v/>
      </c>
      <c r="L1212" s="18">
        <f>IF(B1212="","",MONTH(B1212))</f>
        <v/>
      </c>
      <c r="M1212" s="18">
        <f>IF(OR(B1212="",I1212=""),"",I1212-B1212)</f>
        <v/>
      </c>
      <c r="N1212" s="21">
        <f>IF(B1212="","",IF(I1212="",IF(H1212="","",IF(TODAY()&gt;H1212,"Atrasado (em aberto)","Em aberto")),IF(I1212&lt;=H1212,"No prazo","Fora do prazo")))</f>
        <v/>
      </c>
    </row>
    <row r="1213">
      <c r="B1213" s="22" t="n"/>
      <c r="E1213" s="23" t="n"/>
      <c r="F1213" s="24" t="n"/>
      <c r="H1213" s="22" t="n"/>
      <c r="I1213" s="22" t="n"/>
      <c r="J1213" s="21">
        <f>IF(C1213="","",IFERROR(INDEX(Clientes!$B:$B,MATCH(C1213,Clientes!$A:$A,0)),"Cód. não cadastrado"))</f>
        <v/>
      </c>
      <c r="K1213" s="18">
        <f>IF(B1213="","",YEAR(B1213))</f>
        <v/>
      </c>
      <c r="L1213" s="18">
        <f>IF(B1213="","",MONTH(B1213))</f>
        <v/>
      </c>
      <c r="M1213" s="18">
        <f>IF(OR(B1213="",I1213=""),"",I1213-B1213)</f>
        <v/>
      </c>
      <c r="N1213" s="21">
        <f>IF(B1213="","",IF(I1213="",IF(H1213="","",IF(TODAY()&gt;H1213,"Atrasado (em aberto)","Em aberto")),IF(I1213&lt;=H1213,"No prazo","Fora do prazo")))</f>
        <v/>
      </c>
    </row>
    <row r="1214">
      <c r="B1214" s="22" t="n"/>
      <c r="E1214" s="23" t="n"/>
      <c r="F1214" s="24" t="n"/>
      <c r="H1214" s="22" t="n"/>
      <c r="I1214" s="22" t="n"/>
      <c r="J1214" s="21">
        <f>IF(C1214="","",IFERROR(INDEX(Clientes!$B:$B,MATCH(C1214,Clientes!$A:$A,0)),"Cód. não cadastrado"))</f>
        <v/>
      </c>
      <c r="K1214" s="18">
        <f>IF(B1214="","",YEAR(B1214))</f>
        <v/>
      </c>
      <c r="L1214" s="18">
        <f>IF(B1214="","",MONTH(B1214))</f>
        <v/>
      </c>
      <c r="M1214" s="18">
        <f>IF(OR(B1214="",I1214=""),"",I1214-B1214)</f>
        <v/>
      </c>
      <c r="N1214" s="21">
        <f>IF(B1214="","",IF(I1214="",IF(H1214="","",IF(TODAY()&gt;H1214,"Atrasado (em aberto)","Em aberto")),IF(I1214&lt;=H1214,"No prazo","Fora do prazo")))</f>
        <v/>
      </c>
    </row>
    <row r="1215">
      <c r="B1215" s="22" t="n"/>
      <c r="E1215" s="23" t="n"/>
      <c r="F1215" s="24" t="n"/>
      <c r="H1215" s="22" t="n"/>
      <c r="I1215" s="22" t="n"/>
      <c r="J1215" s="21">
        <f>IF(C1215="","",IFERROR(INDEX(Clientes!$B:$B,MATCH(C1215,Clientes!$A:$A,0)),"Cód. não cadastrado"))</f>
        <v/>
      </c>
      <c r="K1215" s="18">
        <f>IF(B1215="","",YEAR(B1215))</f>
        <v/>
      </c>
      <c r="L1215" s="18">
        <f>IF(B1215="","",MONTH(B1215))</f>
        <v/>
      </c>
      <c r="M1215" s="18">
        <f>IF(OR(B1215="",I1215=""),"",I1215-B1215)</f>
        <v/>
      </c>
      <c r="N1215" s="21">
        <f>IF(B1215="","",IF(I1215="",IF(H1215="","",IF(TODAY()&gt;H1215,"Atrasado (em aberto)","Em aberto")),IF(I1215&lt;=H1215,"No prazo","Fora do prazo")))</f>
        <v/>
      </c>
    </row>
    <row r="1216">
      <c r="B1216" s="22" t="n"/>
      <c r="E1216" s="23" t="n"/>
      <c r="F1216" s="24" t="n"/>
      <c r="H1216" s="22" t="n"/>
      <c r="I1216" s="22" t="n"/>
      <c r="J1216" s="21">
        <f>IF(C1216="","",IFERROR(INDEX(Clientes!$B:$B,MATCH(C1216,Clientes!$A:$A,0)),"Cód. não cadastrado"))</f>
        <v/>
      </c>
      <c r="K1216" s="18">
        <f>IF(B1216="","",YEAR(B1216))</f>
        <v/>
      </c>
      <c r="L1216" s="18">
        <f>IF(B1216="","",MONTH(B1216))</f>
        <v/>
      </c>
      <c r="M1216" s="18">
        <f>IF(OR(B1216="",I1216=""),"",I1216-B1216)</f>
        <v/>
      </c>
      <c r="N1216" s="21">
        <f>IF(B1216="","",IF(I1216="",IF(H1216="","",IF(TODAY()&gt;H1216,"Atrasado (em aberto)","Em aberto")),IF(I1216&lt;=H1216,"No prazo","Fora do prazo")))</f>
        <v/>
      </c>
    </row>
    <row r="1217">
      <c r="B1217" s="22" t="n"/>
      <c r="E1217" s="23" t="n"/>
      <c r="F1217" s="24" t="n"/>
      <c r="H1217" s="22" t="n"/>
      <c r="I1217" s="22" t="n"/>
      <c r="J1217" s="21">
        <f>IF(C1217="","",IFERROR(INDEX(Clientes!$B:$B,MATCH(C1217,Clientes!$A:$A,0)),"Cód. não cadastrado"))</f>
        <v/>
      </c>
      <c r="K1217" s="18">
        <f>IF(B1217="","",YEAR(B1217))</f>
        <v/>
      </c>
      <c r="L1217" s="18">
        <f>IF(B1217="","",MONTH(B1217))</f>
        <v/>
      </c>
      <c r="M1217" s="18">
        <f>IF(OR(B1217="",I1217=""),"",I1217-B1217)</f>
        <v/>
      </c>
      <c r="N1217" s="21">
        <f>IF(B1217="","",IF(I1217="",IF(H1217="","",IF(TODAY()&gt;H1217,"Atrasado (em aberto)","Em aberto")),IF(I1217&lt;=H1217,"No prazo","Fora do prazo")))</f>
        <v/>
      </c>
    </row>
    <row r="1218">
      <c r="B1218" s="22" t="n"/>
      <c r="E1218" s="23" t="n"/>
      <c r="F1218" s="24" t="n"/>
      <c r="H1218" s="22" t="n"/>
      <c r="I1218" s="22" t="n"/>
      <c r="J1218" s="21">
        <f>IF(C1218="","",IFERROR(INDEX(Clientes!$B:$B,MATCH(C1218,Clientes!$A:$A,0)),"Cód. não cadastrado"))</f>
        <v/>
      </c>
      <c r="K1218" s="18">
        <f>IF(B1218="","",YEAR(B1218))</f>
        <v/>
      </c>
      <c r="L1218" s="18">
        <f>IF(B1218="","",MONTH(B1218))</f>
        <v/>
      </c>
      <c r="M1218" s="18">
        <f>IF(OR(B1218="",I1218=""),"",I1218-B1218)</f>
        <v/>
      </c>
      <c r="N1218" s="21">
        <f>IF(B1218="","",IF(I1218="",IF(H1218="","",IF(TODAY()&gt;H1218,"Atrasado (em aberto)","Em aberto")),IF(I1218&lt;=H1218,"No prazo","Fora do prazo")))</f>
        <v/>
      </c>
    </row>
    <row r="1219">
      <c r="B1219" s="22" t="n"/>
      <c r="E1219" s="23" t="n"/>
      <c r="F1219" s="24" t="n"/>
      <c r="H1219" s="22" t="n"/>
      <c r="I1219" s="22" t="n"/>
      <c r="J1219" s="21">
        <f>IF(C1219="","",IFERROR(INDEX(Clientes!$B:$B,MATCH(C1219,Clientes!$A:$A,0)),"Cód. não cadastrado"))</f>
        <v/>
      </c>
      <c r="K1219" s="18">
        <f>IF(B1219="","",YEAR(B1219))</f>
        <v/>
      </c>
      <c r="L1219" s="18">
        <f>IF(B1219="","",MONTH(B1219))</f>
        <v/>
      </c>
      <c r="M1219" s="18">
        <f>IF(OR(B1219="",I1219=""),"",I1219-B1219)</f>
        <v/>
      </c>
      <c r="N1219" s="21">
        <f>IF(B1219="","",IF(I1219="",IF(H1219="","",IF(TODAY()&gt;H1219,"Atrasado (em aberto)","Em aberto")),IF(I1219&lt;=H1219,"No prazo","Fora do prazo")))</f>
        <v/>
      </c>
    </row>
    <row r="1220">
      <c r="B1220" s="22" t="n"/>
      <c r="E1220" s="23" t="n"/>
      <c r="F1220" s="24" t="n"/>
      <c r="H1220" s="22" t="n"/>
      <c r="I1220" s="22" t="n"/>
      <c r="J1220" s="21">
        <f>IF(C1220="","",IFERROR(INDEX(Clientes!$B:$B,MATCH(C1220,Clientes!$A:$A,0)),"Cód. não cadastrado"))</f>
        <v/>
      </c>
      <c r="K1220" s="18">
        <f>IF(B1220="","",YEAR(B1220))</f>
        <v/>
      </c>
      <c r="L1220" s="18">
        <f>IF(B1220="","",MONTH(B1220))</f>
        <v/>
      </c>
      <c r="M1220" s="18">
        <f>IF(OR(B1220="",I1220=""),"",I1220-B1220)</f>
        <v/>
      </c>
      <c r="N1220" s="21">
        <f>IF(B1220="","",IF(I1220="",IF(H1220="","",IF(TODAY()&gt;H1220,"Atrasado (em aberto)","Em aberto")),IF(I1220&lt;=H1220,"No prazo","Fora do prazo")))</f>
        <v/>
      </c>
    </row>
    <row r="1221">
      <c r="B1221" s="22" t="n"/>
      <c r="E1221" s="23" t="n"/>
      <c r="F1221" s="24" t="n"/>
      <c r="H1221" s="22" t="n"/>
      <c r="I1221" s="22" t="n"/>
      <c r="J1221" s="21">
        <f>IF(C1221="","",IFERROR(INDEX(Clientes!$B:$B,MATCH(C1221,Clientes!$A:$A,0)),"Cód. não cadastrado"))</f>
        <v/>
      </c>
      <c r="K1221" s="18">
        <f>IF(B1221="","",YEAR(B1221))</f>
        <v/>
      </c>
      <c r="L1221" s="18">
        <f>IF(B1221="","",MONTH(B1221))</f>
        <v/>
      </c>
      <c r="M1221" s="18">
        <f>IF(OR(B1221="",I1221=""),"",I1221-B1221)</f>
        <v/>
      </c>
      <c r="N1221" s="21">
        <f>IF(B1221="","",IF(I1221="",IF(H1221="","",IF(TODAY()&gt;H1221,"Atrasado (em aberto)","Em aberto")),IF(I1221&lt;=H1221,"No prazo","Fora do prazo")))</f>
        <v/>
      </c>
    </row>
    <row r="1222">
      <c r="B1222" s="22" t="n"/>
      <c r="E1222" s="23" t="n"/>
      <c r="F1222" s="24" t="n"/>
      <c r="H1222" s="22" t="n"/>
      <c r="I1222" s="22" t="n"/>
      <c r="J1222" s="21">
        <f>IF(C1222="","",IFERROR(INDEX(Clientes!$B:$B,MATCH(C1222,Clientes!$A:$A,0)),"Cód. não cadastrado"))</f>
        <v/>
      </c>
      <c r="K1222" s="18">
        <f>IF(B1222="","",YEAR(B1222))</f>
        <v/>
      </c>
      <c r="L1222" s="18">
        <f>IF(B1222="","",MONTH(B1222))</f>
        <v/>
      </c>
      <c r="M1222" s="18">
        <f>IF(OR(B1222="",I1222=""),"",I1222-B1222)</f>
        <v/>
      </c>
      <c r="N1222" s="21">
        <f>IF(B1222="","",IF(I1222="",IF(H1222="","",IF(TODAY()&gt;H1222,"Atrasado (em aberto)","Em aberto")),IF(I1222&lt;=H1222,"No prazo","Fora do prazo")))</f>
        <v/>
      </c>
    </row>
    <row r="1223">
      <c r="B1223" s="22" t="n"/>
      <c r="E1223" s="23" t="n"/>
      <c r="F1223" s="24" t="n"/>
      <c r="H1223" s="22" t="n"/>
      <c r="I1223" s="22" t="n"/>
      <c r="J1223" s="21">
        <f>IF(C1223="","",IFERROR(INDEX(Clientes!$B:$B,MATCH(C1223,Clientes!$A:$A,0)),"Cód. não cadastrado"))</f>
        <v/>
      </c>
      <c r="K1223" s="18">
        <f>IF(B1223="","",YEAR(B1223))</f>
        <v/>
      </c>
      <c r="L1223" s="18">
        <f>IF(B1223="","",MONTH(B1223))</f>
        <v/>
      </c>
      <c r="M1223" s="18">
        <f>IF(OR(B1223="",I1223=""),"",I1223-B1223)</f>
        <v/>
      </c>
      <c r="N1223" s="21">
        <f>IF(B1223="","",IF(I1223="",IF(H1223="","",IF(TODAY()&gt;H1223,"Atrasado (em aberto)","Em aberto")),IF(I1223&lt;=H1223,"No prazo","Fora do prazo")))</f>
        <v/>
      </c>
    </row>
    <row r="1224">
      <c r="B1224" s="22" t="n"/>
      <c r="E1224" s="23" t="n"/>
      <c r="F1224" s="24" t="n"/>
      <c r="H1224" s="22" t="n"/>
      <c r="I1224" s="22" t="n"/>
      <c r="J1224" s="21">
        <f>IF(C1224="","",IFERROR(INDEX(Clientes!$B:$B,MATCH(C1224,Clientes!$A:$A,0)),"Cód. não cadastrado"))</f>
        <v/>
      </c>
      <c r="K1224" s="18">
        <f>IF(B1224="","",YEAR(B1224))</f>
        <v/>
      </c>
      <c r="L1224" s="18">
        <f>IF(B1224="","",MONTH(B1224))</f>
        <v/>
      </c>
      <c r="M1224" s="18">
        <f>IF(OR(B1224="",I1224=""),"",I1224-B1224)</f>
        <v/>
      </c>
      <c r="N1224" s="21">
        <f>IF(B1224="","",IF(I1224="",IF(H1224="","",IF(TODAY()&gt;H1224,"Atrasado (em aberto)","Em aberto")),IF(I1224&lt;=H1224,"No prazo","Fora do prazo")))</f>
        <v/>
      </c>
    </row>
    <row r="1225">
      <c r="B1225" s="22" t="n"/>
      <c r="E1225" s="23" t="n"/>
      <c r="F1225" s="24" t="n"/>
      <c r="H1225" s="22" t="n"/>
      <c r="I1225" s="22" t="n"/>
      <c r="J1225" s="21">
        <f>IF(C1225="","",IFERROR(INDEX(Clientes!$B:$B,MATCH(C1225,Clientes!$A:$A,0)),"Cód. não cadastrado"))</f>
        <v/>
      </c>
      <c r="K1225" s="18">
        <f>IF(B1225="","",YEAR(B1225))</f>
        <v/>
      </c>
      <c r="L1225" s="18">
        <f>IF(B1225="","",MONTH(B1225))</f>
        <v/>
      </c>
      <c r="M1225" s="18">
        <f>IF(OR(B1225="",I1225=""),"",I1225-B1225)</f>
        <v/>
      </c>
      <c r="N1225" s="21">
        <f>IF(B1225="","",IF(I1225="",IF(H1225="","",IF(TODAY()&gt;H1225,"Atrasado (em aberto)","Em aberto")),IF(I1225&lt;=H1225,"No prazo","Fora do prazo")))</f>
        <v/>
      </c>
    </row>
    <row r="1226">
      <c r="B1226" s="22" t="n"/>
      <c r="E1226" s="23" t="n"/>
      <c r="F1226" s="24" t="n"/>
      <c r="H1226" s="22" t="n"/>
      <c r="I1226" s="22" t="n"/>
      <c r="J1226" s="21">
        <f>IF(C1226="","",IFERROR(INDEX(Clientes!$B:$B,MATCH(C1226,Clientes!$A:$A,0)),"Cód. não cadastrado"))</f>
        <v/>
      </c>
      <c r="K1226" s="18">
        <f>IF(B1226="","",YEAR(B1226))</f>
        <v/>
      </c>
      <c r="L1226" s="18">
        <f>IF(B1226="","",MONTH(B1226))</f>
        <v/>
      </c>
      <c r="M1226" s="18">
        <f>IF(OR(B1226="",I1226=""),"",I1226-B1226)</f>
        <v/>
      </c>
      <c r="N1226" s="21">
        <f>IF(B1226="","",IF(I1226="",IF(H1226="","",IF(TODAY()&gt;H1226,"Atrasado (em aberto)","Em aberto")),IF(I1226&lt;=H1226,"No prazo","Fora do prazo")))</f>
        <v/>
      </c>
    </row>
    <row r="1227">
      <c r="B1227" s="22" t="n"/>
      <c r="E1227" s="23" t="n"/>
      <c r="F1227" s="24" t="n"/>
      <c r="H1227" s="22" t="n"/>
      <c r="I1227" s="22" t="n"/>
      <c r="J1227" s="21">
        <f>IF(C1227="","",IFERROR(INDEX(Clientes!$B:$B,MATCH(C1227,Clientes!$A:$A,0)),"Cód. não cadastrado"))</f>
        <v/>
      </c>
      <c r="K1227" s="18">
        <f>IF(B1227="","",YEAR(B1227))</f>
        <v/>
      </c>
      <c r="L1227" s="18">
        <f>IF(B1227="","",MONTH(B1227))</f>
        <v/>
      </c>
      <c r="M1227" s="18">
        <f>IF(OR(B1227="",I1227=""),"",I1227-B1227)</f>
        <v/>
      </c>
      <c r="N1227" s="21">
        <f>IF(B1227="","",IF(I1227="",IF(H1227="","",IF(TODAY()&gt;H1227,"Atrasado (em aberto)","Em aberto")),IF(I1227&lt;=H1227,"No prazo","Fora do prazo")))</f>
        <v/>
      </c>
    </row>
    <row r="1228">
      <c r="B1228" s="22" t="n"/>
      <c r="E1228" s="23" t="n"/>
      <c r="F1228" s="24" t="n"/>
      <c r="H1228" s="22" t="n"/>
      <c r="I1228" s="22" t="n"/>
      <c r="J1228" s="21">
        <f>IF(C1228="","",IFERROR(INDEX(Clientes!$B:$B,MATCH(C1228,Clientes!$A:$A,0)),"Cód. não cadastrado"))</f>
        <v/>
      </c>
      <c r="K1228" s="18">
        <f>IF(B1228="","",YEAR(B1228))</f>
        <v/>
      </c>
      <c r="L1228" s="18">
        <f>IF(B1228="","",MONTH(B1228))</f>
        <v/>
      </c>
      <c r="M1228" s="18">
        <f>IF(OR(B1228="",I1228=""),"",I1228-B1228)</f>
        <v/>
      </c>
      <c r="N1228" s="21">
        <f>IF(B1228="","",IF(I1228="",IF(H1228="","",IF(TODAY()&gt;H1228,"Atrasado (em aberto)","Em aberto")),IF(I1228&lt;=H1228,"No prazo","Fora do prazo")))</f>
        <v/>
      </c>
    </row>
    <row r="1229">
      <c r="B1229" s="22" t="n"/>
      <c r="E1229" s="23" t="n"/>
      <c r="F1229" s="24" t="n"/>
      <c r="H1229" s="22" t="n"/>
      <c r="I1229" s="22" t="n"/>
      <c r="J1229" s="21">
        <f>IF(C1229="","",IFERROR(INDEX(Clientes!$B:$B,MATCH(C1229,Clientes!$A:$A,0)),"Cód. não cadastrado"))</f>
        <v/>
      </c>
      <c r="K1229" s="18">
        <f>IF(B1229="","",YEAR(B1229))</f>
        <v/>
      </c>
      <c r="L1229" s="18">
        <f>IF(B1229="","",MONTH(B1229))</f>
        <v/>
      </c>
      <c r="M1229" s="18">
        <f>IF(OR(B1229="",I1229=""),"",I1229-B1229)</f>
        <v/>
      </c>
      <c r="N1229" s="21">
        <f>IF(B1229="","",IF(I1229="",IF(H1229="","",IF(TODAY()&gt;H1229,"Atrasado (em aberto)","Em aberto")),IF(I1229&lt;=H1229,"No prazo","Fora do prazo")))</f>
        <v/>
      </c>
    </row>
    <row r="1230">
      <c r="B1230" s="22" t="n"/>
      <c r="E1230" s="23" t="n"/>
      <c r="F1230" s="24" t="n"/>
      <c r="H1230" s="22" t="n"/>
      <c r="I1230" s="22" t="n"/>
      <c r="J1230" s="21">
        <f>IF(C1230="","",IFERROR(INDEX(Clientes!$B:$B,MATCH(C1230,Clientes!$A:$A,0)),"Cód. não cadastrado"))</f>
        <v/>
      </c>
      <c r="K1230" s="18">
        <f>IF(B1230="","",YEAR(B1230))</f>
        <v/>
      </c>
      <c r="L1230" s="18">
        <f>IF(B1230="","",MONTH(B1230))</f>
        <v/>
      </c>
      <c r="M1230" s="18">
        <f>IF(OR(B1230="",I1230=""),"",I1230-B1230)</f>
        <v/>
      </c>
      <c r="N1230" s="21">
        <f>IF(B1230="","",IF(I1230="",IF(H1230="","",IF(TODAY()&gt;H1230,"Atrasado (em aberto)","Em aberto")),IF(I1230&lt;=H1230,"No prazo","Fora do prazo")))</f>
        <v/>
      </c>
    </row>
    <row r="1231">
      <c r="B1231" s="22" t="n"/>
      <c r="E1231" s="23" t="n"/>
      <c r="F1231" s="24" t="n"/>
      <c r="H1231" s="22" t="n"/>
      <c r="I1231" s="22" t="n"/>
      <c r="J1231" s="21">
        <f>IF(C1231="","",IFERROR(INDEX(Clientes!$B:$B,MATCH(C1231,Clientes!$A:$A,0)),"Cód. não cadastrado"))</f>
        <v/>
      </c>
      <c r="K1231" s="18">
        <f>IF(B1231="","",YEAR(B1231))</f>
        <v/>
      </c>
      <c r="L1231" s="18">
        <f>IF(B1231="","",MONTH(B1231))</f>
        <v/>
      </c>
      <c r="M1231" s="18">
        <f>IF(OR(B1231="",I1231=""),"",I1231-B1231)</f>
        <v/>
      </c>
      <c r="N1231" s="21">
        <f>IF(B1231="","",IF(I1231="",IF(H1231="","",IF(TODAY()&gt;H1231,"Atrasado (em aberto)","Em aberto")),IF(I1231&lt;=H1231,"No prazo","Fora do prazo")))</f>
        <v/>
      </c>
    </row>
    <row r="1232">
      <c r="B1232" s="22" t="n"/>
      <c r="E1232" s="23" t="n"/>
      <c r="F1232" s="24" t="n"/>
      <c r="H1232" s="22" t="n"/>
      <c r="I1232" s="22" t="n"/>
      <c r="J1232" s="21">
        <f>IF(C1232="","",IFERROR(INDEX(Clientes!$B:$B,MATCH(C1232,Clientes!$A:$A,0)),"Cód. não cadastrado"))</f>
        <v/>
      </c>
      <c r="K1232" s="18">
        <f>IF(B1232="","",YEAR(B1232))</f>
        <v/>
      </c>
      <c r="L1232" s="18">
        <f>IF(B1232="","",MONTH(B1232))</f>
        <v/>
      </c>
      <c r="M1232" s="18">
        <f>IF(OR(B1232="",I1232=""),"",I1232-B1232)</f>
        <v/>
      </c>
      <c r="N1232" s="21">
        <f>IF(B1232="","",IF(I1232="",IF(H1232="","",IF(TODAY()&gt;H1232,"Atrasado (em aberto)","Em aberto")),IF(I1232&lt;=H1232,"No prazo","Fora do prazo")))</f>
        <v/>
      </c>
    </row>
    <row r="1233">
      <c r="B1233" s="22" t="n"/>
      <c r="E1233" s="23" t="n"/>
      <c r="F1233" s="24" t="n"/>
      <c r="H1233" s="22" t="n"/>
      <c r="I1233" s="22" t="n"/>
      <c r="J1233" s="21">
        <f>IF(C1233="","",IFERROR(INDEX(Clientes!$B:$B,MATCH(C1233,Clientes!$A:$A,0)),"Cód. não cadastrado"))</f>
        <v/>
      </c>
      <c r="K1233" s="18">
        <f>IF(B1233="","",YEAR(B1233))</f>
        <v/>
      </c>
      <c r="L1233" s="18">
        <f>IF(B1233="","",MONTH(B1233))</f>
        <v/>
      </c>
      <c r="M1233" s="18">
        <f>IF(OR(B1233="",I1233=""),"",I1233-B1233)</f>
        <v/>
      </c>
      <c r="N1233" s="21">
        <f>IF(B1233="","",IF(I1233="",IF(H1233="","",IF(TODAY()&gt;H1233,"Atrasado (em aberto)","Em aberto")),IF(I1233&lt;=H1233,"No prazo","Fora do prazo")))</f>
        <v/>
      </c>
    </row>
    <row r="1234">
      <c r="B1234" s="22" t="n"/>
      <c r="E1234" s="23" t="n"/>
      <c r="F1234" s="24" t="n"/>
      <c r="H1234" s="22" t="n"/>
      <c r="I1234" s="22" t="n"/>
      <c r="J1234" s="21">
        <f>IF(C1234="","",IFERROR(INDEX(Clientes!$B:$B,MATCH(C1234,Clientes!$A:$A,0)),"Cód. não cadastrado"))</f>
        <v/>
      </c>
      <c r="K1234" s="18">
        <f>IF(B1234="","",YEAR(B1234))</f>
        <v/>
      </c>
      <c r="L1234" s="18">
        <f>IF(B1234="","",MONTH(B1234))</f>
        <v/>
      </c>
      <c r="M1234" s="18">
        <f>IF(OR(B1234="",I1234=""),"",I1234-B1234)</f>
        <v/>
      </c>
      <c r="N1234" s="21">
        <f>IF(B1234="","",IF(I1234="",IF(H1234="","",IF(TODAY()&gt;H1234,"Atrasado (em aberto)","Em aberto")),IF(I1234&lt;=H1234,"No prazo","Fora do prazo")))</f>
        <v/>
      </c>
    </row>
    <row r="1235">
      <c r="B1235" s="22" t="n"/>
      <c r="E1235" s="23" t="n"/>
      <c r="F1235" s="24" t="n"/>
      <c r="H1235" s="22" t="n"/>
      <c r="I1235" s="22" t="n"/>
      <c r="J1235" s="21">
        <f>IF(C1235="","",IFERROR(INDEX(Clientes!$B:$B,MATCH(C1235,Clientes!$A:$A,0)),"Cód. não cadastrado"))</f>
        <v/>
      </c>
      <c r="K1235" s="18">
        <f>IF(B1235="","",YEAR(B1235))</f>
        <v/>
      </c>
      <c r="L1235" s="18">
        <f>IF(B1235="","",MONTH(B1235))</f>
        <v/>
      </c>
      <c r="M1235" s="18">
        <f>IF(OR(B1235="",I1235=""),"",I1235-B1235)</f>
        <v/>
      </c>
      <c r="N1235" s="21">
        <f>IF(B1235="","",IF(I1235="",IF(H1235="","",IF(TODAY()&gt;H1235,"Atrasado (em aberto)","Em aberto")),IF(I1235&lt;=H1235,"No prazo","Fora do prazo")))</f>
        <v/>
      </c>
    </row>
    <row r="1236">
      <c r="B1236" s="22" t="n"/>
      <c r="E1236" s="23" t="n"/>
      <c r="F1236" s="24" t="n"/>
      <c r="H1236" s="22" t="n"/>
      <c r="I1236" s="22" t="n"/>
      <c r="J1236" s="21">
        <f>IF(C1236="","",IFERROR(INDEX(Clientes!$B:$B,MATCH(C1236,Clientes!$A:$A,0)),"Cód. não cadastrado"))</f>
        <v/>
      </c>
      <c r="K1236" s="18">
        <f>IF(B1236="","",YEAR(B1236))</f>
        <v/>
      </c>
      <c r="L1236" s="18">
        <f>IF(B1236="","",MONTH(B1236))</f>
        <v/>
      </c>
      <c r="M1236" s="18">
        <f>IF(OR(B1236="",I1236=""),"",I1236-B1236)</f>
        <v/>
      </c>
      <c r="N1236" s="21">
        <f>IF(B1236="","",IF(I1236="",IF(H1236="","",IF(TODAY()&gt;H1236,"Atrasado (em aberto)","Em aberto")),IF(I1236&lt;=H1236,"No prazo","Fora do prazo")))</f>
        <v/>
      </c>
    </row>
    <row r="1237">
      <c r="B1237" s="22" t="n"/>
      <c r="E1237" s="23" t="n"/>
      <c r="F1237" s="24" t="n"/>
      <c r="H1237" s="22" t="n"/>
      <c r="I1237" s="22" t="n"/>
      <c r="J1237" s="21">
        <f>IF(C1237="","",IFERROR(INDEX(Clientes!$B:$B,MATCH(C1237,Clientes!$A:$A,0)),"Cód. não cadastrado"))</f>
        <v/>
      </c>
      <c r="K1237" s="18">
        <f>IF(B1237="","",YEAR(B1237))</f>
        <v/>
      </c>
      <c r="L1237" s="18">
        <f>IF(B1237="","",MONTH(B1237))</f>
        <v/>
      </c>
      <c r="M1237" s="18">
        <f>IF(OR(B1237="",I1237=""),"",I1237-B1237)</f>
        <v/>
      </c>
      <c r="N1237" s="21">
        <f>IF(B1237="","",IF(I1237="",IF(H1237="","",IF(TODAY()&gt;H1237,"Atrasado (em aberto)","Em aberto")),IF(I1237&lt;=H1237,"No prazo","Fora do prazo")))</f>
        <v/>
      </c>
    </row>
    <row r="1238">
      <c r="B1238" s="22" t="n"/>
      <c r="E1238" s="23" t="n"/>
      <c r="F1238" s="24" t="n"/>
      <c r="H1238" s="22" t="n"/>
      <c r="I1238" s="22" t="n"/>
      <c r="J1238" s="21">
        <f>IF(C1238="","",IFERROR(INDEX(Clientes!$B:$B,MATCH(C1238,Clientes!$A:$A,0)),"Cód. não cadastrado"))</f>
        <v/>
      </c>
      <c r="K1238" s="18">
        <f>IF(B1238="","",YEAR(B1238))</f>
        <v/>
      </c>
      <c r="L1238" s="18">
        <f>IF(B1238="","",MONTH(B1238))</f>
        <v/>
      </c>
      <c r="M1238" s="18">
        <f>IF(OR(B1238="",I1238=""),"",I1238-B1238)</f>
        <v/>
      </c>
      <c r="N1238" s="21">
        <f>IF(B1238="","",IF(I1238="",IF(H1238="","",IF(TODAY()&gt;H1238,"Atrasado (em aberto)","Em aberto")),IF(I1238&lt;=H1238,"No prazo","Fora do prazo")))</f>
        <v/>
      </c>
    </row>
    <row r="1239">
      <c r="B1239" s="22" t="n"/>
      <c r="E1239" s="23" t="n"/>
      <c r="F1239" s="24" t="n"/>
      <c r="H1239" s="22" t="n"/>
      <c r="I1239" s="22" t="n"/>
      <c r="J1239" s="21">
        <f>IF(C1239="","",IFERROR(INDEX(Clientes!$B:$B,MATCH(C1239,Clientes!$A:$A,0)),"Cód. não cadastrado"))</f>
        <v/>
      </c>
      <c r="K1239" s="18">
        <f>IF(B1239="","",YEAR(B1239))</f>
        <v/>
      </c>
      <c r="L1239" s="18">
        <f>IF(B1239="","",MONTH(B1239))</f>
        <v/>
      </c>
      <c r="M1239" s="18">
        <f>IF(OR(B1239="",I1239=""),"",I1239-B1239)</f>
        <v/>
      </c>
      <c r="N1239" s="21">
        <f>IF(B1239="","",IF(I1239="",IF(H1239="","",IF(TODAY()&gt;H1239,"Atrasado (em aberto)","Em aberto")),IF(I1239&lt;=H1239,"No prazo","Fora do prazo")))</f>
        <v/>
      </c>
    </row>
    <row r="1240">
      <c r="B1240" s="22" t="n"/>
      <c r="E1240" s="23" t="n"/>
      <c r="F1240" s="24" t="n"/>
      <c r="H1240" s="22" t="n"/>
      <c r="I1240" s="22" t="n"/>
      <c r="J1240" s="21">
        <f>IF(C1240="","",IFERROR(INDEX(Clientes!$B:$B,MATCH(C1240,Clientes!$A:$A,0)),"Cód. não cadastrado"))</f>
        <v/>
      </c>
      <c r="K1240" s="18">
        <f>IF(B1240="","",YEAR(B1240))</f>
        <v/>
      </c>
      <c r="L1240" s="18">
        <f>IF(B1240="","",MONTH(B1240))</f>
        <v/>
      </c>
      <c r="M1240" s="18">
        <f>IF(OR(B1240="",I1240=""),"",I1240-B1240)</f>
        <v/>
      </c>
      <c r="N1240" s="21">
        <f>IF(B1240="","",IF(I1240="",IF(H1240="","",IF(TODAY()&gt;H1240,"Atrasado (em aberto)","Em aberto")),IF(I1240&lt;=H1240,"No prazo","Fora do prazo")))</f>
        <v/>
      </c>
    </row>
    <row r="1241">
      <c r="B1241" s="22" t="n"/>
      <c r="E1241" s="23" t="n"/>
      <c r="F1241" s="24" t="n"/>
      <c r="H1241" s="22" t="n"/>
      <c r="I1241" s="22" t="n"/>
      <c r="J1241" s="21">
        <f>IF(C1241="","",IFERROR(INDEX(Clientes!$B:$B,MATCH(C1241,Clientes!$A:$A,0)),"Cód. não cadastrado"))</f>
        <v/>
      </c>
      <c r="K1241" s="18">
        <f>IF(B1241="","",YEAR(B1241))</f>
        <v/>
      </c>
      <c r="L1241" s="18">
        <f>IF(B1241="","",MONTH(B1241))</f>
        <v/>
      </c>
      <c r="M1241" s="18">
        <f>IF(OR(B1241="",I1241=""),"",I1241-B1241)</f>
        <v/>
      </c>
      <c r="N1241" s="21">
        <f>IF(B1241="","",IF(I1241="",IF(H1241="","",IF(TODAY()&gt;H1241,"Atrasado (em aberto)","Em aberto")),IF(I1241&lt;=H1241,"No prazo","Fora do prazo")))</f>
        <v/>
      </c>
    </row>
    <row r="1242">
      <c r="B1242" s="22" t="n"/>
      <c r="E1242" s="23" t="n"/>
      <c r="F1242" s="24" t="n"/>
      <c r="H1242" s="22" t="n"/>
      <c r="I1242" s="22" t="n"/>
      <c r="J1242" s="21">
        <f>IF(C1242="","",IFERROR(INDEX(Clientes!$B:$B,MATCH(C1242,Clientes!$A:$A,0)),"Cód. não cadastrado"))</f>
        <v/>
      </c>
      <c r="K1242" s="18">
        <f>IF(B1242="","",YEAR(B1242))</f>
        <v/>
      </c>
      <c r="L1242" s="18">
        <f>IF(B1242="","",MONTH(B1242))</f>
        <v/>
      </c>
      <c r="M1242" s="18">
        <f>IF(OR(B1242="",I1242=""),"",I1242-B1242)</f>
        <v/>
      </c>
      <c r="N1242" s="21">
        <f>IF(B1242="","",IF(I1242="",IF(H1242="","",IF(TODAY()&gt;H1242,"Atrasado (em aberto)","Em aberto")),IF(I1242&lt;=H1242,"No prazo","Fora do prazo")))</f>
        <v/>
      </c>
    </row>
    <row r="1243">
      <c r="B1243" s="22" t="n"/>
      <c r="E1243" s="23" t="n"/>
      <c r="F1243" s="24" t="n"/>
      <c r="H1243" s="22" t="n"/>
      <c r="I1243" s="22" t="n"/>
      <c r="J1243" s="21">
        <f>IF(C1243="","",IFERROR(INDEX(Clientes!$B:$B,MATCH(C1243,Clientes!$A:$A,0)),"Cód. não cadastrado"))</f>
        <v/>
      </c>
      <c r="K1243" s="18">
        <f>IF(B1243="","",YEAR(B1243))</f>
        <v/>
      </c>
      <c r="L1243" s="18">
        <f>IF(B1243="","",MONTH(B1243))</f>
        <v/>
      </c>
      <c r="M1243" s="18">
        <f>IF(OR(B1243="",I1243=""),"",I1243-B1243)</f>
        <v/>
      </c>
      <c r="N1243" s="21">
        <f>IF(B1243="","",IF(I1243="",IF(H1243="","",IF(TODAY()&gt;H1243,"Atrasado (em aberto)","Em aberto")),IF(I1243&lt;=H1243,"No prazo","Fora do prazo")))</f>
        <v/>
      </c>
    </row>
    <row r="1244">
      <c r="B1244" s="22" t="n"/>
      <c r="E1244" s="23" t="n"/>
      <c r="F1244" s="24" t="n"/>
      <c r="H1244" s="22" t="n"/>
      <c r="I1244" s="22" t="n"/>
      <c r="J1244" s="21">
        <f>IF(C1244="","",IFERROR(INDEX(Clientes!$B:$B,MATCH(C1244,Clientes!$A:$A,0)),"Cód. não cadastrado"))</f>
        <v/>
      </c>
      <c r="K1244" s="18">
        <f>IF(B1244="","",YEAR(B1244))</f>
        <v/>
      </c>
      <c r="L1244" s="18">
        <f>IF(B1244="","",MONTH(B1244))</f>
        <v/>
      </c>
      <c r="M1244" s="18">
        <f>IF(OR(B1244="",I1244=""),"",I1244-B1244)</f>
        <v/>
      </c>
      <c r="N1244" s="21">
        <f>IF(B1244="","",IF(I1244="",IF(H1244="","",IF(TODAY()&gt;H1244,"Atrasado (em aberto)","Em aberto")),IF(I1244&lt;=H1244,"No prazo","Fora do prazo")))</f>
        <v/>
      </c>
    </row>
    <row r="1245">
      <c r="B1245" s="22" t="n"/>
      <c r="E1245" s="23" t="n"/>
      <c r="F1245" s="24" t="n"/>
      <c r="H1245" s="22" t="n"/>
      <c r="I1245" s="22" t="n"/>
      <c r="J1245" s="21">
        <f>IF(C1245="","",IFERROR(INDEX(Clientes!$B:$B,MATCH(C1245,Clientes!$A:$A,0)),"Cód. não cadastrado"))</f>
        <v/>
      </c>
      <c r="K1245" s="18">
        <f>IF(B1245="","",YEAR(B1245))</f>
        <v/>
      </c>
      <c r="L1245" s="18">
        <f>IF(B1245="","",MONTH(B1245))</f>
        <v/>
      </c>
      <c r="M1245" s="18">
        <f>IF(OR(B1245="",I1245=""),"",I1245-B1245)</f>
        <v/>
      </c>
      <c r="N1245" s="21">
        <f>IF(B1245="","",IF(I1245="",IF(H1245="","",IF(TODAY()&gt;H1245,"Atrasado (em aberto)","Em aberto")),IF(I1245&lt;=H1245,"No prazo","Fora do prazo")))</f>
        <v/>
      </c>
    </row>
    <row r="1246">
      <c r="B1246" s="22" t="n"/>
      <c r="E1246" s="23" t="n"/>
      <c r="F1246" s="24" t="n"/>
      <c r="H1246" s="22" t="n"/>
      <c r="I1246" s="22" t="n"/>
      <c r="J1246" s="21">
        <f>IF(C1246="","",IFERROR(INDEX(Clientes!$B:$B,MATCH(C1246,Clientes!$A:$A,0)),"Cód. não cadastrado"))</f>
        <v/>
      </c>
      <c r="K1246" s="18">
        <f>IF(B1246="","",YEAR(B1246))</f>
        <v/>
      </c>
      <c r="L1246" s="18">
        <f>IF(B1246="","",MONTH(B1246))</f>
        <v/>
      </c>
      <c r="M1246" s="18">
        <f>IF(OR(B1246="",I1246=""),"",I1246-B1246)</f>
        <v/>
      </c>
      <c r="N1246" s="21">
        <f>IF(B1246="","",IF(I1246="",IF(H1246="","",IF(TODAY()&gt;H1246,"Atrasado (em aberto)","Em aberto")),IF(I1246&lt;=H1246,"No prazo","Fora do prazo")))</f>
        <v/>
      </c>
    </row>
    <row r="1247">
      <c r="B1247" s="22" t="n"/>
      <c r="E1247" s="23" t="n"/>
      <c r="F1247" s="24" t="n"/>
      <c r="H1247" s="22" t="n"/>
      <c r="I1247" s="22" t="n"/>
      <c r="J1247" s="21">
        <f>IF(C1247="","",IFERROR(INDEX(Clientes!$B:$B,MATCH(C1247,Clientes!$A:$A,0)),"Cód. não cadastrado"))</f>
        <v/>
      </c>
      <c r="K1247" s="18">
        <f>IF(B1247="","",YEAR(B1247))</f>
        <v/>
      </c>
      <c r="L1247" s="18">
        <f>IF(B1247="","",MONTH(B1247))</f>
        <v/>
      </c>
      <c r="M1247" s="18">
        <f>IF(OR(B1247="",I1247=""),"",I1247-B1247)</f>
        <v/>
      </c>
      <c r="N1247" s="21">
        <f>IF(B1247="","",IF(I1247="",IF(H1247="","",IF(TODAY()&gt;H1247,"Atrasado (em aberto)","Em aberto")),IF(I1247&lt;=H1247,"No prazo","Fora do prazo")))</f>
        <v/>
      </c>
    </row>
    <row r="1248">
      <c r="B1248" s="22" t="n"/>
      <c r="E1248" s="23" t="n"/>
      <c r="F1248" s="24" t="n"/>
      <c r="H1248" s="22" t="n"/>
      <c r="I1248" s="22" t="n"/>
      <c r="J1248" s="21">
        <f>IF(C1248="","",IFERROR(INDEX(Clientes!$B:$B,MATCH(C1248,Clientes!$A:$A,0)),"Cód. não cadastrado"))</f>
        <v/>
      </c>
      <c r="K1248" s="18">
        <f>IF(B1248="","",YEAR(B1248))</f>
        <v/>
      </c>
      <c r="L1248" s="18">
        <f>IF(B1248="","",MONTH(B1248))</f>
        <v/>
      </c>
      <c r="M1248" s="18">
        <f>IF(OR(B1248="",I1248=""),"",I1248-B1248)</f>
        <v/>
      </c>
      <c r="N1248" s="21">
        <f>IF(B1248="","",IF(I1248="",IF(H1248="","",IF(TODAY()&gt;H1248,"Atrasado (em aberto)","Em aberto")),IF(I1248&lt;=H1248,"No prazo","Fora do prazo")))</f>
        <v/>
      </c>
    </row>
    <row r="1249">
      <c r="B1249" s="22" t="n"/>
      <c r="E1249" s="23" t="n"/>
      <c r="F1249" s="24" t="n"/>
      <c r="H1249" s="22" t="n"/>
      <c r="I1249" s="22" t="n"/>
      <c r="J1249" s="21">
        <f>IF(C1249="","",IFERROR(INDEX(Clientes!$B:$B,MATCH(C1249,Clientes!$A:$A,0)),"Cód. não cadastrado"))</f>
        <v/>
      </c>
      <c r="K1249" s="18">
        <f>IF(B1249="","",YEAR(B1249))</f>
        <v/>
      </c>
      <c r="L1249" s="18">
        <f>IF(B1249="","",MONTH(B1249))</f>
        <v/>
      </c>
      <c r="M1249" s="18">
        <f>IF(OR(B1249="",I1249=""),"",I1249-B1249)</f>
        <v/>
      </c>
      <c r="N1249" s="21">
        <f>IF(B1249="","",IF(I1249="",IF(H1249="","",IF(TODAY()&gt;H1249,"Atrasado (em aberto)","Em aberto")),IF(I1249&lt;=H1249,"No prazo","Fora do prazo")))</f>
        <v/>
      </c>
    </row>
    <row r="1250">
      <c r="B1250" s="22" t="n"/>
      <c r="E1250" s="23" t="n"/>
      <c r="F1250" s="24" t="n"/>
      <c r="H1250" s="22" t="n"/>
      <c r="I1250" s="22" t="n"/>
      <c r="J1250" s="21">
        <f>IF(C1250="","",IFERROR(INDEX(Clientes!$B:$B,MATCH(C1250,Clientes!$A:$A,0)),"Cód. não cadastrado"))</f>
        <v/>
      </c>
      <c r="K1250" s="18">
        <f>IF(B1250="","",YEAR(B1250))</f>
        <v/>
      </c>
      <c r="L1250" s="18">
        <f>IF(B1250="","",MONTH(B1250))</f>
        <v/>
      </c>
      <c r="M1250" s="18">
        <f>IF(OR(B1250="",I1250=""),"",I1250-B1250)</f>
        <v/>
      </c>
      <c r="N1250" s="21">
        <f>IF(B1250="","",IF(I1250="",IF(H1250="","",IF(TODAY()&gt;H1250,"Atrasado (em aberto)","Em aberto")),IF(I1250&lt;=H1250,"No prazo","Fora do prazo")))</f>
        <v/>
      </c>
    </row>
    <row r="1251">
      <c r="B1251" s="22" t="n"/>
      <c r="E1251" s="23" t="n"/>
      <c r="F1251" s="24" t="n"/>
      <c r="H1251" s="22" t="n"/>
      <c r="I1251" s="22" t="n"/>
      <c r="J1251" s="21">
        <f>IF(C1251="","",IFERROR(INDEX(Clientes!$B:$B,MATCH(C1251,Clientes!$A:$A,0)),"Cód. não cadastrado"))</f>
        <v/>
      </c>
      <c r="K1251" s="18">
        <f>IF(B1251="","",YEAR(B1251))</f>
        <v/>
      </c>
      <c r="L1251" s="18">
        <f>IF(B1251="","",MONTH(B1251))</f>
        <v/>
      </c>
      <c r="M1251" s="18">
        <f>IF(OR(B1251="",I1251=""),"",I1251-B1251)</f>
        <v/>
      </c>
      <c r="N1251" s="21">
        <f>IF(B1251="","",IF(I1251="",IF(H1251="","",IF(TODAY()&gt;H1251,"Atrasado (em aberto)","Em aberto")),IF(I1251&lt;=H1251,"No prazo","Fora do prazo")))</f>
        <v/>
      </c>
    </row>
    <row r="1252">
      <c r="B1252" s="22" t="n"/>
      <c r="E1252" s="23" t="n"/>
      <c r="F1252" s="24" t="n"/>
      <c r="H1252" s="22" t="n"/>
      <c r="I1252" s="22" t="n"/>
      <c r="J1252" s="21">
        <f>IF(C1252="","",IFERROR(INDEX(Clientes!$B:$B,MATCH(C1252,Clientes!$A:$A,0)),"Cód. não cadastrado"))</f>
        <v/>
      </c>
      <c r="K1252" s="18">
        <f>IF(B1252="","",YEAR(B1252))</f>
        <v/>
      </c>
      <c r="L1252" s="18">
        <f>IF(B1252="","",MONTH(B1252))</f>
        <v/>
      </c>
      <c r="M1252" s="18">
        <f>IF(OR(B1252="",I1252=""),"",I1252-B1252)</f>
        <v/>
      </c>
      <c r="N1252" s="21">
        <f>IF(B1252="","",IF(I1252="",IF(H1252="","",IF(TODAY()&gt;H1252,"Atrasado (em aberto)","Em aberto")),IF(I1252&lt;=H1252,"No prazo","Fora do prazo")))</f>
        <v/>
      </c>
    </row>
    <row r="1253">
      <c r="B1253" s="22" t="n"/>
      <c r="E1253" s="23" t="n"/>
      <c r="F1253" s="24" t="n"/>
      <c r="H1253" s="22" t="n"/>
      <c r="I1253" s="22" t="n"/>
      <c r="J1253" s="21">
        <f>IF(C1253="","",IFERROR(INDEX(Clientes!$B:$B,MATCH(C1253,Clientes!$A:$A,0)),"Cód. não cadastrado"))</f>
        <v/>
      </c>
      <c r="K1253" s="18">
        <f>IF(B1253="","",YEAR(B1253))</f>
        <v/>
      </c>
      <c r="L1253" s="18">
        <f>IF(B1253="","",MONTH(B1253))</f>
        <v/>
      </c>
      <c r="M1253" s="18">
        <f>IF(OR(B1253="",I1253=""),"",I1253-B1253)</f>
        <v/>
      </c>
      <c r="N1253" s="21">
        <f>IF(B1253="","",IF(I1253="",IF(H1253="","",IF(TODAY()&gt;H1253,"Atrasado (em aberto)","Em aberto")),IF(I1253&lt;=H1253,"No prazo","Fora do prazo")))</f>
        <v/>
      </c>
    </row>
    <row r="1254">
      <c r="B1254" s="22" t="n"/>
      <c r="E1254" s="23" t="n"/>
      <c r="F1254" s="24" t="n"/>
      <c r="H1254" s="22" t="n"/>
      <c r="I1254" s="22" t="n"/>
      <c r="J1254" s="21">
        <f>IF(C1254="","",IFERROR(INDEX(Clientes!$B:$B,MATCH(C1254,Clientes!$A:$A,0)),"Cód. não cadastrado"))</f>
        <v/>
      </c>
      <c r="K1254" s="18">
        <f>IF(B1254="","",YEAR(B1254))</f>
        <v/>
      </c>
      <c r="L1254" s="18">
        <f>IF(B1254="","",MONTH(B1254))</f>
        <v/>
      </c>
      <c r="M1254" s="18">
        <f>IF(OR(B1254="",I1254=""),"",I1254-B1254)</f>
        <v/>
      </c>
      <c r="N1254" s="21">
        <f>IF(B1254="","",IF(I1254="",IF(H1254="","",IF(TODAY()&gt;H1254,"Atrasado (em aberto)","Em aberto")),IF(I1254&lt;=H1254,"No prazo","Fora do prazo")))</f>
        <v/>
      </c>
    </row>
    <row r="1255">
      <c r="B1255" s="22" t="n"/>
      <c r="E1255" s="23" t="n"/>
      <c r="F1255" s="24" t="n"/>
      <c r="H1255" s="22" t="n"/>
      <c r="I1255" s="22" t="n"/>
      <c r="J1255" s="21">
        <f>IF(C1255="","",IFERROR(INDEX(Clientes!$B:$B,MATCH(C1255,Clientes!$A:$A,0)),"Cód. não cadastrado"))</f>
        <v/>
      </c>
      <c r="K1255" s="18">
        <f>IF(B1255="","",YEAR(B1255))</f>
        <v/>
      </c>
      <c r="L1255" s="18">
        <f>IF(B1255="","",MONTH(B1255))</f>
        <v/>
      </c>
      <c r="M1255" s="18">
        <f>IF(OR(B1255="",I1255=""),"",I1255-B1255)</f>
        <v/>
      </c>
      <c r="N1255" s="21">
        <f>IF(B1255="","",IF(I1255="",IF(H1255="","",IF(TODAY()&gt;H1255,"Atrasado (em aberto)","Em aberto")),IF(I1255&lt;=H1255,"No prazo","Fora do prazo")))</f>
        <v/>
      </c>
    </row>
    <row r="1256">
      <c r="B1256" s="22" t="n"/>
      <c r="E1256" s="23" t="n"/>
      <c r="F1256" s="24" t="n"/>
      <c r="H1256" s="22" t="n"/>
      <c r="I1256" s="22" t="n"/>
      <c r="J1256" s="21">
        <f>IF(C1256="","",IFERROR(INDEX(Clientes!$B:$B,MATCH(C1256,Clientes!$A:$A,0)),"Cód. não cadastrado"))</f>
        <v/>
      </c>
      <c r="K1256" s="18">
        <f>IF(B1256="","",YEAR(B1256))</f>
        <v/>
      </c>
      <c r="L1256" s="18">
        <f>IF(B1256="","",MONTH(B1256))</f>
        <v/>
      </c>
      <c r="M1256" s="18">
        <f>IF(OR(B1256="",I1256=""),"",I1256-B1256)</f>
        <v/>
      </c>
      <c r="N1256" s="21">
        <f>IF(B1256="","",IF(I1256="",IF(H1256="","",IF(TODAY()&gt;H1256,"Atrasado (em aberto)","Em aberto")),IF(I1256&lt;=H1256,"No prazo","Fora do prazo")))</f>
        <v/>
      </c>
    </row>
    <row r="1257">
      <c r="B1257" s="22" t="n"/>
      <c r="E1257" s="23" t="n"/>
      <c r="F1257" s="24" t="n"/>
      <c r="H1257" s="22" t="n"/>
      <c r="I1257" s="22" t="n"/>
      <c r="J1257" s="21">
        <f>IF(C1257="","",IFERROR(INDEX(Clientes!$B:$B,MATCH(C1257,Clientes!$A:$A,0)),"Cód. não cadastrado"))</f>
        <v/>
      </c>
      <c r="K1257" s="18">
        <f>IF(B1257="","",YEAR(B1257))</f>
        <v/>
      </c>
      <c r="L1257" s="18">
        <f>IF(B1257="","",MONTH(B1257))</f>
        <v/>
      </c>
      <c r="M1257" s="18">
        <f>IF(OR(B1257="",I1257=""),"",I1257-B1257)</f>
        <v/>
      </c>
      <c r="N1257" s="21">
        <f>IF(B1257="","",IF(I1257="",IF(H1257="","",IF(TODAY()&gt;H1257,"Atrasado (em aberto)","Em aberto")),IF(I1257&lt;=H1257,"No prazo","Fora do prazo")))</f>
        <v/>
      </c>
    </row>
    <row r="1258">
      <c r="B1258" s="22" t="n"/>
      <c r="E1258" s="23" t="n"/>
      <c r="F1258" s="24" t="n"/>
      <c r="H1258" s="22" t="n"/>
      <c r="I1258" s="22" t="n"/>
      <c r="J1258" s="21">
        <f>IF(C1258="","",IFERROR(INDEX(Clientes!$B:$B,MATCH(C1258,Clientes!$A:$A,0)),"Cód. não cadastrado"))</f>
        <v/>
      </c>
      <c r="K1258" s="18">
        <f>IF(B1258="","",YEAR(B1258))</f>
        <v/>
      </c>
      <c r="L1258" s="18">
        <f>IF(B1258="","",MONTH(B1258))</f>
        <v/>
      </c>
      <c r="M1258" s="18">
        <f>IF(OR(B1258="",I1258=""),"",I1258-B1258)</f>
        <v/>
      </c>
      <c r="N1258" s="21">
        <f>IF(B1258="","",IF(I1258="",IF(H1258="","",IF(TODAY()&gt;H1258,"Atrasado (em aberto)","Em aberto")),IF(I1258&lt;=H1258,"No prazo","Fora do prazo")))</f>
        <v/>
      </c>
    </row>
    <row r="1259">
      <c r="B1259" s="22" t="n"/>
      <c r="E1259" s="23" t="n"/>
      <c r="F1259" s="24" t="n"/>
      <c r="H1259" s="22" t="n"/>
      <c r="I1259" s="22" t="n"/>
      <c r="J1259" s="21">
        <f>IF(C1259="","",IFERROR(INDEX(Clientes!$B:$B,MATCH(C1259,Clientes!$A:$A,0)),"Cód. não cadastrado"))</f>
        <v/>
      </c>
      <c r="K1259" s="18">
        <f>IF(B1259="","",YEAR(B1259))</f>
        <v/>
      </c>
      <c r="L1259" s="18">
        <f>IF(B1259="","",MONTH(B1259))</f>
        <v/>
      </c>
      <c r="M1259" s="18">
        <f>IF(OR(B1259="",I1259=""),"",I1259-B1259)</f>
        <v/>
      </c>
      <c r="N1259" s="21">
        <f>IF(B1259="","",IF(I1259="",IF(H1259="","",IF(TODAY()&gt;H1259,"Atrasado (em aberto)","Em aberto")),IF(I1259&lt;=H1259,"No prazo","Fora do prazo")))</f>
        <v/>
      </c>
    </row>
    <row r="1260">
      <c r="B1260" s="22" t="n"/>
      <c r="E1260" s="23" t="n"/>
      <c r="F1260" s="24" t="n"/>
      <c r="H1260" s="22" t="n"/>
      <c r="I1260" s="22" t="n"/>
      <c r="J1260" s="21">
        <f>IF(C1260="","",IFERROR(INDEX(Clientes!$B:$B,MATCH(C1260,Clientes!$A:$A,0)),"Cód. não cadastrado"))</f>
        <v/>
      </c>
      <c r="K1260" s="18">
        <f>IF(B1260="","",YEAR(B1260))</f>
        <v/>
      </c>
      <c r="L1260" s="18">
        <f>IF(B1260="","",MONTH(B1260))</f>
        <v/>
      </c>
      <c r="M1260" s="18">
        <f>IF(OR(B1260="",I1260=""),"",I1260-B1260)</f>
        <v/>
      </c>
      <c r="N1260" s="21">
        <f>IF(B1260="","",IF(I1260="",IF(H1260="","",IF(TODAY()&gt;H1260,"Atrasado (em aberto)","Em aberto")),IF(I1260&lt;=H1260,"No prazo","Fora do prazo")))</f>
        <v/>
      </c>
    </row>
    <row r="1261">
      <c r="B1261" s="22" t="n"/>
      <c r="E1261" s="23" t="n"/>
      <c r="F1261" s="24" t="n"/>
      <c r="H1261" s="22" t="n"/>
      <c r="I1261" s="22" t="n"/>
      <c r="J1261" s="21">
        <f>IF(C1261="","",IFERROR(INDEX(Clientes!$B:$B,MATCH(C1261,Clientes!$A:$A,0)),"Cód. não cadastrado"))</f>
        <v/>
      </c>
      <c r="K1261" s="18">
        <f>IF(B1261="","",YEAR(B1261))</f>
        <v/>
      </c>
      <c r="L1261" s="18">
        <f>IF(B1261="","",MONTH(B1261))</f>
        <v/>
      </c>
      <c r="M1261" s="18">
        <f>IF(OR(B1261="",I1261=""),"",I1261-B1261)</f>
        <v/>
      </c>
      <c r="N1261" s="21">
        <f>IF(B1261="","",IF(I1261="",IF(H1261="","",IF(TODAY()&gt;H1261,"Atrasado (em aberto)","Em aberto")),IF(I1261&lt;=H1261,"No prazo","Fora do prazo")))</f>
        <v/>
      </c>
    </row>
    <row r="1262">
      <c r="B1262" s="22" t="n"/>
      <c r="E1262" s="23" t="n"/>
      <c r="F1262" s="24" t="n"/>
      <c r="H1262" s="22" t="n"/>
      <c r="I1262" s="22" t="n"/>
      <c r="J1262" s="21">
        <f>IF(C1262="","",IFERROR(INDEX(Clientes!$B:$B,MATCH(C1262,Clientes!$A:$A,0)),"Cód. não cadastrado"))</f>
        <v/>
      </c>
      <c r="K1262" s="18">
        <f>IF(B1262="","",YEAR(B1262))</f>
        <v/>
      </c>
      <c r="L1262" s="18">
        <f>IF(B1262="","",MONTH(B1262))</f>
        <v/>
      </c>
      <c r="M1262" s="18">
        <f>IF(OR(B1262="",I1262=""),"",I1262-B1262)</f>
        <v/>
      </c>
      <c r="N1262" s="21">
        <f>IF(B1262="","",IF(I1262="",IF(H1262="","",IF(TODAY()&gt;H1262,"Atrasado (em aberto)","Em aberto")),IF(I1262&lt;=H1262,"No prazo","Fora do prazo")))</f>
        <v/>
      </c>
    </row>
    <row r="1263">
      <c r="B1263" s="22" t="n"/>
      <c r="E1263" s="23" t="n"/>
      <c r="F1263" s="24" t="n"/>
      <c r="H1263" s="22" t="n"/>
      <c r="I1263" s="22" t="n"/>
      <c r="J1263" s="21">
        <f>IF(C1263="","",IFERROR(INDEX(Clientes!$B:$B,MATCH(C1263,Clientes!$A:$A,0)),"Cód. não cadastrado"))</f>
        <v/>
      </c>
      <c r="K1263" s="18">
        <f>IF(B1263="","",YEAR(B1263))</f>
        <v/>
      </c>
      <c r="L1263" s="18">
        <f>IF(B1263="","",MONTH(B1263))</f>
        <v/>
      </c>
      <c r="M1263" s="18">
        <f>IF(OR(B1263="",I1263=""),"",I1263-B1263)</f>
        <v/>
      </c>
      <c r="N1263" s="21">
        <f>IF(B1263="","",IF(I1263="",IF(H1263="","",IF(TODAY()&gt;H1263,"Atrasado (em aberto)","Em aberto")),IF(I1263&lt;=H1263,"No prazo","Fora do prazo")))</f>
        <v/>
      </c>
    </row>
    <row r="1264">
      <c r="B1264" s="22" t="n"/>
      <c r="E1264" s="23" t="n"/>
      <c r="F1264" s="24" t="n"/>
      <c r="H1264" s="22" t="n"/>
      <c r="I1264" s="22" t="n"/>
      <c r="J1264" s="21">
        <f>IF(C1264="","",IFERROR(INDEX(Clientes!$B:$B,MATCH(C1264,Clientes!$A:$A,0)),"Cód. não cadastrado"))</f>
        <v/>
      </c>
      <c r="K1264" s="18">
        <f>IF(B1264="","",YEAR(B1264))</f>
        <v/>
      </c>
      <c r="L1264" s="18">
        <f>IF(B1264="","",MONTH(B1264))</f>
        <v/>
      </c>
      <c r="M1264" s="18">
        <f>IF(OR(B1264="",I1264=""),"",I1264-B1264)</f>
        <v/>
      </c>
      <c r="N1264" s="21">
        <f>IF(B1264="","",IF(I1264="",IF(H1264="","",IF(TODAY()&gt;H1264,"Atrasado (em aberto)","Em aberto")),IF(I1264&lt;=H1264,"No prazo","Fora do prazo")))</f>
        <v/>
      </c>
    </row>
    <row r="1265">
      <c r="B1265" s="22" t="n"/>
      <c r="E1265" s="23" t="n"/>
      <c r="F1265" s="24" t="n"/>
      <c r="H1265" s="22" t="n"/>
      <c r="I1265" s="22" t="n"/>
      <c r="J1265" s="21">
        <f>IF(C1265="","",IFERROR(INDEX(Clientes!$B:$B,MATCH(C1265,Clientes!$A:$A,0)),"Cód. não cadastrado"))</f>
        <v/>
      </c>
      <c r="K1265" s="18">
        <f>IF(B1265="","",YEAR(B1265))</f>
        <v/>
      </c>
      <c r="L1265" s="18">
        <f>IF(B1265="","",MONTH(B1265))</f>
        <v/>
      </c>
      <c r="M1265" s="18">
        <f>IF(OR(B1265="",I1265=""),"",I1265-B1265)</f>
        <v/>
      </c>
      <c r="N1265" s="21">
        <f>IF(B1265="","",IF(I1265="",IF(H1265="","",IF(TODAY()&gt;H1265,"Atrasado (em aberto)","Em aberto")),IF(I1265&lt;=H1265,"No prazo","Fora do prazo")))</f>
        <v/>
      </c>
    </row>
    <row r="1266">
      <c r="B1266" s="22" t="n"/>
      <c r="E1266" s="23" t="n"/>
      <c r="F1266" s="24" t="n"/>
      <c r="H1266" s="22" t="n"/>
      <c r="I1266" s="22" t="n"/>
      <c r="J1266" s="21">
        <f>IF(C1266="","",IFERROR(INDEX(Clientes!$B:$B,MATCH(C1266,Clientes!$A:$A,0)),"Cód. não cadastrado"))</f>
        <v/>
      </c>
      <c r="K1266" s="18">
        <f>IF(B1266="","",YEAR(B1266))</f>
        <v/>
      </c>
      <c r="L1266" s="18">
        <f>IF(B1266="","",MONTH(B1266))</f>
        <v/>
      </c>
      <c r="M1266" s="18">
        <f>IF(OR(B1266="",I1266=""),"",I1266-B1266)</f>
        <v/>
      </c>
      <c r="N1266" s="21">
        <f>IF(B1266="","",IF(I1266="",IF(H1266="","",IF(TODAY()&gt;H1266,"Atrasado (em aberto)","Em aberto")),IF(I1266&lt;=H1266,"No prazo","Fora do prazo")))</f>
        <v/>
      </c>
    </row>
    <row r="1267">
      <c r="B1267" s="22" t="n"/>
      <c r="E1267" s="23" t="n"/>
      <c r="F1267" s="24" t="n"/>
      <c r="H1267" s="22" t="n"/>
      <c r="I1267" s="22" t="n"/>
      <c r="J1267" s="21">
        <f>IF(C1267="","",IFERROR(INDEX(Clientes!$B:$B,MATCH(C1267,Clientes!$A:$A,0)),"Cód. não cadastrado"))</f>
        <v/>
      </c>
      <c r="K1267" s="18">
        <f>IF(B1267="","",YEAR(B1267))</f>
        <v/>
      </c>
      <c r="L1267" s="18">
        <f>IF(B1267="","",MONTH(B1267))</f>
        <v/>
      </c>
      <c r="M1267" s="18">
        <f>IF(OR(B1267="",I1267=""),"",I1267-B1267)</f>
        <v/>
      </c>
      <c r="N1267" s="21">
        <f>IF(B1267="","",IF(I1267="",IF(H1267="","",IF(TODAY()&gt;H1267,"Atrasado (em aberto)","Em aberto")),IF(I1267&lt;=H1267,"No prazo","Fora do prazo")))</f>
        <v/>
      </c>
    </row>
    <row r="1268">
      <c r="B1268" s="22" t="n"/>
      <c r="E1268" s="23" t="n"/>
      <c r="F1268" s="24" t="n"/>
      <c r="H1268" s="22" t="n"/>
      <c r="I1268" s="22" t="n"/>
      <c r="J1268" s="21">
        <f>IF(C1268="","",IFERROR(INDEX(Clientes!$B:$B,MATCH(C1268,Clientes!$A:$A,0)),"Cód. não cadastrado"))</f>
        <v/>
      </c>
      <c r="K1268" s="18">
        <f>IF(B1268="","",YEAR(B1268))</f>
        <v/>
      </c>
      <c r="L1268" s="18">
        <f>IF(B1268="","",MONTH(B1268))</f>
        <v/>
      </c>
      <c r="M1268" s="18">
        <f>IF(OR(B1268="",I1268=""),"",I1268-B1268)</f>
        <v/>
      </c>
      <c r="N1268" s="21">
        <f>IF(B1268="","",IF(I1268="",IF(H1268="","",IF(TODAY()&gt;H1268,"Atrasado (em aberto)","Em aberto")),IF(I1268&lt;=H1268,"No prazo","Fora do prazo")))</f>
        <v/>
      </c>
    </row>
    <row r="1269">
      <c r="B1269" s="22" t="n"/>
      <c r="E1269" s="23" t="n"/>
      <c r="F1269" s="24" t="n"/>
      <c r="H1269" s="22" t="n"/>
      <c r="I1269" s="22" t="n"/>
      <c r="J1269" s="21">
        <f>IF(C1269="","",IFERROR(INDEX(Clientes!$B:$B,MATCH(C1269,Clientes!$A:$A,0)),"Cód. não cadastrado"))</f>
        <v/>
      </c>
      <c r="K1269" s="18">
        <f>IF(B1269="","",YEAR(B1269))</f>
        <v/>
      </c>
      <c r="L1269" s="18">
        <f>IF(B1269="","",MONTH(B1269))</f>
        <v/>
      </c>
      <c r="M1269" s="18">
        <f>IF(OR(B1269="",I1269=""),"",I1269-B1269)</f>
        <v/>
      </c>
      <c r="N1269" s="21">
        <f>IF(B1269="","",IF(I1269="",IF(H1269="","",IF(TODAY()&gt;H1269,"Atrasado (em aberto)","Em aberto")),IF(I1269&lt;=H1269,"No prazo","Fora do prazo")))</f>
        <v/>
      </c>
    </row>
    <row r="1270">
      <c r="B1270" s="22" t="n"/>
      <c r="E1270" s="23" t="n"/>
      <c r="F1270" s="24" t="n"/>
      <c r="H1270" s="22" t="n"/>
      <c r="I1270" s="22" t="n"/>
      <c r="J1270" s="21">
        <f>IF(C1270="","",IFERROR(INDEX(Clientes!$B:$B,MATCH(C1270,Clientes!$A:$A,0)),"Cód. não cadastrado"))</f>
        <v/>
      </c>
      <c r="K1270" s="18">
        <f>IF(B1270="","",YEAR(B1270))</f>
        <v/>
      </c>
      <c r="L1270" s="18">
        <f>IF(B1270="","",MONTH(B1270))</f>
        <v/>
      </c>
      <c r="M1270" s="18">
        <f>IF(OR(B1270="",I1270=""),"",I1270-B1270)</f>
        <v/>
      </c>
      <c r="N1270" s="21">
        <f>IF(B1270="","",IF(I1270="",IF(H1270="","",IF(TODAY()&gt;H1270,"Atrasado (em aberto)","Em aberto")),IF(I1270&lt;=H1270,"No prazo","Fora do prazo")))</f>
        <v/>
      </c>
    </row>
    <row r="1271">
      <c r="B1271" s="22" t="n"/>
      <c r="E1271" s="23" t="n"/>
      <c r="F1271" s="24" t="n"/>
      <c r="H1271" s="22" t="n"/>
      <c r="I1271" s="22" t="n"/>
      <c r="J1271" s="21">
        <f>IF(C1271="","",IFERROR(INDEX(Clientes!$B:$B,MATCH(C1271,Clientes!$A:$A,0)),"Cód. não cadastrado"))</f>
        <v/>
      </c>
      <c r="K1271" s="18">
        <f>IF(B1271="","",YEAR(B1271))</f>
        <v/>
      </c>
      <c r="L1271" s="18">
        <f>IF(B1271="","",MONTH(B1271))</f>
        <v/>
      </c>
      <c r="M1271" s="18">
        <f>IF(OR(B1271="",I1271=""),"",I1271-B1271)</f>
        <v/>
      </c>
      <c r="N1271" s="21">
        <f>IF(B1271="","",IF(I1271="",IF(H1271="","",IF(TODAY()&gt;H1271,"Atrasado (em aberto)","Em aberto")),IF(I1271&lt;=H1271,"No prazo","Fora do prazo")))</f>
        <v/>
      </c>
    </row>
    <row r="1272">
      <c r="B1272" s="22" t="n"/>
      <c r="E1272" s="23" t="n"/>
      <c r="F1272" s="24" t="n"/>
      <c r="H1272" s="22" t="n"/>
      <c r="I1272" s="22" t="n"/>
      <c r="J1272" s="21">
        <f>IF(C1272="","",IFERROR(INDEX(Clientes!$B:$B,MATCH(C1272,Clientes!$A:$A,0)),"Cód. não cadastrado"))</f>
        <v/>
      </c>
      <c r="K1272" s="18">
        <f>IF(B1272="","",YEAR(B1272))</f>
        <v/>
      </c>
      <c r="L1272" s="18">
        <f>IF(B1272="","",MONTH(B1272))</f>
        <v/>
      </c>
      <c r="M1272" s="18">
        <f>IF(OR(B1272="",I1272=""),"",I1272-B1272)</f>
        <v/>
      </c>
      <c r="N1272" s="21">
        <f>IF(B1272="","",IF(I1272="",IF(H1272="","",IF(TODAY()&gt;H1272,"Atrasado (em aberto)","Em aberto")),IF(I1272&lt;=H1272,"No prazo","Fora do prazo")))</f>
        <v/>
      </c>
    </row>
    <row r="1273">
      <c r="B1273" s="22" t="n"/>
      <c r="E1273" s="23" t="n"/>
      <c r="F1273" s="24" t="n"/>
      <c r="H1273" s="22" t="n"/>
      <c r="I1273" s="22" t="n"/>
      <c r="J1273" s="21">
        <f>IF(C1273="","",IFERROR(INDEX(Clientes!$B:$B,MATCH(C1273,Clientes!$A:$A,0)),"Cód. não cadastrado"))</f>
        <v/>
      </c>
      <c r="K1273" s="18">
        <f>IF(B1273="","",YEAR(B1273))</f>
        <v/>
      </c>
      <c r="L1273" s="18">
        <f>IF(B1273="","",MONTH(B1273))</f>
        <v/>
      </c>
      <c r="M1273" s="18">
        <f>IF(OR(B1273="",I1273=""),"",I1273-B1273)</f>
        <v/>
      </c>
      <c r="N1273" s="21">
        <f>IF(B1273="","",IF(I1273="",IF(H1273="","",IF(TODAY()&gt;H1273,"Atrasado (em aberto)","Em aberto")),IF(I1273&lt;=H1273,"No prazo","Fora do prazo")))</f>
        <v/>
      </c>
    </row>
    <row r="1274">
      <c r="B1274" s="22" t="n"/>
      <c r="E1274" s="23" t="n"/>
      <c r="F1274" s="24" t="n"/>
      <c r="H1274" s="22" t="n"/>
      <c r="I1274" s="22" t="n"/>
      <c r="J1274" s="21">
        <f>IF(C1274="","",IFERROR(INDEX(Clientes!$B:$B,MATCH(C1274,Clientes!$A:$A,0)),"Cód. não cadastrado"))</f>
        <v/>
      </c>
      <c r="K1274" s="18">
        <f>IF(B1274="","",YEAR(B1274))</f>
        <v/>
      </c>
      <c r="L1274" s="18">
        <f>IF(B1274="","",MONTH(B1274))</f>
        <v/>
      </c>
      <c r="M1274" s="18">
        <f>IF(OR(B1274="",I1274=""),"",I1274-B1274)</f>
        <v/>
      </c>
      <c r="N1274" s="21">
        <f>IF(B1274="","",IF(I1274="",IF(H1274="","",IF(TODAY()&gt;H1274,"Atrasado (em aberto)","Em aberto")),IF(I1274&lt;=H1274,"No prazo","Fora do prazo")))</f>
        <v/>
      </c>
    </row>
    <row r="1275">
      <c r="B1275" s="22" t="n"/>
      <c r="E1275" s="23" t="n"/>
      <c r="F1275" s="24" t="n"/>
      <c r="H1275" s="22" t="n"/>
      <c r="I1275" s="22" t="n"/>
      <c r="J1275" s="21">
        <f>IF(C1275="","",IFERROR(INDEX(Clientes!$B:$B,MATCH(C1275,Clientes!$A:$A,0)),"Cód. não cadastrado"))</f>
        <v/>
      </c>
      <c r="K1275" s="18">
        <f>IF(B1275="","",YEAR(B1275))</f>
        <v/>
      </c>
      <c r="L1275" s="18">
        <f>IF(B1275="","",MONTH(B1275))</f>
        <v/>
      </c>
      <c r="M1275" s="18">
        <f>IF(OR(B1275="",I1275=""),"",I1275-B1275)</f>
        <v/>
      </c>
      <c r="N1275" s="21">
        <f>IF(B1275="","",IF(I1275="",IF(H1275="","",IF(TODAY()&gt;H1275,"Atrasado (em aberto)","Em aberto")),IF(I1275&lt;=H1275,"No prazo","Fora do prazo")))</f>
        <v/>
      </c>
    </row>
    <row r="1276">
      <c r="B1276" s="22" t="n"/>
      <c r="E1276" s="23" t="n"/>
      <c r="F1276" s="24" t="n"/>
      <c r="H1276" s="22" t="n"/>
      <c r="I1276" s="22" t="n"/>
      <c r="J1276" s="21">
        <f>IF(C1276="","",IFERROR(INDEX(Clientes!$B:$B,MATCH(C1276,Clientes!$A:$A,0)),"Cód. não cadastrado"))</f>
        <v/>
      </c>
      <c r="K1276" s="18">
        <f>IF(B1276="","",YEAR(B1276))</f>
        <v/>
      </c>
      <c r="L1276" s="18">
        <f>IF(B1276="","",MONTH(B1276))</f>
        <v/>
      </c>
      <c r="M1276" s="18">
        <f>IF(OR(B1276="",I1276=""),"",I1276-B1276)</f>
        <v/>
      </c>
      <c r="N1276" s="21">
        <f>IF(B1276="","",IF(I1276="",IF(H1276="","",IF(TODAY()&gt;H1276,"Atrasado (em aberto)","Em aberto")),IF(I1276&lt;=H1276,"No prazo","Fora do prazo")))</f>
        <v/>
      </c>
    </row>
    <row r="1277">
      <c r="B1277" s="22" t="n"/>
      <c r="E1277" s="23" t="n"/>
      <c r="F1277" s="24" t="n"/>
      <c r="H1277" s="22" t="n"/>
      <c r="I1277" s="22" t="n"/>
      <c r="J1277" s="21">
        <f>IF(C1277="","",IFERROR(INDEX(Clientes!$B:$B,MATCH(C1277,Clientes!$A:$A,0)),"Cód. não cadastrado"))</f>
        <v/>
      </c>
      <c r="K1277" s="18">
        <f>IF(B1277="","",YEAR(B1277))</f>
        <v/>
      </c>
      <c r="L1277" s="18">
        <f>IF(B1277="","",MONTH(B1277))</f>
        <v/>
      </c>
      <c r="M1277" s="18">
        <f>IF(OR(B1277="",I1277=""),"",I1277-B1277)</f>
        <v/>
      </c>
      <c r="N1277" s="21">
        <f>IF(B1277="","",IF(I1277="",IF(H1277="","",IF(TODAY()&gt;H1277,"Atrasado (em aberto)","Em aberto")),IF(I1277&lt;=H1277,"No prazo","Fora do prazo")))</f>
        <v/>
      </c>
    </row>
    <row r="1278">
      <c r="B1278" s="22" t="n"/>
      <c r="E1278" s="23" t="n"/>
      <c r="F1278" s="24" t="n"/>
      <c r="H1278" s="22" t="n"/>
      <c r="I1278" s="22" t="n"/>
      <c r="J1278" s="21">
        <f>IF(C1278="","",IFERROR(INDEX(Clientes!$B:$B,MATCH(C1278,Clientes!$A:$A,0)),"Cód. não cadastrado"))</f>
        <v/>
      </c>
      <c r="K1278" s="18">
        <f>IF(B1278="","",YEAR(B1278))</f>
        <v/>
      </c>
      <c r="L1278" s="18">
        <f>IF(B1278="","",MONTH(B1278))</f>
        <v/>
      </c>
      <c r="M1278" s="18">
        <f>IF(OR(B1278="",I1278=""),"",I1278-B1278)</f>
        <v/>
      </c>
      <c r="N1278" s="21">
        <f>IF(B1278="","",IF(I1278="",IF(H1278="","",IF(TODAY()&gt;H1278,"Atrasado (em aberto)","Em aberto")),IF(I1278&lt;=H1278,"No prazo","Fora do prazo")))</f>
        <v/>
      </c>
    </row>
    <row r="1279">
      <c r="B1279" s="22" t="n"/>
      <c r="E1279" s="23" t="n"/>
      <c r="F1279" s="24" t="n"/>
      <c r="H1279" s="22" t="n"/>
      <c r="I1279" s="22" t="n"/>
      <c r="J1279" s="21">
        <f>IF(C1279="","",IFERROR(INDEX(Clientes!$B:$B,MATCH(C1279,Clientes!$A:$A,0)),"Cód. não cadastrado"))</f>
        <v/>
      </c>
      <c r="K1279" s="18">
        <f>IF(B1279="","",YEAR(B1279))</f>
        <v/>
      </c>
      <c r="L1279" s="18">
        <f>IF(B1279="","",MONTH(B1279))</f>
        <v/>
      </c>
      <c r="M1279" s="18">
        <f>IF(OR(B1279="",I1279=""),"",I1279-B1279)</f>
        <v/>
      </c>
      <c r="N1279" s="21">
        <f>IF(B1279="","",IF(I1279="",IF(H1279="","",IF(TODAY()&gt;H1279,"Atrasado (em aberto)","Em aberto")),IF(I1279&lt;=H1279,"No prazo","Fora do prazo")))</f>
        <v/>
      </c>
    </row>
    <row r="1280">
      <c r="B1280" s="22" t="n"/>
      <c r="E1280" s="23" t="n"/>
      <c r="F1280" s="24" t="n"/>
      <c r="H1280" s="22" t="n"/>
      <c r="I1280" s="22" t="n"/>
      <c r="J1280" s="21">
        <f>IF(C1280="","",IFERROR(INDEX(Clientes!$B:$B,MATCH(C1280,Clientes!$A:$A,0)),"Cód. não cadastrado"))</f>
        <v/>
      </c>
      <c r="K1280" s="18">
        <f>IF(B1280="","",YEAR(B1280))</f>
        <v/>
      </c>
      <c r="L1280" s="18">
        <f>IF(B1280="","",MONTH(B1280))</f>
        <v/>
      </c>
      <c r="M1280" s="18">
        <f>IF(OR(B1280="",I1280=""),"",I1280-B1280)</f>
        <v/>
      </c>
      <c r="N1280" s="21">
        <f>IF(B1280="","",IF(I1280="",IF(H1280="","",IF(TODAY()&gt;H1280,"Atrasado (em aberto)","Em aberto")),IF(I1280&lt;=H1280,"No prazo","Fora do prazo")))</f>
        <v/>
      </c>
    </row>
    <row r="1281">
      <c r="B1281" s="22" t="n"/>
      <c r="E1281" s="23" t="n"/>
      <c r="F1281" s="24" t="n"/>
      <c r="H1281" s="22" t="n"/>
      <c r="I1281" s="22" t="n"/>
      <c r="J1281" s="21">
        <f>IF(C1281="","",IFERROR(INDEX(Clientes!$B:$B,MATCH(C1281,Clientes!$A:$A,0)),"Cód. não cadastrado"))</f>
        <v/>
      </c>
      <c r="K1281" s="18">
        <f>IF(B1281="","",YEAR(B1281))</f>
        <v/>
      </c>
      <c r="L1281" s="18">
        <f>IF(B1281="","",MONTH(B1281))</f>
        <v/>
      </c>
      <c r="M1281" s="18">
        <f>IF(OR(B1281="",I1281=""),"",I1281-B1281)</f>
        <v/>
      </c>
      <c r="N1281" s="21">
        <f>IF(B1281="","",IF(I1281="",IF(H1281="","",IF(TODAY()&gt;H1281,"Atrasado (em aberto)","Em aberto")),IF(I1281&lt;=H1281,"No prazo","Fora do prazo")))</f>
        <v/>
      </c>
    </row>
    <row r="1282">
      <c r="B1282" s="22" t="n"/>
      <c r="E1282" s="23" t="n"/>
      <c r="F1282" s="24" t="n"/>
      <c r="H1282" s="22" t="n"/>
      <c r="I1282" s="22" t="n"/>
      <c r="J1282" s="21">
        <f>IF(C1282="","",IFERROR(INDEX(Clientes!$B:$B,MATCH(C1282,Clientes!$A:$A,0)),"Cód. não cadastrado"))</f>
        <v/>
      </c>
      <c r="K1282" s="18">
        <f>IF(B1282="","",YEAR(B1282))</f>
        <v/>
      </c>
      <c r="L1282" s="18">
        <f>IF(B1282="","",MONTH(B1282))</f>
        <v/>
      </c>
      <c r="M1282" s="18">
        <f>IF(OR(B1282="",I1282=""),"",I1282-B1282)</f>
        <v/>
      </c>
      <c r="N1282" s="21">
        <f>IF(B1282="","",IF(I1282="",IF(H1282="","",IF(TODAY()&gt;H1282,"Atrasado (em aberto)","Em aberto")),IF(I1282&lt;=H1282,"No prazo","Fora do prazo")))</f>
        <v/>
      </c>
    </row>
    <row r="1283">
      <c r="B1283" s="22" t="n"/>
      <c r="E1283" s="23" t="n"/>
      <c r="F1283" s="24" t="n"/>
      <c r="H1283" s="22" t="n"/>
      <c r="I1283" s="22" t="n"/>
      <c r="J1283" s="21">
        <f>IF(C1283="","",IFERROR(INDEX(Clientes!$B:$B,MATCH(C1283,Clientes!$A:$A,0)),"Cód. não cadastrado"))</f>
        <v/>
      </c>
      <c r="K1283" s="18">
        <f>IF(B1283="","",YEAR(B1283))</f>
        <v/>
      </c>
      <c r="L1283" s="18">
        <f>IF(B1283="","",MONTH(B1283))</f>
        <v/>
      </c>
      <c r="M1283" s="18">
        <f>IF(OR(B1283="",I1283=""),"",I1283-B1283)</f>
        <v/>
      </c>
      <c r="N1283" s="21">
        <f>IF(B1283="","",IF(I1283="",IF(H1283="","",IF(TODAY()&gt;H1283,"Atrasado (em aberto)","Em aberto")),IF(I1283&lt;=H1283,"No prazo","Fora do prazo")))</f>
        <v/>
      </c>
    </row>
    <row r="1284">
      <c r="B1284" s="22" t="n"/>
      <c r="E1284" s="23" t="n"/>
      <c r="F1284" s="24" t="n"/>
      <c r="H1284" s="22" t="n"/>
      <c r="I1284" s="22" t="n"/>
      <c r="J1284" s="21">
        <f>IF(C1284="","",IFERROR(INDEX(Clientes!$B:$B,MATCH(C1284,Clientes!$A:$A,0)),"Cód. não cadastrado"))</f>
        <v/>
      </c>
      <c r="K1284" s="18">
        <f>IF(B1284="","",YEAR(B1284))</f>
        <v/>
      </c>
      <c r="L1284" s="18">
        <f>IF(B1284="","",MONTH(B1284))</f>
        <v/>
      </c>
      <c r="M1284" s="18">
        <f>IF(OR(B1284="",I1284=""),"",I1284-B1284)</f>
        <v/>
      </c>
      <c r="N1284" s="21">
        <f>IF(B1284="","",IF(I1284="",IF(H1284="","",IF(TODAY()&gt;H1284,"Atrasado (em aberto)","Em aberto")),IF(I1284&lt;=H1284,"No prazo","Fora do prazo")))</f>
        <v/>
      </c>
    </row>
    <row r="1285">
      <c r="B1285" s="22" t="n"/>
      <c r="E1285" s="23" t="n"/>
      <c r="F1285" s="24" t="n"/>
      <c r="H1285" s="22" t="n"/>
      <c r="I1285" s="22" t="n"/>
      <c r="J1285" s="21">
        <f>IF(C1285="","",IFERROR(INDEX(Clientes!$B:$B,MATCH(C1285,Clientes!$A:$A,0)),"Cód. não cadastrado"))</f>
        <v/>
      </c>
      <c r="K1285" s="18">
        <f>IF(B1285="","",YEAR(B1285))</f>
        <v/>
      </c>
      <c r="L1285" s="18">
        <f>IF(B1285="","",MONTH(B1285))</f>
        <v/>
      </c>
      <c r="M1285" s="18">
        <f>IF(OR(B1285="",I1285=""),"",I1285-B1285)</f>
        <v/>
      </c>
      <c r="N1285" s="21">
        <f>IF(B1285="","",IF(I1285="",IF(H1285="","",IF(TODAY()&gt;H1285,"Atrasado (em aberto)","Em aberto")),IF(I1285&lt;=H1285,"No prazo","Fora do prazo")))</f>
        <v/>
      </c>
    </row>
    <row r="1286">
      <c r="B1286" s="22" t="n"/>
      <c r="E1286" s="23" t="n"/>
      <c r="F1286" s="24" t="n"/>
      <c r="H1286" s="22" t="n"/>
      <c r="I1286" s="22" t="n"/>
      <c r="J1286" s="21">
        <f>IF(C1286="","",IFERROR(INDEX(Clientes!$B:$B,MATCH(C1286,Clientes!$A:$A,0)),"Cód. não cadastrado"))</f>
        <v/>
      </c>
      <c r="K1286" s="18">
        <f>IF(B1286="","",YEAR(B1286))</f>
        <v/>
      </c>
      <c r="L1286" s="18">
        <f>IF(B1286="","",MONTH(B1286))</f>
        <v/>
      </c>
      <c r="M1286" s="18">
        <f>IF(OR(B1286="",I1286=""),"",I1286-B1286)</f>
        <v/>
      </c>
      <c r="N1286" s="21">
        <f>IF(B1286="","",IF(I1286="",IF(H1286="","",IF(TODAY()&gt;H1286,"Atrasado (em aberto)","Em aberto")),IF(I1286&lt;=H1286,"No prazo","Fora do prazo")))</f>
        <v/>
      </c>
    </row>
    <row r="1287">
      <c r="B1287" s="22" t="n"/>
      <c r="E1287" s="23" t="n"/>
      <c r="F1287" s="24" t="n"/>
      <c r="H1287" s="22" t="n"/>
      <c r="I1287" s="22" t="n"/>
      <c r="J1287" s="21">
        <f>IF(C1287="","",IFERROR(INDEX(Clientes!$B:$B,MATCH(C1287,Clientes!$A:$A,0)),"Cód. não cadastrado"))</f>
        <v/>
      </c>
      <c r="K1287" s="18">
        <f>IF(B1287="","",YEAR(B1287))</f>
        <v/>
      </c>
      <c r="L1287" s="18">
        <f>IF(B1287="","",MONTH(B1287))</f>
        <v/>
      </c>
      <c r="M1287" s="18">
        <f>IF(OR(B1287="",I1287=""),"",I1287-B1287)</f>
        <v/>
      </c>
      <c r="N1287" s="21">
        <f>IF(B1287="","",IF(I1287="",IF(H1287="","",IF(TODAY()&gt;H1287,"Atrasado (em aberto)","Em aberto")),IF(I1287&lt;=H1287,"No prazo","Fora do prazo")))</f>
        <v/>
      </c>
    </row>
    <row r="1288">
      <c r="B1288" s="22" t="n"/>
      <c r="E1288" s="23" t="n"/>
      <c r="F1288" s="24" t="n"/>
      <c r="H1288" s="22" t="n"/>
      <c r="I1288" s="22" t="n"/>
      <c r="J1288" s="21">
        <f>IF(C1288="","",IFERROR(INDEX(Clientes!$B:$B,MATCH(C1288,Clientes!$A:$A,0)),"Cód. não cadastrado"))</f>
        <v/>
      </c>
      <c r="K1288" s="18">
        <f>IF(B1288="","",YEAR(B1288))</f>
        <v/>
      </c>
      <c r="L1288" s="18">
        <f>IF(B1288="","",MONTH(B1288))</f>
        <v/>
      </c>
      <c r="M1288" s="18">
        <f>IF(OR(B1288="",I1288=""),"",I1288-B1288)</f>
        <v/>
      </c>
      <c r="N1288" s="21">
        <f>IF(B1288="","",IF(I1288="",IF(H1288="","",IF(TODAY()&gt;H1288,"Atrasado (em aberto)","Em aberto")),IF(I1288&lt;=H1288,"No prazo","Fora do prazo")))</f>
        <v/>
      </c>
    </row>
    <row r="1289">
      <c r="B1289" s="22" t="n"/>
      <c r="E1289" s="23" t="n"/>
      <c r="F1289" s="24" t="n"/>
      <c r="H1289" s="22" t="n"/>
      <c r="I1289" s="22" t="n"/>
      <c r="J1289" s="21">
        <f>IF(C1289="","",IFERROR(INDEX(Clientes!$B:$B,MATCH(C1289,Clientes!$A:$A,0)),"Cód. não cadastrado"))</f>
        <v/>
      </c>
      <c r="K1289" s="18">
        <f>IF(B1289="","",YEAR(B1289))</f>
        <v/>
      </c>
      <c r="L1289" s="18">
        <f>IF(B1289="","",MONTH(B1289))</f>
        <v/>
      </c>
      <c r="M1289" s="18">
        <f>IF(OR(B1289="",I1289=""),"",I1289-B1289)</f>
        <v/>
      </c>
      <c r="N1289" s="21">
        <f>IF(B1289="","",IF(I1289="",IF(H1289="","",IF(TODAY()&gt;H1289,"Atrasado (em aberto)","Em aberto")),IF(I1289&lt;=H1289,"No prazo","Fora do prazo")))</f>
        <v/>
      </c>
    </row>
    <row r="1290">
      <c r="B1290" s="22" t="n"/>
      <c r="E1290" s="23" t="n"/>
      <c r="F1290" s="24" t="n"/>
      <c r="H1290" s="22" t="n"/>
      <c r="I1290" s="22" t="n"/>
      <c r="J1290" s="21">
        <f>IF(C1290="","",IFERROR(INDEX(Clientes!$B:$B,MATCH(C1290,Clientes!$A:$A,0)),"Cód. não cadastrado"))</f>
        <v/>
      </c>
      <c r="K1290" s="18">
        <f>IF(B1290="","",YEAR(B1290))</f>
        <v/>
      </c>
      <c r="L1290" s="18">
        <f>IF(B1290="","",MONTH(B1290))</f>
        <v/>
      </c>
      <c r="M1290" s="18">
        <f>IF(OR(B1290="",I1290=""),"",I1290-B1290)</f>
        <v/>
      </c>
      <c r="N1290" s="21">
        <f>IF(B1290="","",IF(I1290="",IF(H1290="","",IF(TODAY()&gt;H1290,"Atrasado (em aberto)","Em aberto")),IF(I1290&lt;=H1290,"No prazo","Fora do prazo")))</f>
        <v/>
      </c>
    </row>
    <row r="1291">
      <c r="B1291" s="22" t="n"/>
      <c r="E1291" s="23" t="n"/>
      <c r="F1291" s="24" t="n"/>
      <c r="H1291" s="22" t="n"/>
      <c r="I1291" s="22" t="n"/>
      <c r="J1291" s="21">
        <f>IF(C1291="","",IFERROR(INDEX(Clientes!$B:$B,MATCH(C1291,Clientes!$A:$A,0)),"Cód. não cadastrado"))</f>
        <v/>
      </c>
      <c r="K1291" s="18">
        <f>IF(B1291="","",YEAR(B1291))</f>
        <v/>
      </c>
      <c r="L1291" s="18">
        <f>IF(B1291="","",MONTH(B1291))</f>
        <v/>
      </c>
      <c r="M1291" s="18">
        <f>IF(OR(B1291="",I1291=""),"",I1291-B1291)</f>
        <v/>
      </c>
      <c r="N1291" s="21">
        <f>IF(B1291="","",IF(I1291="",IF(H1291="","",IF(TODAY()&gt;H1291,"Atrasado (em aberto)","Em aberto")),IF(I1291&lt;=H1291,"No prazo","Fora do prazo")))</f>
        <v/>
      </c>
    </row>
    <row r="1292">
      <c r="B1292" s="22" t="n"/>
      <c r="E1292" s="23" t="n"/>
      <c r="F1292" s="24" t="n"/>
      <c r="H1292" s="22" t="n"/>
      <c r="I1292" s="22" t="n"/>
      <c r="J1292" s="21">
        <f>IF(C1292="","",IFERROR(INDEX(Clientes!$B:$B,MATCH(C1292,Clientes!$A:$A,0)),"Cód. não cadastrado"))</f>
        <v/>
      </c>
      <c r="K1292" s="18">
        <f>IF(B1292="","",YEAR(B1292))</f>
        <v/>
      </c>
      <c r="L1292" s="18">
        <f>IF(B1292="","",MONTH(B1292))</f>
        <v/>
      </c>
      <c r="M1292" s="18">
        <f>IF(OR(B1292="",I1292=""),"",I1292-B1292)</f>
        <v/>
      </c>
      <c r="N1292" s="21">
        <f>IF(B1292="","",IF(I1292="",IF(H1292="","",IF(TODAY()&gt;H1292,"Atrasado (em aberto)","Em aberto")),IF(I1292&lt;=H1292,"No prazo","Fora do prazo")))</f>
        <v/>
      </c>
    </row>
    <row r="1293">
      <c r="B1293" s="22" t="n"/>
      <c r="E1293" s="23" t="n"/>
      <c r="F1293" s="24" t="n"/>
      <c r="H1293" s="22" t="n"/>
      <c r="I1293" s="22" t="n"/>
      <c r="J1293" s="21">
        <f>IF(C1293="","",IFERROR(INDEX(Clientes!$B:$B,MATCH(C1293,Clientes!$A:$A,0)),"Cód. não cadastrado"))</f>
        <v/>
      </c>
      <c r="K1293" s="18">
        <f>IF(B1293="","",YEAR(B1293))</f>
        <v/>
      </c>
      <c r="L1293" s="18">
        <f>IF(B1293="","",MONTH(B1293))</f>
        <v/>
      </c>
      <c r="M1293" s="18">
        <f>IF(OR(B1293="",I1293=""),"",I1293-B1293)</f>
        <v/>
      </c>
      <c r="N1293" s="21">
        <f>IF(B1293="","",IF(I1293="",IF(H1293="","",IF(TODAY()&gt;H1293,"Atrasado (em aberto)","Em aberto")),IF(I1293&lt;=H1293,"No prazo","Fora do prazo")))</f>
        <v/>
      </c>
    </row>
    <row r="1294">
      <c r="B1294" s="22" t="n"/>
      <c r="E1294" s="23" t="n"/>
      <c r="F1294" s="24" t="n"/>
      <c r="H1294" s="22" t="n"/>
      <c r="I1294" s="22" t="n"/>
      <c r="J1294" s="21">
        <f>IF(C1294="","",IFERROR(INDEX(Clientes!$B:$B,MATCH(C1294,Clientes!$A:$A,0)),"Cód. não cadastrado"))</f>
        <v/>
      </c>
      <c r="K1294" s="18">
        <f>IF(B1294="","",YEAR(B1294))</f>
        <v/>
      </c>
      <c r="L1294" s="18">
        <f>IF(B1294="","",MONTH(B1294))</f>
        <v/>
      </c>
      <c r="M1294" s="18">
        <f>IF(OR(B1294="",I1294=""),"",I1294-B1294)</f>
        <v/>
      </c>
      <c r="N1294" s="21">
        <f>IF(B1294="","",IF(I1294="",IF(H1294="","",IF(TODAY()&gt;H1294,"Atrasado (em aberto)","Em aberto")),IF(I1294&lt;=H1294,"No prazo","Fora do prazo")))</f>
        <v/>
      </c>
    </row>
    <row r="1295">
      <c r="B1295" s="22" t="n"/>
      <c r="E1295" s="23" t="n"/>
      <c r="F1295" s="24" t="n"/>
      <c r="H1295" s="22" t="n"/>
      <c r="I1295" s="22" t="n"/>
      <c r="J1295" s="21">
        <f>IF(C1295="","",IFERROR(INDEX(Clientes!$B:$B,MATCH(C1295,Clientes!$A:$A,0)),"Cód. não cadastrado"))</f>
        <v/>
      </c>
      <c r="K1295" s="18">
        <f>IF(B1295="","",YEAR(B1295))</f>
        <v/>
      </c>
      <c r="L1295" s="18">
        <f>IF(B1295="","",MONTH(B1295))</f>
        <v/>
      </c>
      <c r="M1295" s="18">
        <f>IF(OR(B1295="",I1295=""),"",I1295-B1295)</f>
        <v/>
      </c>
      <c r="N1295" s="21">
        <f>IF(B1295="","",IF(I1295="",IF(H1295="","",IF(TODAY()&gt;H1295,"Atrasado (em aberto)","Em aberto")),IF(I1295&lt;=H1295,"No prazo","Fora do prazo")))</f>
        <v/>
      </c>
    </row>
    <row r="1296">
      <c r="B1296" s="22" t="n"/>
      <c r="E1296" s="23" t="n"/>
      <c r="F1296" s="24" t="n"/>
      <c r="H1296" s="22" t="n"/>
      <c r="I1296" s="22" t="n"/>
      <c r="J1296" s="21">
        <f>IF(C1296="","",IFERROR(INDEX(Clientes!$B:$B,MATCH(C1296,Clientes!$A:$A,0)),"Cód. não cadastrado"))</f>
        <v/>
      </c>
      <c r="K1296" s="18">
        <f>IF(B1296="","",YEAR(B1296))</f>
        <v/>
      </c>
      <c r="L1296" s="18">
        <f>IF(B1296="","",MONTH(B1296))</f>
        <v/>
      </c>
      <c r="M1296" s="18">
        <f>IF(OR(B1296="",I1296=""),"",I1296-B1296)</f>
        <v/>
      </c>
      <c r="N1296" s="21">
        <f>IF(B1296="","",IF(I1296="",IF(H1296="","",IF(TODAY()&gt;H1296,"Atrasado (em aberto)","Em aberto")),IF(I1296&lt;=H1296,"No prazo","Fora do prazo")))</f>
        <v/>
      </c>
    </row>
    <row r="1297">
      <c r="B1297" s="22" t="n"/>
      <c r="E1297" s="23" t="n"/>
      <c r="F1297" s="24" t="n"/>
      <c r="H1297" s="22" t="n"/>
      <c r="I1297" s="22" t="n"/>
      <c r="J1297" s="21">
        <f>IF(C1297="","",IFERROR(INDEX(Clientes!$B:$B,MATCH(C1297,Clientes!$A:$A,0)),"Cód. não cadastrado"))</f>
        <v/>
      </c>
      <c r="K1297" s="18">
        <f>IF(B1297="","",YEAR(B1297))</f>
        <v/>
      </c>
      <c r="L1297" s="18">
        <f>IF(B1297="","",MONTH(B1297))</f>
        <v/>
      </c>
      <c r="M1297" s="18">
        <f>IF(OR(B1297="",I1297=""),"",I1297-B1297)</f>
        <v/>
      </c>
      <c r="N1297" s="21">
        <f>IF(B1297="","",IF(I1297="",IF(H1297="","",IF(TODAY()&gt;H1297,"Atrasado (em aberto)","Em aberto")),IF(I1297&lt;=H1297,"No prazo","Fora do prazo")))</f>
        <v/>
      </c>
    </row>
    <row r="1298">
      <c r="B1298" s="22" t="n"/>
      <c r="E1298" s="23" t="n"/>
      <c r="F1298" s="24" t="n"/>
      <c r="H1298" s="22" t="n"/>
      <c r="I1298" s="22" t="n"/>
      <c r="J1298" s="21">
        <f>IF(C1298="","",IFERROR(INDEX(Clientes!$B:$B,MATCH(C1298,Clientes!$A:$A,0)),"Cód. não cadastrado"))</f>
        <v/>
      </c>
      <c r="K1298" s="18">
        <f>IF(B1298="","",YEAR(B1298))</f>
        <v/>
      </c>
      <c r="L1298" s="18">
        <f>IF(B1298="","",MONTH(B1298))</f>
        <v/>
      </c>
      <c r="M1298" s="18">
        <f>IF(OR(B1298="",I1298=""),"",I1298-B1298)</f>
        <v/>
      </c>
      <c r="N1298" s="21">
        <f>IF(B1298="","",IF(I1298="",IF(H1298="","",IF(TODAY()&gt;H1298,"Atrasado (em aberto)","Em aberto")),IF(I1298&lt;=H1298,"No prazo","Fora do prazo")))</f>
        <v/>
      </c>
    </row>
    <row r="1299">
      <c r="B1299" s="22" t="n"/>
      <c r="E1299" s="23" t="n"/>
      <c r="F1299" s="24" t="n"/>
      <c r="H1299" s="22" t="n"/>
      <c r="I1299" s="22" t="n"/>
      <c r="J1299" s="21">
        <f>IF(C1299="","",IFERROR(INDEX(Clientes!$B:$B,MATCH(C1299,Clientes!$A:$A,0)),"Cód. não cadastrado"))</f>
        <v/>
      </c>
      <c r="K1299" s="18">
        <f>IF(B1299="","",YEAR(B1299))</f>
        <v/>
      </c>
      <c r="L1299" s="18">
        <f>IF(B1299="","",MONTH(B1299))</f>
        <v/>
      </c>
      <c r="M1299" s="18">
        <f>IF(OR(B1299="",I1299=""),"",I1299-B1299)</f>
        <v/>
      </c>
      <c r="N1299" s="21">
        <f>IF(B1299="","",IF(I1299="",IF(H1299="","",IF(TODAY()&gt;H1299,"Atrasado (em aberto)","Em aberto")),IF(I1299&lt;=H1299,"No prazo","Fora do prazo")))</f>
        <v/>
      </c>
    </row>
    <row r="1300">
      <c r="B1300" s="22" t="n"/>
      <c r="E1300" s="23" t="n"/>
      <c r="F1300" s="24" t="n"/>
      <c r="H1300" s="22" t="n"/>
      <c r="I1300" s="22" t="n"/>
      <c r="J1300" s="21">
        <f>IF(C1300="","",IFERROR(INDEX(Clientes!$B:$B,MATCH(C1300,Clientes!$A:$A,0)),"Cód. não cadastrado"))</f>
        <v/>
      </c>
      <c r="K1300" s="18">
        <f>IF(B1300="","",YEAR(B1300))</f>
        <v/>
      </c>
      <c r="L1300" s="18">
        <f>IF(B1300="","",MONTH(B1300))</f>
        <v/>
      </c>
      <c r="M1300" s="18">
        <f>IF(OR(B1300="",I1300=""),"",I1300-B1300)</f>
        <v/>
      </c>
      <c r="N1300" s="21">
        <f>IF(B1300="","",IF(I1300="",IF(H1300="","",IF(TODAY()&gt;H1300,"Atrasado (em aberto)","Em aberto")),IF(I1300&lt;=H1300,"No prazo","Fora do prazo")))</f>
        <v/>
      </c>
    </row>
    <row r="1301">
      <c r="B1301" s="22" t="n"/>
      <c r="E1301" s="23" t="n"/>
      <c r="F1301" s="24" t="n"/>
      <c r="H1301" s="22" t="n"/>
      <c r="I1301" s="22" t="n"/>
      <c r="J1301" s="21">
        <f>IF(C1301="","",IFERROR(INDEX(Clientes!$B:$B,MATCH(C1301,Clientes!$A:$A,0)),"Cód. não cadastrado"))</f>
        <v/>
      </c>
      <c r="K1301" s="18">
        <f>IF(B1301="","",YEAR(B1301))</f>
        <v/>
      </c>
      <c r="L1301" s="18">
        <f>IF(B1301="","",MONTH(B1301))</f>
        <v/>
      </c>
      <c r="M1301" s="18">
        <f>IF(OR(B1301="",I1301=""),"",I1301-B1301)</f>
        <v/>
      </c>
      <c r="N1301" s="21">
        <f>IF(B1301="","",IF(I1301="",IF(H1301="","",IF(TODAY()&gt;H1301,"Atrasado (em aberto)","Em aberto")),IF(I1301&lt;=H1301,"No prazo","Fora do prazo")))</f>
        <v/>
      </c>
    </row>
    <row r="1302">
      <c r="B1302" s="22" t="n"/>
      <c r="E1302" s="23" t="n"/>
      <c r="F1302" s="24" t="n"/>
      <c r="H1302" s="22" t="n"/>
      <c r="I1302" s="22" t="n"/>
      <c r="J1302" s="21">
        <f>IF(C1302="","",IFERROR(INDEX(Clientes!$B:$B,MATCH(C1302,Clientes!$A:$A,0)),"Cód. não cadastrado"))</f>
        <v/>
      </c>
      <c r="K1302" s="18">
        <f>IF(B1302="","",YEAR(B1302))</f>
        <v/>
      </c>
      <c r="L1302" s="18">
        <f>IF(B1302="","",MONTH(B1302))</f>
        <v/>
      </c>
      <c r="M1302" s="18">
        <f>IF(OR(B1302="",I1302=""),"",I1302-B1302)</f>
        <v/>
      </c>
      <c r="N1302" s="21">
        <f>IF(B1302="","",IF(I1302="",IF(H1302="","",IF(TODAY()&gt;H1302,"Atrasado (em aberto)","Em aberto")),IF(I1302&lt;=H1302,"No prazo","Fora do prazo")))</f>
        <v/>
      </c>
    </row>
    <row r="1303">
      <c r="B1303" s="22" t="n"/>
      <c r="E1303" s="23" t="n"/>
      <c r="F1303" s="24" t="n"/>
      <c r="H1303" s="22" t="n"/>
      <c r="I1303" s="22" t="n"/>
      <c r="J1303" s="21">
        <f>IF(C1303="","",IFERROR(INDEX(Clientes!$B:$B,MATCH(C1303,Clientes!$A:$A,0)),"Cód. não cadastrado"))</f>
        <v/>
      </c>
      <c r="K1303" s="18">
        <f>IF(B1303="","",YEAR(B1303))</f>
        <v/>
      </c>
      <c r="L1303" s="18">
        <f>IF(B1303="","",MONTH(B1303))</f>
        <v/>
      </c>
      <c r="M1303" s="18">
        <f>IF(OR(B1303="",I1303=""),"",I1303-B1303)</f>
        <v/>
      </c>
      <c r="N1303" s="21">
        <f>IF(B1303="","",IF(I1303="",IF(H1303="","",IF(TODAY()&gt;H1303,"Atrasado (em aberto)","Em aberto")),IF(I1303&lt;=H1303,"No prazo","Fora do prazo")))</f>
        <v/>
      </c>
    </row>
    <row r="1304">
      <c r="B1304" s="22" t="n"/>
      <c r="E1304" s="23" t="n"/>
      <c r="F1304" s="24" t="n"/>
      <c r="H1304" s="22" t="n"/>
      <c r="I1304" s="22" t="n"/>
      <c r="J1304" s="21">
        <f>IF(C1304="","",IFERROR(INDEX(Clientes!$B:$B,MATCH(C1304,Clientes!$A:$A,0)),"Cód. não cadastrado"))</f>
        <v/>
      </c>
      <c r="K1304" s="18">
        <f>IF(B1304="","",YEAR(B1304))</f>
        <v/>
      </c>
      <c r="L1304" s="18">
        <f>IF(B1304="","",MONTH(B1304))</f>
        <v/>
      </c>
      <c r="M1304" s="18">
        <f>IF(OR(B1304="",I1304=""),"",I1304-B1304)</f>
        <v/>
      </c>
      <c r="N1304" s="21">
        <f>IF(B1304="","",IF(I1304="",IF(H1304="","",IF(TODAY()&gt;H1304,"Atrasado (em aberto)","Em aberto")),IF(I1304&lt;=H1304,"No prazo","Fora do prazo")))</f>
        <v/>
      </c>
    </row>
    <row r="1305">
      <c r="B1305" s="22" t="n"/>
      <c r="E1305" s="23" t="n"/>
      <c r="F1305" s="24" t="n"/>
      <c r="H1305" s="22" t="n"/>
      <c r="I1305" s="22" t="n"/>
      <c r="J1305" s="21">
        <f>IF(C1305="","",IFERROR(INDEX(Clientes!$B:$B,MATCH(C1305,Clientes!$A:$A,0)),"Cód. não cadastrado"))</f>
        <v/>
      </c>
      <c r="K1305" s="18">
        <f>IF(B1305="","",YEAR(B1305))</f>
        <v/>
      </c>
      <c r="L1305" s="18">
        <f>IF(B1305="","",MONTH(B1305))</f>
        <v/>
      </c>
      <c r="M1305" s="18">
        <f>IF(OR(B1305="",I1305=""),"",I1305-B1305)</f>
        <v/>
      </c>
      <c r="N1305" s="21">
        <f>IF(B1305="","",IF(I1305="",IF(H1305="","",IF(TODAY()&gt;H1305,"Atrasado (em aberto)","Em aberto")),IF(I1305&lt;=H1305,"No prazo","Fora do prazo")))</f>
        <v/>
      </c>
    </row>
    <row r="1306">
      <c r="B1306" s="22" t="n"/>
      <c r="E1306" s="23" t="n"/>
      <c r="F1306" s="24" t="n"/>
      <c r="H1306" s="22" t="n"/>
      <c r="I1306" s="22" t="n"/>
      <c r="J1306" s="21">
        <f>IF(C1306="","",IFERROR(INDEX(Clientes!$B:$B,MATCH(C1306,Clientes!$A:$A,0)),"Cód. não cadastrado"))</f>
        <v/>
      </c>
      <c r="K1306" s="18">
        <f>IF(B1306="","",YEAR(B1306))</f>
        <v/>
      </c>
      <c r="L1306" s="18">
        <f>IF(B1306="","",MONTH(B1306))</f>
        <v/>
      </c>
      <c r="M1306" s="18">
        <f>IF(OR(B1306="",I1306=""),"",I1306-B1306)</f>
        <v/>
      </c>
      <c r="N1306" s="21">
        <f>IF(B1306="","",IF(I1306="",IF(H1306="","",IF(TODAY()&gt;H1306,"Atrasado (em aberto)","Em aberto")),IF(I1306&lt;=H1306,"No prazo","Fora do prazo")))</f>
        <v/>
      </c>
    </row>
    <row r="1307">
      <c r="B1307" s="22" t="n"/>
      <c r="E1307" s="23" t="n"/>
      <c r="F1307" s="24" t="n"/>
      <c r="H1307" s="22" t="n"/>
      <c r="I1307" s="22" t="n"/>
      <c r="J1307" s="21">
        <f>IF(C1307="","",IFERROR(INDEX(Clientes!$B:$B,MATCH(C1307,Clientes!$A:$A,0)),"Cód. não cadastrado"))</f>
        <v/>
      </c>
      <c r="K1307" s="18">
        <f>IF(B1307="","",YEAR(B1307))</f>
        <v/>
      </c>
      <c r="L1307" s="18">
        <f>IF(B1307="","",MONTH(B1307))</f>
        <v/>
      </c>
      <c r="M1307" s="18">
        <f>IF(OR(B1307="",I1307=""),"",I1307-B1307)</f>
        <v/>
      </c>
      <c r="N1307" s="21">
        <f>IF(B1307="","",IF(I1307="",IF(H1307="","",IF(TODAY()&gt;H1307,"Atrasado (em aberto)","Em aberto")),IF(I1307&lt;=H1307,"No prazo","Fora do prazo")))</f>
        <v/>
      </c>
    </row>
    <row r="1308">
      <c r="B1308" s="22" t="n"/>
      <c r="E1308" s="23" t="n"/>
      <c r="F1308" s="24" t="n"/>
      <c r="H1308" s="22" t="n"/>
      <c r="I1308" s="22" t="n"/>
      <c r="J1308" s="21">
        <f>IF(C1308="","",IFERROR(INDEX(Clientes!$B:$B,MATCH(C1308,Clientes!$A:$A,0)),"Cód. não cadastrado"))</f>
        <v/>
      </c>
      <c r="K1308" s="18">
        <f>IF(B1308="","",YEAR(B1308))</f>
        <v/>
      </c>
      <c r="L1308" s="18">
        <f>IF(B1308="","",MONTH(B1308))</f>
        <v/>
      </c>
      <c r="M1308" s="18">
        <f>IF(OR(B1308="",I1308=""),"",I1308-B1308)</f>
        <v/>
      </c>
      <c r="N1308" s="21">
        <f>IF(B1308="","",IF(I1308="",IF(H1308="","",IF(TODAY()&gt;H1308,"Atrasado (em aberto)","Em aberto")),IF(I1308&lt;=H1308,"No prazo","Fora do prazo")))</f>
        <v/>
      </c>
    </row>
    <row r="1309">
      <c r="B1309" s="22" t="n"/>
      <c r="E1309" s="23" t="n"/>
      <c r="F1309" s="24" t="n"/>
      <c r="H1309" s="22" t="n"/>
      <c r="I1309" s="22" t="n"/>
      <c r="J1309" s="21">
        <f>IF(C1309="","",IFERROR(INDEX(Clientes!$B:$B,MATCH(C1309,Clientes!$A:$A,0)),"Cód. não cadastrado"))</f>
        <v/>
      </c>
      <c r="K1309" s="18">
        <f>IF(B1309="","",YEAR(B1309))</f>
        <v/>
      </c>
      <c r="L1309" s="18">
        <f>IF(B1309="","",MONTH(B1309))</f>
        <v/>
      </c>
      <c r="M1309" s="18">
        <f>IF(OR(B1309="",I1309=""),"",I1309-B1309)</f>
        <v/>
      </c>
      <c r="N1309" s="21">
        <f>IF(B1309="","",IF(I1309="",IF(H1309="","",IF(TODAY()&gt;H1309,"Atrasado (em aberto)","Em aberto")),IF(I1309&lt;=H1309,"No prazo","Fora do prazo")))</f>
        <v/>
      </c>
    </row>
    <row r="1310">
      <c r="B1310" s="22" t="n"/>
      <c r="E1310" s="23" t="n"/>
      <c r="F1310" s="24" t="n"/>
      <c r="H1310" s="22" t="n"/>
      <c r="I1310" s="22" t="n"/>
      <c r="J1310" s="21">
        <f>IF(C1310="","",IFERROR(INDEX(Clientes!$B:$B,MATCH(C1310,Clientes!$A:$A,0)),"Cód. não cadastrado"))</f>
        <v/>
      </c>
      <c r="K1310" s="18">
        <f>IF(B1310="","",YEAR(B1310))</f>
        <v/>
      </c>
      <c r="L1310" s="18">
        <f>IF(B1310="","",MONTH(B1310))</f>
        <v/>
      </c>
      <c r="M1310" s="18">
        <f>IF(OR(B1310="",I1310=""),"",I1310-B1310)</f>
        <v/>
      </c>
      <c r="N1310" s="21">
        <f>IF(B1310="","",IF(I1310="",IF(H1310="","",IF(TODAY()&gt;H1310,"Atrasado (em aberto)","Em aberto")),IF(I1310&lt;=H1310,"No prazo","Fora do prazo")))</f>
        <v/>
      </c>
    </row>
    <row r="1311">
      <c r="B1311" s="22" t="n"/>
      <c r="E1311" s="23" t="n"/>
      <c r="F1311" s="24" t="n"/>
      <c r="H1311" s="22" t="n"/>
      <c r="I1311" s="22" t="n"/>
      <c r="J1311" s="21">
        <f>IF(C1311="","",IFERROR(INDEX(Clientes!$B:$B,MATCH(C1311,Clientes!$A:$A,0)),"Cód. não cadastrado"))</f>
        <v/>
      </c>
      <c r="K1311" s="18">
        <f>IF(B1311="","",YEAR(B1311))</f>
        <v/>
      </c>
      <c r="L1311" s="18">
        <f>IF(B1311="","",MONTH(B1311))</f>
        <v/>
      </c>
      <c r="M1311" s="18">
        <f>IF(OR(B1311="",I1311=""),"",I1311-B1311)</f>
        <v/>
      </c>
      <c r="N1311" s="21">
        <f>IF(B1311="","",IF(I1311="",IF(H1311="","",IF(TODAY()&gt;H1311,"Atrasado (em aberto)","Em aberto")),IF(I1311&lt;=H1311,"No prazo","Fora do prazo")))</f>
        <v/>
      </c>
    </row>
    <row r="1312">
      <c r="B1312" s="22" t="n"/>
      <c r="E1312" s="23" t="n"/>
      <c r="F1312" s="24" t="n"/>
      <c r="H1312" s="22" t="n"/>
      <c r="I1312" s="22" t="n"/>
      <c r="J1312" s="21">
        <f>IF(C1312="","",IFERROR(INDEX(Clientes!$B:$B,MATCH(C1312,Clientes!$A:$A,0)),"Cód. não cadastrado"))</f>
        <v/>
      </c>
      <c r="K1312" s="18">
        <f>IF(B1312="","",YEAR(B1312))</f>
        <v/>
      </c>
      <c r="L1312" s="18">
        <f>IF(B1312="","",MONTH(B1312))</f>
        <v/>
      </c>
      <c r="M1312" s="18">
        <f>IF(OR(B1312="",I1312=""),"",I1312-B1312)</f>
        <v/>
      </c>
      <c r="N1312" s="21">
        <f>IF(B1312="","",IF(I1312="",IF(H1312="","",IF(TODAY()&gt;H1312,"Atrasado (em aberto)","Em aberto")),IF(I1312&lt;=H1312,"No prazo","Fora do prazo")))</f>
        <v/>
      </c>
    </row>
    <row r="1313">
      <c r="B1313" s="22" t="n"/>
      <c r="E1313" s="23" t="n"/>
      <c r="F1313" s="24" t="n"/>
      <c r="H1313" s="22" t="n"/>
      <c r="I1313" s="22" t="n"/>
      <c r="J1313" s="21">
        <f>IF(C1313="","",IFERROR(INDEX(Clientes!$B:$B,MATCH(C1313,Clientes!$A:$A,0)),"Cód. não cadastrado"))</f>
        <v/>
      </c>
      <c r="K1313" s="18">
        <f>IF(B1313="","",YEAR(B1313))</f>
        <v/>
      </c>
      <c r="L1313" s="18">
        <f>IF(B1313="","",MONTH(B1313))</f>
        <v/>
      </c>
      <c r="M1313" s="18">
        <f>IF(OR(B1313="",I1313=""),"",I1313-B1313)</f>
        <v/>
      </c>
      <c r="N1313" s="21">
        <f>IF(B1313="","",IF(I1313="",IF(H1313="","",IF(TODAY()&gt;H1313,"Atrasado (em aberto)","Em aberto")),IF(I1313&lt;=H1313,"No prazo","Fora do prazo")))</f>
        <v/>
      </c>
    </row>
    <row r="1314">
      <c r="B1314" s="22" t="n"/>
      <c r="E1314" s="23" t="n"/>
      <c r="F1314" s="24" t="n"/>
      <c r="H1314" s="22" t="n"/>
      <c r="I1314" s="22" t="n"/>
      <c r="J1314" s="21">
        <f>IF(C1314="","",IFERROR(INDEX(Clientes!$B:$B,MATCH(C1314,Clientes!$A:$A,0)),"Cód. não cadastrado"))</f>
        <v/>
      </c>
      <c r="K1314" s="18">
        <f>IF(B1314="","",YEAR(B1314))</f>
        <v/>
      </c>
      <c r="L1314" s="18">
        <f>IF(B1314="","",MONTH(B1314))</f>
        <v/>
      </c>
      <c r="M1314" s="18">
        <f>IF(OR(B1314="",I1314=""),"",I1314-B1314)</f>
        <v/>
      </c>
      <c r="N1314" s="21">
        <f>IF(B1314="","",IF(I1314="",IF(H1314="","",IF(TODAY()&gt;H1314,"Atrasado (em aberto)","Em aberto")),IF(I1314&lt;=H1314,"No prazo","Fora do prazo")))</f>
        <v/>
      </c>
    </row>
    <row r="1315">
      <c r="B1315" s="22" t="n"/>
      <c r="E1315" s="23" t="n"/>
      <c r="F1315" s="24" t="n"/>
      <c r="H1315" s="22" t="n"/>
      <c r="I1315" s="22" t="n"/>
      <c r="J1315" s="21">
        <f>IF(C1315="","",IFERROR(INDEX(Clientes!$B:$B,MATCH(C1315,Clientes!$A:$A,0)),"Cód. não cadastrado"))</f>
        <v/>
      </c>
      <c r="K1315" s="18">
        <f>IF(B1315="","",YEAR(B1315))</f>
        <v/>
      </c>
      <c r="L1315" s="18">
        <f>IF(B1315="","",MONTH(B1315))</f>
        <v/>
      </c>
      <c r="M1315" s="18">
        <f>IF(OR(B1315="",I1315=""),"",I1315-B1315)</f>
        <v/>
      </c>
      <c r="N1315" s="21">
        <f>IF(B1315="","",IF(I1315="",IF(H1315="","",IF(TODAY()&gt;H1315,"Atrasado (em aberto)","Em aberto")),IF(I1315&lt;=H1315,"No prazo","Fora do prazo")))</f>
        <v/>
      </c>
    </row>
    <row r="1316">
      <c r="B1316" s="22" t="n"/>
      <c r="E1316" s="23" t="n"/>
      <c r="F1316" s="24" t="n"/>
      <c r="H1316" s="22" t="n"/>
      <c r="I1316" s="22" t="n"/>
      <c r="J1316" s="21">
        <f>IF(C1316="","",IFERROR(INDEX(Clientes!$B:$B,MATCH(C1316,Clientes!$A:$A,0)),"Cód. não cadastrado"))</f>
        <v/>
      </c>
      <c r="K1316" s="18">
        <f>IF(B1316="","",YEAR(B1316))</f>
        <v/>
      </c>
      <c r="L1316" s="18">
        <f>IF(B1316="","",MONTH(B1316))</f>
        <v/>
      </c>
      <c r="M1316" s="18">
        <f>IF(OR(B1316="",I1316=""),"",I1316-B1316)</f>
        <v/>
      </c>
      <c r="N1316" s="21">
        <f>IF(B1316="","",IF(I1316="",IF(H1316="","",IF(TODAY()&gt;H1316,"Atrasado (em aberto)","Em aberto")),IF(I1316&lt;=H1316,"No prazo","Fora do prazo")))</f>
        <v/>
      </c>
    </row>
    <row r="1317">
      <c r="B1317" s="22" t="n"/>
      <c r="E1317" s="23" t="n"/>
      <c r="F1317" s="24" t="n"/>
      <c r="H1317" s="22" t="n"/>
      <c r="I1317" s="22" t="n"/>
      <c r="J1317" s="21">
        <f>IF(C1317="","",IFERROR(INDEX(Clientes!$B:$B,MATCH(C1317,Clientes!$A:$A,0)),"Cód. não cadastrado"))</f>
        <v/>
      </c>
      <c r="K1317" s="18">
        <f>IF(B1317="","",YEAR(B1317))</f>
        <v/>
      </c>
      <c r="L1317" s="18">
        <f>IF(B1317="","",MONTH(B1317))</f>
        <v/>
      </c>
      <c r="M1317" s="18">
        <f>IF(OR(B1317="",I1317=""),"",I1317-B1317)</f>
        <v/>
      </c>
      <c r="N1317" s="21">
        <f>IF(B1317="","",IF(I1317="",IF(H1317="","",IF(TODAY()&gt;H1317,"Atrasado (em aberto)","Em aberto")),IF(I1317&lt;=H1317,"No prazo","Fora do prazo")))</f>
        <v/>
      </c>
    </row>
    <row r="1318">
      <c r="B1318" s="22" t="n"/>
      <c r="E1318" s="23" t="n"/>
      <c r="F1318" s="24" t="n"/>
      <c r="H1318" s="22" t="n"/>
      <c r="I1318" s="22" t="n"/>
      <c r="J1318" s="21">
        <f>IF(C1318="","",IFERROR(INDEX(Clientes!$B:$B,MATCH(C1318,Clientes!$A:$A,0)),"Cód. não cadastrado"))</f>
        <v/>
      </c>
      <c r="K1318" s="18">
        <f>IF(B1318="","",YEAR(B1318))</f>
        <v/>
      </c>
      <c r="L1318" s="18">
        <f>IF(B1318="","",MONTH(B1318))</f>
        <v/>
      </c>
      <c r="M1318" s="18">
        <f>IF(OR(B1318="",I1318=""),"",I1318-B1318)</f>
        <v/>
      </c>
      <c r="N1318" s="21">
        <f>IF(B1318="","",IF(I1318="",IF(H1318="","",IF(TODAY()&gt;H1318,"Atrasado (em aberto)","Em aberto")),IF(I1318&lt;=H1318,"No prazo","Fora do prazo")))</f>
        <v/>
      </c>
    </row>
    <row r="1319">
      <c r="B1319" s="22" t="n"/>
      <c r="E1319" s="23" t="n"/>
      <c r="F1319" s="24" t="n"/>
      <c r="H1319" s="22" t="n"/>
      <c r="I1319" s="22" t="n"/>
      <c r="J1319" s="21">
        <f>IF(C1319="","",IFERROR(INDEX(Clientes!$B:$B,MATCH(C1319,Clientes!$A:$A,0)),"Cód. não cadastrado"))</f>
        <v/>
      </c>
      <c r="K1319" s="18">
        <f>IF(B1319="","",YEAR(B1319))</f>
        <v/>
      </c>
      <c r="L1319" s="18">
        <f>IF(B1319="","",MONTH(B1319))</f>
        <v/>
      </c>
      <c r="M1319" s="18">
        <f>IF(OR(B1319="",I1319=""),"",I1319-B1319)</f>
        <v/>
      </c>
      <c r="N1319" s="21">
        <f>IF(B1319="","",IF(I1319="",IF(H1319="","",IF(TODAY()&gt;H1319,"Atrasado (em aberto)","Em aberto")),IF(I1319&lt;=H1319,"No prazo","Fora do prazo")))</f>
        <v/>
      </c>
    </row>
    <row r="1320">
      <c r="B1320" s="22" t="n"/>
      <c r="E1320" s="23" t="n"/>
      <c r="F1320" s="24" t="n"/>
      <c r="H1320" s="22" t="n"/>
      <c r="I1320" s="22" t="n"/>
      <c r="J1320" s="21">
        <f>IF(C1320="","",IFERROR(INDEX(Clientes!$B:$B,MATCH(C1320,Clientes!$A:$A,0)),"Cód. não cadastrado"))</f>
        <v/>
      </c>
      <c r="K1320" s="18">
        <f>IF(B1320="","",YEAR(B1320))</f>
        <v/>
      </c>
      <c r="L1320" s="18">
        <f>IF(B1320="","",MONTH(B1320))</f>
        <v/>
      </c>
      <c r="M1320" s="18">
        <f>IF(OR(B1320="",I1320=""),"",I1320-B1320)</f>
        <v/>
      </c>
      <c r="N1320" s="21">
        <f>IF(B1320="","",IF(I1320="",IF(H1320="","",IF(TODAY()&gt;H1320,"Atrasado (em aberto)","Em aberto")),IF(I1320&lt;=H1320,"No prazo","Fora do prazo")))</f>
        <v/>
      </c>
    </row>
    <row r="1321">
      <c r="B1321" s="22" t="n"/>
      <c r="E1321" s="23" t="n"/>
      <c r="F1321" s="24" t="n"/>
      <c r="H1321" s="22" t="n"/>
      <c r="I1321" s="22" t="n"/>
      <c r="J1321" s="21">
        <f>IF(C1321="","",IFERROR(INDEX(Clientes!$B:$B,MATCH(C1321,Clientes!$A:$A,0)),"Cód. não cadastrado"))</f>
        <v/>
      </c>
      <c r="K1321" s="18">
        <f>IF(B1321="","",YEAR(B1321))</f>
        <v/>
      </c>
      <c r="L1321" s="18">
        <f>IF(B1321="","",MONTH(B1321))</f>
        <v/>
      </c>
      <c r="M1321" s="18">
        <f>IF(OR(B1321="",I1321=""),"",I1321-B1321)</f>
        <v/>
      </c>
      <c r="N1321" s="21">
        <f>IF(B1321="","",IF(I1321="",IF(H1321="","",IF(TODAY()&gt;H1321,"Atrasado (em aberto)","Em aberto")),IF(I1321&lt;=H1321,"No prazo","Fora do prazo")))</f>
        <v/>
      </c>
    </row>
    <row r="1322">
      <c r="B1322" s="22" t="n"/>
      <c r="E1322" s="23" t="n"/>
      <c r="F1322" s="24" t="n"/>
      <c r="H1322" s="22" t="n"/>
      <c r="I1322" s="22" t="n"/>
      <c r="J1322" s="21">
        <f>IF(C1322="","",IFERROR(INDEX(Clientes!$B:$B,MATCH(C1322,Clientes!$A:$A,0)),"Cód. não cadastrado"))</f>
        <v/>
      </c>
      <c r="K1322" s="18">
        <f>IF(B1322="","",YEAR(B1322))</f>
        <v/>
      </c>
      <c r="L1322" s="18">
        <f>IF(B1322="","",MONTH(B1322))</f>
        <v/>
      </c>
      <c r="M1322" s="18">
        <f>IF(OR(B1322="",I1322=""),"",I1322-B1322)</f>
        <v/>
      </c>
      <c r="N1322" s="21">
        <f>IF(B1322="","",IF(I1322="",IF(H1322="","",IF(TODAY()&gt;H1322,"Atrasado (em aberto)","Em aberto")),IF(I1322&lt;=H1322,"No prazo","Fora do prazo")))</f>
        <v/>
      </c>
    </row>
    <row r="1323">
      <c r="B1323" s="22" t="n"/>
      <c r="E1323" s="23" t="n"/>
      <c r="F1323" s="24" t="n"/>
      <c r="H1323" s="22" t="n"/>
      <c r="I1323" s="22" t="n"/>
      <c r="J1323" s="21">
        <f>IF(C1323="","",IFERROR(INDEX(Clientes!$B:$B,MATCH(C1323,Clientes!$A:$A,0)),"Cód. não cadastrado"))</f>
        <v/>
      </c>
      <c r="K1323" s="18">
        <f>IF(B1323="","",YEAR(B1323))</f>
        <v/>
      </c>
      <c r="L1323" s="18">
        <f>IF(B1323="","",MONTH(B1323))</f>
        <v/>
      </c>
      <c r="M1323" s="18">
        <f>IF(OR(B1323="",I1323=""),"",I1323-B1323)</f>
        <v/>
      </c>
      <c r="N1323" s="21">
        <f>IF(B1323="","",IF(I1323="",IF(H1323="","",IF(TODAY()&gt;H1323,"Atrasado (em aberto)","Em aberto")),IF(I1323&lt;=H1323,"No prazo","Fora do prazo")))</f>
        <v/>
      </c>
    </row>
    <row r="1324">
      <c r="B1324" s="22" t="n"/>
      <c r="E1324" s="23" t="n"/>
      <c r="F1324" s="24" t="n"/>
      <c r="H1324" s="22" t="n"/>
      <c r="I1324" s="22" t="n"/>
      <c r="J1324" s="21">
        <f>IF(C1324="","",IFERROR(INDEX(Clientes!$B:$B,MATCH(C1324,Clientes!$A:$A,0)),"Cód. não cadastrado"))</f>
        <v/>
      </c>
      <c r="K1324" s="18">
        <f>IF(B1324="","",YEAR(B1324))</f>
        <v/>
      </c>
      <c r="L1324" s="18">
        <f>IF(B1324="","",MONTH(B1324))</f>
        <v/>
      </c>
      <c r="M1324" s="18">
        <f>IF(OR(B1324="",I1324=""),"",I1324-B1324)</f>
        <v/>
      </c>
      <c r="N1324" s="21">
        <f>IF(B1324="","",IF(I1324="",IF(H1324="","",IF(TODAY()&gt;H1324,"Atrasado (em aberto)","Em aberto")),IF(I1324&lt;=H1324,"No prazo","Fora do prazo")))</f>
        <v/>
      </c>
    </row>
    <row r="1325">
      <c r="B1325" s="22" t="n"/>
      <c r="E1325" s="23" t="n"/>
      <c r="F1325" s="24" t="n"/>
      <c r="H1325" s="22" t="n"/>
      <c r="I1325" s="22" t="n"/>
      <c r="J1325" s="21">
        <f>IF(C1325="","",IFERROR(INDEX(Clientes!$B:$B,MATCH(C1325,Clientes!$A:$A,0)),"Cód. não cadastrado"))</f>
        <v/>
      </c>
      <c r="K1325" s="18">
        <f>IF(B1325="","",YEAR(B1325))</f>
        <v/>
      </c>
      <c r="L1325" s="18">
        <f>IF(B1325="","",MONTH(B1325))</f>
        <v/>
      </c>
      <c r="M1325" s="18">
        <f>IF(OR(B1325="",I1325=""),"",I1325-B1325)</f>
        <v/>
      </c>
      <c r="N1325" s="21">
        <f>IF(B1325="","",IF(I1325="",IF(H1325="","",IF(TODAY()&gt;H1325,"Atrasado (em aberto)","Em aberto")),IF(I1325&lt;=H1325,"No prazo","Fora do prazo")))</f>
        <v/>
      </c>
    </row>
    <row r="1326">
      <c r="B1326" s="22" t="n"/>
      <c r="E1326" s="23" t="n"/>
      <c r="F1326" s="24" t="n"/>
      <c r="H1326" s="22" t="n"/>
      <c r="I1326" s="22" t="n"/>
      <c r="J1326" s="21">
        <f>IF(C1326="","",IFERROR(INDEX(Clientes!$B:$B,MATCH(C1326,Clientes!$A:$A,0)),"Cód. não cadastrado"))</f>
        <v/>
      </c>
      <c r="K1326" s="18">
        <f>IF(B1326="","",YEAR(B1326))</f>
        <v/>
      </c>
      <c r="L1326" s="18">
        <f>IF(B1326="","",MONTH(B1326))</f>
        <v/>
      </c>
      <c r="M1326" s="18">
        <f>IF(OR(B1326="",I1326=""),"",I1326-B1326)</f>
        <v/>
      </c>
      <c r="N1326" s="21">
        <f>IF(B1326="","",IF(I1326="",IF(H1326="","",IF(TODAY()&gt;H1326,"Atrasado (em aberto)","Em aberto")),IF(I1326&lt;=H1326,"No prazo","Fora do prazo")))</f>
        <v/>
      </c>
    </row>
    <row r="1327">
      <c r="B1327" s="22" t="n"/>
      <c r="E1327" s="23" t="n"/>
      <c r="F1327" s="24" t="n"/>
      <c r="H1327" s="22" t="n"/>
      <c r="I1327" s="22" t="n"/>
      <c r="J1327" s="21">
        <f>IF(C1327="","",IFERROR(INDEX(Clientes!$B:$B,MATCH(C1327,Clientes!$A:$A,0)),"Cód. não cadastrado"))</f>
        <v/>
      </c>
      <c r="K1327" s="18">
        <f>IF(B1327="","",YEAR(B1327))</f>
        <v/>
      </c>
      <c r="L1327" s="18">
        <f>IF(B1327="","",MONTH(B1327))</f>
        <v/>
      </c>
      <c r="M1327" s="18">
        <f>IF(OR(B1327="",I1327=""),"",I1327-B1327)</f>
        <v/>
      </c>
      <c r="N1327" s="21">
        <f>IF(B1327="","",IF(I1327="",IF(H1327="","",IF(TODAY()&gt;H1327,"Atrasado (em aberto)","Em aberto")),IF(I1327&lt;=H1327,"No prazo","Fora do prazo")))</f>
        <v/>
      </c>
    </row>
    <row r="1328">
      <c r="B1328" s="22" t="n"/>
      <c r="E1328" s="23" t="n"/>
      <c r="F1328" s="24" t="n"/>
      <c r="H1328" s="22" t="n"/>
      <c r="I1328" s="22" t="n"/>
      <c r="J1328" s="21">
        <f>IF(C1328="","",IFERROR(INDEX(Clientes!$B:$B,MATCH(C1328,Clientes!$A:$A,0)),"Cód. não cadastrado"))</f>
        <v/>
      </c>
      <c r="K1328" s="18">
        <f>IF(B1328="","",YEAR(B1328))</f>
        <v/>
      </c>
      <c r="L1328" s="18">
        <f>IF(B1328="","",MONTH(B1328))</f>
        <v/>
      </c>
      <c r="M1328" s="18">
        <f>IF(OR(B1328="",I1328=""),"",I1328-B1328)</f>
        <v/>
      </c>
      <c r="N1328" s="21">
        <f>IF(B1328="","",IF(I1328="",IF(H1328="","",IF(TODAY()&gt;H1328,"Atrasado (em aberto)","Em aberto")),IF(I1328&lt;=H1328,"No prazo","Fora do prazo")))</f>
        <v/>
      </c>
    </row>
    <row r="1329">
      <c r="B1329" s="22" t="n"/>
      <c r="E1329" s="23" t="n"/>
      <c r="F1329" s="24" t="n"/>
      <c r="H1329" s="22" t="n"/>
      <c r="I1329" s="22" t="n"/>
      <c r="J1329" s="21">
        <f>IF(C1329="","",IFERROR(INDEX(Clientes!$B:$B,MATCH(C1329,Clientes!$A:$A,0)),"Cód. não cadastrado"))</f>
        <v/>
      </c>
      <c r="K1329" s="18">
        <f>IF(B1329="","",YEAR(B1329))</f>
        <v/>
      </c>
      <c r="L1329" s="18">
        <f>IF(B1329="","",MONTH(B1329))</f>
        <v/>
      </c>
      <c r="M1329" s="18">
        <f>IF(OR(B1329="",I1329=""),"",I1329-B1329)</f>
        <v/>
      </c>
      <c r="N1329" s="21">
        <f>IF(B1329="","",IF(I1329="",IF(H1329="","",IF(TODAY()&gt;H1329,"Atrasado (em aberto)","Em aberto")),IF(I1329&lt;=H1329,"No prazo","Fora do prazo")))</f>
        <v/>
      </c>
    </row>
    <row r="1330">
      <c r="B1330" s="22" t="n"/>
      <c r="E1330" s="23" t="n"/>
      <c r="F1330" s="24" t="n"/>
      <c r="H1330" s="22" t="n"/>
      <c r="I1330" s="22" t="n"/>
      <c r="J1330" s="21">
        <f>IF(C1330="","",IFERROR(INDEX(Clientes!$B:$B,MATCH(C1330,Clientes!$A:$A,0)),"Cód. não cadastrado"))</f>
        <v/>
      </c>
      <c r="K1330" s="18">
        <f>IF(B1330="","",YEAR(B1330))</f>
        <v/>
      </c>
      <c r="L1330" s="18">
        <f>IF(B1330="","",MONTH(B1330))</f>
        <v/>
      </c>
      <c r="M1330" s="18">
        <f>IF(OR(B1330="",I1330=""),"",I1330-B1330)</f>
        <v/>
      </c>
      <c r="N1330" s="21">
        <f>IF(B1330="","",IF(I1330="",IF(H1330="","",IF(TODAY()&gt;H1330,"Atrasado (em aberto)","Em aberto")),IF(I1330&lt;=H1330,"No prazo","Fora do prazo")))</f>
        <v/>
      </c>
    </row>
    <row r="1331">
      <c r="B1331" s="22" t="n"/>
      <c r="E1331" s="23" t="n"/>
      <c r="F1331" s="24" t="n"/>
      <c r="H1331" s="22" t="n"/>
      <c r="I1331" s="22" t="n"/>
      <c r="J1331" s="21">
        <f>IF(C1331="","",IFERROR(INDEX(Clientes!$B:$B,MATCH(C1331,Clientes!$A:$A,0)),"Cód. não cadastrado"))</f>
        <v/>
      </c>
      <c r="K1331" s="18">
        <f>IF(B1331="","",YEAR(B1331))</f>
        <v/>
      </c>
      <c r="L1331" s="18">
        <f>IF(B1331="","",MONTH(B1331))</f>
        <v/>
      </c>
      <c r="M1331" s="18">
        <f>IF(OR(B1331="",I1331=""),"",I1331-B1331)</f>
        <v/>
      </c>
      <c r="N1331" s="21">
        <f>IF(B1331="","",IF(I1331="",IF(H1331="","",IF(TODAY()&gt;H1331,"Atrasado (em aberto)","Em aberto")),IF(I1331&lt;=H1331,"No prazo","Fora do prazo")))</f>
        <v/>
      </c>
    </row>
    <row r="1332">
      <c r="B1332" s="22" t="n"/>
      <c r="E1332" s="23" t="n"/>
      <c r="F1332" s="24" t="n"/>
      <c r="H1332" s="22" t="n"/>
      <c r="I1332" s="22" t="n"/>
      <c r="J1332" s="21">
        <f>IF(C1332="","",IFERROR(INDEX(Clientes!$B:$B,MATCH(C1332,Clientes!$A:$A,0)),"Cód. não cadastrado"))</f>
        <v/>
      </c>
      <c r="K1332" s="18">
        <f>IF(B1332="","",YEAR(B1332))</f>
        <v/>
      </c>
      <c r="L1332" s="18">
        <f>IF(B1332="","",MONTH(B1332))</f>
        <v/>
      </c>
      <c r="M1332" s="18">
        <f>IF(OR(B1332="",I1332=""),"",I1332-B1332)</f>
        <v/>
      </c>
      <c r="N1332" s="21">
        <f>IF(B1332="","",IF(I1332="",IF(H1332="","",IF(TODAY()&gt;H1332,"Atrasado (em aberto)","Em aberto")),IF(I1332&lt;=H1332,"No prazo","Fora do prazo")))</f>
        <v/>
      </c>
    </row>
    <row r="1333">
      <c r="B1333" s="22" t="n"/>
      <c r="E1333" s="23" t="n"/>
      <c r="F1333" s="24" t="n"/>
      <c r="H1333" s="22" t="n"/>
      <c r="I1333" s="22" t="n"/>
      <c r="J1333" s="21">
        <f>IF(C1333="","",IFERROR(INDEX(Clientes!$B:$B,MATCH(C1333,Clientes!$A:$A,0)),"Cód. não cadastrado"))</f>
        <v/>
      </c>
      <c r="K1333" s="18">
        <f>IF(B1333="","",YEAR(B1333))</f>
        <v/>
      </c>
      <c r="L1333" s="18">
        <f>IF(B1333="","",MONTH(B1333))</f>
        <v/>
      </c>
      <c r="M1333" s="18">
        <f>IF(OR(B1333="",I1333=""),"",I1333-B1333)</f>
        <v/>
      </c>
      <c r="N1333" s="21">
        <f>IF(B1333="","",IF(I1333="",IF(H1333="","",IF(TODAY()&gt;H1333,"Atrasado (em aberto)","Em aberto")),IF(I1333&lt;=H1333,"No prazo","Fora do prazo")))</f>
        <v/>
      </c>
    </row>
    <row r="1334">
      <c r="B1334" s="22" t="n"/>
      <c r="E1334" s="23" t="n"/>
      <c r="F1334" s="24" t="n"/>
      <c r="H1334" s="22" t="n"/>
      <c r="I1334" s="22" t="n"/>
      <c r="J1334" s="21">
        <f>IF(C1334="","",IFERROR(INDEX(Clientes!$B:$B,MATCH(C1334,Clientes!$A:$A,0)),"Cód. não cadastrado"))</f>
        <v/>
      </c>
      <c r="K1334" s="18">
        <f>IF(B1334="","",YEAR(B1334))</f>
        <v/>
      </c>
      <c r="L1334" s="18">
        <f>IF(B1334="","",MONTH(B1334))</f>
        <v/>
      </c>
      <c r="M1334" s="18">
        <f>IF(OR(B1334="",I1334=""),"",I1334-B1334)</f>
        <v/>
      </c>
      <c r="N1334" s="21">
        <f>IF(B1334="","",IF(I1334="",IF(H1334="","",IF(TODAY()&gt;H1334,"Atrasado (em aberto)","Em aberto")),IF(I1334&lt;=H1334,"No prazo","Fora do prazo")))</f>
        <v/>
      </c>
    </row>
    <row r="1335">
      <c r="B1335" s="22" t="n"/>
      <c r="E1335" s="23" t="n"/>
      <c r="F1335" s="24" t="n"/>
      <c r="H1335" s="22" t="n"/>
      <c r="I1335" s="22" t="n"/>
      <c r="J1335" s="21">
        <f>IF(C1335="","",IFERROR(INDEX(Clientes!$B:$B,MATCH(C1335,Clientes!$A:$A,0)),"Cód. não cadastrado"))</f>
        <v/>
      </c>
      <c r="K1335" s="18">
        <f>IF(B1335="","",YEAR(B1335))</f>
        <v/>
      </c>
      <c r="L1335" s="18">
        <f>IF(B1335="","",MONTH(B1335))</f>
        <v/>
      </c>
      <c r="M1335" s="18">
        <f>IF(OR(B1335="",I1335=""),"",I1335-B1335)</f>
        <v/>
      </c>
      <c r="N1335" s="21">
        <f>IF(B1335="","",IF(I1335="",IF(H1335="","",IF(TODAY()&gt;H1335,"Atrasado (em aberto)","Em aberto")),IF(I1335&lt;=H1335,"No prazo","Fora do prazo")))</f>
        <v/>
      </c>
    </row>
    <row r="1336">
      <c r="B1336" s="22" t="n"/>
      <c r="E1336" s="23" t="n"/>
      <c r="F1336" s="24" t="n"/>
      <c r="H1336" s="22" t="n"/>
      <c r="I1336" s="22" t="n"/>
      <c r="J1336" s="21">
        <f>IF(C1336="","",IFERROR(INDEX(Clientes!$B:$B,MATCH(C1336,Clientes!$A:$A,0)),"Cód. não cadastrado"))</f>
        <v/>
      </c>
      <c r="K1336" s="18">
        <f>IF(B1336="","",YEAR(B1336))</f>
        <v/>
      </c>
      <c r="L1336" s="18">
        <f>IF(B1336="","",MONTH(B1336))</f>
        <v/>
      </c>
      <c r="M1336" s="18">
        <f>IF(OR(B1336="",I1336=""),"",I1336-B1336)</f>
        <v/>
      </c>
      <c r="N1336" s="21">
        <f>IF(B1336="","",IF(I1336="",IF(H1336="","",IF(TODAY()&gt;H1336,"Atrasado (em aberto)","Em aberto")),IF(I1336&lt;=H1336,"No prazo","Fora do prazo")))</f>
        <v/>
      </c>
    </row>
    <row r="1337">
      <c r="B1337" s="22" t="n"/>
      <c r="E1337" s="23" t="n"/>
      <c r="F1337" s="24" t="n"/>
      <c r="H1337" s="22" t="n"/>
      <c r="I1337" s="22" t="n"/>
      <c r="J1337" s="21">
        <f>IF(C1337="","",IFERROR(INDEX(Clientes!$B:$B,MATCH(C1337,Clientes!$A:$A,0)),"Cód. não cadastrado"))</f>
        <v/>
      </c>
      <c r="K1337" s="18">
        <f>IF(B1337="","",YEAR(B1337))</f>
        <v/>
      </c>
      <c r="L1337" s="18">
        <f>IF(B1337="","",MONTH(B1337))</f>
        <v/>
      </c>
      <c r="M1337" s="18">
        <f>IF(OR(B1337="",I1337=""),"",I1337-B1337)</f>
        <v/>
      </c>
      <c r="N1337" s="21">
        <f>IF(B1337="","",IF(I1337="",IF(H1337="","",IF(TODAY()&gt;H1337,"Atrasado (em aberto)","Em aberto")),IF(I1337&lt;=H1337,"No prazo","Fora do prazo")))</f>
        <v/>
      </c>
    </row>
    <row r="1338">
      <c r="B1338" s="22" t="n"/>
      <c r="E1338" s="23" t="n"/>
      <c r="F1338" s="24" t="n"/>
      <c r="H1338" s="22" t="n"/>
      <c r="I1338" s="22" t="n"/>
      <c r="J1338" s="21">
        <f>IF(C1338="","",IFERROR(INDEX(Clientes!$B:$B,MATCH(C1338,Clientes!$A:$A,0)),"Cód. não cadastrado"))</f>
        <v/>
      </c>
      <c r="K1338" s="18">
        <f>IF(B1338="","",YEAR(B1338))</f>
        <v/>
      </c>
      <c r="L1338" s="18">
        <f>IF(B1338="","",MONTH(B1338))</f>
        <v/>
      </c>
      <c r="M1338" s="18">
        <f>IF(OR(B1338="",I1338=""),"",I1338-B1338)</f>
        <v/>
      </c>
      <c r="N1338" s="21">
        <f>IF(B1338="","",IF(I1338="",IF(H1338="","",IF(TODAY()&gt;H1338,"Atrasado (em aberto)","Em aberto")),IF(I1338&lt;=H1338,"No prazo","Fora do prazo")))</f>
        <v/>
      </c>
    </row>
    <row r="1339">
      <c r="B1339" s="22" t="n"/>
      <c r="E1339" s="23" t="n"/>
      <c r="F1339" s="24" t="n"/>
      <c r="H1339" s="22" t="n"/>
      <c r="I1339" s="22" t="n"/>
      <c r="J1339" s="21">
        <f>IF(C1339="","",IFERROR(INDEX(Clientes!$B:$B,MATCH(C1339,Clientes!$A:$A,0)),"Cód. não cadastrado"))</f>
        <v/>
      </c>
      <c r="K1339" s="18">
        <f>IF(B1339="","",YEAR(B1339))</f>
        <v/>
      </c>
      <c r="L1339" s="18">
        <f>IF(B1339="","",MONTH(B1339))</f>
        <v/>
      </c>
      <c r="M1339" s="18">
        <f>IF(OR(B1339="",I1339=""),"",I1339-B1339)</f>
        <v/>
      </c>
      <c r="N1339" s="21">
        <f>IF(B1339="","",IF(I1339="",IF(H1339="","",IF(TODAY()&gt;H1339,"Atrasado (em aberto)","Em aberto")),IF(I1339&lt;=H1339,"No prazo","Fora do prazo")))</f>
        <v/>
      </c>
    </row>
    <row r="1340">
      <c r="B1340" s="22" t="n"/>
      <c r="E1340" s="23" t="n"/>
      <c r="F1340" s="24" t="n"/>
      <c r="H1340" s="22" t="n"/>
      <c r="I1340" s="22" t="n"/>
      <c r="J1340" s="21">
        <f>IF(C1340="","",IFERROR(INDEX(Clientes!$B:$B,MATCH(C1340,Clientes!$A:$A,0)),"Cód. não cadastrado"))</f>
        <v/>
      </c>
      <c r="K1340" s="18">
        <f>IF(B1340="","",YEAR(B1340))</f>
        <v/>
      </c>
      <c r="L1340" s="18">
        <f>IF(B1340="","",MONTH(B1340))</f>
        <v/>
      </c>
      <c r="M1340" s="18">
        <f>IF(OR(B1340="",I1340=""),"",I1340-B1340)</f>
        <v/>
      </c>
      <c r="N1340" s="21">
        <f>IF(B1340="","",IF(I1340="",IF(H1340="","",IF(TODAY()&gt;H1340,"Atrasado (em aberto)","Em aberto")),IF(I1340&lt;=H1340,"No prazo","Fora do prazo")))</f>
        <v/>
      </c>
    </row>
    <row r="1341">
      <c r="B1341" s="22" t="n"/>
      <c r="E1341" s="23" t="n"/>
      <c r="F1341" s="24" t="n"/>
      <c r="H1341" s="22" t="n"/>
      <c r="I1341" s="22" t="n"/>
      <c r="J1341" s="21">
        <f>IF(C1341="","",IFERROR(INDEX(Clientes!$B:$B,MATCH(C1341,Clientes!$A:$A,0)),"Cód. não cadastrado"))</f>
        <v/>
      </c>
      <c r="K1341" s="18">
        <f>IF(B1341="","",YEAR(B1341))</f>
        <v/>
      </c>
      <c r="L1341" s="18">
        <f>IF(B1341="","",MONTH(B1341))</f>
        <v/>
      </c>
      <c r="M1341" s="18">
        <f>IF(OR(B1341="",I1341=""),"",I1341-B1341)</f>
        <v/>
      </c>
      <c r="N1341" s="21">
        <f>IF(B1341="","",IF(I1341="",IF(H1341="","",IF(TODAY()&gt;H1341,"Atrasado (em aberto)","Em aberto")),IF(I1341&lt;=H1341,"No prazo","Fora do prazo")))</f>
        <v/>
      </c>
    </row>
    <row r="1342">
      <c r="B1342" s="22" t="n"/>
      <c r="E1342" s="23" t="n"/>
      <c r="F1342" s="24" t="n"/>
      <c r="H1342" s="22" t="n"/>
      <c r="I1342" s="22" t="n"/>
      <c r="J1342" s="21">
        <f>IF(C1342="","",IFERROR(INDEX(Clientes!$B:$B,MATCH(C1342,Clientes!$A:$A,0)),"Cód. não cadastrado"))</f>
        <v/>
      </c>
      <c r="K1342" s="18">
        <f>IF(B1342="","",YEAR(B1342))</f>
        <v/>
      </c>
      <c r="L1342" s="18">
        <f>IF(B1342="","",MONTH(B1342))</f>
        <v/>
      </c>
      <c r="M1342" s="18">
        <f>IF(OR(B1342="",I1342=""),"",I1342-B1342)</f>
        <v/>
      </c>
      <c r="N1342" s="21">
        <f>IF(B1342="","",IF(I1342="",IF(H1342="","",IF(TODAY()&gt;H1342,"Atrasado (em aberto)","Em aberto")),IF(I1342&lt;=H1342,"No prazo","Fora do prazo")))</f>
        <v/>
      </c>
    </row>
    <row r="1343">
      <c r="B1343" s="22" t="n"/>
      <c r="E1343" s="23" t="n"/>
      <c r="F1343" s="24" t="n"/>
      <c r="H1343" s="22" t="n"/>
      <c r="I1343" s="22" t="n"/>
      <c r="J1343" s="21">
        <f>IF(C1343="","",IFERROR(INDEX(Clientes!$B:$B,MATCH(C1343,Clientes!$A:$A,0)),"Cód. não cadastrado"))</f>
        <v/>
      </c>
      <c r="K1343" s="18">
        <f>IF(B1343="","",YEAR(B1343))</f>
        <v/>
      </c>
      <c r="L1343" s="18">
        <f>IF(B1343="","",MONTH(B1343))</f>
        <v/>
      </c>
      <c r="M1343" s="18">
        <f>IF(OR(B1343="",I1343=""),"",I1343-B1343)</f>
        <v/>
      </c>
      <c r="N1343" s="21">
        <f>IF(B1343="","",IF(I1343="",IF(H1343="","",IF(TODAY()&gt;H1343,"Atrasado (em aberto)","Em aberto")),IF(I1343&lt;=H1343,"No prazo","Fora do prazo")))</f>
        <v/>
      </c>
    </row>
    <row r="1344">
      <c r="B1344" s="22" t="n"/>
      <c r="E1344" s="23" t="n"/>
      <c r="F1344" s="24" t="n"/>
      <c r="H1344" s="22" t="n"/>
      <c r="I1344" s="22" t="n"/>
      <c r="J1344" s="21">
        <f>IF(C1344="","",IFERROR(INDEX(Clientes!$B:$B,MATCH(C1344,Clientes!$A:$A,0)),"Cód. não cadastrado"))</f>
        <v/>
      </c>
      <c r="K1344" s="18">
        <f>IF(B1344="","",YEAR(B1344))</f>
        <v/>
      </c>
      <c r="L1344" s="18">
        <f>IF(B1344="","",MONTH(B1344))</f>
        <v/>
      </c>
      <c r="M1344" s="18">
        <f>IF(OR(B1344="",I1344=""),"",I1344-B1344)</f>
        <v/>
      </c>
      <c r="N1344" s="21">
        <f>IF(B1344="","",IF(I1344="",IF(H1344="","",IF(TODAY()&gt;H1344,"Atrasado (em aberto)","Em aberto")),IF(I1344&lt;=H1344,"No prazo","Fora do prazo")))</f>
        <v/>
      </c>
    </row>
    <row r="1345">
      <c r="B1345" s="22" t="n"/>
      <c r="E1345" s="23" t="n"/>
      <c r="F1345" s="24" t="n"/>
      <c r="H1345" s="22" t="n"/>
      <c r="I1345" s="22" t="n"/>
      <c r="J1345" s="21">
        <f>IF(C1345="","",IFERROR(INDEX(Clientes!$B:$B,MATCH(C1345,Clientes!$A:$A,0)),"Cód. não cadastrado"))</f>
        <v/>
      </c>
      <c r="K1345" s="18">
        <f>IF(B1345="","",YEAR(B1345))</f>
        <v/>
      </c>
      <c r="L1345" s="18">
        <f>IF(B1345="","",MONTH(B1345))</f>
        <v/>
      </c>
      <c r="M1345" s="18">
        <f>IF(OR(B1345="",I1345=""),"",I1345-B1345)</f>
        <v/>
      </c>
      <c r="N1345" s="21">
        <f>IF(B1345="","",IF(I1345="",IF(H1345="","",IF(TODAY()&gt;H1345,"Atrasado (em aberto)","Em aberto")),IF(I1345&lt;=H1345,"No prazo","Fora do prazo")))</f>
        <v/>
      </c>
    </row>
    <row r="1346">
      <c r="B1346" s="22" t="n"/>
      <c r="E1346" s="23" t="n"/>
      <c r="F1346" s="24" t="n"/>
      <c r="H1346" s="22" t="n"/>
      <c r="I1346" s="22" t="n"/>
      <c r="J1346" s="21">
        <f>IF(C1346="","",IFERROR(INDEX(Clientes!$B:$B,MATCH(C1346,Clientes!$A:$A,0)),"Cód. não cadastrado"))</f>
        <v/>
      </c>
      <c r="K1346" s="18">
        <f>IF(B1346="","",YEAR(B1346))</f>
        <v/>
      </c>
      <c r="L1346" s="18">
        <f>IF(B1346="","",MONTH(B1346))</f>
        <v/>
      </c>
      <c r="M1346" s="18">
        <f>IF(OR(B1346="",I1346=""),"",I1346-B1346)</f>
        <v/>
      </c>
      <c r="N1346" s="21">
        <f>IF(B1346="","",IF(I1346="",IF(H1346="","",IF(TODAY()&gt;H1346,"Atrasado (em aberto)","Em aberto")),IF(I1346&lt;=H1346,"No prazo","Fora do prazo")))</f>
        <v/>
      </c>
    </row>
    <row r="1347">
      <c r="B1347" s="22" t="n"/>
      <c r="E1347" s="23" t="n"/>
      <c r="F1347" s="24" t="n"/>
      <c r="H1347" s="22" t="n"/>
      <c r="I1347" s="22" t="n"/>
      <c r="J1347" s="21">
        <f>IF(C1347="","",IFERROR(INDEX(Clientes!$B:$B,MATCH(C1347,Clientes!$A:$A,0)),"Cód. não cadastrado"))</f>
        <v/>
      </c>
      <c r="K1347" s="18">
        <f>IF(B1347="","",YEAR(B1347))</f>
        <v/>
      </c>
      <c r="L1347" s="18">
        <f>IF(B1347="","",MONTH(B1347))</f>
        <v/>
      </c>
      <c r="M1347" s="18">
        <f>IF(OR(B1347="",I1347=""),"",I1347-B1347)</f>
        <v/>
      </c>
      <c r="N1347" s="21">
        <f>IF(B1347="","",IF(I1347="",IF(H1347="","",IF(TODAY()&gt;H1347,"Atrasado (em aberto)","Em aberto")),IF(I1347&lt;=H1347,"No prazo","Fora do prazo")))</f>
        <v/>
      </c>
    </row>
    <row r="1348">
      <c r="B1348" s="22" t="n"/>
      <c r="E1348" s="23" t="n"/>
      <c r="F1348" s="24" t="n"/>
      <c r="H1348" s="22" t="n"/>
      <c r="I1348" s="22" t="n"/>
      <c r="J1348" s="21">
        <f>IF(C1348="","",IFERROR(INDEX(Clientes!$B:$B,MATCH(C1348,Clientes!$A:$A,0)),"Cód. não cadastrado"))</f>
        <v/>
      </c>
      <c r="K1348" s="18">
        <f>IF(B1348="","",YEAR(B1348))</f>
        <v/>
      </c>
      <c r="L1348" s="18">
        <f>IF(B1348="","",MONTH(B1348))</f>
        <v/>
      </c>
      <c r="M1348" s="18">
        <f>IF(OR(B1348="",I1348=""),"",I1348-B1348)</f>
        <v/>
      </c>
      <c r="N1348" s="21">
        <f>IF(B1348="","",IF(I1348="",IF(H1348="","",IF(TODAY()&gt;H1348,"Atrasado (em aberto)","Em aberto")),IF(I1348&lt;=H1348,"No prazo","Fora do prazo")))</f>
        <v/>
      </c>
    </row>
    <row r="1349">
      <c r="B1349" s="22" t="n"/>
      <c r="E1349" s="23" t="n"/>
      <c r="F1349" s="24" t="n"/>
      <c r="H1349" s="22" t="n"/>
      <c r="I1349" s="22" t="n"/>
      <c r="J1349" s="21">
        <f>IF(C1349="","",IFERROR(INDEX(Clientes!$B:$B,MATCH(C1349,Clientes!$A:$A,0)),"Cód. não cadastrado"))</f>
        <v/>
      </c>
      <c r="K1349" s="18">
        <f>IF(B1349="","",YEAR(B1349))</f>
        <v/>
      </c>
      <c r="L1349" s="18">
        <f>IF(B1349="","",MONTH(B1349))</f>
        <v/>
      </c>
      <c r="M1349" s="18">
        <f>IF(OR(B1349="",I1349=""),"",I1349-B1349)</f>
        <v/>
      </c>
      <c r="N1349" s="21">
        <f>IF(B1349="","",IF(I1349="",IF(H1349="","",IF(TODAY()&gt;H1349,"Atrasado (em aberto)","Em aberto")),IF(I1349&lt;=H1349,"No prazo","Fora do prazo")))</f>
        <v/>
      </c>
    </row>
    <row r="1350">
      <c r="B1350" s="22" t="n"/>
      <c r="E1350" s="23" t="n"/>
      <c r="F1350" s="24" t="n"/>
      <c r="H1350" s="22" t="n"/>
      <c r="I1350" s="22" t="n"/>
      <c r="J1350" s="21">
        <f>IF(C1350="","",IFERROR(INDEX(Clientes!$B:$B,MATCH(C1350,Clientes!$A:$A,0)),"Cód. não cadastrado"))</f>
        <v/>
      </c>
      <c r="K1350" s="18">
        <f>IF(B1350="","",YEAR(B1350))</f>
        <v/>
      </c>
      <c r="L1350" s="18">
        <f>IF(B1350="","",MONTH(B1350))</f>
        <v/>
      </c>
      <c r="M1350" s="18">
        <f>IF(OR(B1350="",I1350=""),"",I1350-B1350)</f>
        <v/>
      </c>
      <c r="N1350" s="21">
        <f>IF(B1350="","",IF(I1350="",IF(H1350="","",IF(TODAY()&gt;H1350,"Atrasado (em aberto)","Em aberto")),IF(I1350&lt;=H1350,"No prazo","Fora do prazo")))</f>
        <v/>
      </c>
    </row>
    <row r="1351">
      <c r="B1351" s="22" t="n"/>
      <c r="E1351" s="23" t="n"/>
      <c r="F1351" s="24" t="n"/>
      <c r="H1351" s="22" t="n"/>
      <c r="I1351" s="22" t="n"/>
      <c r="J1351" s="21">
        <f>IF(C1351="","",IFERROR(INDEX(Clientes!$B:$B,MATCH(C1351,Clientes!$A:$A,0)),"Cód. não cadastrado"))</f>
        <v/>
      </c>
      <c r="K1351" s="18">
        <f>IF(B1351="","",YEAR(B1351))</f>
        <v/>
      </c>
      <c r="L1351" s="18">
        <f>IF(B1351="","",MONTH(B1351))</f>
        <v/>
      </c>
      <c r="M1351" s="18">
        <f>IF(OR(B1351="",I1351=""),"",I1351-B1351)</f>
        <v/>
      </c>
      <c r="N1351" s="21">
        <f>IF(B1351="","",IF(I1351="",IF(H1351="","",IF(TODAY()&gt;H1351,"Atrasado (em aberto)","Em aberto")),IF(I1351&lt;=H1351,"No prazo","Fora do prazo")))</f>
        <v/>
      </c>
    </row>
    <row r="1352">
      <c r="B1352" s="22" t="n"/>
      <c r="E1352" s="23" t="n"/>
      <c r="F1352" s="24" t="n"/>
      <c r="H1352" s="22" t="n"/>
      <c r="I1352" s="22" t="n"/>
      <c r="J1352" s="21">
        <f>IF(C1352="","",IFERROR(INDEX(Clientes!$B:$B,MATCH(C1352,Clientes!$A:$A,0)),"Cód. não cadastrado"))</f>
        <v/>
      </c>
      <c r="K1352" s="18">
        <f>IF(B1352="","",YEAR(B1352))</f>
        <v/>
      </c>
      <c r="L1352" s="18">
        <f>IF(B1352="","",MONTH(B1352))</f>
        <v/>
      </c>
      <c r="M1352" s="18">
        <f>IF(OR(B1352="",I1352=""),"",I1352-B1352)</f>
        <v/>
      </c>
      <c r="N1352" s="21">
        <f>IF(B1352="","",IF(I1352="",IF(H1352="","",IF(TODAY()&gt;H1352,"Atrasado (em aberto)","Em aberto")),IF(I1352&lt;=H1352,"No prazo","Fora do prazo")))</f>
        <v/>
      </c>
    </row>
    <row r="1353">
      <c r="B1353" s="22" t="n"/>
      <c r="E1353" s="23" t="n"/>
      <c r="F1353" s="24" t="n"/>
      <c r="H1353" s="22" t="n"/>
      <c r="I1353" s="22" t="n"/>
      <c r="J1353" s="21">
        <f>IF(C1353="","",IFERROR(INDEX(Clientes!$B:$B,MATCH(C1353,Clientes!$A:$A,0)),"Cód. não cadastrado"))</f>
        <v/>
      </c>
      <c r="K1353" s="18">
        <f>IF(B1353="","",YEAR(B1353))</f>
        <v/>
      </c>
      <c r="L1353" s="18">
        <f>IF(B1353="","",MONTH(B1353))</f>
        <v/>
      </c>
      <c r="M1353" s="18">
        <f>IF(OR(B1353="",I1353=""),"",I1353-B1353)</f>
        <v/>
      </c>
      <c r="N1353" s="21">
        <f>IF(B1353="","",IF(I1353="",IF(H1353="","",IF(TODAY()&gt;H1353,"Atrasado (em aberto)","Em aberto")),IF(I1353&lt;=H1353,"No prazo","Fora do prazo")))</f>
        <v/>
      </c>
    </row>
    <row r="1354">
      <c r="B1354" s="22" t="n"/>
      <c r="E1354" s="23" t="n"/>
      <c r="F1354" s="24" t="n"/>
      <c r="H1354" s="22" t="n"/>
      <c r="I1354" s="22" t="n"/>
      <c r="J1354" s="21">
        <f>IF(C1354="","",IFERROR(INDEX(Clientes!$B:$B,MATCH(C1354,Clientes!$A:$A,0)),"Cód. não cadastrado"))</f>
        <v/>
      </c>
      <c r="K1354" s="18">
        <f>IF(B1354="","",YEAR(B1354))</f>
        <v/>
      </c>
      <c r="L1354" s="18">
        <f>IF(B1354="","",MONTH(B1354))</f>
        <v/>
      </c>
      <c r="M1354" s="18">
        <f>IF(OR(B1354="",I1354=""),"",I1354-B1354)</f>
        <v/>
      </c>
      <c r="N1354" s="21">
        <f>IF(B1354="","",IF(I1354="",IF(H1354="","",IF(TODAY()&gt;H1354,"Atrasado (em aberto)","Em aberto")),IF(I1354&lt;=H1354,"No prazo","Fora do prazo")))</f>
        <v/>
      </c>
    </row>
    <row r="1355">
      <c r="B1355" s="22" t="n"/>
      <c r="E1355" s="23" t="n"/>
      <c r="F1355" s="24" t="n"/>
      <c r="H1355" s="22" t="n"/>
      <c r="I1355" s="22" t="n"/>
      <c r="J1355" s="21">
        <f>IF(C1355="","",IFERROR(INDEX(Clientes!$B:$B,MATCH(C1355,Clientes!$A:$A,0)),"Cód. não cadastrado"))</f>
        <v/>
      </c>
      <c r="K1355" s="18">
        <f>IF(B1355="","",YEAR(B1355))</f>
        <v/>
      </c>
      <c r="L1355" s="18">
        <f>IF(B1355="","",MONTH(B1355))</f>
        <v/>
      </c>
      <c r="M1355" s="18">
        <f>IF(OR(B1355="",I1355=""),"",I1355-B1355)</f>
        <v/>
      </c>
      <c r="N1355" s="21">
        <f>IF(B1355="","",IF(I1355="",IF(H1355="","",IF(TODAY()&gt;H1355,"Atrasado (em aberto)","Em aberto")),IF(I1355&lt;=H1355,"No prazo","Fora do prazo")))</f>
        <v/>
      </c>
    </row>
    <row r="1356">
      <c r="B1356" s="22" t="n"/>
      <c r="E1356" s="23" t="n"/>
      <c r="F1356" s="24" t="n"/>
      <c r="H1356" s="22" t="n"/>
      <c r="I1356" s="22" t="n"/>
      <c r="J1356" s="21">
        <f>IF(C1356="","",IFERROR(INDEX(Clientes!$B:$B,MATCH(C1356,Clientes!$A:$A,0)),"Cód. não cadastrado"))</f>
        <v/>
      </c>
      <c r="K1356" s="18">
        <f>IF(B1356="","",YEAR(B1356))</f>
        <v/>
      </c>
      <c r="L1356" s="18">
        <f>IF(B1356="","",MONTH(B1356))</f>
        <v/>
      </c>
      <c r="M1356" s="18">
        <f>IF(OR(B1356="",I1356=""),"",I1356-B1356)</f>
        <v/>
      </c>
      <c r="N1356" s="21">
        <f>IF(B1356="","",IF(I1356="",IF(H1356="","",IF(TODAY()&gt;H1356,"Atrasado (em aberto)","Em aberto")),IF(I1356&lt;=H1356,"No prazo","Fora do prazo")))</f>
        <v/>
      </c>
    </row>
    <row r="1357">
      <c r="B1357" s="22" t="n"/>
      <c r="E1357" s="23" t="n"/>
      <c r="F1357" s="24" t="n"/>
      <c r="H1357" s="22" t="n"/>
      <c r="I1357" s="22" t="n"/>
      <c r="J1357" s="21">
        <f>IF(C1357="","",IFERROR(INDEX(Clientes!$B:$B,MATCH(C1357,Clientes!$A:$A,0)),"Cód. não cadastrado"))</f>
        <v/>
      </c>
      <c r="K1357" s="18">
        <f>IF(B1357="","",YEAR(B1357))</f>
        <v/>
      </c>
      <c r="L1357" s="18">
        <f>IF(B1357="","",MONTH(B1357))</f>
        <v/>
      </c>
      <c r="M1357" s="18">
        <f>IF(OR(B1357="",I1357=""),"",I1357-B1357)</f>
        <v/>
      </c>
      <c r="N1357" s="21">
        <f>IF(B1357="","",IF(I1357="",IF(H1357="","",IF(TODAY()&gt;H1357,"Atrasado (em aberto)","Em aberto")),IF(I1357&lt;=H1357,"No prazo","Fora do prazo")))</f>
        <v/>
      </c>
    </row>
    <row r="1358">
      <c r="B1358" s="22" t="n"/>
      <c r="E1358" s="23" t="n"/>
      <c r="F1358" s="24" t="n"/>
      <c r="H1358" s="22" t="n"/>
      <c r="I1358" s="22" t="n"/>
      <c r="J1358" s="21">
        <f>IF(C1358="","",IFERROR(INDEX(Clientes!$B:$B,MATCH(C1358,Clientes!$A:$A,0)),"Cód. não cadastrado"))</f>
        <v/>
      </c>
      <c r="K1358" s="18">
        <f>IF(B1358="","",YEAR(B1358))</f>
        <v/>
      </c>
      <c r="L1358" s="18">
        <f>IF(B1358="","",MONTH(B1358))</f>
        <v/>
      </c>
      <c r="M1358" s="18">
        <f>IF(OR(B1358="",I1358=""),"",I1358-B1358)</f>
        <v/>
      </c>
      <c r="N1358" s="21">
        <f>IF(B1358="","",IF(I1358="",IF(H1358="","",IF(TODAY()&gt;H1358,"Atrasado (em aberto)","Em aberto")),IF(I1358&lt;=H1358,"No prazo","Fora do prazo")))</f>
        <v/>
      </c>
    </row>
    <row r="1359">
      <c r="B1359" s="22" t="n"/>
      <c r="E1359" s="23" t="n"/>
      <c r="F1359" s="24" t="n"/>
      <c r="H1359" s="22" t="n"/>
      <c r="I1359" s="22" t="n"/>
      <c r="J1359" s="21">
        <f>IF(C1359="","",IFERROR(INDEX(Clientes!$B:$B,MATCH(C1359,Clientes!$A:$A,0)),"Cód. não cadastrado"))</f>
        <v/>
      </c>
      <c r="K1359" s="18">
        <f>IF(B1359="","",YEAR(B1359))</f>
        <v/>
      </c>
      <c r="L1359" s="18">
        <f>IF(B1359="","",MONTH(B1359))</f>
        <v/>
      </c>
      <c r="M1359" s="18">
        <f>IF(OR(B1359="",I1359=""),"",I1359-B1359)</f>
        <v/>
      </c>
      <c r="N1359" s="21">
        <f>IF(B1359="","",IF(I1359="",IF(H1359="","",IF(TODAY()&gt;H1359,"Atrasado (em aberto)","Em aberto")),IF(I1359&lt;=H1359,"No prazo","Fora do prazo")))</f>
        <v/>
      </c>
    </row>
    <row r="1360">
      <c r="B1360" s="22" t="n"/>
      <c r="E1360" s="23" t="n"/>
      <c r="F1360" s="24" t="n"/>
      <c r="H1360" s="22" t="n"/>
      <c r="I1360" s="22" t="n"/>
      <c r="J1360" s="21">
        <f>IF(C1360="","",IFERROR(INDEX(Clientes!$B:$B,MATCH(C1360,Clientes!$A:$A,0)),"Cód. não cadastrado"))</f>
        <v/>
      </c>
      <c r="K1360" s="18">
        <f>IF(B1360="","",YEAR(B1360))</f>
        <v/>
      </c>
      <c r="L1360" s="18">
        <f>IF(B1360="","",MONTH(B1360))</f>
        <v/>
      </c>
      <c r="M1360" s="18">
        <f>IF(OR(B1360="",I1360=""),"",I1360-B1360)</f>
        <v/>
      </c>
      <c r="N1360" s="21">
        <f>IF(B1360="","",IF(I1360="",IF(H1360="","",IF(TODAY()&gt;H1360,"Atrasado (em aberto)","Em aberto")),IF(I1360&lt;=H1360,"No prazo","Fora do prazo")))</f>
        <v/>
      </c>
    </row>
    <row r="1361">
      <c r="B1361" s="22" t="n"/>
      <c r="E1361" s="23" t="n"/>
      <c r="F1361" s="24" t="n"/>
      <c r="H1361" s="22" t="n"/>
      <c r="I1361" s="22" t="n"/>
      <c r="J1361" s="21">
        <f>IF(C1361="","",IFERROR(INDEX(Clientes!$B:$B,MATCH(C1361,Clientes!$A:$A,0)),"Cód. não cadastrado"))</f>
        <v/>
      </c>
      <c r="K1361" s="18">
        <f>IF(B1361="","",YEAR(B1361))</f>
        <v/>
      </c>
      <c r="L1361" s="18">
        <f>IF(B1361="","",MONTH(B1361))</f>
        <v/>
      </c>
      <c r="M1361" s="18">
        <f>IF(OR(B1361="",I1361=""),"",I1361-B1361)</f>
        <v/>
      </c>
      <c r="N1361" s="21">
        <f>IF(B1361="","",IF(I1361="",IF(H1361="","",IF(TODAY()&gt;H1361,"Atrasado (em aberto)","Em aberto")),IF(I1361&lt;=H1361,"No prazo","Fora do prazo")))</f>
        <v/>
      </c>
    </row>
    <row r="1362">
      <c r="B1362" s="22" t="n"/>
      <c r="E1362" s="23" t="n"/>
      <c r="F1362" s="24" t="n"/>
      <c r="H1362" s="22" t="n"/>
      <c r="I1362" s="22" t="n"/>
      <c r="J1362" s="21">
        <f>IF(C1362="","",IFERROR(INDEX(Clientes!$B:$B,MATCH(C1362,Clientes!$A:$A,0)),"Cód. não cadastrado"))</f>
        <v/>
      </c>
      <c r="K1362" s="18">
        <f>IF(B1362="","",YEAR(B1362))</f>
        <v/>
      </c>
      <c r="L1362" s="18">
        <f>IF(B1362="","",MONTH(B1362))</f>
        <v/>
      </c>
      <c r="M1362" s="18">
        <f>IF(OR(B1362="",I1362=""),"",I1362-B1362)</f>
        <v/>
      </c>
      <c r="N1362" s="21">
        <f>IF(B1362="","",IF(I1362="",IF(H1362="","",IF(TODAY()&gt;H1362,"Atrasado (em aberto)","Em aberto")),IF(I1362&lt;=H1362,"No prazo","Fora do prazo")))</f>
        <v/>
      </c>
    </row>
    <row r="1363">
      <c r="B1363" s="22" t="n"/>
      <c r="E1363" s="23" t="n"/>
      <c r="F1363" s="24" t="n"/>
      <c r="H1363" s="22" t="n"/>
      <c r="I1363" s="22" t="n"/>
      <c r="J1363" s="21">
        <f>IF(C1363="","",IFERROR(INDEX(Clientes!$B:$B,MATCH(C1363,Clientes!$A:$A,0)),"Cód. não cadastrado"))</f>
        <v/>
      </c>
      <c r="K1363" s="18">
        <f>IF(B1363="","",YEAR(B1363))</f>
        <v/>
      </c>
      <c r="L1363" s="18">
        <f>IF(B1363="","",MONTH(B1363))</f>
        <v/>
      </c>
      <c r="M1363" s="18">
        <f>IF(OR(B1363="",I1363=""),"",I1363-B1363)</f>
        <v/>
      </c>
      <c r="N1363" s="21">
        <f>IF(B1363="","",IF(I1363="",IF(H1363="","",IF(TODAY()&gt;H1363,"Atrasado (em aberto)","Em aberto")),IF(I1363&lt;=H1363,"No prazo","Fora do prazo")))</f>
        <v/>
      </c>
    </row>
    <row r="1364">
      <c r="B1364" s="22" t="n"/>
      <c r="E1364" s="23" t="n"/>
      <c r="F1364" s="24" t="n"/>
      <c r="H1364" s="22" t="n"/>
      <c r="I1364" s="22" t="n"/>
      <c r="J1364" s="21">
        <f>IF(C1364="","",IFERROR(INDEX(Clientes!$B:$B,MATCH(C1364,Clientes!$A:$A,0)),"Cód. não cadastrado"))</f>
        <v/>
      </c>
      <c r="K1364" s="18">
        <f>IF(B1364="","",YEAR(B1364))</f>
        <v/>
      </c>
      <c r="L1364" s="18">
        <f>IF(B1364="","",MONTH(B1364))</f>
        <v/>
      </c>
      <c r="M1364" s="18">
        <f>IF(OR(B1364="",I1364=""),"",I1364-B1364)</f>
        <v/>
      </c>
      <c r="N1364" s="21">
        <f>IF(B1364="","",IF(I1364="",IF(H1364="","",IF(TODAY()&gt;H1364,"Atrasado (em aberto)","Em aberto")),IF(I1364&lt;=H1364,"No prazo","Fora do prazo")))</f>
        <v/>
      </c>
    </row>
    <row r="1365">
      <c r="B1365" s="22" t="n"/>
      <c r="E1365" s="23" t="n"/>
      <c r="F1365" s="24" t="n"/>
      <c r="H1365" s="22" t="n"/>
      <c r="I1365" s="22" t="n"/>
      <c r="J1365" s="21">
        <f>IF(C1365="","",IFERROR(INDEX(Clientes!$B:$B,MATCH(C1365,Clientes!$A:$A,0)),"Cód. não cadastrado"))</f>
        <v/>
      </c>
      <c r="K1365" s="18">
        <f>IF(B1365="","",YEAR(B1365))</f>
        <v/>
      </c>
      <c r="L1365" s="18">
        <f>IF(B1365="","",MONTH(B1365))</f>
        <v/>
      </c>
      <c r="M1365" s="18">
        <f>IF(OR(B1365="",I1365=""),"",I1365-B1365)</f>
        <v/>
      </c>
      <c r="N1365" s="21">
        <f>IF(B1365="","",IF(I1365="",IF(H1365="","",IF(TODAY()&gt;H1365,"Atrasado (em aberto)","Em aberto")),IF(I1365&lt;=H1365,"No prazo","Fora do prazo")))</f>
        <v/>
      </c>
    </row>
    <row r="1366">
      <c r="B1366" s="22" t="n"/>
      <c r="E1366" s="23" t="n"/>
      <c r="F1366" s="24" t="n"/>
      <c r="H1366" s="22" t="n"/>
      <c r="I1366" s="22" t="n"/>
      <c r="J1366" s="21">
        <f>IF(C1366="","",IFERROR(INDEX(Clientes!$B:$B,MATCH(C1366,Clientes!$A:$A,0)),"Cód. não cadastrado"))</f>
        <v/>
      </c>
      <c r="K1366" s="18">
        <f>IF(B1366="","",YEAR(B1366))</f>
        <v/>
      </c>
      <c r="L1366" s="18">
        <f>IF(B1366="","",MONTH(B1366))</f>
        <v/>
      </c>
      <c r="M1366" s="18">
        <f>IF(OR(B1366="",I1366=""),"",I1366-B1366)</f>
        <v/>
      </c>
      <c r="N1366" s="21">
        <f>IF(B1366="","",IF(I1366="",IF(H1366="","",IF(TODAY()&gt;H1366,"Atrasado (em aberto)","Em aberto")),IF(I1366&lt;=H1366,"No prazo","Fora do prazo")))</f>
        <v/>
      </c>
    </row>
    <row r="1367">
      <c r="B1367" s="22" t="n"/>
      <c r="E1367" s="23" t="n"/>
      <c r="F1367" s="24" t="n"/>
      <c r="H1367" s="22" t="n"/>
      <c r="I1367" s="22" t="n"/>
      <c r="J1367" s="21">
        <f>IF(C1367="","",IFERROR(INDEX(Clientes!$B:$B,MATCH(C1367,Clientes!$A:$A,0)),"Cód. não cadastrado"))</f>
        <v/>
      </c>
      <c r="K1367" s="18">
        <f>IF(B1367="","",YEAR(B1367))</f>
        <v/>
      </c>
      <c r="L1367" s="18">
        <f>IF(B1367="","",MONTH(B1367))</f>
        <v/>
      </c>
      <c r="M1367" s="18">
        <f>IF(OR(B1367="",I1367=""),"",I1367-B1367)</f>
        <v/>
      </c>
      <c r="N1367" s="21">
        <f>IF(B1367="","",IF(I1367="",IF(H1367="","",IF(TODAY()&gt;H1367,"Atrasado (em aberto)","Em aberto")),IF(I1367&lt;=H1367,"No prazo","Fora do prazo")))</f>
        <v/>
      </c>
    </row>
    <row r="1368">
      <c r="B1368" s="22" t="n"/>
      <c r="E1368" s="23" t="n"/>
      <c r="F1368" s="24" t="n"/>
      <c r="H1368" s="22" t="n"/>
      <c r="I1368" s="22" t="n"/>
      <c r="J1368" s="21">
        <f>IF(C1368="","",IFERROR(INDEX(Clientes!$B:$B,MATCH(C1368,Clientes!$A:$A,0)),"Cód. não cadastrado"))</f>
        <v/>
      </c>
      <c r="K1368" s="18">
        <f>IF(B1368="","",YEAR(B1368))</f>
        <v/>
      </c>
      <c r="L1368" s="18">
        <f>IF(B1368="","",MONTH(B1368))</f>
        <v/>
      </c>
      <c r="M1368" s="18">
        <f>IF(OR(B1368="",I1368=""),"",I1368-B1368)</f>
        <v/>
      </c>
      <c r="N1368" s="21">
        <f>IF(B1368="","",IF(I1368="",IF(H1368="","",IF(TODAY()&gt;H1368,"Atrasado (em aberto)","Em aberto")),IF(I1368&lt;=H1368,"No prazo","Fora do prazo")))</f>
        <v/>
      </c>
    </row>
    <row r="1369">
      <c r="B1369" s="22" t="n"/>
      <c r="E1369" s="23" t="n"/>
      <c r="F1369" s="24" t="n"/>
      <c r="H1369" s="22" t="n"/>
      <c r="I1369" s="22" t="n"/>
      <c r="J1369" s="21">
        <f>IF(C1369="","",IFERROR(INDEX(Clientes!$B:$B,MATCH(C1369,Clientes!$A:$A,0)),"Cód. não cadastrado"))</f>
        <v/>
      </c>
      <c r="K1369" s="18">
        <f>IF(B1369="","",YEAR(B1369))</f>
        <v/>
      </c>
      <c r="L1369" s="18">
        <f>IF(B1369="","",MONTH(B1369))</f>
        <v/>
      </c>
      <c r="M1369" s="18">
        <f>IF(OR(B1369="",I1369=""),"",I1369-B1369)</f>
        <v/>
      </c>
      <c r="N1369" s="21">
        <f>IF(B1369="","",IF(I1369="",IF(H1369="","",IF(TODAY()&gt;H1369,"Atrasado (em aberto)","Em aberto")),IF(I1369&lt;=H1369,"No prazo","Fora do prazo")))</f>
        <v/>
      </c>
    </row>
    <row r="1370">
      <c r="B1370" s="22" t="n"/>
      <c r="E1370" s="23" t="n"/>
      <c r="F1370" s="24" t="n"/>
      <c r="H1370" s="22" t="n"/>
      <c r="I1370" s="22" t="n"/>
      <c r="J1370" s="21">
        <f>IF(C1370="","",IFERROR(INDEX(Clientes!$B:$B,MATCH(C1370,Clientes!$A:$A,0)),"Cód. não cadastrado"))</f>
        <v/>
      </c>
      <c r="K1370" s="18">
        <f>IF(B1370="","",YEAR(B1370))</f>
        <v/>
      </c>
      <c r="L1370" s="18">
        <f>IF(B1370="","",MONTH(B1370))</f>
        <v/>
      </c>
      <c r="M1370" s="18">
        <f>IF(OR(B1370="",I1370=""),"",I1370-B1370)</f>
        <v/>
      </c>
      <c r="N1370" s="21">
        <f>IF(B1370="","",IF(I1370="",IF(H1370="","",IF(TODAY()&gt;H1370,"Atrasado (em aberto)","Em aberto")),IF(I1370&lt;=H1370,"No prazo","Fora do prazo")))</f>
        <v/>
      </c>
    </row>
    <row r="1371">
      <c r="B1371" s="22" t="n"/>
      <c r="E1371" s="23" t="n"/>
      <c r="F1371" s="24" t="n"/>
      <c r="H1371" s="22" t="n"/>
      <c r="I1371" s="22" t="n"/>
      <c r="J1371" s="21">
        <f>IF(C1371="","",IFERROR(INDEX(Clientes!$B:$B,MATCH(C1371,Clientes!$A:$A,0)),"Cód. não cadastrado"))</f>
        <v/>
      </c>
      <c r="K1371" s="18">
        <f>IF(B1371="","",YEAR(B1371))</f>
        <v/>
      </c>
      <c r="L1371" s="18">
        <f>IF(B1371="","",MONTH(B1371))</f>
        <v/>
      </c>
      <c r="M1371" s="18">
        <f>IF(OR(B1371="",I1371=""),"",I1371-B1371)</f>
        <v/>
      </c>
      <c r="N1371" s="21">
        <f>IF(B1371="","",IF(I1371="",IF(H1371="","",IF(TODAY()&gt;H1371,"Atrasado (em aberto)","Em aberto")),IF(I1371&lt;=H1371,"No prazo","Fora do prazo")))</f>
        <v/>
      </c>
    </row>
    <row r="1372">
      <c r="B1372" s="22" t="n"/>
      <c r="E1372" s="23" t="n"/>
      <c r="F1372" s="24" t="n"/>
      <c r="H1372" s="22" t="n"/>
      <c r="I1372" s="22" t="n"/>
      <c r="J1372" s="21">
        <f>IF(C1372="","",IFERROR(INDEX(Clientes!$B:$B,MATCH(C1372,Clientes!$A:$A,0)),"Cód. não cadastrado"))</f>
        <v/>
      </c>
      <c r="K1372" s="18">
        <f>IF(B1372="","",YEAR(B1372))</f>
        <v/>
      </c>
      <c r="L1372" s="18">
        <f>IF(B1372="","",MONTH(B1372))</f>
        <v/>
      </c>
      <c r="M1372" s="18">
        <f>IF(OR(B1372="",I1372=""),"",I1372-B1372)</f>
        <v/>
      </c>
      <c r="N1372" s="21">
        <f>IF(B1372="","",IF(I1372="",IF(H1372="","",IF(TODAY()&gt;H1372,"Atrasado (em aberto)","Em aberto")),IF(I1372&lt;=H1372,"No prazo","Fora do prazo")))</f>
        <v/>
      </c>
    </row>
    <row r="1373">
      <c r="B1373" s="22" t="n"/>
      <c r="E1373" s="23" t="n"/>
      <c r="F1373" s="24" t="n"/>
      <c r="H1373" s="22" t="n"/>
      <c r="I1373" s="22" t="n"/>
      <c r="J1373" s="21">
        <f>IF(C1373="","",IFERROR(INDEX(Clientes!$B:$B,MATCH(C1373,Clientes!$A:$A,0)),"Cód. não cadastrado"))</f>
        <v/>
      </c>
      <c r="K1373" s="18">
        <f>IF(B1373="","",YEAR(B1373))</f>
        <v/>
      </c>
      <c r="L1373" s="18">
        <f>IF(B1373="","",MONTH(B1373))</f>
        <v/>
      </c>
      <c r="M1373" s="18">
        <f>IF(OR(B1373="",I1373=""),"",I1373-B1373)</f>
        <v/>
      </c>
      <c r="N1373" s="21">
        <f>IF(B1373="","",IF(I1373="",IF(H1373="","",IF(TODAY()&gt;H1373,"Atrasado (em aberto)","Em aberto")),IF(I1373&lt;=H1373,"No prazo","Fora do prazo")))</f>
        <v/>
      </c>
    </row>
    <row r="1374">
      <c r="B1374" s="22" t="n"/>
      <c r="E1374" s="23" t="n"/>
      <c r="F1374" s="24" t="n"/>
      <c r="H1374" s="22" t="n"/>
      <c r="I1374" s="22" t="n"/>
      <c r="J1374" s="21">
        <f>IF(C1374="","",IFERROR(INDEX(Clientes!$B:$B,MATCH(C1374,Clientes!$A:$A,0)),"Cód. não cadastrado"))</f>
        <v/>
      </c>
      <c r="K1374" s="18">
        <f>IF(B1374="","",YEAR(B1374))</f>
        <v/>
      </c>
      <c r="L1374" s="18">
        <f>IF(B1374="","",MONTH(B1374))</f>
        <v/>
      </c>
      <c r="M1374" s="18">
        <f>IF(OR(B1374="",I1374=""),"",I1374-B1374)</f>
        <v/>
      </c>
      <c r="N1374" s="21">
        <f>IF(B1374="","",IF(I1374="",IF(H1374="","",IF(TODAY()&gt;H1374,"Atrasado (em aberto)","Em aberto")),IF(I1374&lt;=H1374,"No prazo","Fora do prazo")))</f>
        <v/>
      </c>
    </row>
    <row r="1375">
      <c r="B1375" s="22" t="n"/>
      <c r="E1375" s="23" t="n"/>
      <c r="F1375" s="24" t="n"/>
      <c r="H1375" s="22" t="n"/>
      <c r="I1375" s="22" t="n"/>
      <c r="J1375" s="21">
        <f>IF(C1375="","",IFERROR(INDEX(Clientes!$B:$B,MATCH(C1375,Clientes!$A:$A,0)),"Cód. não cadastrado"))</f>
        <v/>
      </c>
      <c r="K1375" s="18">
        <f>IF(B1375="","",YEAR(B1375))</f>
        <v/>
      </c>
      <c r="L1375" s="18">
        <f>IF(B1375="","",MONTH(B1375))</f>
        <v/>
      </c>
      <c r="M1375" s="18">
        <f>IF(OR(B1375="",I1375=""),"",I1375-B1375)</f>
        <v/>
      </c>
      <c r="N1375" s="21">
        <f>IF(B1375="","",IF(I1375="",IF(H1375="","",IF(TODAY()&gt;H1375,"Atrasado (em aberto)","Em aberto")),IF(I1375&lt;=H1375,"No prazo","Fora do prazo")))</f>
        <v/>
      </c>
    </row>
    <row r="1376">
      <c r="B1376" s="22" t="n"/>
      <c r="E1376" s="23" t="n"/>
      <c r="F1376" s="24" t="n"/>
      <c r="H1376" s="22" t="n"/>
      <c r="I1376" s="22" t="n"/>
      <c r="J1376" s="21">
        <f>IF(C1376="","",IFERROR(INDEX(Clientes!$B:$B,MATCH(C1376,Clientes!$A:$A,0)),"Cód. não cadastrado"))</f>
        <v/>
      </c>
      <c r="K1376" s="18">
        <f>IF(B1376="","",YEAR(B1376))</f>
        <v/>
      </c>
      <c r="L1376" s="18">
        <f>IF(B1376="","",MONTH(B1376))</f>
        <v/>
      </c>
      <c r="M1376" s="18">
        <f>IF(OR(B1376="",I1376=""),"",I1376-B1376)</f>
        <v/>
      </c>
      <c r="N1376" s="21">
        <f>IF(B1376="","",IF(I1376="",IF(H1376="","",IF(TODAY()&gt;H1376,"Atrasado (em aberto)","Em aberto")),IF(I1376&lt;=H1376,"No prazo","Fora do prazo")))</f>
        <v/>
      </c>
    </row>
    <row r="1377">
      <c r="B1377" s="22" t="n"/>
      <c r="E1377" s="23" t="n"/>
      <c r="F1377" s="24" t="n"/>
      <c r="H1377" s="22" t="n"/>
      <c r="I1377" s="22" t="n"/>
      <c r="J1377" s="21">
        <f>IF(C1377="","",IFERROR(INDEX(Clientes!$B:$B,MATCH(C1377,Clientes!$A:$A,0)),"Cód. não cadastrado"))</f>
        <v/>
      </c>
      <c r="K1377" s="18">
        <f>IF(B1377="","",YEAR(B1377))</f>
        <v/>
      </c>
      <c r="L1377" s="18">
        <f>IF(B1377="","",MONTH(B1377))</f>
        <v/>
      </c>
      <c r="M1377" s="18">
        <f>IF(OR(B1377="",I1377=""),"",I1377-B1377)</f>
        <v/>
      </c>
      <c r="N1377" s="21">
        <f>IF(B1377="","",IF(I1377="",IF(H1377="","",IF(TODAY()&gt;H1377,"Atrasado (em aberto)","Em aberto")),IF(I1377&lt;=H1377,"No prazo","Fora do prazo")))</f>
        <v/>
      </c>
    </row>
    <row r="1378">
      <c r="B1378" s="22" t="n"/>
      <c r="E1378" s="23" t="n"/>
      <c r="F1378" s="24" t="n"/>
      <c r="H1378" s="22" t="n"/>
      <c r="I1378" s="22" t="n"/>
      <c r="J1378" s="21">
        <f>IF(C1378="","",IFERROR(INDEX(Clientes!$B:$B,MATCH(C1378,Clientes!$A:$A,0)),"Cód. não cadastrado"))</f>
        <v/>
      </c>
      <c r="K1378" s="18">
        <f>IF(B1378="","",YEAR(B1378))</f>
        <v/>
      </c>
      <c r="L1378" s="18">
        <f>IF(B1378="","",MONTH(B1378))</f>
        <v/>
      </c>
      <c r="M1378" s="18">
        <f>IF(OR(B1378="",I1378=""),"",I1378-B1378)</f>
        <v/>
      </c>
      <c r="N1378" s="21">
        <f>IF(B1378="","",IF(I1378="",IF(H1378="","",IF(TODAY()&gt;H1378,"Atrasado (em aberto)","Em aberto")),IF(I1378&lt;=H1378,"No prazo","Fora do prazo")))</f>
        <v/>
      </c>
    </row>
    <row r="1379">
      <c r="B1379" s="22" t="n"/>
      <c r="E1379" s="23" t="n"/>
      <c r="F1379" s="24" t="n"/>
      <c r="H1379" s="22" t="n"/>
      <c r="I1379" s="22" t="n"/>
      <c r="J1379" s="21">
        <f>IF(C1379="","",IFERROR(INDEX(Clientes!$B:$B,MATCH(C1379,Clientes!$A:$A,0)),"Cód. não cadastrado"))</f>
        <v/>
      </c>
      <c r="K1379" s="18">
        <f>IF(B1379="","",YEAR(B1379))</f>
        <v/>
      </c>
      <c r="L1379" s="18">
        <f>IF(B1379="","",MONTH(B1379))</f>
        <v/>
      </c>
      <c r="M1379" s="18">
        <f>IF(OR(B1379="",I1379=""),"",I1379-B1379)</f>
        <v/>
      </c>
      <c r="N1379" s="21">
        <f>IF(B1379="","",IF(I1379="",IF(H1379="","",IF(TODAY()&gt;H1379,"Atrasado (em aberto)","Em aberto")),IF(I1379&lt;=H1379,"No prazo","Fora do prazo")))</f>
        <v/>
      </c>
    </row>
    <row r="1380">
      <c r="B1380" s="22" t="n"/>
      <c r="E1380" s="23" t="n"/>
      <c r="F1380" s="24" t="n"/>
      <c r="H1380" s="22" t="n"/>
      <c r="I1380" s="22" t="n"/>
      <c r="J1380" s="21">
        <f>IF(C1380="","",IFERROR(INDEX(Clientes!$B:$B,MATCH(C1380,Clientes!$A:$A,0)),"Cód. não cadastrado"))</f>
        <v/>
      </c>
      <c r="K1380" s="18">
        <f>IF(B1380="","",YEAR(B1380))</f>
        <v/>
      </c>
      <c r="L1380" s="18">
        <f>IF(B1380="","",MONTH(B1380))</f>
        <v/>
      </c>
      <c r="M1380" s="18">
        <f>IF(OR(B1380="",I1380=""),"",I1380-B1380)</f>
        <v/>
      </c>
      <c r="N1380" s="21">
        <f>IF(B1380="","",IF(I1380="",IF(H1380="","",IF(TODAY()&gt;H1380,"Atrasado (em aberto)","Em aberto")),IF(I1380&lt;=H1380,"No prazo","Fora do prazo")))</f>
        <v/>
      </c>
    </row>
    <row r="1381">
      <c r="B1381" s="22" t="n"/>
      <c r="E1381" s="23" t="n"/>
      <c r="F1381" s="24" t="n"/>
      <c r="H1381" s="22" t="n"/>
      <c r="I1381" s="22" t="n"/>
      <c r="J1381" s="21">
        <f>IF(C1381="","",IFERROR(INDEX(Clientes!$B:$B,MATCH(C1381,Clientes!$A:$A,0)),"Cód. não cadastrado"))</f>
        <v/>
      </c>
      <c r="K1381" s="18">
        <f>IF(B1381="","",YEAR(B1381))</f>
        <v/>
      </c>
      <c r="L1381" s="18">
        <f>IF(B1381="","",MONTH(B1381))</f>
        <v/>
      </c>
      <c r="M1381" s="18">
        <f>IF(OR(B1381="",I1381=""),"",I1381-B1381)</f>
        <v/>
      </c>
      <c r="N1381" s="21">
        <f>IF(B1381="","",IF(I1381="",IF(H1381="","",IF(TODAY()&gt;H1381,"Atrasado (em aberto)","Em aberto")),IF(I1381&lt;=H1381,"No prazo","Fora do prazo")))</f>
        <v/>
      </c>
    </row>
    <row r="1382">
      <c r="B1382" s="22" t="n"/>
      <c r="E1382" s="23" t="n"/>
      <c r="F1382" s="24" t="n"/>
      <c r="H1382" s="22" t="n"/>
      <c r="I1382" s="22" t="n"/>
      <c r="J1382" s="21">
        <f>IF(C1382="","",IFERROR(INDEX(Clientes!$B:$B,MATCH(C1382,Clientes!$A:$A,0)),"Cód. não cadastrado"))</f>
        <v/>
      </c>
      <c r="K1382" s="18">
        <f>IF(B1382="","",YEAR(B1382))</f>
        <v/>
      </c>
      <c r="L1382" s="18">
        <f>IF(B1382="","",MONTH(B1382))</f>
        <v/>
      </c>
      <c r="M1382" s="18">
        <f>IF(OR(B1382="",I1382=""),"",I1382-B1382)</f>
        <v/>
      </c>
      <c r="N1382" s="21">
        <f>IF(B1382="","",IF(I1382="",IF(H1382="","",IF(TODAY()&gt;H1382,"Atrasado (em aberto)","Em aberto")),IF(I1382&lt;=H1382,"No prazo","Fora do prazo")))</f>
        <v/>
      </c>
    </row>
    <row r="1383">
      <c r="B1383" s="22" t="n"/>
      <c r="E1383" s="23" t="n"/>
      <c r="F1383" s="24" t="n"/>
      <c r="H1383" s="22" t="n"/>
      <c r="I1383" s="22" t="n"/>
      <c r="J1383" s="21">
        <f>IF(C1383="","",IFERROR(INDEX(Clientes!$B:$B,MATCH(C1383,Clientes!$A:$A,0)),"Cód. não cadastrado"))</f>
        <v/>
      </c>
      <c r="K1383" s="18">
        <f>IF(B1383="","",YEAR(B1383))</f>
        <v/>
      </c>
      <c r="L1383" s="18">
        <f>IF(B1383="","",MONTH(B1383))</f>
        <v/>
      </c>
      <c r="M1383" s="18">
        <f>IF(OR(B1383="",I1383=""),"",I1383-B1383)</f>
        <v/>
      </c>
      <c r="N1383" s="21">
        <f>IF(B1383="","",IF(I1383="",IF(H1383="","",IF(TODAY()&gt;H1383,"Atrasado (em aberto)","Em aberto")),IF(I1383&lt;=H1383,"No prazo","Fora do prazo")))</f>
        <v/>
      </c>
    </row>
    <row r="1384">
      <c r="B1384" s="22" t="n"/>
      <c r="E1384" s="23" t="n"/>
      <c r="F1384" s="24" t="n"/>
      <c r="H1384" s="22" t="n"/>
      <c r="I1384" s="22" t="n"/>
      <c r="J1384" s="21">
        <f>IF(C1384="","",IFERROR(INDEX(Clientes!$B:$B,MATCH(C1384,Clientes!$A:$A,0)),"Cód. não cadastrado"))</f>
        <v/>
      </c>
      <c r="K1384" s="18">
        <f>IF(B1384="","",YEAR(B1384))</f>
        <v/>
      </c>
      <c r="L1384" s="18">
        <f>IF(B1384="","",MONTH(B1384))</f>
        <v/>
      </c>
      <c r="M1384" s="18">
        <f>IF(OR(B1384="",I1384=""),"",I1384-B1384)</f>
        <v/>
      </c>
      <c r="N1384" s="21">
        <f>IF(B1384="","",IF(I1384="",IF(H1384="","",IF(TODAY()&gt;H1384,"Atrasado (em aberto)","Em aberto")),IF(I1384&lt;=H1384,"No prazo","Fora do prazo")))</f>
        <v/>
      </c>
    </row>
    <row r="1385">
      <c r="B1385" s="22" t="n"/>
      <c r="E1385" s="23" t="n"/>
      <c r="F1385" s="24" t="n"/>
      <c r="H1385" s="22" t="n"/>
      <c r="I1385" s="22" t="n"/>
      <c r="J1385" s="21">
        <f>IF(C1385="","",IFERROR(INDEX(Clientes!$B:$B,MATCH(C1385,Clientes!$A:$A,0)),"Cód. não cadastrado"))</f>
        <v/>
      </c>
      <c r="K1385" s="18">
        <f>IF(B1385="","",YEAR(B1385))</f>
        <v/>
      </c>
      <c r="L1385" s="18">
        <f>IF(B1385="","",MONTH(B1385))</f>
        <v/>
      </c>
      <c r="M1385" s="18">
        <f>IF(OR(B1385="",I1385=""),"",I1385-B1385)</f>
        <v/>
      </c>
      <c r="N1385" s="21">
        <f>IF(B1385="","",IF(I1385="",IF(H1385="","",IF(TODAY()&gt;H1385,"Atrasado (em aberto)","Em aberto")),IF(I1385&lt;=H1385,"No prazo","Fora do prazo")))</f>
        <v/>
      </c>
    </row>
    <row r="1386">
      <c r="B1386" s="22" t="n"/>
      <c r="E1386" s="23" t="n"/>
      <c r="F1386" s="24" t="n"/>
      <c r="H1386" s="22" t="n"/>
      <c r="I1386" s="22" t="n"/>
      <c r="J1386" s="21">
        <f>IF(C1386="","",IFERROR(INDEX(Clientes!$B:$B,MATCH(C1386,Clientes!$A:$A,0)),"Cód. não cadastrado"))</f>
        <v/>
      </c>
      <c r="K1386" s="18">
        <f>IF(B1386="","",YEAR(B1386))</f>
        <v/>
      </c>
      <c r="L1386" s="18">
        <f>IF(B1386="","",MONTH(B1386))</f>
        <v/>
      </c>
      <c r="M1386" s="18">
        <f>IF(OR(B1386="",I1386=""),"",I1386-B1386)</f>
        <v/>
      </c>
      <c r="N1386" s="21">
        <f>IF(B1386="","",IF(I1386="",IF(H1386="","",IF(TODAY()&gt;H1386,"Atrasado (em aberto)","Em aberto")),IF(I1386&lt;=H1386,"No prazo","Fora do prazo")))</f>
        <v/>
      </c>
    </row>
    <row r="1387">
      <c r="B1387" s="22" t="n"/>
      <c r="E1387" s="23" t="n"/>
      <c r="F1387" s="24" t="n"/>
      <c r="H1387" s="22" t="n"/>
      <c r="I1387" s="22" t="n"/>
      <c r="J1387" s="21">
        <f>IF(C1387="","",IFERROR(INDEX(Clientes!$B:$B,MATCH(C1387,Clientes!$A:$A,0)),"Cód. não cadastrado"))</f>
        <v/>
      </c>
      <c r="K1387" s="18">
        <f>IF(B1387="","",YEAR(B1387))</f>
        <v/>
      </c>
      <c r="L1387" s="18">
        <f>IF(B1387="","",MONTH(B1387))</f>
        <v/>
      </c>
      <c r="M1387" s="18">
        <f>IF(OR(B1387="",I1387=""),"",I1387-B1387)</f>
        <v/>
      </c>
      <c r="N1387" s="21">
        <f>IF(B1387="","",IF(I1387="",IF(H1387="","",IF(TODAY()&gt;H1387,"Atrasado (em aberto)","Em aberto")),IF(I1387&lt;=H1387,"No prazo","Fora do prazo")))</f>
        <v/>
      </c>
    </row>
    <row r="1388">
      <c r="B1388" s="22" t="n"/>
      <c r="E1388" s="23" t="n"/>
      <c r="F1388" s="24" t="n"/>
      <c r="H1388" s="22" t="n"/>
      <c r="I1388" s="22" t="n"/>
      <c r="J1388" s="21">
        <f>IF(C1388="","",IFERROR(INDEX(Clientes!$B:$B,MATCH(C1388,Clientes!$A:$A,0)),"Cód. não cadastrado"))</f>
        <v/>
      </c>
      <c r="K1388" s="18">
        <f>IF(B1388="","",YEAR(B1388))</f>
        <v/>
      </c>
      <c r="L1388" s="18">
        <f>IF(B1388="","",MONTH(B1388))</f>
        <v/>
      </c>
      <c r="M1388" s="18">
        <f>IF(OR(B1388="",I1388=""),"",I1388-B1388)</f>
        <v/>
      </c>
      <c r="N1388" s="21">
        <f>IF(B1388="","",IF(I1388="",IF(H1388="","",IF(TODAY()&gt;H1388,"Atrasado (em aberto)","Em aberto")),IF(I1388&lt;=H1388,"No prazo","Fora do prazo")))</f>
        <v/>
      </c>
    </row>
    <row r="1389">
      <c r="B1389" s="22" t="n"/>
      <c r="E1389" s="23" t="n"/>
      <c r="F1389" s="24" t="n"/>
      <c r="H1389" s="22" t="n"/>
      <c r="I1389" s="22" t="n"/>
      <c r="J1389" s="21">
        <f>IF(C1389="","",IFERROR(INDEX(Clientes!$B:$B,MATCH(C1389,Clientes!$A:$A,0)),"Cód. não cadastrado"))</f>
        <v/>
      </c>
      <c r="K1389" s="18">
        <f>IF(B1389="","",YEAR(B1389))</f>
        <v/>
      </c>
      <c r="L1389" s="18">
        <f>IF(B1389="","",MONTH(B1389))</f>
        <v/>
      </c>
      <c r="M1389" s="18">
        <f>IF(OR(B1389="",I1389=""),"",I1389-B1389)</f>
        <v/>
      </c>
      <c r="N1389" s="21">
        <f>IF(B1389="","",IF(I1389="",IF(H1389="","",IF(TODAY()&gt;H1389,"Atrasado (em aberto)","Em aberto")),IF(I1389&lt;=H1389,"No prazo","Fora do prazo")))</f>
        <v/>
      </c>
    </row>
    <row r="1390">
      <c r="B1390" s="22" t="n"/>
      <c r="E1390" s="23" t="n"/>
      <c r="F1390" s="24" t="n"/>
      <c r="H1390" s="22" t="n"/>
      <c r="I1390" s="22" t="n"/>
      <c r="J1390" s="21">
        <f>IF(C1390="","",IFERROR(INDEX(Clientes!$B:$B,MATCH(C1390,Clientes!$A:$A,0)),"Cód. não cadastrado"))</f>
        <v/>
      </c>
      <c r="K1390" s="18">
        <f>IF(B1390="","",YEAR(B1390))</f>
        <v/>
      </c>
      <c r="L1390" s="18">
        <f>IF(B1390="","",MONTH(B1390))</f>
        <v/>
      </c>
      <c r="M1390" s="18">
        <f>IF(OR(B1390="",I1390=""),"",I1390-B1390)</f>
        <v/>
      </c>
      <c r="N1390" s="21">
        <f>IF(B1390="","",IF(I1390="",IF(H1390="","",IF(TODAY()&gt;H1390,"Atrasado (em aberto)","Em aberto")),IF(I1390&lt;=H1390,"No prazo","Fora do prazo")))</f>
        <v/>
      </c>
    </row>
    <row r="1391">
      <c r="B1391" s="22" t="n"/>
      <c r="E1391" s="23" t="n"/>
      <c r="F1391" s="24" t="n"/>
      <c r="H1391" s="22" t="n"/>
      <c r="I1391" s="22" t="n"/>
      <c r="J1391" s="21">
        <f>IF(C1391="","",IFERROR(INDEX(Clientes!$B:$B,MATCH(C1391,Clientes!$A:$A,0)),"Cód. não cadastrado"))</f>
        <v/>
      </c>
      <c r="K1391" s="18">
        <f>IF(B1391="","",YEAR(B1391))</f>
        <v/>
      </c>
      <c r="L1391" s="18">
        <f>IF(B1391="","",MONTH(B1391))</f>
        <v/>
      </c>
      <c r="M1391" s="18">
        <f>IF(OR(B1391="",I1391=""),"",I1391-B1391)</f>
        <v/>
      </c>
      <c r="N1391" s="21">
        <f>IF(B1391="","",IF(I1391="",IF(H1391="","",IF(TODAY()&gt;H1391,"Atrasado (em aberto)","Em aberto")),IF(I1391&lt;=H1391,"No prazo","Fora do prazo")))</f>
        <v/>
      </c>
    </row>
    <row r="1392">
      <c r="B1392" s="22" t="n"/>
      <c r="E1392" s="23" t="n"/>
      <c r="F1392" s="24" t="n"/>
      <c r="H1392" s="22" t="n"/>
      <c r="I1392" s="22" t="n"/>
      <c r="J1392" s="21">
        <f>IF(C1392="","",IFERROR(INDEX(Clientes!$B:$B,MATCH(C1392,Clientes!$A:$A,0)),"Cód. não cadastrado"))</f>
        <v/>
      </c>
      <c r="K1392" s="18">
        <f>IF(B1392="","",YEAR(B1392))</f>
        <v/>
      </c>
      <c r="L1392" s="18">
        <f>IF(B1392="","",MONTH(B1392))</f>
        <v/>
      </c>
      <c r="M1392" s="18">
        <f>IF(OR(B1392="",I1392=""),"",I1392-B1392)</f>
        <v/>
      </c>
      <c r="N1392" s="21">
        <f>IF(B1392="","",IF(I1392="",IF(H1392="","",IF(TODAY()&gt;H1392,"Atrasado (em aberto)","Em aberto")),IF(I1392&lt;=H1392,"No prazo","Fora do prazo")))</f>
        <v/>
      </c>
    </row>
    <row r="1393">
      <c r="B1393" s="22" t="n"/>
      <c r="E1393" s="23" t="n"/>
      <c r="F1393" s="24" t="n"/>
      <c r="H1393" s="22" t="n"/>
      <c r="I1393" s="22" t="n"/>
      <c r="J1393" s="21">
        <f>IF(C1393="","",IFERROR(INDEX(Clientes!$B:$B,MATCH(C1393,Clientes!$A:$A,0)),"Cód. não cadastrado"))</f>
        <v/>
      </c>
      <c r="K1393" s="18">
        <f>IF(B1393="","",YEAR(B1393))</f>
        <v/>
      </c>
      <c r="L1393" s="18">
        <f>IF(B1393="","",MONTH(B1393))</f>
        <v/>
      </c>
      <c r="M1393" s="18">
        <f>IF(OR(B1393="",I1393=""),"",I1393-B1393)</f>
        <v/>
      </c>
      <c r="N1393" s="21">
        <f>IF(B1393="","",IF(I1393="",IF(H1393="","",IF(TODAY()&gt;H1393,"Atrasado (em aberto)","Em aberto")),IF(I1393&lt;=H1393,"No prazo","Fora do prazo")))</f>
        <v/>
      </c>
    </row>
    <row r="1394">
      <c r="B1394" s="22" t="n"/>
      <c r="E1394" s="23" t="n"/>
      <c r="F1394" s="24" t="n"/>
      <c r="H1394" s="22" t="n"/>
      <c r="I1394" s="22" t="n"/>
      <c r="J1394" s="21">
        <f>IF(C1394="","",IFERROR(INDEX(Clientes!$B:$B,MATCH(C1394,Clientes!$A:$A,0)),"Cód. não cadastrado"))</f>
        <v/>
      </c>
      <c r="K1394" s="18">
        <f>IF(B1394="","",YEAR(B1394))</f>
        <v/>
      </c>
      <c r="L1394" s="18">
        <f>IF(B1394="","",MONTH(B1394))</f>
        <v/>
      </c>
      <c r="M1394" s="18">
        <f>IF(OR(B1394="",I1394=""),"",I1394-B1394)</f>
        <v/>
      </c>
      <c r="N1394" s="21">
        <f>IF(B1394="","",IF(I1394="",IF(H1394="","",IF(TODAY()&gt;H1394,"Atrasado (em aberto)","Em aberto")),IF(I1394&lt;=H1394,"No prazo","Fora do prazo")))</f>
        <v/>
      </c>
    </row>
    <row r="1395">
      <c r="B1395" s="22" t="n"/>
      <c r="E1395" s="23" t="n"/>
      <c r="F1395" s="24" t="n"/>
      <c r="H1395" s="22" t="n"/>
      <c r="I1395" s="22" t="n"/>
      <c r="J1395" s="21">
        <f>IF(C1395="","",IFERROR(INDEX(Clientes!$B:$B,MATCH(C1395,Clientes!$A:$A,0)),"Cód. não cadastrado"))</f>
        <v/>
      </c>
      <c r="K1395" s="18">
        <f>IF(B1395="","",YEAR(B1395))</f>
        <v/>
      </c>
      <c r="L1395" s="18">
        <f>IF(B1395="","",MONTH(B1395))</f>
        <v/>
      </c>
      <c r="M1395" s="18">
        <f>IF(OR(B1395="",I1395=""),"",I1395-B1395)</f>
        <v/>
      </c>
      <c r="N1395" s="21">
        <f>IF(B1395="","",IF(I1395="",IF(H1395="","",IF(TODAY()&gt;H1395,"Atrasado (em aberto)","Em aberto")),IF(I1395&lt;=H1395,"No prazo","Fora do prazo")))</f>
        <v/>
      </c>
    </row>
    <row r="1396">
      <c r="B1396" s="22" t="n"/>
      <c r="E1396" s="23" t="n"/>
      <c r="F1396" s="24" t="n"/>
      <c r="H1396" s="22" t="n"/>
      <c r="I1396" s="22" t="n"/>
      <c r="J1396" s="21">
        <f>IF(C1396="","",IFERROR(INDEX(Clientes!$B:$B,MATCH(C1396,Clientes!$A:$A,0)),"Cód. não cadastrado"))</f>
        <v/>
      </c>
      <c r="K1396" s="18">
        <f>IF(B1396="","",YEAR(B1396))</f>
        <v/>
      </c>
      <c r="L1396" s="18">
        <f>IF(B1396="","",MONTH(B1396))</f>
        <v/>
      </c>
      <c r="M1396" s="18">
        <f>IF(OR(B1396="",I1396=""),"",I1396-B1396)</f>
        <v/>
      </c>
      <c r="N1396" s="21">
        <f>IF(B1396="","",IF(I1396="",IF(H1396="","",IF(TODAY()&gt;H1396,"Atrasado (em aberto)","Em aberto")),IF(I1396&lt;=H1396,"No prazo","Fora do prazo")))</f>
        <v/>
      </c>
    </row>
    <row r="1397">
      <c r="B1397" s="22" t="n"/>
      <c r="E1397" s="23" t="n"/>
      <c r="F1397" s="24" t="n"/>
      <c r="H1397" s="22" t="n"/>
      <c r="I1397" s="22" t="n"/>
      <c r="J1397" s="21">
        <f>IF(C1397="","",IFERROR(INDEX(Clientes!$B:$B,MATCH(C1397,Clientes!$A:$A,0)),"Cód. não cadastrado"))</f>
        <v/>
      </c>
      <c r="K1397" s="18">
        <f>IF(B1397="","",YEAR(B1397))</f>
        <v/>
      </c>
      <c r="L1397" s="18">
        <f>IF(B1397="","",MONTH(B1397))</f>
        <v/>
      </c>
      <c r="M1397" s="18">
        <f>IF(OR(B1397="",I1397=""),"",I1397-B1397)</f>
        <v/>
      </c>
      <c r="N1397" s="21">
        <f>IF(B1397="","",IF(I1397="",IF(H1397="","",IF(TODAY()&gt;H1397,"Atrasado (em aberto)","Em aberto")),IF(I1397&lt;=H1397,"No prazo","Fora do prazo")))</f>
        <v/>
      </c>
    </row>
    <row r="1398">
      <c r="B1398" s="22" t="n"/>
      <c r="E1398" s="23" t="n"/>
      <c r="F1398" s="24" t="n"/>
      <c r="H1398" s="22" t="n"/>
      <c r="I1398" s="22" t="n"/>
      <c r="J1398" s="21">
        <f>IF(C1398="","",IFERROR(INDEX(Clientes!$B:$B,MATCH(C1398,Clientes!$A:$A,0)),"Cód. não cadastrado"))</f>
        <v/>
      </c>
      <c r="K1398" s="18">
        <f>IF(B1398="","",YEAR(B1398))</f>
        <v/>
      </c>
      <c r="L1398" s="18">
        <f>IF(B1398="","",MONTH(B1398))</f>
        <v/>
      </c>
      <c r="M1398" s="18">
        <f>IF(OR(B1398="",I1398=""),"",I1398-B1398)</f>
        <v/>
      </c>
      <c r="N1398" s="21">
        <f>IF(B1398="","",IF(I1398="",IF(H1398="","",IF(TODAY()&gt;H1398,"Atrasado (em aberto)","Em aberto")),IF(I1398&lt;=H1398,"No prazo","Fora do prazo")))</f>
        <v/>
      </c>
    </row>
    <row r="1399">
      <c r="B1399" s="22" t="n"/>
      <c r="E1399" s="23" t="n"/>
      <c r="F1399" s="24" t="n"/>
      <c r="H1399" s="22" t="n"/>
      <c r="I1399" s="22" t="n"/>
      <c r="J1399" s="21">
        <f>IF(C1399="","",IFERROR(INDEX(Clientes!$B:$B,MATCH(C1399,Clientes!$A:$A,0)),"Cód. não cadastrado"))</f>
        <v/>
      </c>
      <c r="K1399" s="18">
        <f>IF(B1399="","",YEAR(B1399))</f>
        <v/>
      </c>
      <c r="L1399" s="18">
        <f>IF(B1399="","",MONTH(B1399))</f>
        <v/>
      </c>
      <c r="M1399" s="18">
        <f>IF(OR(B1399="",I1399=""),"",I1399-B1399)</f>
        <v/>
      </c>
      <c r="N1399" s="21">
        <f>IF(B1399="","",IF(I1399="",IF(H1399="","",IF(TODAY()&gt;H1399,"Atrasado (em aberto)","Em aberto")),IF(I1399&lt;=H1399,"No prazo","Fora do prazo")))</f>
        <v/>
      </c>
    </row>
    <row r="1400">
      <c r="B1400" s="22" t="n"/>
      <c r="E1400" s="23" t="n"/>
      <c r="F1400" s="24" t="n"/>
      <c r="H1400" s="22" t="n"/>
      <c r="I1400" s="22" t="n"/>
      <c r="J1400" s="21">
        <f>IF(C1400="","",IFERROR(INDEX(Clientes!$B:$B,MATCH(C1400,Clientes!$A:$A,0)),"Cód. não cadastrado"))</f>
        <v/>
      </c>
      <c r="K1400" s="18">
        <f>IF(B1400="","",YEAR(B1400))</f>
        <v/>
      </c>
      <c r="L1400" s="18">
        <f>IF(B1400="","",MONTH(B1400))</f>
        <v/>
      </c>
      <c r="M1400" s="18">
        <f>IF(OR(B1400="",I1400=""),"",I1400-B1400)</f>
        <v/>
      </c>
      <c r="N1400" s="21">
        <f>IF(B1400="","",IF(I1400="",IF(H1400="","",IF(TODAY()&gt;H1400,"Atrasado (em aberto)","Em aberto")),IF(I1400&lt;=H1400,"No prazo","Fora do prazo")))</f>
        <v/>
      </c>
    </row>
    <row r="1401">
      <c r="B1401" s="22" t="n"/>
      <c r="E1401" s="23" t="n"/>
      <c r="F1401" s="24" t="n"/>
      <c r="H1401" s="22" t="n"/>
      <c r="I1401" s="22" t="n"/>
      <c r="J1401" s="21">
        <f>IF(C1401="","",IFERROR(INDEX(Clientes!$B:$B,MATCH(C1401,Clientes!$A:$A,0)),"Cód. não cadastrado"))</f>
        <v/>
      </c>
      <c r="K1401" s="18">
        <f>IF(B1401="","",YEAR(B1401))</f>
        <v/>
      </c>
      <c r="L1401" s="18">
        <f>IF(B1401="","",MONTH(B1401))</f>
        <v/>
      </c>
      <c r="M1401" s="18">
        <f>IF(OR(B1401="",I1401=""),"",I1401-B1401)</f>
        <v/>
      </c>
      <c r="N1401" s="21">
        <f>IF(B1401="","",IF(I1401="",IF(H1401="","",IF(TODAY()&gt;H1401,"Atrasado (em aberto)","Em aberto")),IF(I1401&lt;=H1401,"No prazo","Fora do prazo")))</f>
        <v/>
      </c>
    </row>
    <row r="1402">
      <c r="B1402" s="22" t="n"/>
      <c r="E1402" s="23" t="n"/>
      <c r="F1402" s="24" t="n"/>
      <c r="H1402" s="22" t="n"/>
      <c r="I1402" s="22" t="n"/>
      <c r="J1402" s="21">
        <f>IF(C1402="","",IFERROR(INDEX(Clientes!$B:$B,MATCH(C1402,Clientes!$A:$A,0)),"Cód. não cadastrado"))</f>
        <v/>
      </c>
      <c r="K1402" s="18">
        <f>IF(B1402="","",YEAR(B1402))</f>
        <v/>
      </c>
      <c r="L1402" s="18">
        <f>IF(B1402="","",MONTH(B1402))</f>
        <v/>
      </c>
      <c r="M1402" s="18">
        <f>IF(OR(B1402="",I1402=""),"",I1402-B1402)</f>
        <v/>
      </c>
      <c r="N1402" s="21">
        <f>IF(B1402="","",IF(I1402="",IF(H1402="","",IF(TODAY()&gt;H1402,"Atrasado (em aberto)","Em aberto")),IF(I1402&lt;=H1402,"No prazo","Fora do prazo")))</f>
        <v/>
      </c>
    </row>
    <row r="1403">
      <c r="B1403" s="22" t="n"/>
      <c r="E1403" s="23" t="n"/>
      <c r="F1403" s="24" t="n"/>
      <c r="H1403" s="22" t="n"/>
      <c r="I1403" s="22" t="n"/>
      <c r="J1403" s="21">
        <f>IF(C1403="","",IFERROR(INDEX(Clientes!$B:$B,MATCH(C1403,Clientes!$A:$A,0)),"Cód. não cadastrado"))</f>
        <v/>
      </c>
      <c r="K1403" s="18">
        <f>IF(B1403="","",YEAR(B1403))</f>
        <v/>
      </c>
      <c r="L1403" s="18">
        <f>IF(B1403="","",MONTH(B1403))</f>
        <v/>
      </c>
      <c r="M1403" s="18">
        <f>IF(OR(B1403="",I1403=""),"",I1403-B1403)</f>
        <v/>
      </c>
      <c r="N1403" s="21">
        <f>IF(B1403="","",IF(I1403="",IF(H1403="","",IF(TODAY()&gt;H1403,"Atrasado (em aberto)","Em aberto")),IF(I1403&lt;=H1403,"No prazo","Fora do prazo")))</f>
        <v/>
      </c>
    </row>
    <row r="1404">
      <c r="B1404" s="22" t="n"/>
      <c r="E1404" s="23" t="n"/>
      <c r="F1404" s="24" t="n"/>
      <c r="H1404" s="22" t="n"/>
      <c r="I1404" s="22" t="n"/>
      <c r="J1404" s="21">
        <f>IF(C1404="","",IFERROR(INDEX(Clientes!$B:$B,MATCH(C1404,Clientes!$A:$A,0)),"Cód. não cadastrado"))</f>
        <v/>
      </c>
      <c r="K1404" s="18">
        <f>IF(B1404="","",YEAR(B1404))</f>
        <v/>
      </c>
      <c r="L1404" s="18">
        <f>IF(B1404="","",MONTH(B1404))</f>
        <v/>
      </c>
      <c r="M1404" s="18">
        <f>IF(OR(B1404="",I1404=""),"",I1404-B1404)</f>
        <v/>
      </c>
      <c r="N1404" s="21">
        <f>IF(B1404="","",IF(I1404="",IF(H1404="","",IF(TODAY()&gt;H1404,"Atrasado (em aberto)","Em aberto")),IF(I1404&lt;=H1404,"No prazo","Fora do prazo")))</f>
        <v/>
      </c>
    </row>
    <row r="1405">
      <c r="B1405" s="22" t="n"/>
      <c r="E1405" s="23" t="n"/>
      <c r="F1405" s="24" t="n"/>
      <c r="H1405" s="22" t="n"/>
      <c r="I1405" s="22" t="n"/>
      <c r="J1405" s="21">
        <f>IF(C1405="","",IFERROR(INDEX(Clientes!$B:$B,MATCH(C1405,Clientes!$A:$A,0)),"Cód. não cadastrado"))</f>
        <v/>
      </c>
      <c r="K1405" s="18">
        <f>IF(B1405="","",YEAR(B1405))</f>
        <v/>
      </c>
      <c r="L1405" s="18">
        <f>IF(B1405="","",MONTH(B1405))</f>
        <v/>
      </c>
      <c r="M1405" s="18">
        <f>IF(OR(B1405="",I1405=""),"",I1405-B1405)</f>
        <v/>
      </c>
      <c r="N1405" s="21">
        <f>IF(B1405="","",IF(I1405="",IF(H1405="","",IF(TODAY()&gt;H1405,"Atrasado (em aberto)","Em aberto")),IF(I1405&lt;=H1405,"No prazo","Fora do prazo")))</f>
        <v/>
      </c>
    </row>
    <row r="1406">
      <c r="B1406" s="22" t="n"/>
      <c r="E1406" s="23" t="n"/>
      <c r="F1406" s="24" t="n"/>
      <c r="H1406" s="22" t="n"/>
      <c r="I1406" s="22" t="n"/>
      <c r="J1406" s="21">
        <f>IF(C1406="","",IFERROR(INDEX(Clientes!$B:$B,MATCH(C1406,Clientes!$A:$A,0)),"Cód. não cadastrado"))</f>
        <v/>
      </c>
      <c r="K1406" s="18">
        <f>IF(B1406="","",YEAR(B1406))</f>
        <v/>
      </c>
      <c r="L1406" s="18">
        <f>IF(B1406="","",MONTH(B1406))</f>
        <v/>
      </c>
      <c r="M1406" s="18">
        <f>IF(OR(B1406="",I1406=""),"",I1406-B1406)</f>
        <v/>
      </c>
      <c r="N1406" s="21">
        <f>IF(B1406="","",IF(I1406="",IF(H1406="","",IF(TODAY()&gt;H1406,"Atrasado (em aberto)","Em aberto")),IF(I1406&lt;=H1406,"No prazo","Fora do prazo")))</f>
        <v/>
      </c>
    </row>
    <row r="1407">
      <c r="B1407" s="22" t="n"/>
      <c r="E1407" s="23" t="n"/>
      <c r="F1407" s="24" t="n"/>
      <c r="H1407" s="22" t="n"/>
      <c r="I1407" s="22" t="n"/>
      <c r="J1407" s="21">
        <f>IF(C1407="","",IFERROR(INDEX(Clientes!$B:$B,MATCH(C1407,Clientes!$A:$A,0)),"Cód. não cadastrado"))</f>
        <v/>
      </c>
      <c r="K1407" s="18">
        <f>IF(B1407="","",YEAR(B1407))</f>
        <v/>
      </c>
      <c r="L1407" s="18">
        <f>IF(B1407="","",MONTH(B1407))</f>
        <v/>
      </c>
      <c r="M1407" s="18">
        <f>IF(OR(B1407="",I1407=""),"",I1407-B1407)</f>
        <v/>
      </c>
      <c r="N1407" s="21">
        <f>IF(B1407="","",IF(I1407="",IF(H1407="","",IF(TODAY()&gt;H1407,"Atrasado (em aberto)","Em aberto")),IF(I1407&lt;=H1407,"No prazo","Fora do prazo")))</f>
        <v/>
      </c>
    </row>
    <row r="1408">
      <c r="B1408" s="22" t="n"/>
      <c r="E1408" s="23" t="n"/>
      <c r="F1408" s="24" t="n"/>
      <c r="H1408" s="22" t="n"/>
      <c r="I1408" s="22" t="n"/>
      <c r="J1408" s="21">
        <f>IF(C1408="","",IFERROR(INDEX(Clientes!$B:$B,MATCH(C1408,Clientes!$A:$A,0)),"Cód. não cadastrado"))</f>
        <v/>
      </c>
      <c r="K1408" s="18">
        <f>IF(B1408="","",YEAR(B1408))</f>
        <v/>
      </c>
      <c r="L1408" s="18">
        <f>IF(B1408="","",MONTH(B1408))</f>
        <v/>
      </c>
      <c r="M1408" s="18">
        <f>IF(OR(B1408="",I1408=""),"",I1408-B1408)</f>
        <v/>
      </c>
      <c r="N1408" s="21">
        <f>IF(B1408="","",IF(I1408="",IF(H1408="","",IF(TODAY()&gt;H1408,"Atrasado (em aberto)","Em aberto")),IF(I1408&lt;=H1408,"No prazo","Fora do prazo")))</f>
        <v/>
      </c>
    </row>
    <row r="1409">
      <c r="B1409" s="22" t="n"/>
      <c r="E1409" s="23" t="n"/>
      <c r="F1409" s="24" t="n"/>
      <c r="H1409" s="22" t="n"/>
      <c r="I1409" s="22" t="n"/>
      <c r="J1409" s="21">
        <f>IF(C1409="","",IFERROR(INDEX(Clientes!$B:$B,MATCH(C1409,Clientes!$A:$A,0)),"Cód. não cadastrado"))</f>
        <v/>
      </c>
      <c r="K1409" s="18">
        <f>IF(B1409="","",YEAR(B1409))</f>
        <v/>
      </c>
      <c r="L1409" s="18">
        <f>IF(B1409="","",MONTH(B1409))</f>
        <v/>
      </c>
      <c r="M1409" s="18">
        <f>IF(OR(B1409="",I1409=""),"",I1409-B1409)</f>
        <v/>
      </c>
      <c r="N1409" s="21">
        <f>IF(B1409="","",IF(I1409="",IF(H1409="","",IF(TODAY()&gt;H1409,"Atrasado (em aberto)","Em aberto")),IF(I1409&lt;=H1409,"No prazo","Fora do prazo")))</f>
        <v/>
      </c>
    </row>
    <row r="1410">
      <c r="B1410" s="22" t="n"/>
      <c r="E1410" s="23" t="n"/>
      <c r="F1410" s="24" t="n"/>
      <c r="H1410" s="22" t="n"/>
      <c r="I1410" s="22" t="n"/>
      <c r="J1410" s="21">
        <f>IF(C1410="","",IFERROR(INDEX(Clientes!$B:$B,MATCH(C1410,Clientes!$A:$A,0)),"Cód. não cadastrado"))</f>
        <v/>
      </c>
      <c r="K1410" s="18">
        <f>IF(B1410="","",YEAR(B1410))</f>
        <v/>
      </c>
      <c r="L1410" s="18">
        <f>IF(B1410="","",MONTH(B1410))</f>
        <v/>
      </c>
      <c r="M1410" s="18">
        <f>IF(OR(B1410="",I1410=""),"",I1410-B1410)</f>
        <v/>
      </c>
      <c r="N1410" s="21">
        <f>IF(B1410="","",IF(I1410="",IF(H1410="","",IF(TODAY()&gt;H1410,"Atrasado (em aberto)","Em aberto")),IF(I1410&lt;=H1410,"No prazo","Fora do prazo")))</f>
        <v/>
      </c>
    </row>
    <row r="1411">
      <c r="B1411" s="22" t="n"/>
      <c r="E1411" s="23" t="n"/>
      <c r="F1411" s="24" t="n"/>
      <c r="H1411" s="22" t="n"/>
      <c r="I1411" s="22" t="n"/>
      <c r="J1411" s="21">
        <f>IF(C1411="","",IFERROR(INDEX(Clientes!$B:$B,MATCH(C1411,Clientes!$A:$A,0)),"Cód. não cadastrado"))</f>
        <v/>
      </c>
      <c r="K1411" s="18">
        <f>IF(B1411="","",YEAR(B1411))</f>
        <v/>
      </c>
      <c r="L1411" s="18">
        <f>IF(B1411="","",MONTH(B1411))</f>
        <v/>
      </c>
      <c r="M1411" s="18">
        <f>IF(OR(B1411="",I1411=""),"",I1411-B1411)</f>
        <v/>
      </c>
      <c r="N1411" s="21">
        <f>IF(B1411="","",IF(I1411="",IF(H1411="","",IF(TODAY()&gt;H1411,"Atrasado (em aberto)","Em aberto")),IF(I1411&lt;=H1411,"No prazo","Fora do prazo")))</f>
        <v/>
      </c>
    </row>
    <row r="1412">
      <c r="B1412" s="22" t="n"/>
      <c r="E1412" s="23" t="n"/>
      <c r="F1412" s="24" t="n"/>
      <c r="H1412" s="22" t="n"/>
      <c r="I1412" s="22" t="n"/>
      <c r="J1412" s="21">
        <f>IF(C1412="","",IFERROR(INDEX(Clientes!$B:$B,MATCH(C1412,Clientes!$A:$A,0)),"Cód. não cadastrado"))</f>
        <v/>
      </c>
      <c r="K1412" s="18">
        <f>IF(B1412="","",YEAR(B1412))</f>
        <v/>
      </c>
      <c r="L1412" s="18">
        <f>IF(B1412="","",MONTH(B1412))</f>
        <v/>
      </c>
      <c r="M1412" s="18">
        <f>IF(OR(B1412="",I1412=""),"",I1412-B1412)</f>
        <v/>
      </c>
      <c r="N1412" s="21">
        <f>IF(B1412="","",IF(I1412="",IF(H1412="","",IF(TODAY()&gt;H1412,"Atrasado (em aberto)","Em aberto")),IF(I1412&lt;=H1412,"No prazo","Fora do prazo")))</f>
        <v/>
      </c>
    </row>
    <row r="1413">
      <c r="B1413" s="22" t="n"/>
      <c r="E1413" s="23" t="n"/>
      <c r="F1413" s="24" t="n"/>
      <c r="H1413" s="22" t="n"/>
      <c r="I1413" s="22" t="n"/>
      <c r="J1413" s="21">
        <f>IF(C1413="","",IFERROR(INDEX(Clientes!$B:$B,MATCH(C1413,Clientes!$A:$A,0)),"Cód. não cadastrado"))</f>
        <v/>
      </c>
      <c r="K1413" s="18">
        <f>IF(B1413="","",YEAR(B1413))</f>
        <v/>
      </c>
      <c r="L1413" s="18">
        <f>IF(B1413="","",MONTH(B1413))</f>
        <v/>
      </c>
      <c r="M1413" s="18">
        <f>IF(OR(B1413="",I1413=""),"",I1413-B1413)</f>
        <v/>
      </c>
      <c r="N1413" s="21">
        <f>IF(B1413="","",IF(I1413="",IF(H1413="","",IF(TODAY()&gt;H1413,"Atrasado (em aberto)","Em aberto")),IF(I1413&lt;=H1413,"No prazo","Fora do prazo")))</f>
        <v/>
      </c>
    </row>
    <row r="1414">
      <c r="B1414" s="22" t="n"/>
      <c r="E1414" s="23" t="n"/>
      <c r="F1414" s="24" t="n"/>
      <c r="H1414" s="22" t="n"/>
      <c r="I1414" s="22" t="n"/>
      <c r="J1414" s="21">
        <f>IF(C1414="","",IFERROR(INDEX(Clientes!$B:$B,MATCH(C1414,Clientes!$A:$A,0)),"Cód. não cadastrado"))</f>
        <v/>
      </c>
      <c r="K1414" s="18">
        <f>IF(B1414="","",YEAR(B1414))</f>
        <v/>
      </c>
      <c r="L1414" s="18">
        <f>IF(B1414="","",MONTH(B1414))</f>
        <v/>
      </c>
      <c r="M1414" s="18">
        <f>IF(OR(B1414="",I1414=""),"",I1414-B1414)</f>
        <v/>
      </c>
      <c r="N1414" s="21">
        <f>IF(B1414="","",IF(I1414="",IF(H1414="","",IF(TODAY()&gt;H1414,"Atrasado (em aberto)","Em aberto")),IF(I1414&lt;=H1414,"No prazo","Fora do prazo")))</f>
        <v/>
      </c>
    </row>
    <row r="1415">
      <c r="B1415" s="22" t="n"/>
      <c r="E1415" s="23" t="n"/>
      <c r="F1415" s="24" t="n"/>
      <c r="H1415" s="22" t="n"/>
      <c r="I1415" s="22" t="n"/>
      <c r="J1415" s="21">
        <f>IF(C1415="","",IFERROR(INDEX(Clientes!$B:$B,MATCH(C1415,Clientes!$A:$A,0)),"Cód. não cadastrado"))</f>
        <v/>
      </c>
      <c r="K1415" s="18">
        <f>IF(B1415="","",YEAR(B1415))</f>
        <v/>
      </c>
      <c r="L1415" s="18">
        <f>IF(B1415="","",MONTH(B1415))</f>
        <v/>
      </c>
      <c r="M1415" s="18">
        <f>IF(OR(B1415="",I1415=""),"",I1415-B1415)</f>
        <v/>
      </c>
      <c r="N1415" s="21">
        <f>IF(B1415="","",IF(I1415="",IF(H1415="","",IF(TODAY()&gt;H1415,"Atrasado (em aberto)","Em aberto")),IF(I1415&lt;=H1415,"No prazo","Fora do prazo")))</f>
        <v/>
      </c>
    </row>
    <row r="1416">
      <c r="B1416" s="22" t="n"/>
      <c r="E1416" s="23" t="n"/>
      <c r="F1416" s="24" t="n"/>
      <c r="H1416" s="22" t="n"/>
      <c r="I1416" s="22" t="n"/>
      <c r="J1416" s="21">
        <f>IF(C1416="","",IFERROR(INDEX(Clientes!$B:$B,MATCH(C1416,Clientes!$A:$A,0)),"Cód. não cadastrado"))</f>
        <v/>
      </c>
      <c r="K1416" s="18">
        <f>IF(B1416="","",YEAR(B1416))</f>
        <v/>
      </c>
      <c r="L1416" s="18">
        <f>IF(B1416="","",MONTH(B1416))</f>
        <v/>
      </c>
      <c r="M1416" s="18">
        <f>IF(OR(B1416="",I1416=""),"",I1416-B1416)</f>
        <v/>
      </c>
      <c r="N1416" s="21">
        <f>IF(B1416="","",IF(I1416="",IF(H1416="","",IF(TODAY()&gt;H1416,"Atrasado (em aberto)","Em aberto")),IF(I1416&lt;=H1416,"No prazo","Fora do prazo")))</f>
        <v/>
      </c>
    </row>
    <row r="1417">
      <c r="B1417" s="22" t="n"/>
      <c r="E1417" s="23" t="n"/>
      <c r="F1417" s="24" t="n"/>
      <c r="H1417" s="22" t="n"/>
      <c r="I1417" s="22" t="n"/>
      <c r="J1417" s="21">
        <f>IF(C1417="","",IFERROR(INDEX(Clientes!$B:$B,MATCH(C1417,Clientes!$A:$A,0)),"Cód. não cadastrado"))</f>
        <v/>
      </c>
      <c r="K1417" s="18">
        <f>IF(B1417="","",YEAR(B1417))</f>
        <v/>
      </c>
      <c r="L1417" s="18">
        <f>IF(B1417="","",MONTH(B1417))</f>
        <v/>
      </c>
      <c r="M1417" s="18">
        <f>IF(OR(B1417="",I1417=""),"",I1417-B1417)</f>
        <v/>
      </c>
      <c r="N1417" s="21">
        <f>IF(B1417="","",IF(I1417="",IF(H1417="","",IF(TODAY()&gt;H1417,"Atrasado (em aberto)","Em aberto")),IF(I1417&lt;=H1417,"No prazo","Fora do prazo")))</f>
        <v/>
      </c>
    </row>
    <row r="1418">
      <c r="B1418" s="22" t="n"/>
      <c r="E1418" s="23" t="n"/>
      <c r="F1418" s="24" t="n"/>
      <c r="H1418" s="22" t="n"/>
      <c r="I1418" s="22" t="n"/>
      <c r="J1418" s="21">
        <f>IF(C1418="","",IFERROR(INDEX(Clientes!$B:$B,MATCH(C1418,Clientes!$A:$A,0)),"Cód. não cadastrado"))</f>
        <v/>
      </c>
      <c r="K1418" s="18">
        <f>IF(B1418="","",YEAR(B1418))</f>
        <v/>
      </c>
      <c r="L1418" s="18">
        <f>IF(B1418="","",MONTH(B1418))</f>
        <v/>
      </c>
      <c r="M1418" s="18">
        <f>IF(OR(B1418="",I1418=""),"",I1418-B1418)</f>
        <v/>
      </c>
      <c r="N1418" s="21">
        <f>IF(B1418="","",IF(I1418="",IF(H1418="","",IF(TODAY()&gt;H1418,"Atrasado (em aberto)","Em aberto")),IF(I1418&lt;=H1418,"No prazo","Fora do prazo")))</f>
        <v/>
      </c>
    </row>
    <row r="1419">
      <c r="B1419" s="22" t="n"/>
      <c r="E1419" s="23" t="n"/>
      <c r="F1419" s="24" t="n"/>
      <c r="H1419" s="22" t="n"/>
      <c r="I1419" s="22" t="n"/>
      <c r="J1419" s="21">
        <f>IF(C1419="","",IFERROR(INDEX(Clientes!$B:$B,MATCH(C1419,Clientes!$A:$A,0)),"Cód. não cadastrado"))</f>
        <v/>
      </c>
      <c r="K1419" s="18">
        <f>IF(B1419="","",YEAR(B1419))</f>
        <v/>
      </c>
      <c r="L1419" s="18">
        <f>IF(B1419="","",MONTH(B1419))</f>
        <v/>
      </c>
      <c r="M1419" s="18">
        <f>IF(OR(B1419="",I1419=""),"",I1419-B1419)</f>
        <v/>
      </c>
      <c r="N1419" s="21">
        <f>IF(B1419="","",IF(I1419="",IF(H1419="","",IF(TODAY()&gt;H1419,"Atrasado (em aberto)","Em aberto")),IF(I1419&lt;=H1419,"No prazo","Fora do prazo")))</f>
        <v/>
      </c>
    </row>
    <row r="1420">
      <c r="B1420" s="22" t="n"/>
      <c r="E1420" s="23" t="n"/>
      <c r="F1420" s="24" t="n"/>
      <c r="H1420" s="22" t="n"/>
      <c r="I1420" s="22" t="n"/>
      <c r="J1420" s="21">
        <f>IF(C1420="","",IFERROR(INDEX(Clientes!$B:$B,MATCH(C1420,Clientes!$A:$A,0)),"Cód. não cadastrado"))</f>
        <v/>
      </c>
      <c r="K1420" s="18">
        <f>IF(B1420="","",YEAR(B1420))</f>
        <v/>
      </c>
      <c r="L1420" s="18">
        <f>IF(B1420="","",MONTH(B1420))</f>
        <v/>
      </c>
      <c r="M1420" s="18">
        <f>IF(OR(B1420="",I1420=""),"",I1420-B1420)</f>
        <v/>
      </c>
      <c r="N1420" s="21">
        <f>IF(B1420="","",IF(I1420="",IF(H1420="","",IF(TODAY()&gt;H1420,"Atrasado (em aberto)","Em aberto")),IF(I1420&lt;=H1420,"No prazo","Fora do prazo")))</f>
        <v/>
      </c>
    </row>
    <row r="1421">
      <c r="B1421" s="22" t="n"/>
      <c r="E1421" s="23" t="n"/>
      <c r="F1421" s="24" t="n"/>
      <c r="H1421" s="22" t="n"/>
      <c r="I1421" s="22" t="n"/>
      <c r="J1421" s="21">
        <f>IF(C1421="","",IFERROR(INDEX(Clientes!$B:$B,MATCH(C1421,Clientes!$A:$A,0)),"Cód. não cadastrado"))</f>
        <v/>
      </c>
      <c r="K1421" s="18">
        <f>IF(B1421="","",YEAR(B1421))</f>
        <v/>
      </c>
      <c r="L1421" s="18">
        <f>IF(B1421="","",MONTH(B1421))</f>
        <v/>
      </c>
      <c r="M1421" s="18">
        <f>IF(OR(B1421="",I1421=""),"",I1421-B1421)</f>
        <v/>
      </c>
      <c r="N1421" s="21">
        <f>IF(B1421="","",IF(I1421="",IF(H1421="","",IF(TODAY()&gt;H1421,"Atrasado (em aberto)","Em aberto")),IF(I1421&lt;=H1421,"No prazo","Fora do prazo")))</f>
        <v/>
      </c>
    </row>
    <row r="1422">
      <c r="B1422" s="22" t="n"/>
      <c r="E1422" s="23" t="n"/>
      <c r="F1422" s="24" t="n"/>
      <c r="H1422" s="22" t="n"/>
      <c r="I1422" s="22" t="n"/>
      <c r="J1422" s="21">
        <f>IF(C1422="","",IFERROR(INDEX(Clientes!$B:$B,MATCH(C1422,Clientes!$A:$A,0)),"Cód. não cadastrado"))</f>
        <v/>
      </c>
      <c r="K1422" s="18">
        <f>IF(B1422="","",YEAR(B1422))</f>
        <v/>
      </c>
      <c r="L1422" s="18">
        <f>IF(B1422="","",MONTH(B1422))</f>
        <v/>
      </c>
      <c r="M1422" s="18">
        <f>IF(OR(B1422="",I1422=""),"",I1422-B1422)</f>
        <v/>
      </c>
      <c r="N1422" s="21">
        <f>IF(B1422="","",IF(I1422="",IF(H1422="","",IF(TODAY()&gt;H1422,"Atrasado (em aberto)","Em aberto")),IF(I1422&lt;=H1422,"No prazo","Fora do prazo")))</f>
        <v/>
      </c>
    </row>
    <row r="1423">
      <c r="B1423" s="22" t="n"/>
      <c r="E1423" s="23" t="n"/>
      <c r="F1423" s="24" t="n"/>
      <c r="H1423" s="22" t="n"/>
      <c r="I1423" s="22" t="n"/>
      <c r="J1423" s="21">
        <f>IF(C1423="","",IFERROR(INDEX(Clientes!$B:$B,MATCH(C1423,Clientes!$A:$A,0)),"Cód. não cadastrado"))</f>
        <v/>
      </c>
      <c r="K1423" s="18">
        <f>IF(B1423="","",YEAR(B1423))</f>
        <v/>
      </c>
      <c r="L1423" s="18">
        <f>IF(B1423="","",MONTH(B1423))</f>
        <v/>
      </c>
      <c r="M1423" s="18">
        <f>IF(OR(B1423="",I1423=""),"",I1423-B1423)</f>
        <v/>
      </c>
      <c r="N1423" s="21">
        <f>IF(B1423="","",IF(I1423="",IF(H1423="","",IF(TODAY()&gt;H1423,"Atrasado (em aberto)","Em aberto")),IF(I1423&lt;=H1423,"No prazo","Fora do prazo")))</f>
        <v/>
      </c>
    </row>
    <row r="1424">
      <c r="B1424" s="22" t="n"/>
      <c r="E1424" s="23" t="n"/>
      <c r="F1424" s="24" t="n"/>
      <c r="H1424" s="22" t="n"/>
      <c r="I1424" s="22" t="n"/>
      <c r="J1424" s="21">
        <f>IF(C1424="","",IFERROR(INDEX(Clientes!$B:$B,MATCH(C1424,Clientes!$A:$A,0)),"Cód. não cadastrado"))</f>
        <v/>
      </c>
      <c r="K1424" s="18">
        <f>IF(B1424="","",YEAR(B1424))</f>
        <v/>
      </c>
      <c r="L1424" s="18">
        <f>IF(B1424="","",MONTH(B1424))</f>
        <v/>
      </c>
      <c r="M1424" s="18">
        <f>IF(OR(B1424="",I1424=""),"",I1424-B1424)</f>
        <v/>
      </c>
      <c r="N1424" s="21">
        <f>IF(B1424="","",IF(I1424="",IF(H1424="","",IF(TODAY()&gt;H1424,"Atrasado (em aberto)","Em aberto")),IF(I1424&lt;=H1424,"No prazo","Fora do prazo")))</f>
        <v/>
      </c>
    </row>
    <row r="1425">
      <c r="B1425" s="22" t="n"/>
      <c r="E1425" s="23" t="n"/>
      <c r="F1425" s="24" t="n"/>
      <c r="H1425" s="22" t="n"/>
      <c r="I1425" s="22" t="n"/>
      <c r="J1425" s="21">
        <f>IF(C1425="","",IFERROR(INDEX(Clientes!$B:$B,MATCH(C1425,Clientes!$A:$A,0)),"Cód. não cadastrado"))</f>
        <v/>
      </c>
      <c r="K1425" s="18">
        <f>IF(B1425="","",YEAR(B1425))</f>
        <v/>
      </c>
      <c r="L1425" s="18">
        <f>IF(B1425="","",MONTH(B1425))</f>
        <v/>
      </c>
      <c r="M1425" s="18">
        <f>IF(OR(B1425="",I1425=""),"",I1425-B1425)</f>
        <v/>
      </c>
      <c r="N1425" s="21">
        <f>IF(B1425="","",IF(I1425="",IF(H1425="","",IF(TODAY()&gt;H1425,"Atrasado (em aberto)","Em aberto")),IF(I1425&lt;=H1425,"No prazo","Fora do prazo")))</f>
        <v/>
      </c>
    </row>
    <row r="1426">
      <c r="B1426" s="22" t="n"/>
      <c r="E1426" s="23" t="n"/>
      <c r="F1426" s="24" t="n"/>
      <c r="H1426" s="22" t="n"/>
      <c r="I1426" s="22" t="n"/>
      <c r="J1426" s="21">
        <f>IF(C1426="","",IFERROR(INDEX(Clientes!$B:$B,MATCH(C1426,Clientes!$A:$A,0)),"Cód. não cadastrado"))</f>
        <v/>
      </c>
      <c r="K1426" s="18">
        <f>IF(B1426="","",YEAR(B1426))</f>
        <v/>
      </c>
      <c r="L1426" s="18">
        <f>IF(B1426="","",MONTH(B1426))</f>
        <v/>
      </c>
      <c r="M1426" s="18">
        <f>IF(OR(B1426="",I1426=""),"",I1426-B1426)</f>
        <v/>
      </c>
      <c r="N1426" s="21">
        <f>IF(B1426="","",IF(I1426="",IF(H1426="","",IF(TODAY()&gt;H1426,"Atrasado (em aberto)","Em aberto")),IF(I1426&lt;=H1426,"No prazo","Fora do prazo")))</f>
        <v/>
      </c>
    </row>
    <row r="1427">
      <c r="B1427" s="22" t="n"/>
      <c r="E1427" s="23" t="n"/>
      <c r="F1427" s="24" t="n"/>
      <c r="H1427" s="22" t="n"/>
      <c r="I1427" s="22" t="n"/>
      <c r="J1427" s="21">
        <f>IF(C1427="","",IFERROR(INDEX(Clientes!$B:$B,MATCH(C1427,Clientes!$A:$A,0)),"Cód. não cadastrado"))</f>
        <v/>
      </c>
      <c r="K1427" s="18">
        <f>IF(B1427="","",YEAR(B1427))</f>
        <v/>
      </c>
      <c r="L1427" s="18">
        <f>IF(B1427="","",MONTH(B1427))</f>
        <v/>
      </c>
      <c r="M1427" s="18">
        <f>IF(OR(B1427="",I1427=""),"",I1427-B1427)</f>
        <v/>
      </c>
      <c r="N1427" s="21">
        <f>IF(B1427="","",IF(I1427="",IF(H1427="","",IF(TODAY()&gt;H1427,"Atrasado (em aberto)","Em aberto")),IF(I1427&lt;=H1427,"No prazo","Fora do prazo")))</f>
        <v/>
      </c>
    </row>
    <row r="1428">
      <c r="B1428" s="22" t="n"/>
      <c r="E1428" s="23" t="n"/>
      <c r="F1428" s="24" t="n"/>
      <c r="H1428" s="22" t="n"/>
      <c r="I1428" s="22" t="n"/>
      <c r="J1428" s="21">
        <f>IF(C1428="","",IFERROR(INDEX(Clientes!$B:$B,MATCH(C1428,Clientes!$A:$A,0)),"Cód. não cadastrado"))</f>
        <v/>
      </c>
      <c r="K1428" s="18">
        <f>IF(B1428="","",YEAR(B1428))</f>
        <v/>
      </c>
      <c r="L1428" s="18">
        <f>IF(B1428="","",MONTH(B1428))</f>
        <v/>
      </c>
      <c r="M1428" s="18">
        <f>IF(OR(B1428="",I1428=""),"",I1428-B1428)</f>
        <v/>
      </c>
      <c r="N1428" s="21">
        <f>IF(B1428="","",IF(I1428="",IF(H1428="","",IF(TODAY()&gt;H1428,"Atrasado (em aberto)","Em aberto")),IF(I1428&lt;=H1428,"No prazo","Fora do prazo")))</f>
        <v/>
      </c>
    </row>
    <row r="1429">
      <c r="B1429" s="22" t="n"/>
      <c r="E1429" s="23" t="n"/>
      <c r="F1429" s="24" t="n"/>
      <c r="H1429" s="22" t="n"/>
      <c r="I1429" s="22" t="n"/>
      <c r="J1429" s="21">
        <f>IF(C1429="","",IFERROR(INDEX(Clientes!$B:$B,MATCH(C1429,Clientes!$A:$A,0)),"Cód. não cadastrado"))</f>
        <v/>
      </c>
      <c r="K1429" s="18">
        <f>IF(B1429="","",YEAR(B1429))</f>
        <v/>
      </c>
      <c r="L1429" s="18">
        <f>IF(B1429="","",MONTH(B1429))</f>
        <v/>
      </c>
      <c r="M1429" s="18">
        <f>IF(OR(B1429="",I1429=""),"",I1429-B1429)</f>
        <v/>
      </c>
      <c r="N1429" s="21">
        <f>IF(B1429="","",IF(I1429="",IF(H1429="","",IF(TODAY()&gt;H1429,"Atrasado (em aberto)","Em aberto")),IF(I1429&lt;=H1429,"No prazo","Fora do prazo")))</f>
        <v/>
      </c>
    </row>
    <row r="1430">
      <c r="B1430" s="22" t="n"/>
      <c r="E1430" s="23" t="n"/>
      <c r="F1430" s="24" t="n"/>
      <c r="H1430" s="22" t="n"/>
      <c r="I1430" s="22" t="n"/>
      <c r="J1430" s="21">
        <f>IF(C1430="","",IFERROR(INDEX(Clientes!$B:$B,MATCH(C1430,Clientes!$A:$A,0)),"Cód. não cadastrado"))</f>
        <v/>
      </c>
      <c r="K1430" s="18">
        <f>IF(B1430="","",YEAR(B1430))</f>
        <v/>
      </c>
      <c r="L1430" s="18">
        <f>IF(B1430="","",MONTH(B1430))</f>
        <v/>
      </c>
      <c r="M1430" s="18">
        <f>IF(OR(B1430="",I1430=""),"",I1430-B1430)</f>
        <v/>
      </c>
      <c r="N1430" s="21">
        <f>IF(B1430="","",IF(I1430="",IF(H1430="","",IF(TODAY()&gt;H1430,"Atrasado (em aberto)","Em aberto")),IF(I1430&lt;=H1430,"No prazo","Fora do prazo")))</f>
        <v/>
      </c>
    </row>
    <row r="1431">
      <c r="B1431" s="22" t="n"/>
      <c r="E1431" s="23" t="n"/>
      <c r="F1431" s="24" t="n"/>
      <c r="H1431" s="22" t="n"/>
      <c r="I1431" s="22" t="n"/>
      <c r="J1431" s="21">
        <f>IF(C1431="","",IFERROR(INDEX(Clientes!$B:$B,MATCH(C1431,Clientes!$A:$A,0)),"Cód. não cadastrado"))</f>
        <v/>
      </c>
      <c r="K1431" s="18">
        <f>IF(B1431="","",YEAR(B1431))</f>
        <v/>
      </c>
      <c r="L1431" s="18">
        <f>IF(B1431="","",MONTH(B1431))</f>
        <v/>
      </c>
      <c r="M1431" s="18">
        <f>IF(OR(B1431="",I1431=""),"",I1431-B1431)</f>
        <v/>
      </c>
      <c r="N1431" s="21">
        <f>IF(B1431="","",IF(I1431="",IF(H1431="","",IF(TODAY()&gt;H1431,"Atrasado (em aberto)","Em aberto")),IF(I1431&lt;=H1431,"No prazo","Fora do prazo")))</f>
        <v/>
      </c>
    </row>
    <row r="1432">
      <c r="B1432" s="22" t="n"/>
      <c r="E1432" s="23" t="n"/>
      <c r="F1432" s="24" t="n"/>
      <c r="H1432" s="22" t="n"/>
      <c r="I1432" s="22" t="n"/>
      <c r="J1432" s="21">
        <f>IF(C1432="","",IFERROR(INDEX(Clientes!$B:$B,MATCH(C1432,Clientes!$A:$A,0)),"Cód. não cadastrado"))</f>
        <v/>
      </c>
      <c r="K1432" s="18">
        <f>IF(B1432="","",YEAR(B1432))</f>
        <v/>
      </c>
      <c r="L1432" s="18">
        <f>IF(B1432="","",MONTH(B1432))</f>
        <v/>
      </c>
      <c r="M1432" s="18">
        <f>IF(OR(B1432="",I1432=""),"",I1432-B1432)</f>
        <v/>
      </c>
      <c r="N1432" s="21">
        <f>IF(B1432="","",IF(I1432="",IF(H1432="","",IF(TODAY()&gt;H1432,"Atrasado (em aberto)","Em aberto")),IF(I1432&lt;=H1432,"No prazo","Fora do prazo")))</f>
        <v/>
      </c>
    </row>
    <row r="1433">
      <c r="B1433" s="22" t="n"/>
      <c r="E1433" s="23" t="n"/>
      <c r="F1433" s="24" t="n"/>
      <c r="H1433" s="22" t="n"/>
      <c r="I1433" s="22" t="n"/>
      <c r="J1433" s="21">
        <f>IF(C1433="","",IFERROR(INDEX(Clientes!$B:$B,MATCH(C1433,Clientes!$A:$A,0)),"Cód. não cadastrado"))</f>
        <v/>
      </c>
      <c r="K1433" s="18">
        <f>IF(B1433="","",YEAR(B1433))</f>
        <v/>
      </c>
      <c r="L1433" s="18">
        <f>IF(B1433="","",MONTH(B1433))</f>
        <v/>
      </c>
      <c r="M1433" s="18">
        <f>IF(OR(B1433="",I1433=""),"",I1433-B1433)</f>
        <v/>
      </c>
      <c r="N1433" s="21">
        <f>IF(B1433="","",IF(I1433="",IF(H1433="","",IF(TODAY()&gt;H1433,"Atrasado (em aberto)","Em aberto")),IF(I1433&lt;=H1433,"No prazo","Fora do prazo")))</f>
        <v/>
      </c>
    </row>
    <row r="1434">
      <c r="B1434" s="22" t="n"/>
      <c r="E1434" s="23" t="n"/>
      <c r="F1434" s="24" t="n"/>
      <c r="H1434" s="22" t="n"/>
      <c r="I1434" s="22" t="n"/>
      <c r="J1434" s="21">
        <f>IF(C1434="","",IFERROR(INDEX(Clientes!$B:$B,MATCH(C1434,Clientes!$A:$A,0)),"Cód. não cadastrado"))</f>
        <v/>
      </c>
      <c r="K1434" s="18">
        <f>IF(B1434="","",YEAR(B1434))</f>
        <v/>
      </c>
      <c r="L1434" s="18">
        <f>IF(B1434="","",MONTH(B1434))</f>
        <v/>
      </c>
      <c r="M1434" s="18">
        <f>IF(OR(B1434="",I1434=""),"",I1434-B1434)</f>
        <v/>
      </c>
      <c r="N1434" s="21">
        <f>IF(B1434="","",IF(I1434="",IF(H1434="","",IF(TODAY()&gt;H1434,"Atrasado (em aberto)","Em aberto")),IF(I1434&lt;=H1434,"No prazo","Fora do prazo")))</f>
        <v/>
      </c>
    </row>
    <row r="1435">
      <c r="B1435" s="22" t="n"/>
      <c r="E1435" s="23" t="n"/>
      <c r="F1435" s="24" t="n"/>
      <c r="H1435" s="22" t="n"/>
      <c r="I1435" s="22" t="n"/>
      <c r="J1435" s="21">
        <f>IF(C1435="","",IFERROR(INDEX(Clientes!$B:$B,MATCH(C1435,Clientes!$A:$A,0)),"Cód. não cadastrado"))</f>
        <v/>
      </c>
      <c r="K1435" s="18">
        <f>IF(B1435="","",YEAR(B1435))</f>
        <v/>
      </c>
      <c r="L1435" s="18">
        <f>IF(B1435="","",MONTH(B1435))</f>
        <v/>
      </c>
      <c r="M1435" s="18">
        <f>IF(OR(B1435="",I1435=""),"",I1435-B1435)</f>
        <v/>
      </c>
      <c r="N1435" s="21">
        <f>IF(B1435="","",IF(I1435="",IF(H1435="","",IF(TODAY()&gt;H1435,"Atrasado (em aberto)","Em aberto")),IF(I1435&lt;=H1435,"No prazo","Fora do prazo")))</f>
        <v/>
      </c>
    </row>
    <row r="1436">
      <c r="B1436" s="22" t="n"/>
      <c r="E1436" s="23" t="n"/>
      <c r="F1436" s="24" t="n"/>
      <c r="H1436" s="22" t="n"/>
      <c r="I1436" s="22" t="n"/>
      <c r="J1436" s="21">
        <f>IF(C1436="","",IFERROR(INDEX(Clientes!$B:$B,MATCH(C1436,Clientes!$A:$A,0)),"Cód. não cadastrado"))</f>
        <v/>
      </c>
      <c r="K1436" s="18">
        <f>IF(B1436="","",YEAR(B1436))</f>
        <v/>
      </c>
      <c r="L1436" s="18">
        <f>IF(B1436="","",MONTH(B1436))</f>
        <v/>
      </c>
      <c r="M1436" s="18">
        <f>IF(OR(B1436="",I1436=""),"",I1436-B1436)</f>
        <v/>
      </c>
      <c r="N1436" s="21">
        <f>IF(B1436="","",IF(I1436="",IF(H1436="","",IF(TODAY()&gt;H1436,"Atrasado (em aberto)","Em aberto")),IF(I1436&lt;=H1436,"No prazo","Fora do prazo")))</f>
        <v/>
      </c>
    </row>
    <row r="1437">
      <c r="B1437" s="22" t="n"/>
      <c r="E1437" s="23" t="n"/>
      <c r="F1437" s="24" t="n"/>
      <c r="H1437" s="22" t="n"/>
      <c r="I1437" s="22" t="n"/>
      <c r="J1437" s="21">
        <f>IF(C1437="","",IFERROR(INDEX(Clientes!$B:$B,MATCH(C1437,Clientes!$A:$A,0)),"Cód. não cadastrado"))</f>
        <v/>
      </c>
      <c r="K1437" s="18">
        <f>IF(B1437="","",YEAR(B1437))</f>
        <v/>
      </c>
      <c r="L1437" s="18">
        <f>IF(B1437="","",MONTH(B1437))</f>
        <v/>
      </c>
      <c r="M1437" s="18">
        <f>IF(OR(B1437="",I1437=""),"",I1437-B1437)</f>
        <v/>
      </c>
      <c r="N1437" s="21">
        <f>IF(B1437="","",IF(I1437="",IF(H1437="","",IF(TODAY()&gt;H1437,"Atrasado (em aberto)","Em aberto")),IF(I1437&lt;=H1437,"No prazo","Fora do prazo")))</f>
        <v/>
      </c>
    </row>
    <row r="1438">
      <c r="B1438" s="22" t="n"/>
      <c r="E1438" s="23" t="n"/>
      <c r="F1438" s="24" t="n"/>
      <c r="H1438" s="22" t="n"/>
      <c r="I1438" s="22" t="n"/>
      <c r="J1438" s="21">
        <f>IF(C1438="","",IFERROR(INDEX(Clientes!$B:$B,MATCH(C1438,Clientes!$A:$A,0)),"Cód. não cadastrado"))</f>
        <v/>
      </c>
      <c r="K1438" s="18">
        <f>IF(B1438="","",YEAR(B1438))</f>
        <v/>
      </c>
      <c r="L1438" s="18">
        <f>IF(B1438="","",MONTH(B1438))</f>
        <v/>
      </c>
      <c r="M1438" s="18">
        <f>IF(OR(B1438="",I1438=""),"",I1438-B1438)</f>
        <v/>
      </c>
      <c r="N1438" s="21">
        <f>IF(B1438="","",IF(I1438="",IF(H1438="","",IF(TODAY()&gt;H1438,"Atrasado (em aberto)","Em aberto")),IF(I1438&lt;=H1438,"No prazo","Fora do prazo")))</f>
        <v/>
      </c>
    </row>
    <row r="1439">
      <c r="B1439" s="22" t="n"/>
      <c r="E1439" s="23" t="n"/>
      <c r="F1439" s="24" t="n"/>
      <c r="H1439" s="22" t="n"/>
      <c r="I1439" s="22" t="n"/>
      <c r="J1439" s="21">
        <f>IF(C1439="","",IFERROR(INDEX(Clientes!$B:$B,MATCH(C1439,Clientes!$A:$A,0)),"Cód. não cadastrado"))</f>
        <v/>
      </c>
      <c r="K1439" s="18">
        <f>IF(B1439="","",YEAR(B1439))</f>
        <v/>
      </c>
      <c r="L1439" s="18">
        <f>IF(B1439="","",MONTH(B1439))</f>
        <v/>
      </c>
      <c r="M1439" s="18">
        <f>IF(OR(B1439="",I1439=""),"",I1439-B1439)</f>
        <v/>
      </c>
      <c r="N1439" s="21">
        <f>IF(B1439="","",IF(I1439="",IF(H1439="","",IF(TODAY()&gt;H1439,"Atrasado (em aberto)","Em aberto")),IF(I1439&lt;=H1439,"No prazo","Fora do prazo")))</f>
        <v/>
      </c>
    </row>
    <row r="1440">
      <c r="B1440" s="22" t="n"/>
      <c r="E1440" s="23" t="n"/>
      <c r="F1440" s="24" t="n"/>
      <c r="H1440" s="22" t="n"/>
      <c r="I1440" s="22" t="n"/>
      <c r="J1440" s="21">
        <f>IF(C1440="","",IFERROR(INDEX(Clientes!$B:$B,MATCH(C1440,Clientes!$A:$A,0)),"Cód. não cadastrado"))</f>
        <v/>
      </c>
      <c r="K1440" s="18">
        <f>IF(B1440="","",YEAR(B1440))</f>
        <v/>
      </c>
      <c r="L1440" s="18">
        <f>IF(B1440="","",MONTH(B1440))</f>
        <v/>
      </c>
      <c r="M1440" s="18">
        <f>IF(OR(B1440="",I1440=""),"",I1440-B1440)</f>
        <v/>
      </c>
      <c r="N1440" s="21">
        <f>IF(B1440="","",IF(I1440="",IF(H1440="","",IF(TODAY()&gt;H1440,"Atrasado (em aberto)","Em aberto")),IF(I1440&lt;=H1440,"No prazo","Fora do prazo")))</f>
        <v/>
      </c>
    </row>
    <row r="1441">
      <c r="B1441" s="22" t="n"/>
      <c r="E1441" s="23" t="n"/>
      <c r="F1441" s="24" t="n"/>
      <c r="H1441" s="22" t="n"/>
      <c r="I1441" s="22" t="n"/>
      <c r="J1441" s="21">
        <f>IF(C1441="","",IFERROR(INDEX(Clientes!$B:$B,MATCH(C1441,Clientes!$A:$A,0)),"Cód. não cadastrado"))</f>
        <v/>
      </c>
      <c r="K1441" s="18">
        <f>IF(B1441="","",YEAR(B1441))</f>
        <v/>
      </c>
      <c r="L1441" s="18">
        <f>IF(B1441="","",MONTH(B1441))</f>
        <v/>
      </c>
      <c r="M1441" s="18">
        <f>IF(OR(B1441="",I1441=""),"",I1441-B1441)</f>
        <v/>
      </c>
      <c r="N1441" s="21">
        <f>IF(B1441="","",IF(I1441="",IF(H1441="","",IF(TODAY()&gt;H1441,"Atrasado (em aberto)","Em aberto")),IF(I1441&lt;=H1441,"No prazo","Fora do prazo")))</f>
        <v/>
      </c>
    </row>
    <row r="1442">
      <c r="B1442" s="22" t="n"/>
      <c r="E1442" s="23" t="n"/>
      <c r="F1442" s="24" t="n"/>
      <c r="H1442" s="22" t="n"/>
      <c r="I1442" s="22" t="n"/>
      <c r="J1442" s="21">
        <f>IF(C1442="","",IFERROR(INDEX(Clientes!$B:$B,MATCH(C1442,Clientes!$A:$A,0)),"Cód. não cadastrado"))</f>
        <v/>
      </c>
      <c r="K1442" s="18">
        <f>IF(B1442="","",YEAR(B1442))</f>
        <v/>
      </c>
      <c r="L1442" s="18">
        <f>IF(B1442="","",MONTH(B1442))</f>
        <v/>
      </c>
      <c r="M1442" s="18">
        <f>IF(OR(B1442="",I1442=""),"",I1442-B1442)</f>
        <v/>
      </c>
      <c r="N1442" s="21">
        <f>IF(B1442="","",IF(I1442="",IF(H1442="","",IF(TODAY()&gt;H1442,"Atrasado (em aberto)","Em aberto")),IF(I1442&lt;=H1442,"No prazo","Fora do prazo")))</f>
        <v/>
      </c>
    </row>
    <row r="1443">
      <c r="B1443" s="22" t="n"/>
      <c r="E1443" s="23" t="n"/>
      <c r="F1443" s="24" t="n"/>
      <c r="H1443" s="22" t="n"/>
      <c r="I1443" s="22" t="n"/>
      <c r="J1443" s="21">
        <f>IF(C1443="","",IFERROR(INDEX(Clientes!$B:$B,MATCH(C1443,Clientes!$A:$A,0)),"Cód. não cadastrado"))</f>
        <v/>
      </c>
      <c r="K1443" s="18">
        <f>IF(B1443="","",YEAR(B1443))</f>
        <v/>
      </c>
      <c r="L1443" s="18">
        <f>IF(B1443="","",MONTH(B1443))</f>
        <v/>
      </c>
      <c r="M1443" s="18">
        <f>IF(OR(B1443="",I1443=""),"",I1443-B1443)</f>
        <v/>
      </c>
      <c r="N1443" s="21">
        <f>IF(B1443="","",IF(I1443="",IF(H1443="","",IF(TODAY()&gt;H1443,"Atrasado (em aberto)","Em aberto")),IF(I1443&lt;=H1443,"No prazo","Fora do prazo")))</f>
        <v/>
      </c>
    </row>
    <row r="1444">
      <c r="B1444" s="22" t="n"/>
      <c r="E1444" s="23" t="n"/>
      <c r="F1444" s="24" t="n"/>
      <c r="H1444" s="22" t="n"/>
      <c r="I1444" s="22" t="n"/>
      <c r="J1444" s="21">
        <f>IF(C1444="","",IFERROR(INDEX(Clientes!$B:$B,MATCH(C1444,Clientes!$A:$A,0)),"Cód. não cadastrado"))</f>
        <v/>
      </c>
      <c r="K1444" s="18">
        <f>IF(B1444="","",YEAR(B1444))</f>
        <v/>
      </c>
      <c r="L1444" s="18">
        <f>IF(B1444="","",MONTH(B1444))</f>
        <v/>
      </c>
      <c r="M1444" s="18">
        <f>IF(OR(B1444="",I1444=""),"",I1444-B1444)</f>
        <v/>
      </c>
      <c r="N1444" s="21">
        <f>IF(B1444="","",IF(I1444="",IF(H1444="","",IF(TODAY()&gt;H1444,"Atrasado (em aberto)","Em aberto")),IF(I1444&lt;=H1444,"No prazo","Fora do prazo")))</f>
        <v/>
      </c>
    </row>
    <row r="1445">
      <c r="B1445" s="22" t="n"/>
      <c r="E1445" s="23" t="n"/>
      <c r="F1445" s="24" t="n"/>
      <c r="H1445" s="22" t="n"/>
      <c r="I1445" s="22" t="n"/>
      <c r="J1445" s="21">
        <f>IF(C1445="","",IFERROR(INDEX(Clientes!$B:$B,MATCH(C1445,Clientes!$A:$A,0)),"Cód. não cadastrado"))</f>
        <v/>
      </c>
      <c r="K1445" s="18">
        <f>IF(B1445="","",YEAR(B1445))</f>
        <v/>
      </c>
      <c r="L1445" s="18">
        <f>IF(B1445="","",MONTH(B1445))</f>
        <v/>
      </c>
      <c r="M1445" s="18">
        <f>IF(OR(B1445="",I1445=""),"",I1445-B1445)</f>
        <v/>
      </c>
      <c r="N1445" s="21">
        <f>IF(B1445="","",IF(I1445="",IF(H1445="","",IF(TODAY()&gt;H1445,"Atrasado (em aberto)","Em aberto")),IF(I1445&lt;=H1445,"No prazo","Fora do prazo")))</f>
        <v/>
      </c>
    </row>
    <row r="1446">
      <c r="B1446" s="22" t="n"/>
      <c r="E1446" s="23" t="n"/>
      <c r="F1446" s="24" t="n"/>
      <c r="H1446" s="22" t="n"/>
      <c r="I1446" s="22" t="n"/>
      <c r="J1446" s="21">
        <f>IF(C1446="","",IFERROR(INDEX(Clientes!$B:$B,MATCH(C1446,Clientes!$A:$A,0)),"Cód. não cadastrado"))</f>
        <v/>
      </c>
      <c r="K1446" s="18">
        <f>IF(B1446="","",YEAR(B1446))</f>
        <v/>
      </c>
      <c r="L1446" s="18">
        <f>IF(B1446="","",MONTH(B1446))</f>
        <v/>
      </c>
      <c r="M1446" s="18">
        <f>IF(OR(B1446="",I1446=""),"",I1446-B1446)</f>
        <v/>
      </c>
      <c r="N1446" s="21">
        <f>IF(B1446="","",IF(I1446="",IF(H1446="","",IF(TODAY()&gt;H1446,"Atrasado (em aberto)","Em aberto")),IF(I1446&lt;=H1446,"No prazo","Fora do prazo")))</f>
        <v/>
      </c>
    </row>
    <row r="1447">
      <c r="B1447" s="22" t="n"/>
      <c r="E1447" s="23" t="n"/>
      <c r="F1447" s="24" t="n"/>
      <c r="H1447" s="22" t="n"/>
      <c r="I1447" s="22" t="n"/>
      <c r="J1447" s="21">
        <f>IF(C1447="","",IFERROR(INDEX(Clientes!$B:$B,MATCH(C1447,Clientes!$A:$A,0)),"Cód. não cadastrado"))</f>
        <v/>
      </c>
      <c r="K1447" s="18">
        <f>IF(B1447="","",YEAR(B1447))</f>
        <v/>
      </c>
      <c r="L1447" s="18">
        <f>IF(B1447="","",MONTH(B1447))</f>
        <v/>
      </c>
      <c r="M1447" s="18">
        <f>IF(OR(B1447="",I1447=""),"",I1447-B1447)</f>
        <v/>
      </c>
      <c r="N1447" s="21">
        <f>IF(B1447="","",IF(I1447="",IF(H1447="","",IF(TODAY()&gt;H1447,"Atrasado (em aberto)","Em aberto")),IF(I1447&lt;=H1447,"No prazo","Fora do prazo")))</f>
        <v/>
      </c>
    </row>
    <row r="1448">
      <c r="B1448" s="22" t="n"/>
      <c r="E1448" s="23" t="n"/>
      <c r="F1448" s="24" t="n"/>
      <c r="H1448" s="22" t="n"/>
      <c r="I1448" s="22" t="n"/>
      <c r="J1448" s="21">
        <f>IF(C1448="","",IFERROR(INDEX(Clientes!$B:$B,MATCH(C1448,Clientes!$A:$A,0)),"Cód. não cadastrado"))</f>
        <v/>
      </c>
      <c r="K1448" s="18">
        <f>IF(B1448="","",YEAR(B1448))</f>
        <v/>
      </c>
      <c r="L1448" s="18">
        <f>IF(B1448="","",MONTH(B1448))</f>
        <v/>
      </c>
      <c r="M1448" s="18">
        <f>IF(OR(B1448="",I1448=""),"",I1448-B1448)</f>
        <v/>
      </c>
      <c r="N1448" s="21">
        <f>IF(B1448="","",IF(I1448="",IF(H1448="","",IF(TODAY()&gt;H1448,"Atrasado (em aberto)","Em aberto")),IF(I1448&lt;=H1448,"No prazo","Fora do prazo")))</f>
        <v/>
      </c>
    </row>
    <row r="1449">
      <c r="B1449" s="22" t="n"/>
      <c r="E1449" s="23" t="n"/>
      <c r="F1449" s="24" t="n"/>
      <c r="H1449" s="22" t="n"/>
      <c r="I1449" s="22" t="n"/>
      <c r="J1449" s="21">
        <f>IF(C1449="","",IFERROR(INDEX(Clientes!$B:$B,MATCH(C1449,Clientes!$A:$A,0)),"Cód. não cadastrado"))</f>
        <v/>
      </c>
      <c r="K1449" s="18">
        <f>IF(B1449="","",YEAR(B1449))</f>
        <v/>
      </c>
      <c r="L1449" s="18">
        <f>IF(B1449="","",MONTH(B1449))</f>
        <v/>
      </c>
      <c r="M1449" s="18">
        <f>IF(OR(B1449="",I1449=""),"",I1449-B1449)</f>
        <v/>
      </c>
      <c r="N1449" s="21">
        <f>IF(B1449="","",IF(I1449="",IF(H1449="","",IF(TODAY()&gt;H1449,"Atrasado (em aberto)","Em aberto")),IF(I1449&lt;=H1449,"No prazo","Fora do prazo")))</f>
        <v/>
      </c>
    </row>
    <row r="1450">
      <c r="B1450" s="22" t="n"/>
      <c r="E1450" s="23" t="n"/>
      <c r="F1450" s="24" t="n"/>
      <c r="H1450" s="22" t="n"/>
      <c r="I1450" s="22" t="n"/>
      <c r="J1450" s="21">
        <f>IF(C1450="","",IFERROR(INDEX(Clientes!$B:$B,MATCH(C1450,Clientes!$A:$A,0)),"Cód. não cadastrado"))</f>
        <v/>
      </c>
      <c r="K1450" s="18">
        <f>IF(B1450="","",YEAR(B1450))</f>
        <v/>
      </c>
      <c r="L1450" s="18">
        <f>IF(B1450="","",MONTH(B1450))</f>
        <v/>
      </c>
      <c r="M1450" s="18">
        <f>IF(OR(B1450="",I1450=""),"",I1450-B1450)</f>
        <v/>
      </c>
      <c r="N1450" s="21">
        <f>IF(B1450="","",IF(I1450="",IF(H1450="","",IF(TODAY()&gt;H1450,"Atrasado (em aberto)","Em aberto")),IF(I1450&lt;=H1450,"No prazo","Fora do prazo")))</f>
        <v/>
      </c>
    </row>
    <row r="1451">
      <c r="B1451" s="22" t="n"/>
      <c r="E1451" s="23" t="n"/>
      <c r="F1451" s="24" t="n"/>
      <c r="H1451" s="22" t="n"/>
      <c r="I1451" s="22" t="n"/>
      <c r="J1451" s="21">
        <f>IF(C1451="","",IFERROR(INDEX(Clientes!$B:$B,MATCH(C1451,Clientes!$A:$A,0)),"Cód. não cadastrado"))</f>
        <v/>
      </c>
      <c r="K1451" s="18">
        <f>IF(B1451="","",YEAR(B1451))</f>
        <v/>
      </c>
      <c r="L1451" s="18">
        <f>IF(B1451="","",MONTH(B1451))</f>
        <v/>
      </c>
      <c r="M1451" s="18">
        <f>IF(OR(B1451="",I1451=""),"",I1451-B1451)</f>
        <v/>
      </c>
      <c r="N1451" s="21">
        <f>IF(B1451="","",IF(I1451="",IF(H1451="","",IF(TODAY()&gt;H1451,"Atrasado (em aberto)","Em aberto")),IF(I1451&lt;=H1451,"No prazo","Fora do prazo")))</f>
        <v/>
      </c>
    </row>
    <row r="1452">
      <c r="B1452" s="22" t="n"/>
      <c r="E1452" s="23" t="n"/>
      <c r="F1452" s="24" t="n"/>
      <c r="H1452" s="22" t="n"/>
      <c r="I1452" s="22" t="n"/>
      <c r="J1452" s="21">
        <f>IF(C1452="","",IFERROR(INDEX(Clientes!$B:$B,MATCH(C1452,Clientes!$A:$A,0)),"Cód. não cadastrado"))</f>
        <v/>
      </c>
      <c r="K1452" s="18">
        <f>IF(B1452="","",YEAR(B1452))</f>
        <v/>
      </c>
      <c r="L1452" s="18">
        <f>IF(B1452="","",MONTH(B1452))</f>
        <v/>
      </c>
      <c r="M1452" s="18">
        <f>IF(OR(B1452="",I1452=""),"",I1452-B1452)</f>
        <v/>
      </c>
      <c r="N1452" s="21">
        <f>IF(B1452="","",IF(I1452="",IF(H1452="","",IF(TODAY()&gt;H1452,"Atrasado (em aberto)","Em aberto")),IF(I1452&lt;=H1452,"No prazo","Fora do prazo")))</f>
        <v/>
      </c>
    </row>
    <row r="1453">
      <c r="B1453" s="22" t="n"/>
      <c r="E1453" s="23" t="n"/>
      <c r="F1453" s="24" t="n"/>
      <c r="H1453" s="22" t="n"/>
      <c r="I1453" s="22" t="n"/>
      <c r="J1453" s="21">
        <f>IF(C1453="","",IFERROR(INDEX(Clientes!$B:$B,MATCH(C1453,Clientes!$A:$A,0)),"Cód. não cadastrado"))</f>
        <v/>
      </c>
      <c r="K1453" s="18">
        <f>IF(B1453="","",YEAR(B1453))</f>
        <v/>
      </c>
      <c r="L1453" s="18">
        <f>IF(B1453="","",MONTH(B1453))</f>
        <v/>
      </c>
      <c r="M1453" s="18">
        <f>IF(OR(B1453="",I1453=""),"",I1453-B1453)</f>
        <v/>
      </c>
      <c r="N1453" s="21">
        <f>IF(B1453="","",IF(I1453="",IF(H1453="","",IF(TODAY()&gt;H1453,"Atrasado (em aberto)","Em aberto")),IF(I1453&lt;=H1453,"No prazo","Fora do prazo")))</f>
        <v/>
      </c>
    </row>
    <row r="1454">
      <c r="B1454" s="22" t="n"/>
      <c r="E1454" s="23" t="n"/>
      <c r="F1454" s="24" t="n"/>
      <c r="H1454" s="22" t="n"/>
      <c r="I1454" s="22" t="n"/>
      <c r="J1454" s="21">
        <f>IF(C1454="","",IFERROR(INDEX(Clientes!$B:$B,MATCH(C1454,Clientes!$A:$A,0)),"Cód. não cadastrado"))</f>
        <v/>
      </c>
      <c r="K1454" s="18">
        <f>IF(B1454="","",YEAR(B1454))</f>
        <v/>
      </c>
      <c r="L1454" s="18">
        <f>IF(B1454="","",MONTH(B1454))</f>
        <v/>
      </c>
      <c r="M1454" s="18">
        <f>IF(OR(B1454="",I1454=""),"",I1454-B1454)</f>
        <v/>
      </c>
      <c r="N1454" s="21">
        <f>IF(B1454="","",IF(I1454="",IF(H1454="","",IF(TODAY()&gt;H1454,"Atrasado (em aberto)","Em aberto")),IF(I1454&lt;=H1454,"No prazo","Fora do prazo")))</f>
        <v/>
      </c>
    </row>
    <row r="1455">
      <c r="B1455" s="22" t="n"/>
      <c r="E1455" s="23" t="n"/>
      <c r="F1455" s="24" t="n"/>
      <c r="H1455" s="22" t="n"/>
      <c r="I1455" s="22" t="n"/>
      <c r="J1455" s="21">
        <f>IF(C1455="","",IFERROR(INDEX(Clientes!$B:$B,MATCH(C1455,Clientes!$A:$A,0)),"Cód. não cadastrado"))</f>
        <v/>
      </c>
      <c r="K1455" s="18">
        <f>IF(B1455="","",YEAR(B1455))</f>
        <v/>
      </c>
      <c r="L1455" s="18">
        <f>IF(B1455="","",MONTH(B1455))</f>
        <v/>
      </c>
      <c r="M1455" s="18">
        <f>IF(OR(B1455="",I1455=""),"",I1455-B1455)</f>
        <v/>
      </c>
      <c r="N1455" s="21">
        <f>IF(B1455="","",IF(I1455="",IF(H1455="","",IF(TODAY()&gt;H1455,"Atrasado (em aberto)","Em aberto")),IF(I1455&lt;=H1455,"No prazo","Fora do prazo")))</f>
        <v/>
      </c>
    </row>
    <row r="1456">
      <c r="B1456" s="22" t="n"/>
      <c r="E1456" s="23" t="n"/>
      <c r="F1456" s="24" t="n"/>
      <c r="H1456" s="22" t="n"/>
      <c r="I1456" s="22" t="n"/>
      <c r="J1456" s="21">
        <f>IF(C1456="","",IFERROR(INDEX(Clientes!$B:$B,MATCH(C1456,Clientes!$A:$A,0)),"Cód. não cadastrado"))</f>
        <v/>
      </c>
      <c r="K1456" s="18">
        <f>IF(B1456="","",YEAR(B1456))</f>
        <v/>
      </c>
      <c r="L1456" s="18">
        <f>IF(B1456="","",MONTH(B1456))</f>
        <v/>
      </c>
      <c r="M1456" s="18">
        <f>IF(OR(B1456="",I1456=""),"",I1456-B1456)</f>
        <v/>
      </c>
      <c r="N1456" s="21">
        <f>IF(B1456="","",IF(I1456="",IF(H1456="","",IF(TODAY()&gt;H1456,"Atrasado (em aberto)","Em aberto")),IF(I1456&lt;=H1456,"No prazo","Fora do prazo")))</f>
        <v/>
      </c>
    </row>
    <row r="1457">
      <c r="B1457" s="22" t="n"/>
      <c r="E1457" s="23" t="n"/>
      <c r="F1457" s="24" t="n"/>
      <c r="H1457" s="22" t="n"/>
      <c r="I1457" s="22" t="n"/>
      <c r="J1457" s="21">
        <f>IF(C1457="","",IFERROR(INDEX(Clientes!$B:$B,MATCH(C1457,Clientes!$A:$A,0)),"Cód. não cadastrado"))</f>
        <v/>
      </c>
      <c r="K1457" s="18">
        <f>IF(B1457="","",YEAR(B1457))</f>
        <v/>
      </c>
      <c r="L1457" s="18">
        <f>IF(B1457="","",MONTH(B1457))</f>
        <v/>
      </c>
      <c r="M1457" s="18">
        <f>IF(OR(B1457="",I1457=""),"",I1457-B1457)</f>
        <v/>
      </c>
      <c r="N1457" s="21">
        <f>IF(B1457="","",IF(I1457="",IF(H1457="","",IF(TODAY()&gt;H1457,"Atrasado (em aberto)","Em aberto")),IF(I1457&lt;=H1457,"No prazo","Fora do prazo")))</f>
        <v/>
      </c>
    </row>
    <row r="1458">
      <c r="B1458" s="22" t="n"/>
      <c r="E1458" s="23" t="n"/>
      <c r="F1458" s="24" t="n"/>
      <c r="H1458" s="22" t="n"/>
      <c r="I1458" s="22" t="n"/>
      <c r="J1458" s="21">
        <f>IF(C1458="","",IFERROR(INDEX(Clientes!$B:$B,MATCH(C1458,Clientes!$A:$A,0)),"Cód. não cadastrado"))</f>
        <v/>
      </c>
      <c r="K1458" s="18">
        <f>IF(B1458="","",YEAR(B1458))</f>
        <v/>
      </c>
      <c r="L1458" s="18">
        <f>IF(B1458="","",MONTH(B1458))</f>
        <v/>
      </c>
      <c r="M1458" s="18">
        <f>IF(OR(B1458="",I1458=""),"",I1458-B1458)</f>
        <v/>
      </c>
      <c r="N1458" s="21">
        <f>IF(B1458="","",IF(I1458="",IF(H1458="","",IF(TODAY()&gt;H1458,"Atrasado (em aberto)","Em aberto")),IF(I1458&lt;=H1458,"No prazo","Fora do prazo")))</f>
        <v/>
      </c>
    </row>
    <row r="1459">
      <c r="B1459" s="22" t="n"/>
      <c r="E1459" s="23" t="n"/>
      <c r="F1459" s="24" t="n"/>
      <c r="H1459" s="22" t="n"/>
      <c r="I1459" s="22" t="n"/>
      <c r="J1459" s="21">
        <f>IF(C1459="","",IFERROR(INDEX(Clientes!$B:$B,MATCH(C1459,Clientes!$A:$A,0)),"Cód. não cadastrado"))</f>
        <v/>
      </c>
      <c r="K1459" s="18">
        <f>IF(B1459="","",YEAR(B1459))</f>
        <v/>
      </c>
      <c r="L1459" s="18">
        <f>IF(B1459="","",MONTH(B1459))</f>
        <v/>
      </c>
      <c r="M1459" s="18">
        <f>IF(OR(B1459="",I1459=""),"",I1459-B1459)</f>
        <v/>
      </c>
      <c r="N1459" s="21">
        <f>IF(B1459="","",IF(I1459="",IF(H1459="","",IF(TODAY()&gt;H1459,"Atrasado (em aberto)","Em aberto")),IF(I1459&lt;=H1459,"No prazo","Fora do prazo")))</f>
        <v/>
      </c>
    </row>
    <row r="1460">
      <c r="B1460" s="22" t="n"/>
      <c r="E1460" s="23" t="n"/>
      <c r="F1460" s="24" t="n"/>
      <c r="H1460" s="22" t="n"/>
      <c r="I1460" s="22" t="n"/>
      <c r="J1460" s="21">
        <f>IF(C1460="","",IFERROR(INDEX(Clientes!$B:$B,MATCH(C1460,Clientes!$A:$A,0)),"Cód. não cadastrado"))</f>
        <v/>
      </c>
      <c r="K1460" s="18">
        <f>IF(B1460="","",YEAR(B1460))</f>
        <v/>
      </c>
      <c r="L1460" s="18">
        <f>IF(B1460="","",MONTH(B1460))</f>
        <v/>
      </c>
      <c r="M1460" s="18">
        <f>IF(OR(B1460="",I1460=""),"",I1460-B1460)</f>
        <v/>
      </c>
      <c r="N1460" s="21">
        <f>IF(B1460="","",IF(I1460="",IF(H1460="","",IF(TODAY()&gt;H1460,"Atrasado (em aberto)","Em aberto")),IF(I1460&lt;=H1460,"No prazo","Fora do prazo")))</f>
        <v/>
      </c>
    </row>
    <row r="1461">
      <c r="B1461" s="22" t="n"/>
      <c r="E1461" s="23" t="n"/>
      <c r="F1461" s="24" t="n"/>
      <c r="H1461" s="22" t="n"/>
      <c r="I1461" s="22" t="n"/>
      <c r="J1461" s="21">
        <f>IF(C1461="","",IFERROR(INDEX(Clientes!$B:$B,MATCH(C1461,Clientes!$A:$A,0)),"Cód. não cadastrado"))</f>
        <v/>
      </c>
      <c r="K1461" s="18">
        <f>IF(B1461="","",YEAR(B1461))</f>
        <v/>
      </c>
      <c r="L1461" s="18">
        <f>IF(B1461="","",MONTH(B1461))</f>
        <v/>
      </c>
      <c r="M1461" s="18">
        <f>IF(OR(B1461="",I1461=""),"",I1461-B1461)</f>
        <v/>
      </c>
      <c r="N1461" s="21">
        <f>IF(B1461="","",IF(I1461="",IF(H1461="","",IF(TODAY()&gt;H1461,"Atrasado (em aberto)","Em aberto")),IF(I1461&lt;=H1461,"No prazo","Fora do prazo")))</f>
        <v/>
      </c>
    </row>
    <row r="1462">
      <c r="B1462" s="22" t="n"/>
      <c r="E1462" s="23" t="n"/>
      <c r="F1462" s="24" t="n"/>
      <c r="H1462" s="22" t="n"/>
      <c r="I1462" s="22" t="n"/>
      <c r="J1462" s="21">
        <f>IF(C1462="","",IFERROR(INDEX(Clientes!$B:$B,MATCH(C1462,Clientes!$A:$A,0)),"Cód. não cadastrado"))</f>
        <v/>
      </c>
      <c r="K1462" s="18">
        <f>IF(B1462="","",YEAR(B1462))</f>
        <v/>
      </c>
      <c r="L1462" s="18">
        <f>IF(B1462="","",MONTH(B1462))</f>
        <v/>
      </c>
      <c r="M1462" s="18">
        <f>IF(OR(B1462="",I1462=""),"",I1462-B1462)</f>
        <v/>
      </c>
      <c r="N1462" s="21">
        <f>IF(B1462="","",IF(I1462="",IF(H1462="","",IF(TODAY()&gt;H1462,"Atrasado (em aberto)","Em aberto")),IF(I1462&lt;=H1462,"No prazo","Fora do prazo")))</f>
        <v/>
      </c>
    </row>
    <row r="1463">
      <c r="B1463" s="22" t="n"/>
      <c r="E1463" s="23" t="n"/>
      <c r="F1463" s="24" t="n"/>
      <c r="H1463" s="22" t="n"/>
      <c r="I1463" s="22" t="n"/>
      <c r="J1463" s="21">
        <f>IF(C1463="","",IFERROR(INDEX(Clientes!$B:$B,MATCH(C1463,Clientes!$A:$A,0)),"Cód. não cadastrado"))</f>
        <v/>
      </c>
      <c r="K1463" s="18">
        <f>IF(B1463="","",YEAR(B1463))</f>
        <v/>
      </c>
      <c r="L1463" s="18">
        <f>IF(B1463="","",MONTH(B1463))</f>
        <v/>
      </c>
      <c r="M1463" s="18">
        <f>IF(OR(B1463="",I1463=""),"",I1463-B1463)</f>
        <v/>
      </c>
      <c r="N1463" s="21">
        <f>IF(B1463="","",IF(I1463="",IF(H1463="","",IF(TODAY()&gt;H1463,"Atrasado (em aberto)","Em aberto")),IF(I1463&lt;=H1463,"No prazo","Fora do prazo")))</f>
        <v/>
      </c>
    </row>
    <row r="1464">
      <c r="B1464" s="22" t="n"/>
      <c r="E1464" s="23" t="n"/>
      <c r="F1464" s="24" t="n"/>
      <c r="H1464" s="22" t="n"/>
      <c r="I1464" s="22" t="n"/>
      <c r="J1464" s="21">
        <f>IF(C1464="","",IFERROR(INDEX(Clientes!$B:$B,MATCH(C1464,Clientes!$A:$A,0)),"Cód. não cadastrado"))</f>
        <v/>
      </c>
      <c r="K1464" s="18">
        <f>IF(B1464="","",YEAR(B1464))</f>
        <v/>
      </c>
      <c r="L1464" s="18">
        <f>IF(B1464="","",MONTH(B1464))</f>
        <v/>
      </c>
      <c r="M1464" s="18">
        <f>IF(OR(B1464="",I1464=""),"",I1464-B1464)</f>
        <v/>
      </c>
      <c r="N1464" s="21">
        <f>IF(B1464="","",IF(I1464="",IF(H1464="","",IF(TODAY()&gt;H1464,"Atrasado (em aberto)","Em aberto")),IF(I1464&lt;=H1464,"No prazo","Fora do prazo")))</f>
        <v/>
      </c>
    </row>
    <row r="1465">
      <c r="B1465" s="22" t="n"/>
      <c r="E1465" s="23" t="n"/>
      <c r="F1465" s="24" t="n"/>
      <c r="H1465" s="22" t="n"/>
      <c r="I1465" s="22" t="n"/>
      <c r="J1465" s="21">
        <f>IF(C1465="","",IFERROR(INDEX(Clientes!$B:$B,MATCH(C1465,Clientes!$A:$A,0)),"Cód. não cadastrado"))</f>
        <v/>
      </c>
      <c r="K1465" s="18">
        <f>IF(B1465="","",YEAR(B1465))</f>
        <v/>
      </c>
      <c r="L1465" s="18">
        <f>IF(B1465="","",MONTH(B1465))</f>
        <v/>
      </c>
      <c r="M1465" s="18">
        <f>IF(OR(B1465="",I1465=""),"",I1465-B1465)</f>
        <v/>
      </c>
      <c r="N1465" s="21">
        <f>IF(B1465="","",IF(I1465="",IF(H1465="","",IF(TODAY()&gt;H1465,"Atrasado (em aberto)","Em aberto")),IF(I1465&lt;=H1465,"No prazo","Fora do prazo")))</f>
        <v/>
      </c>
    </row>
    <row r="1466">
      <c r="B1466" s="22" t="n"/>
      <c r="E1466" s="23" t="n"/>
      <c r="F1466" s="24" t="n"/>
      <c r="H1466" s="22" t="n"/>
      <c r="I1466" s="22" t="n"/>
      <c r="J1466" s="21">
        <f>IF(C1466="","",IFERROR(INDEX(Clientes!$B:$B,MATCH(C1466,Clientes!$A:$A,0)),"Cód. não cadastrado"))</f>
        <v/>
      </c>
      <c r="K1466" s="18">
        <f>IF(B1466="","",YEAR(B1466))</f>
        <v/>
      </c>
      <c r="L1466" s="18">
        <f>IF(B1466="","",MONTH(B1466))</f>
        <v/>
      </c>
      <c r="M1466" s="18">
        <f>IF(OR(B1466="",I1466=""),"",I1466-B1466)</f>
        <v/>
      </c>
      <c r="N1466" s="21">
        <f>IF(B1466="","",IF(I1466="",IF(H1466="","",IF(TODAY()&gt;H1466,"Atrasado (em aberto)","Em aberto")),IF(I1466&lt;=H1466,"No prazo","Fora do prazo")))</f>
        <v/>
      </c>
    </row>
    <row r="1467">
      <c r="B1467" s="22" t="n"/>
      <c r="E1467" s="23" t="n"/>
      <c r="F1467" s="24" t="n"/>
      <c r="H1467" s="22" t="n"/>
      <c r="I1467" s="22" t="n"/>
      <c r="J1467" s="21">
        <f>IF(C1467="","",IFERROR(INDEX(Clientes!$B:$B,MATCH(C1467,Clientes!$A:$A,0)),"Cód. não cadastrado"))</f>
        <v/>
      </c>
      <c r="K1467" s="18">
        <f>IF(B1467="","",YEAR(B1467))</f>
        <v/>
      </c>
      <c r="L1467" s="18">
        <f>IF(B1467="","",MONTH(B1467))</f>
        <v/>
      </c>
      <c r="M1467" s="18">
        <f>IF(OR(B1467="",I1467=""),"",I1467-B1467)</f>
        <v/>
      </c>
      <c r="N1467" s="21">
        <f>IF(B1467="","",IF(I1467="",IF(H1467="","",IF(TODAY()&gt;H1467,"Atrasado (em aberto)","Em aberto")),IF(I1467&lt;=H1467,"No prazo","Fora do prazo")))</f>
        <v/>
      </c>
    </row>
    <row r="1468">
      <c r="B1468" s="22" t="n"/>
      <c r="E1468" s="23" t="n"/>
      <c r="F1468" s="24" t="n"/>
      <c r="H1468" s="22" t="n"/>
      <c r="I1468" s="22" t="n"/>
      <c r="J1468" s="21">
        <f>IF(C1468="","",IFERROR(INDEX(Clientes!$B:$B,MATCH(C1468,Clientes!$A:$A,0)),"Cód. não cadastrado"))</f>
        <v/>
      </c>
      <c r="K1468" s="18">
        <f>IF(B1468="","",YEAR(B1468))</f>
        <v/>
      </c>
      <c r="L1468" s="18">
        <f>IF(B1468="","",MONTH(B1468))</f>
        <v/>
      </c>
      <c r="M1468" s="18">
        <f>IF(OR(B1468="",I1468=""),"",I1468-B1468)</f>
        <v/>
      </c>
      <c r="N1468" s="21">
        <f>IF(B1468="","",IF(I1468="",IF(H1468="","",IF(TODAY()&gt;H1468,"Atrasado (em aberto)","Em aberto")),IF(I1468&lt;=H1468,"No prazo","Fora do prazo")))</f>
        <v/>
      </c>
    </row>
    <row r="1469">
      <c r="B1469" s="22" t="n"/>
      <c r="E1469" s="23" t="n"/>
      <c r="F1469" s="24" t="n"/>
      <c r="H1469" s="22" t="n"/>
      <c r="I1469" s="22" t="n"/>
      <c r="J1469" s="21">
        <f>IF(C1469="","",IFERROR(INDEX(Clientes!$B:$B,MATCH(C1469,Clientes!$A:$A,0)),"Cód. não cadastrado"))</f>
        <v/>
      </c>
      <c r="K1469" s="18">
        <f>IF(B1469="","",YEAR(B1469))</f>
        <v/>
      </c>
      <c r="L1469" s="18">
        <f>IF(B1469="","",MONTH(B1469))</f>
        <v/>
      </c>
      <c r="M1469" s="18">
        <f>IF(OR(B1469="",I1469=""),"",I1469-B1469)</f>
        <v/>
      </c>
      <c r="N1469" s="21">
        <f>IF(B1469="","",IF(I1469="",IF(H1469="","",IF(TODAY()&gt;H1469,"Atrasado (em aberto)","Em aberto")),IF(I1469&lt;=H1469,"No prazo","Fora do prazo")))</f>
        <v/>
      </c>
    </row>
    <row r="1470">
      <c r="B1470" s="22" t="n"/>
      <c r="E1470" s="23" t="n"/>
      <c r="F1470" s="24" t="n"/>
      <c r="H1470" s="22" t="n"/>
      <c r="I1470" s="22" t="n"/>
      <c r="J1470" s="21">
        <f>IF(C1470="","",IFERROR(INDEX(Clientes!$B:$B,MATCH(C1470,Clientes!$A:$A,0)),"Cód. não cadastrado"))</f>
        <v/>
      </c>
      <c r="K1470" s="18">
        <f>IF(B1470="","",YEAR(B1470))</f>
        <v/>
      </c>
      <c r="L1470" s="18">
        <f>IF(B1470="","",MONTH(B1470))</f>
        <v/>
      </c>
      <c r="M1470" s="18">
        <f>IF(OR(B1470="",I1470=""),"",I1470-B1470)</f>
        <v/>
      </c>
      <c r="N1470" s="21">
        <f>IF(B1470="","",IF(I1470="",IF(H1470="","",IF(TODAY()&gt;H1470,"Atrasado (em aberto)","Em aberto")),IF(I1470&lt;=H1470,"No prazo","Fora do prazo")))</f>
        <v/>
      </c>
    </row>
    <row r="1471">
      <c r="B1471" s="22" t="n"/>
      <c r="E1471" s="23" t="n"/>
      <c r="F1471" s="24" t="n"/>
      <c r="H1471" s="22" t="n"/>
      <c r="I1471" s="22" t="n"/>
      <c r="J1471" s="21">
        <f>IF(C1471="","",IFERROR(INDEX(Clientes!$B:$B,MATCH(C1471,Clientes!$A:$A,0)),"Cód. não cadastrado"))</f>
        <v/>
      </c>
      <c r="K1471" s="18">
        <f>IF(B1471="","",YEAR(B1471))</f>
        <v/>
      </c>
      <c r="L1471" s="18">
        <f>IF(B1471="","",MONTH(B1471))</f>
        <v/>
      </c>
      <c r="M1471" s="18">
        <f>IF(OR(B1471="",I1471=""),"",I1471-B1471)</f>
        <v/>
      </c>
      <c r="N1471" s="21">
        <f>IF(B1471="","",IF(I1471="",IF(H1471="","",IF(TODAY()&gt;H1471,"Atrasado (em aberto)","Em aberto")),IF(I1471&lt;=H1471,"No prazo","Fora do prazo")))</f>
        <v/>
      </c>
    </row>
    <row r="1472">
      <c r="B1472" s="22" t="n"/>
      <c r="E1472" s="23" t="n"/>
      <c r="F1472" s="24" t="n"/>
      <c r="H1472" s="22" t="n"/>
      <c r="I1472" s="22" t="n"/>
      <c r="J1472" s="21">
        <f>IF(C1472="","",IFERROR(INDEX(Clientes!$B:$B,MATCH(C1472,Clientes!$A:$A,0)),"Cód. não cadastrado"))</f>
        <v/>
      </c>
      <c r="K1472" s="18">
        <f>IF(B1472="","",YEAR(B1472))</f>
        <v/>
      </c>
      <c r="L1472" s="18">
        <f>IF(B1472="","",MONTH(B1472))</f>
        <v/>
      </c>
      <c r="M1472" s="18">
        <f>IF(OR(B1472="",I1472=""),"",I1472-B1472)</f>
        <v/>
      </c>
      <c r="N1472" s="21">
        <f>IF(B1472="","",IF(I1472="",IF(H1472="","",IF(TODAY()&gt;H1472,"Atrasado (em aberto)","Em aberto")),IF(I1472&lt;=H1472,"No prazo","Fora do prazo")))</f>
        <v/>
      </c>
    </row>
    <row r="1473">
      <c r="B1473" s="22" t="n"/>
      <c r="E1473" s="23" t="n"/>
      <c r="F1473" s="24" t="n"/>
      <c r="H1473" s="22" t="n"/>
      <c r="I1473" s="22" t="n"/>
      <c r="J1473" s="21">
        <f>IF(C1473="","",IFERROR(INDEX(Clientes!$B:$B,MATCH(C1473,Clientes!$A:$A,0)),"Cód. não cadastrado"))</f>
        <v/>
      </c>
      <c r="K1473" s="18">
        <f>IF(B1473="","",YEAR(B1473))</f>
        <v/>
      </c>
      <c r="L1473" s="18">
        <f>IF(B1473="","",MONTH(B1473))</f>
        <v/>
      </c>
      <c r="M1473" s="18">
        <f>IF(OR(B1473="",I1473=""),"",I1473-B1473)</f>
        <v/>
      </c>
      <c r="N1473" s="21">
        <f>IF(B1473="","",IF(I1473="",IF(H1473="","",IF(TODAY()&gt;H1473,"Atrasado (em aberto)","Em aberto")),IF(I1473&lt;=H1473,"No prazo","Fora do prazo")))</f>
        <v/>
      </c>
    </row>
    <row r="1474">
      <c r="B1474" s="22" t="n"/>
      <c r="E1474" s="23" t="n"/>
      <c r="F1474" s="24" t="n"/>
      <c r="H1474" s="22" t="n"/>
      <c r="I1474" s="22" t="n"/>
      <c r="J1474" s="21">
        <f>IF(C1474="","",IFERROR(INDEX(Clientes!$B:$B,MATCH(C1474,Clientes!$A:$A,0)),"Cód. não cadastrado"))</f>
        <v/>
      </c>
      <c r="K1474" s="18">
        <f>IF(B1474="","",YEAR(B1474))</f>
        <v/>
      </c>
      <c r="L1474" s="18">
        <f>IF(B1474="","",MONTH(B1474))</f>
        <v/>
      </c>
      <c r="M1474" s="18">
        <f>IF(OR(B1474="",I1474=""),"",I1474-B1474)</f>
        <v/>
      </c>
      <c r="N1474" s="21">
        <f>IF(B1474="","",IF(I1474="",IF(H1474="","",IF(TODAY()&gt;H1474,"Atrasado (em aberto)","Em aberto")),IF(I1474&lt;=H1474,"No prazo","Fora do prazo")))</f>
        <v/>
      </c>
    </row>
    <row r="1475">
      <c r="B1475" s="22" t="n"/>
      <c r="E1475" s="23" t="n"/>
      <c r="F1475" s="24" t="n"/>
      <c r="H1475" s="22" t="n"/>
      <c r="I1475" s="22" t="n"/>
      <c r="J1475" s="21">
        <f>IF(C1475="","",IFERROR(INDEX(Clientes!$B:$B,MATCH(C1475,Clientes!$A:$A,0)),"Cód. não cadastrado"))</f>
        <v/>
      </c>
      <c r="K1475" s="18">
        <f>IF(B1475="","",YEAR(B1475))</f>
        <v/>
      </c>
      <c r="L1475" s="18">
        <f>IF(B1475="","",MONTH(B1475))</f>
        <v/>
      </c>
      <c r="M1475" s="18">
        <f>IF(OR(B1475="",I1475=""),"",I1475-B1475)</f>
        <v/>
      </c>
      <c r="N1475" s="21">
        <f>IF(B1475="","",IF(I1475="",IF(H1475="","",IF(TODAY()&gt;H1475,"Atrasado (em aberto)","Em aberto")),IF(I1475&lt;=H1475,"No prazo","Fora do prazo")))</f>
        <v/>
      </c>
    </row>
    <row r="1476">
      <c r="B1476" s="22" t="n"/>
      <c r="E1476" s="23" t="n"/>
      <c r="F1476" s="24" t="n"/>
      <c r="H1476" s="22" t="n"/>
      <c r="I1476" s="22" t="n"/>
      <c r="J1476" s="21">
        <f>IF(C1476="","",IFERROR(INDEX(Clientes!$B:$B,MATCH(C1476,Clientes!$A:$A,0)),"Cód. não cadastrado"))</f>
        <v/>
      </c>
      <c r="K1476" s="18">
        <f>IF(B1476="","",YEAR(B1476))</f>
        <v/>
      </c>
      <c r="L1476" s="18">
        <f>IF(B1476="","",MONTH(B1476))</f>
        <v/>
      </c>
      <c r="M1476" s="18">
        <f>IF(OR(B1476="",I1476=""),"",I1476-B1476)</f>
        <v/>
      </c>
      <c r="N1476" s="21">
        <f>IF(B1476="","",IF(I1476="",IF(H1476="","",IF(TODAY()&gt;H1476,"Atrasado (em aberto)","Em aberto")),IF(I1476&lt;=H1476,"No prazo","Fora do prazo")))</f>
        <v/>
      </c>
    </row>
    <row r="1477">
      <c r="B1477" s="22" t="n"/>
      <c r="E1477" s="23" t="n"/>
      <c r="F1477" s="24" t="n"/>
      <c r="H1477" s="22" t="n"/>
      <c r="I1477" s="22" t="n"/>
      <c r="J1477" s="21">
        <f>IF(C1477="","",IFERROR(INDEX(Clientes!$B:$B,MATCH(C1477,Clientes!$A:$A,0)),"Cód. não cadastrado"))</f>
        <v/>
      </c>
      <c r="K1477" s="18">
        <f>IF(B1477="","",YEAR(B1477))</f>
        <v/>
      </c>
      <c r="L1477" s="18">
        <f>IF(B1477="","",MONTH(B1477))</f>
        <v/>
      </c>
      <c r="M1477" s="18">
        <f>IF(OR(B1477="",I1477=""),"",I1477-B1477)</f>
        <v/>
      </c>
      <c r="N1477" s="21">
        <f>IF(B1477="","",IF(I1477="",IF(H1477="","",IF(TODAY()&gt;H1477,"Atrasado (em aberto)","Em aberto")),IF(I1477&lt;=H1477,"No prazo","Fora do prazo")))</f>
        <v/>
      </c>
    </row>
    <row r="1478">
      <c r="B1478" s="22" t="n"/>
      <c r="E1478" s="23" t="n"/>
      <c r="F1478" s="24" t="n"/>
      <c r="H1478" s="22" t="n"/>
      <c r="I1478" s="22" t="n"/>
      <c r="J1478" s="21">
        <f>IF(C1478="","",IFERROR(INDEX(Clientes!$B:$B,MATCH(C1478,Clientes!$A:$A,0)),"Cód. não cadastrado"))</f>
        <v/>
      </c>
      <c r="K1478" s="18">
        <f>IF(B1478="","",YEAR(B1478))</f>
        <v/>
      </c>
      <c r="L1478" s="18">
        <f>IF(B1478="","",MONTH(B1478))</f>
        <v/>
      </c>
      <c r="M1478" s="18">
        <f>IF(OR(B1478="",I1478=""),"",I1478-B1478)</f>
        <v/>
      </c>
      <c r="N1478" s="21">
        <f>IF(B1478="","",IF(I1478="",IF(H1478="","",IF(TODAY()&gt;H1478,"Atrasado (em aberto)","Em aberto")),IF(I1478&lt;=H1478,"No prazo","Fora do prazo")))</f>
        <v/>
      </c>
    </row>
    <row r="1479">
      <c r="B1479" s="22" t="n"/>
      <c r="E1479" s="23" t="n"/>
      <c r="F1479" s="24" t="n"/>
      <c r="H1479" s="22" t="n"/>
      <c r="I1479" s="22" t="n"/>
      <c r="J1479" s="21">
        <f>IF(C1479="","",IFERROR(INDEX(Clientes!$B:$B,MATCH(C1479,Clientes!$A:$A,0)),"Cód. não cadastrado"))</f>
        <v/>
      </c>
      <c r="K1479" s="18">
        <f>IF(B1479="","",YEAR(B1479))</f>
        <v/>
      </c>
      <c r="L1479" s="18">
        <f>IF(B1479="","",MONTH(B1479))</f>
        <v/>
      </c>
      <c r="M1479" s="18">
        <f>IF(OR(B1479="",I1479=""),"",I1479-B1479)</f>
        <v/>
      </c>
      <c r="N1479" s="21">
        <f>IF(B1479="","",IF(I1479="",IF(H1479="","",IF(TODAY()&gt;H1479,"Atrasado (em aberto)","Em aberto")),IF(I1479&lt;=H1479,"No prazo","Fora do prazo")))</f>
        <v/>
      </c>
    </row>
    <row r="1480">
      <c r="B1480" s="22" t="n"/>
      <c r="E1480" s="23" t="n"/>
      <c r="F1480" s="24" t="n"/>
      <c r="H1480" s="22" t="n"/>
      <c r="I1480" s="22" t="n"/>
      <c r="J1480" s="21">
        <f>IF(C1480="","",IFERROR(INDEX(Clientes!$B:$B,MATCH(C1480,Clientes!$A:$A,0)),"Cód. não cadastrado"))</f>
        <v/>
      </c>
      <c r="K1480" s="18">
        <f>IF(B1480="","",YEAR(B1480))</f>
        <v/>
      </c>
      <c r="L1480" s="18">
        <f>IF(B1480="","",MONTH(B1480))</f>
        <v/>
      </c>
      <c r="M1480" s="18">
        <f>IF(OR(B1480="",I1480=""),"",I1480-B1480)</f>
        <v/>
      </c>
      <c r="N1480" s="21">
        <f>IF(B1480="","",IF(I1480="",IF(H1480="","",IF(TODAY()&gt;H1480,"Atrasado (em aberto)","Em aberto")),IF(I1480&lt;=H1480,"No prazo","Fora do prazo")))</f>
        <v/>
      </c>
    </row>
    <row r="1481">
      <c r="B1481" s="22" t="n"/>
      <c r="E1481" s="23" t="n"/>
      <c r="F1481" s="24" t="n"/>
      <c r="H1481" s="22" t="n"/>
      <c r="I1481" s="22" t="n"/>
      <c r="J1481" s="21">
        <f>IF(C1481="","",IFERROR(INDEX(Clientes!$B:$B,MATCH(C1481,Clientes!$A:$A,0)),"Cód. não cadastrado"))</f>
        <v/>
      </c>
      <c r="K1481" s="18">
        <f>IF(B1481="","",YEAR(B1481))</f>
        <v/>
      </c>
      <c r="L1481" s="18">
        <f>IF(B1481="","",MONTH(B1481))</f>
        <v/>
      </c>
      <c r="M1481" s="18">
        <f>IF(OR(B1481="",I1481=""),"",I1481-B1481)</f>
        <v/>
      </c>
      <c r="N1481" s="21">
        <f>IF(B1481="","",IF(I1481="",IF(H1481="","",IF(TODAY()&gt;H1481,"Atrasado (em aberto)","Em aberto")),IF(I1481&lt;=H1481,"No prazo","Fora do prazo")))</f>
        <v/>
      </c>
    </row>
    <row r="1482">
      <c r="B1482" s="22" t="n"/>
      <c r="E1482" s="23" t="n"/>
      <c r="F1482" s="24" t="n"/>
      <c r="H1482" s="22" t="n"/>
      <c r="I1482" s="22" t="n"/>
      <c r="J1482" s="21">
        <f>IF(C1482="","",IFERROR(INDEX(Clientes!$B:$B,MATCH(C1482,Clientes!$A:$A,0)),"Cód. não cadastrado"))</f>
        <v/>
      </c>
      <c r="K1482" s="18">
        <f>IF(B1482="","",YEAR(B1482))</f>
        <v/>
      </c>
      <c r="L1482" s="18">
        <f>IF(B1482="","",MONTH(B1482))</f>
        <v/>
      </c>
      <c r="M1482" s="18">
        <f>IF(OR(B1482="",I1482=""),"",I1482-B1482)</f>
        <v/>
      </c>
      <c r="N1482" s="21">
        <f>IF(B1482="","",IF(I1482="",IF(H1482="","",IF(TODAY()&gt;H1482,"Atrasado (em aberto)","Em aberto")),IF(I1482&lt;=H1482,"No prazo","Fora do prazo")))</f>
        <v/>
      </c>
    </row>
    <row r="1483">
      <c r="B1483" s="22" t="n"/>
      <c r="E1483" s="23" t="n"/>
      <c r="F1483" s="24" t="n"/>
      <c r="H1483" s="22" t="n"/>
      <c r="I1483" s="22" t="n"/>
      <c r="J1483" s="21">
        <f>IF(C1483="","",IFERROR(INDEX(Clientes!$B:$B,MATCH(C1483,Clientes!$A:$A,0)),"Cód. não cadastrado"))</f>
        <v/>
      </c>
      <c r="K1483" s="18">
        <f>IF(B1483="","",YEAR(B1483))</f>
        <v/>
      </c>
      <c r="L1483" s="18">
        <f>IF(B1483="","",MONTH(B1483))</f>
        <v/>
      </c>
      <c r="M1483" s="18">
        <f>IF(OR(B1483="",I1483=""),"",I1483-B1483)</f>
        <v/>
      </c>
      <c r="N1483" s="21">
        <f>IF(B1483="","",IF(I1483="",IF(H1483="","",IF(TODAY()&gt;H1483,"Atrasado (em aberto)","Em aberto")),IF(I1483&lt;=H1483,"No prazo","Fora do prazo")))</f>
        <v/>
      </c>
    </row>
    <row r="1484">
      <c r="B1484" s="22" t="n"/>
      <c r="E1484" s="23" t="n"/>
      <c r="F1484" s="24" t="n"/>
      <c r="H1484" s="22" t="n"/>
      <c r="I1484" s="22" t="n"/>
      <c r="J1484" s="21">
        <f>IF(C1484="","",IFERROR(INDEX(Clientes!$B:$B,MATCH(C1484,Clientes!$A:$A,0)),"Cód. não cadastrado"))</f>
        <v/>
      </c>
      <c r="K1484" s="18">
        <f>IF(B1484="","",YEAR(B1484))</f>
        <v/>
      </c>
      <c r="L1484" s="18">
        <f>IF(B1484="","",MONTH(B1484))</f>
        <v/>
      </c>
      <c r="M1484" s="18">
        <f>IF(OR(B1484="",I1484=""),"",I1484-B1484)</f>
        <v/>
      </c>
      <c r="N1484" s="21">
        <f>IF(B1484="","",IF(I1484="",IF(H1484="","",IF(TODAY()&gt;H1484,"Atrasado (em aberto)","Em aberto")),IF(I1484&lt;=H1484,"No prazo","Fora do prazo")))</f>
        <v/>
      </c>
    </row>
    <row r="1485">
      <c r="B1485" s="22" t="n"/>
      <c r="E1485" s="23" t="n"/>
      <c r="F1485" s="24" t="n"/>
      <c r="H1485" s="22" t="n"/>
      <c r="I1485" s="22" t="n"/>
      <c r="J1485" s="21">
        <f>IF(C1485="","",IFERROR(INDEX(Clientes!$B:$B,MATCH(C1485,Clientes!$A:$A,0)),"Cód. não cadastrado"))</f>
        <v/>
      </c>
      <c r="K1485" s="18">
        <f>IF(B1485="","",YEAR(B1485))</f>
        <v/>
      </c>
      <c r="L1485" s="18">
        <f>IF(B1485="","",MONTH(B1485))</f>
        <v/>
      </c>
      <c r="M1485" s="18">
        <f>IF(OR(B1485="",I1485=""),"",I1485-B1485)</f>
        <v/>
      </c>
      <c r="N1485" s="21">
        <f>IF(B1485="","",IF(I1485="",IF(H1485="","",IF(TODAY()&gt;H1485,"Atrasado (em aberto)","Em aberto")),IF(I1485&lt;=H1485,"No prazo","Fora do prazo")))</f>
        <v/>
      </c>
    </row>
    <row r="1486">
      <c r="B1486" s="22" t="n"/>
      <c r="E1486" s="23" t="n"/>
      <c r="F1486" s="24" t="n"/>
      <c r="H1486" s="22" t="n"/>
      <c r="I1486" s="22" t="n"/>
      <c r="J1486" s="21">
        <f>IF(C1486="","",IFERROR(INDEX(Clientes!$B:$B,MATCH(C1486,Clientes!$A:$A,0)),"Cód. não cadastrado"))</f>
        <v/>
      </c>
      <c r="K1486" s="18">
        <f>IF(B1486="","",YEAR(B1486))</f>
        <v/>
      </c>
      <c r="L1486" s="18">
        <f>IF(B1486="","",MONTH(B1486))</f>
        <v/>
      </c>
      <c r="M1486" s="18">
        <f>IF(OR(B1486="",I1486=""),"",I1486-B1486)</f>
        <v/>
      </c>
      <c r="N1486" s="21">
        <f>IF(B1486="","",IF(I1486="",IF(H1486="","",IF(TODAY()&gt;H1486,"Atrasado (em aberto)","Em aberto")),IF(I1486&lt;=H1486,"No prazo","Fora do prazo")))</f>
        <v/>
      </c>
    </row>
    <row r="1487">
      <c r="B1487" s="22" t="n"/>
      <c r="E1487" s="23" t="n"/>
      <c r="F1487" s="24" t="n"/>
      <c r="H1487" s="22" t="n"/>
      <c r="I1487" s="22" t="n"/>
      <c r="J1487" s="21">
        <f>IF(C1487="","",IFERROR(INDEX(Clientes!$B:$B,MATCH(C1487,Clientes!$A:$A,0)),"Cód. não cadastrado"))</f>
        <v/>
      </c>
      <c r="K1487" s="18">
        <f>IF(B1487="","",YEAR(B1487))</f>
        <v/>
      </c>
      <c r="L1487" s="18">
        <f>IF(B1487="","",MONTH(B1487))</f>
        <v/>
      </c>
      <c r="M1487" s="18">
        <f>IF(OR(B1487="",I1487=""),"",I1487-B1487)</f>
        <v/>
      </c>
      <c r="N1487" s="21">
        <f>IF(B1487="","",IF(I1487="",IF(H1487="","",IF(TODAY()&gt;H1487,"Atrasado (em aberto)","Em aberto")),IF(I1487&lt;=H1487,"No prazo","Fora do prazo")))</f>
        <v/>
      </c>
    </row>
    <row r="1488">
      <c r="B1488" s="22" t="n"/>
      <c r="E1488" s="23" t="n"/>
      <c r="F1488" s="24" t="n"/>
      <c r="H1488" s="22" t="n"/>
      <c r="I1488" s="22" t="n"/>
      <c r="J1488" s="21">
        <f>IF(C1488="","",IFERROR(INDEX(Clientes!$B:$B,MATCH(C1488,Clientes!$A:$A,0)),"Cód. não cadastrado"))</f>
        <v/>
      </c>
      <c r="K1488" s="18">
        <f>IF(B1488="","",YEAR(B1488))</f>
        <v/>
      </c>
      <c r="L1488" s="18">
        <f>IF(B1488="","",MONTH(B1488))</f>
        <v/>
      </c>
      <c r="M1488" s="18">
        <f>IF(OR(B1488="",I1488=""),"",I1488-B1488)</f>
        <v/>
      </c>
      <c r="N1488" s="21">
        <f>IF(B1488="","",IF(I1488="",IF(H1488="","",IF(TODAY()&gt;H1488,"Atrasado (em aberto)","Em aberto")),IF(I1488&lt;=H1488,"No prazo","Fora do prazo")))</f>
        <v/>
      </c>
    </row>
    <row r="1489">
      <c r="B1489" s="22" t="n"/>
      <c r="E1489" s="23" t="n"/>
      <c r="F1489" s="24" t="n"/>
      <c r="H1489" s="22" t="n"/>
      <c r="I1489" s="22" t="n"/>
      <c r="J1489" s="21">
        <f>IF(C1489="","",IFERROR(INDEX(Clientes!$B:$B,MATCH(C1489,Clientes!$A:$A,0)),"Cód. não cadastrado"))</f>
        <v/>
      </c>
      <c r="K1489" s="18">
        <f>IF(B1489="","",YEAR(B1489))</f>
        <v/>
      </c>
      <c r="L1489" s="18">
        <f>IF(B1489="","",MONTH(B1489))</f>
        <v/>
      </c>
      <c r="M1489" s="18">
        <f>IF(OR(B1489="",I1489=""),"",I1489-B1489)</f>
        <v/>
      </c>
      <c r="N1489" s="21">
        <f>IF(B1489="","",IF(I1489="",IF(H1489="","",IF(TODAY()&gt;H1489,"Atrasado (em aberto)","Em aberto")),IF(I1489&lt;=H1489,"No prazo","Fora do prazo")))</f>
        <v/>
      </c>
    </row>
    <row r="1490">
      <c r="B1490" s="22" t="n"/>
      <c r="E1490" s="23" t="n"/>
      <c r="F1490" s="24" t="n"/>
      <c r="H1490" s="22" t="n"/>
      <c r="I1490" s="22" t="n"/>
      <c r="J1490" s="21">
        <f>IF(C1490="","",IFERROR(INDEX(Clientes!$B:$B,MATCH(C1490,Clientes!$A:$A,0)),"Cód. não cadastrado"))</f>
        <v/>
      </c>
      <c r="K1490" s="18">
        <f>IF(B1490="","",YEAR(B1490))</f>
        <v/>
      </c>
      <c r="L1490" s="18">
        <f>IF(B1490="","",MONTH(B1490))</f>
        <v/>
      </c>
      <c r="M1490" s="18">
        <f>IF(OR(B1490="",I1490=""),"",I1490-B1490)</f>
        <v/>
      </c>
      <c r="N1490" s="21">
        <f>IF(B1490="","",IF(I1490="",IF(H1490="","",IF(TODAY()&gt;H1490,"Atrasado (em aberto)","Em aberto")),IF(I1490&lt;=H1490,"No prazo","Fora do prazo")))</f>
        <v/>
      </c>
    </row>
    <row r="1491">
      <c r="B1491" s="22" t="n"/>
      <c r="E1491" s="23" t="n"/>
      <c r="F1491" s="24" t="n"/>
      <c r="H1491" s="22" t="n"/>
      <c r="I1491" s="22" t="n"/>
      <c r="J1491" s="21">
        <f>IF(C1491="","",IFERROR(INDEX(Clientes!$B:$B,MATCH(C1491,Clientes!$A:$A,0)),"Cód. não cadastrado"))</f>
        <v/>
      </c>
      <c r="K1491" s="18">
        <f>IF(B1491="","",YEAR(B1491))</f>
        <v/>
      </c>
      <c r="L1491" s="18">
        <f>IF(B1491="","",MONTH(B1491))</f>
        <v/>
      </c>
      <c r="M1491" s="18">
        <f>IF(OR(B1491="",I1491=""),"",I1491-B1491)</f>
        <v/>
      </c>
      <c r="N1491" s="21">
        <f>IF(B1491="","",IF(I1491="",IF(H1491="","",IF(TODAY()&gt;H1491,"Atrasado (em aberto)","Em aberto")),IF(I1491&lt;=H1491,"No prazo","Fora do prazo")))</f>
        <v/>
      </c>
    </row>
    <row r="1492">
      <c r="B1492" s="22" t="n"/>
      <c r="E1492" s="23" t="n"/>
      <c r="F1492" s="24" t="n"/>
      <c r="H1492" s="22" t="n"/>
      <c r="I1492" s="22" t="n"/>
      <c r="J1492" s="21">
        <f>IF(C1492="","",IFERROR(INDEX(Clientes!$B:$B,MATCH(C1492,Clientes!$A:$A,0)),"Cód. não cadastrado"))</f>
        <v/>
      </c>
      <c r="K1492" s="18">
        <f>IF(B1492="","",YEAR(B1492))</f>
        <v/>
      </c>
      <c r="L1492" s="18">
        <f>IF(B1492="","",MONTH(B1492))</f>
        <v/>
      </c>
      <c r="M1492" s="18">
        <f>IF(OR(B1492="",I1492=""),"",I1492-B1492)</f>
        <v/>
      </c>
      <c r="N1492" s="21">
        <f>IF(B1492="","",IF(I1492="",IF(H1492="","",IF(TODAY()&gt;H1492,"Atrasado (em aberto)","Em aberto")),IF(I1492&lt;=H1492,"No prazo","Fora do prazo")))</f>
        <v/>
      </c>
    </row>
    <row r="1493">
      <c r="B1493" s="22" t="n"/>
      <c r="E1493" s="23" t="n"/>
      <c r="F1493" s="24" t="n"/>
      <c r="H1493" s="22" t="n"/>
      <c r="I1493" s="22" t="n"/>
      <c r="J1493" s="21">
        <f>IF(C1493="","",IFERROR(INDEX(Clientes!$B:$B,MATCH(C1493,Clientes!$A:$A,0)),"Cód. não cadastrado"))</f>
        <v/>
      </c>
      <c r="K1493" s="18">
        <f>IF(B1493="","",YEAR(B1493))</f>
        <v/>
      </c>
      <c r="L1493" s="18">
        <f>IF(B1493="","",MONTH(B1493))</f>
        <v/>
      </c>
      <c r="M1493" s="18">
        <f>IF(OR(B1493="",I1493=""),"",I1493-B1493)</f>
        <v/>
      </c>
      <c r="N1493" s="21">
        <f>IF(B1493="","",IF(I1493="",IF(H1493="","",IF(TODAY()&gt;H1493,"Atrasado (em aberto)","Em aberto")),IF(I1493&lt;=H1493,"No prazo","Fora do prazo")))</f>
        <v/>
      </c>
    </row>
    <row r="1494">
      <c r="B1494" s="22" t="n"/>
      <c r="E1494" s="23" t="n"/>
      <c r="F1494" s="24" t="n"/>
      <c r="H1494" s="22" t="n"/>
      <c r="I1494" s="22" t="n"/>
      <c r="J1494" s="21">
        <f>IF(C1494="","",IFERROR(INDEX(Clientes!$B:$B,MATCH(C1494,Clientes!$A:$A,0)),"Cód. não cadastrado"))</f>
        <v/>
      </c>
      <c r="K1494" s="18">
        <f>IF(B1494="","",YEAR(B1494))</f>
        <v/>
      </c>
      <c r="L1494" s="18">
        <f>IF(B1494="","",MONTH(B1494))</f>
        <v/>
      </c>
      <c r="M1494" s="18">
        <f>IF(OR(B1494="",I1494=""),"",I1494-B1494)</f>
        <v/>
      </c>
      <c r="N1494" s="21">
        <f>IF(B1494="","",IF(I1494="",IF(H1494="","",IF(TODAY()&gt;H1494,"Atrasado (em aberto)","Em aberto")),IF(I1494&lt;=H1494,"No prazo","Fora do prazo")))</f>
        <v/>
      </c>
    </row>
    <row r="1495">
      <c r="B1495" s="22" t="n"/>
      <c r="E1495" s="23" t="n"/>
      <c r="F1495" s="24" t="n"/>
      <c r="H1495" s="22" t="n"/>
      <c r="I1495" s="22" t="n"/>
      <c r="J1495" s="21">
        <f>IF(C1495="","",IFERROR(INDEX(Clientes!$B:$B,MATCH(C1495,Clientes!$A:$A,0)),"Cód. não cadastrado"))</f>
        <v/>
      </c>
      <c r="K1495" s="18">
        <f>IF(B1495="","",YEAR(B1495))</f>
        <v/>
      </c>
      <c r="L1495" s="18">
        <f>IF(B1495="","",MONTH(B1495))</f>
        <v/>
      </c>
      <c r="M1495" s="18">
        <f>IF(OR(B1495="",I1495=""),"",I1495-B1495)</f>
        <v/>
      </c>
      <c r="N1495" s="21">
        <f>IF(B1495="","",IF(I1495="",IF(H1495="","",IF(TODAY()&gt;H1495,"Atrasado (em aberto)","Em aberto")),IF(I1495&lt;=H1495,"No prazo","Fora do prazo")))</f>
        <v/>
      </c>
    </row>
    <row r="1496">
      <c r="B1496" s="22" t="n"/>
      <c r="E1496" s="23" t="n"/>
      <c r="F1496" s="24" t="n"/>
      <c r="H1496" s="22" t="n"/>
      <c r="I1496" s="22" t="n"/>
      <c r="J1496" s="21">
        <f>IF(C1496="","",IFERROR(INDEX(Clientes!$B:$B,MATCH(C1496,Clientes!$A:$A,0)),"Cód. não cadastrado"))</f>
        <v/>
      </c>
      <c r="K1496" s="18">
        <f>IF(B1496="","",YEAR(B1496))</f>
        <v/>
      </c>
      <c r="L1496" s="18">
        <f>IF(B1496="","",MONTH(B1496))</f>
        <v/>
      </c>
      <c r="M1496" s="18">
        <f>IF(OR(B1496="",I1496=""),"",I1496-B1496)</f>
        <v/>
      </c>
      <c r="N1496" s="21">
        <f>IF(B1496="","",IF(I1496="",IF(H1496="","",IF(TODAY()&gt;H1496,"Atrasado (em aberto)","Em aberto")),IF(I1496&lt;=H1496,"No prazo","Fora do prazo")))</f>
        <v/>
      </c>
    </row>
    <row r="1497">
      <c r="B1497" s="22" t="n"/>
      <c r="E1497" s="23" t="n"/>
      <c r="F1497" s="24" t="n"/>
      <c r="H1497" s="22" t="n"/>
      <c r="I1497" s="22" t="n"/>
      <c r="J1497" s="21">
        <f>IF(C1497="","",IFERROR(INDEX(Clientes!$B:$B,MATCH(C1497,Clientes!$A:$A,0)),"Cód. não cadastrado"))</f>
        <v/>
      </c>
      <c r="K1497" s="18">
        <f>IF(B1497="","",YEAR(B1497))</f>
        <v/>
      </c>
      <c r="L1497" s="18">
        <f>IF(B1497="","",MONTH(B1497))</f>
        <v/>
      </c>
      <c r="M1497" s="18">
        <f>IF(OR(B1497="",I1497=""),"",I1497-B1497)</f>
        <v/>
      </c>
      <c r="N1497" s="21">
        <f>IF(B1497="","",IF(I1497="",IF(H1497="","",IF(TODAY()&gt;H1497,"Atrasado (em aberto)","Em aberto")),IF(I1497&lt;=H1497,"No prazo","Fora do prazo")))</f>
        <v/>
      </c>
    </row>
    <row r="1498">
      <c r="B1498" s="22" t="n"/>
      <c r="E1498" s="23" t="n"/>
      <c r="F1498" s="24" t="n"/>
      <c r="H1498" s="22" t="n"/>
      <c r="I1498" s="22" t="n"/>
      <c r="J1498" s="21">
        <f>IF(C1498="","",IFERROR(INDEX(Clientes!$B:$B,MATCH(C1498,Clientes!$A:$A,0)),"Cód. não cadastrado"))</f>
        <v/>
      </c>
      <c r="K1498" s="18">
        <f>IF(B1498="","",YEAR(B1498))</f>
        <v/>
      </c>
      <c r="L1498" s="18">
        <f>IF(B1498="","",MONTH(B1498))</f>
        <v/>
      </c>
      <c r="M1498" s="18">
        <f>IF(OR(B1498="",I1498=""),"",I1498-B1498)</f>
        <v/>
      </c>
      <c r="N1498" s="21">
        <f>IF(B1498="","",IF(I1498="",IF(H1498="","",IF(TODAY()&gt;H1498,"Atrasado (em aberto)","Em aberto")),IF(I1498&lt;=H1498,"No prazo","Fora do prazo")))</f>
        <v/>
      </c>
    </row>
    <row r="1499">
      <c r="B1499" s="22" t="n"/>
      <c r="E1499" s="23" t="n"/>
      <c r="F1499" s="24" t="n"/>
      <c r="H1499" s="22" t="n"/>
      <c r="I1499" s="22" t="n"/>
      <c r="J1499" s="21">
        <f>IF(C1499="","",IFERROR(INDEX(Clientes!$B:$B,MATCH(C1499,Clientes!$A:$A,0)),"Cód. não cadastrado"))</f>
        <v/>
      </c>
      <c r="K1499" s="18">
        <f>IF(B1499="","",YEAR(B1499))</f>
        <v/>
      </c>
      <c r="L1499" s="18">
        <f>IF(B1499="","",MONTH(B1499))</f>
        <v/>
      </c>
      <c r="M1499" s="18">
        <f>IF(OR(B1499="",I1499=""),"",I1499-B1499)</f>
        <v/>
      </c>
      <c r="N1499" s="21">
        <f>IF(B1499="","",IF(I1499="",IF(H1499="","",IF(TODAY()&gt;H1499,"Atrasado (em aberto)","Em aberto")),IF(I1499&lt;=H1499,"No prazo","Fora do prazo")))</f>
        <v/>
      </c>
    </row>
    <row r="1500">
      <c r="B1500" s="22" t="n"/>
      <c r="E1500" s="23" t="n"/>
      <c r="F1500" s="24" t="n"/>
      <c r="H1500" s="22" t="n"/>
      <c r="I1500" s="22" t="n"/>
      <c r="J1500" s="21">
        <f>IF(C1500="","",IFERROR(INDEX(Clientes!$B:$B,MATCH(C1500,Clientes!$A:$A,0)),"Cód. não cadastrado"))</f>
        <v/>
      </c>
      <c r="K1500" s="18">
        <f>IF(B1500="","",YEAR(B1500))</f>
        <v/>
      </c>
      <c r="L1500" s="18">
        <f>IF(B1500="","",MONTH(B1500))</f>
        <v/>
      </c>
      <c r="M1500" s="18">
        <f>IF(OR(B1500="",I1500=""),"",I1500-B1500)</f>
        <v/>
      </c>
      <c r="N1500" s="21">
        <f>IF(B1500="","",IF(I1500="",IF(H1500="","",IF(TODAY()&gt;H1500,"Atrasado (em aberto)","Em aberto")),IF(I1500&lt;=H1500,"No prazo","Fora do prazo")))</f>
        <v/>
      </c>
    </row>
    <row r="1501">
      <c r="B1501" s="22" t="n"/>
      <c r="E1501" s="23" t="n"/>
      <c r="F1501" s="24" t="n"/>
      <c r="H1501" s="22" t="n"/>
      <c r="I1501" s="22" t="n"/>
      <c r="J1501" s="21">
        <f>IF(C1501="","",IFERROR(INDEX(Clientes!$B:$B,MATCH(C1501,Clientes!$A:$A,0)),"Cód. não cadastrado"))</f>
        <v/>
      </c>
      <c r="K1501" s="18">
        <f>IF(B1501="","",YEAR(B1501))</f>
        <v/>
      </c>
      <c r="L1501" s="18">
        <f>IF(B1501="","",MONTH(B1501))</f>
        <v/>
      </c>
      <c r="M1501" s="18">
        <f>IF(OR(B1501="",I1501=""),"",I1501-B1501)</f>
        <v/>
      </c>
      <c r="N1501" s="21">
        <f>IF(B1501="","",IF(I1501="",IF(H1501="","",IF(TODAY()&gt;H1501,"Atrasado (em aberto)","Em aberto")),IF(I1501&lt;=H1501,"No prazo","Fora do prazo")))</f>
        <v/>
      </c>
    </row>
    <row r="1502">
      <c r="B1502" s="22" t="n"/>
      <c r="E1502" s="23" t="n"/>
      <c r="F1502" s="24" t="n"/>
      <c r="H1502" s="22" t="n"/>
      <c r="I1502" s="22" t="n"/>
      <c r="J1502" s="21">
        <f>IF(C1502="","",IFERROR(INDEX(Clientes!$B:$B,MATCH(C1502,Clientes!$A:$A,0)),"Cód. não cadastrado"))</f>
        <v/>
      </c>
      <c r="K1502" s="18">
        <f>IF(B1502="","",YEAR(B1502))</f>
        <v/>
      </c>
      <c r="L1502" s="18">
        <f>IF(B1502="","",MONTH(B1502))</f>
        <v/>
      </c>
      <c r="M1502" s="18">
        <f>IF(OR(B1502="",I1502=""),"",I1502-B1502)</f>
        <v/>
      </c>
      <c r="N1502" s="21">
        <f>IF(B1502="","",IF(I1502="",IF(H1502="","",IF(TODAY()&gt;H1502,"Atrasado (em aberto)","Em aberto")),IF(I1502&lt;=H1502,"No prazo","Fora do prazo")))</f>
        <v/>
      </c>
    </row>
    <row r="1503">
      <c r="B1503" s="22" t="n"/>
      <c r="E1503" s="23" t="n"/>
      <c r="F1503" s="24" t="n"/>
      <c r="H1503" s="22" t="n"/>
      <c r="I1503" s="22" t="n"/>
      <c r="J1503" s="21">
        <f>IF(C1503="","",IFERROR(INDEX(Clientes!$B:$B,MATCH(C1503,Clientes!$A:$A,0)),"Cód. não cadastrado"))</f>
        <v/>
      </c>
      <c r="K1503" s="18">
        <f>IF(B1503="","",YEAR(B1503))</f>
        <v/>
      </c>
      <c r="L1503" s="18">
        <f>IF(B1503="","",MONTH(B1503))</f>
        <v/>
      </c>
      <c r="M1503" s="18">
        <f>IF(OR(B1503="",I1503=""),"",I1503-B1503)</f>
        <v/>
      </c>
      <c r="N1503" s="21">
        <f>IF(B1503="","",IF(I1503="",IF(H1503="","",IF(TODAY()&gt;H1503,"Atrasado (em aberto)","Em aberto")),IF(I1503&lt;=H1503,"No prazo","Fora do prazo")))</f>
        <v/>
      </c>
    </row>
    <row r="1504">
      <c r="B1504" s="22" t="n"/>
      <c r="E1504" s="23" t="n"/>
      <c r="F1504" s="24" t="n"/>
      <c r="H1504" s="22" t="n"/>
      <c r="I1504" s="22" t="n"/>
      <c r="J1504" s="21">
        <f>IF(C1504="","",IFERROR(INDEX(Clientes!$B:$B,MATCH(C1504,Clientes!$A:$A,0)),"Cód. não cadastrado"))</f>
        <v/>
      </c>
      <c r="K1504" s="18">
        <f>IF(B1504="","",YEAR(B1504))</f>
        <v/>
      </c>
      <c r="L1504" s="18">
        <f>IF(B1504="","",MONTH(B1504))</f>
        <v/>
      </c>
      <c r="M1504" s="18">
        <f>IF(OR(B1504="",I1504=""),"",I1504-B1504)</f>
        <v/>
      </c>
      <c r="N1504" s="21">
        <f>IF(B1504="","",IF(I1504="",IF(H1504="","",IF(TODAY()&gt;H1504,"Atrasado (em aberto)","Em aberto")),IF(I1504&lt;=H1504,"No prazo","Fora do prazo")))</f>
        <v/>
      </c>
    </row>
    <row r="1505">
      <c r="B1505" s="22" t="n"/>
      <c r="E1505" s="23" t="n"/>
      <c r="F1505" s="24" t="n"/>
      <c r="H1505" s="22" t="n"/>
      <c r="I1505" s="22" t="n"/>
      <c r="J1505" s="21">
        <f>IF(C1505="","",IFERROR(INDEX(Clientes!$B:$B,MATCH(C1505,Clientes!$A:$A,0)),"Cód. não cadastrado"))</f>
        <v/>
      </c>
      <c r="K1505" s="18">
        <f>IF(B1505="","",YEAR(B1505))</f>
        <v/>
      </c>
      <c r="L1505" s="18">
        <f>IF(B1505="","",MONTH(B1505))</f>
        <v/>
      </c>
      <c r="M1505" s="18">
        <f>IF(OR(B1505="",I1505=""),"",I1505-B1505)</f>
        <v/>
      </c>
      <c r="N1505" s="21">
        <f>IF(B1505="","",IF(I1505="",IF(H1505="","",IF(TODAY()&gt;H1505,"Atrasado (em aberto)","Em aberto")),IF(I1505&lt;=H1505,"No prazo","Fora do prazo")))</f>
        <v/>
      </c>
    </row>
    <row r="1506">
      <c r="B1506" s="22" t="n"/>
      <c r="E1506" s="23" t="n"/>
      <c r="F1506" s="24" t="n"/>
      <c r="H1506" s="22" t="n"/>
      <c r="I1506" s="22" t="n"/>
      <c r="J1506" s="21">
        <f>IF(C1506="","",IFERROR(INDEX(Clientes!$B:$B,MATCH(C1506,Clientes!$A:$A,0)),"Cód. não cadastrado"))</f>
        <v/>
      </c>
      <c r="K1506" s="18">
        <f>IF(B1506="","",YEAR(B1506))</f>
        <v/>
      </c>
      <c r="L1506" s="18">
        <f>IF(B1506="","",MONTH(B1506))</f>
        <v/>
      </c>
      <c r="M1506" s="18">
        <f>IF(OR(B1506="",I1506=""),"",I1506-B1506)</f>
        <v/>
      </c>
      <c r="N1506" s="21">
        <f>IF(B1506="","",IF(I1506="",IF(H1506="","",IF(TODAY()&gt;H1506,"Atrasado (em aberto)","Em aberto")),IF(I1506&lt;=H1506,"No prazo","Fora do prazo")))</f>
        <v/>
      </c>
    </row>
    <row r="1507">
      <c r="B1507" s="22" t="n"/>
      <c r="E1507" s="23" t="n"/>
      <c r="F1507" s="24" t="n"/>
      <c r="H1507" s="22" t="n"/>
      <c r="I1507" s="22" t="n"/>
      <c r="J1507" s="21">
        <f>IF(C1507="","",IFERROR(INDEX(Clientes!$B:$B,MATCH(C1507,Clientes!$A:$A,0)),"Cód. não cadastrado"))</f>
        <v/>
      </c>
      <c r="K1507" s="18">
        <f>IF(B1507="","",YEAR(B1507))</f>
        <v/>
      </c>
      <c r="L1507" s="18">
        <f>IF(B1507="","",MONTH(B1507))</f>
        <v/>
      </c>
      <c r="M1507" s="18">
        <f>IF(OR(B1507="",I1507=""),"",I1507-B1507)</f>
        <v/>
      </c>
      <c r="N1507" s="21">
        <f>IF(B1507="","",IF(I1507="",IF(H1507="","",IF(TODAY()&gt;H1507,"Atrasado (em aberto)","Em aberto")),IF(I1507&lt;=H1507,"No prazo","Fora do prazo")))</f>
        <v/>
      </c>
    </row>
    <row r="1508">
      <c r="B1508" s="22" t="n"/>
      <c r="E1508" s="23" t="n"/>
      <c r="F1508" s="24" t="n"/>
      <c r="H1508" s="22" t="n"/>
      <c r="I1508" s="22" t="n"/>
      <c r="J1508" s="21">
        <f>IF(C1508="","",IFERROR(INDEX(Clientes!$B:$B,MATCH(C1508,Clientes!$A:$A,0)),"Cód. não cadastrado"))</f>
        <v/>
      </c>
      <c r="K1508" s="18">
        <f>IF(B1508="","",YEAR(B1508))</f>
        <v/>
      </c>
      <c r="L1508" s="18">
        <f>IF(B1508="","",MONTH(B1508))</f>
        <v/>
      </c>
      <c r="M1508" s="18">
        <f>IF(OR(B1508="",I1508=""),"",I1508-B1508)</f>
        <v/>
      </c>
      <c r="N1508" s="21">
        <f>IF(B1508="","",IF(I1508="",IF(H1508="","",IF(TODAY()&gt;H1508,"Atrasado (em aberto)","Em aberto")),IF(I1508&lt;=H1508,"No prazo","Fora do prazo")))</f>
        <v/>
      </c>
    </row>
    <row r="1509">
      <c r="B1509" s="22" t="n"/>
      <c r="E1509" s="23" t="n"/>
      <c r="F1509" s="24" t="n"/>
      <c r="H1509" s="22" t="n"/>
      <c r="I1509" s="22" t="n"/>
      <c r="J1509" s="21">
        <f>IF(C1509="","",IFERROR(INDEX(Clientes!$B:$B,MATCH(C1509,Clientes!$A:$A,0)),"Cód. não cadastrado"))</f>
        <v/>
      </c>
      <c r="K1509" s="18">
        <f>IF(B1509="","",YEAR(B1509))</f>
        <v/>
      </c>
      <c r="L1509" s="18">
        <f>IF(B1509="","",MONTH(B1509))</f>
        <v/>
      </c>
      <c r="M1509" s="18">
        <f>IF(OR(B1509="",I1509=""),"",I1509-B1509)</f>
        <v/>
      </c>
      <c r="N1509" s="21">
        <f>IF(B1509="","",IF(I1509="",IF(H1509="","",IF(TODAY()&gt;H1509,"Atrasado (em aberto)","Em aberto")),IF(I1509&lt;=H1509,"No prazo","Fora do prazo")))</f>
        <v/>
      </c>
    </row>
    <row r="1510">
      <c r="B1510" s="22" t="n"/>
      <c r="E1510" s="23" t="n"/>
      <c r="F1510" s="24" t="n"/>
      <c r="H1510" s="22" t="n"/>
      <c r="I1510" s="22" t="n"/>
      <c r="J1510" s="21">
        <f>IF(C1510="","",IFERROR(INDEX(Clientes!$B:$B,MATCH(C1510,Clientes!$A:$A,0)),"Cód. não cadastrado"))</f>
        <v/>
      </c>
      <c r="K1510" s="18">
        <f>IF(B1510="","",YEAR(B1510))</f>
        <v/>
      </c>
      <c r="L1510" s="18">
        <f>IF(B1510="","",MONTH(B1510))</f>
        <v/>
      </c>
      <c r="M1510" s="18">
        <f>IF(OR(B1510="",I1510=""),"",I1510-B1510)</f>
        <v/>
      </c>
      <c r="N1510" s="21">
        <f>IF(B1510="","",IF(I1510="",IF(H1510="","",IF(TODAY()&gt;H1510,"Atrasado (em aberto)","Em aberto")),IF(I1510&lt;=H1510,"No prazo","Fora do prazo")))</f>
        <v/>
      </c>
    </row>
    <row r="1511">
      <c r="B1511" s="22" t="n"/>
      <c r="E1511" s="23" t="n"/>
      <c r="F1511" s="24" t="n"/>
      <c r="H1511" s="22" t="n"/>
      <c r="I1511" s="22" t="n"/>
      <c r="J1511" s="21">
        <f>IF(C1511="","",IFERROR(INDEX(Clientes!$B:$B,MATCH(C1511,Clientes!$A:$A,0)),"Cód. não cadastrado"))</f>
        <v/>
      </c>
      <c r="K1511" s="18">
        <f>IF(B1511="","",YEAR(B1511))</f>
        <v/>
      </c>
      <c r="L1511" s="18">
        <f>IF(B1511="","",MONTH(B1511))</f>
        <v/>
      </c>
      <c r="M1511" s="18">
        <f>IF(OR(B1511="",I1511=""),"",I1511-B1511)</f>
        <v/>
      </c>
      <c r="N1511" s="21">
        <f>IF(B1511="","",IF(I1511="",IF(H1511="","",IF(TODAY()&gt;H1511,"Atrasado (em aberto)","Em aberto")),IF(I1511&lt;=H1511,"No prazo","Fora do prazo")))</f>
        <v/>
      </c>
    </row>
    <row r="1512">
      <c r="B1512" s="22" t="n"/>
      <c r="E1512" s="23" t="n"/>
      <c r="F1512" s="24" t="n"/>
      <c r="H1512" s="22" t="n"/>
      <c r="I1512" s="22" t="n"/>
      <c r="J1512" s="21">
        <f>IF(C1512="","",IFERROR(INDEX(Clientes!$B:$B,MATCH(C1512,Clientes!$A:$A,0)),"Cód. não cadastrado"))</f>
        <v/>
      </c>
      <c r="K1512" s="18">
        <f>IF(B1512="","",YEAR(B1512))</f>
        <v/>
      </c>
      <c r="L1512" s="18">
        <f>IF(B1512="","",MONTH(B1512))</f>
        <v/>
      </c>
      <c r="M1512" s="18">
        <f>IF(OR(B1512="",I1512=""),"",I1512-B1512)</f>
        <v/>
      </c>
      <c r="N1512" s="21">
        <f>IF(B1512="","",IF(I1512="",IF(H1512="","",IF(TODAY()&gt;H1512,"Atrasado (em aberto)","Em aberto")),IF(I1512&lt;=H1512,"No prazo","Fora do prazo")))</f>
        <v/>
      </c>
    </row>
    <row r="1513">
      <c r="B1513" s="22" t="n"/>
      <c r="E1513" s="23" t="n"/>
      <c r="F1513" s="24" t="n"/>
      <c r="H1513" s="22" t="n"/>
      <c r="I1513" s="22" t="n"/>
      <c r="J1513" s="21">
        <f>IF(C1513="","",IFERROR(INDEX(Clientes!$B:$B,MATCH(C1513,Clientes!$A:$A,0)),"Cód. não cadastrado"))</f>
        <v/>
      </c>
      <c r="K1513" s="18">
        <f>IF(B1513="","",YEAR(B1513))</f>
        <v/>
      </c>
      <c r="L1513" s="18">
        <f>IF(B1513="","",MONTH(B1513))</f>
        <v/>
      </c>
      <c r="M1513" s="18">
        <f>IF(OR(B1513="",I1513=""),"",I1513-B1513)</f>
        <v/>
      </c>
      <c r="N1513" s="21">
        <f>IF(B1513="","",IF(I1513="",IF(H1513="","",IF(TODAY()&gt;H1513,"Atrasado (em aberto)","Em aberto")),IF(I1513&lt;=H1513,"No prazo","Fora do prazo")))</f>
        <v/>
      </c>
    </row>
    <row r="1514">
      <c r="B1514" s="22" t="n"/>
      <c r="E1514" s="23" t="n"/>
      <c r="F1514" s="24" t="n"/>
      <c r="H1514" s="22" t="n"/>
      <c r="I1514" s="22" t="n"/>
      <c r="J1514" s="21">
        <f>IF(C1514="","",IFERROR(INDEX(Clientes!$B:$B,MATCH(C1514,Clientes!$A:$A,0)),"Cód. não cadastrado"))</f>
        <v/>
      </c>
      <c r="K1514" s="18">
        <f>IF(B1514="","",YEAR(B1514))</f>
        <v/>
      </c>
      <c r="L1514" s="18">
        <f>IF(B1514="","",MONTH(B1514))</f>
        <v/>
      </c>
      <c r="M1514" s="18">
        <f>IF(OR(B1514="",I1514=""),"",I1514-B1514)</f>
        <v/>
      </c>
      <c r="N1514" s="21">
        <f>IF(B1514="","",IF(I1514="",IF(H1514="","",IF(TODAY()&gt;H1514,"Atrasado (em aberto)","Em aberto")),IF(I1514&lt;=H1514,"No prazo","Fora do prazo")))</f>
        <v/>
      </c>
    </row>
    <row r="1515">
      <c r="B1515" s="22" t="n"/>
      <c r="E1515" s="23" t="n"/>
      <c r="F1515" s="24" t="n"/>
      <c r="H1515" s="22" t="n"/>
      <c r="I1515" s="22" t="n"/>
      <c r="J1515" s="21">
        <f>IF(C1515="","",IFERROR(INDEX(Clientes!$B:$B,MATCH(C1515,Clientes!$A:$A,0)),"Cód. não cadastrado"))</f>
        <v/>
      </c>
      <c r="K1515" s="18">
        <f>IF(B1515="","",YEAR(B1515))</f>
        <v/>
      </c>
      <c r="L1515" s="18">
        <f>IF(B1515="","",MONTH(B1515))</f>
        <v/>
      </c>
      <c r="M1515" s="18">
        <f>IF(OR(B1515="",I1515=""),"",I1515-B1515)</f>
        <v/>
      </c>
      <c r="N1515" s="21">
        <f>IF(B1515="","",IF(I1515="",IF(H1515="","",IF(TODAY()&gt;H1515,"Atrasado (em aberto)","Em aberto")),IF(I1515&lt;=H1515,"No prazo","Fora do prazo")))</f>
        <v/>
      </c>
    </row>
    <row r="1516">
      <c r="B1516" s="22" t="n"/>
      <c r="E1516" s="23" t="n"/>
      <c r="F1516" s="24" t="n"/>
      <c r="H1516" s="22" t="n"/>
      <c r="I1516" s="22" t="n"/>
      <c r="J1516" s="21">
        <f>IF(C1516="","",IFERROR(INDEX(Clientes!$B:$B,MATCH(C1516,Clientes!$A:$A,0)),"Cód. não cadastrado"))</f>
        <v/>
      </c>
      <c r="K1516" s="18">
        <f>IF(B1516="","",YEAR(B1516))</f>
        <v/>
      </c>
      <c r="L1516" s="18">
        <f>IF(B1516="","",MONTH(B1516))</f>
        <v/>
      </c>
      <c r="M1516" s="18">
        <f>IF(OR(B1516="",I1516=""),"",I1516-B1516)</f>
        <v/>
      </c>
      <c r="N1516" s="21">
        <f>IF(B1516="","",IF(I1516="",IF(H1516="","",IF(TODAY()&gt;H1516,"Atrasado (em aberto)","Em aberto")),IF(I1516&lt;=H1516,"No prazo","Fora do prazo")))</f>
        <v/>
      </c>
    </row>
    <row r="1517">
      <c r="B1517" s="22" t="n"/>
      <c r="E1517" s="23" t="n"/>
      <c r="F1517" s="24" t="n"/>
      <c r="H1517" s="22" t="n"/>
      <c r="I1517" s="22" t="n"/>
      <c r="J1517" s="21">
        <f>IF(C1517="","",IFERROR(INDEX(Clientes!$B:$B,MATCH(C1517,Clientes!$A:$A,0)),"Cód. não cadastrado"))</f>
        <v/>
      </c>
      <c r="K1517" s="18">
        <f>IF(B1517="","",YEAR(B1517))</f>
        <v/>
      </c>
      <c r="L1517" s="18">
        <f>IF(B1517="","",MONTH(B1517))</f>
        <v/>
      </c>
      <c r="M1517" s="18">
        <f>IF(OR(B1517="",I1517=""),"",I1517-B1517)</f>
        <v/>
      </c>
      <c r="N1517" s="21">
        <f>IF(B1517="","",IF(I1517="",IF(H1517="","",IF(TODAY()&gt;H1517,"Atrasado (em aberto)","Em aberto")),IF(I1517&lt;=H1517,"No prazo","Fora do prazo")))</f>
        <v/>
      </c>
    </row>
    <row r="1518">
      <c r="B1518" s="22" t="n"/>
      <c r="E1518" s="23" t="n"/>
      <c r="F1518" s="24" t="n"/>
      <c r="H1518" s="22" t="n"/>
      <c r="I1518" s="22" t="n"/>
      <c r="J1518" s="21">
        <f>IF(C1518="","",IFERROR(INDEX(Clientes!$B:$B,MATCH(C1518,Clientes!$A:$A,0)),"Cód. não cadastrado"))</f>
        <v/>
      </c>
      <c r="K1518" s="18">
        <f>IF(B1518="","",YEAR(B1518))</f>
        <v/>
      </c>
      <c r="L1518" s="18">
        <f>IF(B1518="","",MONTH(B1518))</f>
        <v/>
      </c>
      <c r="M1518" s="18">
        <f>IF(OR(B1518="",I1518=""),"",I1518-B1518)</f>
        <v/>
      </c>
      <c r="N1518" s="21">
        <f>IF(B1518="","",IF(I1518="",IF(H1518="","",IF(TODAY()&gt;H1518,"Atrasado (em aberto)","Em aberto")),IF(I1518&lt;=H1518,"No prazo","Fora do prazo")))</f>
        <v/>
      </c>
    </row>
    <row r="1519">
      <c r="B1519" s="22" t="n"/>
      <c r="E1519" s="23" t="n"/>
      <c r="F1519" s="24" t="n"/>
      <c r="H1519" s="22" t="n"/>
      <c r="I1519" s="22" t="n"/>
      <c r="J1519" s="21">
        <f>IF(C1519="","",IFERROR(INDEX(Clientes!$B:$B,MATCH(C1519,Clientes!$A:$A,0)),"Cód. não cadastrado"))</f>
        <v/>
      </c>
      <c r="K1519" s="18">
        <f>IF(B1519="","",YEAR(B1519))</f>
        <v/>
      </c>
      <c r="L1519" s="18">
        <f>IF(B1519="","",MONTH(B1519))</f>
        <v/>
      </c>
      <c r="M1519" s="18">
        <f>IF(OR(B1519="",I1519=""),"",I1519-B1519)</f>
        <v/>
      </c>
      <c r="N1519" s="21">
        <f>IF(B1519="","",IF(I1519="",IF(H1519="","",IF(TODAY()&gt;H1519,"Atrasado (em aberto)","Em aberto")),IF(I1519&lt;=H1519,"No prazo","Fora do prazo")))</f>
        <v/>
      </c>
    </row>
    <row r="1520">
      <c r="B1520" s="22" t="n"/>
      <c r="E1520" s="23" t="n"/>
      <c r="F1520" s="24" t="n"/>
      <c r="H1520" s="22" t="n"/>
      <c r="I1520" s="22" t="n"/>
      <c r="J1520" s="21">
        <f>IF(C1520="","",IFERROR(INDEX(Clientes!$B:$B,MATCH(C1520,Clientes!$A:$A,0)),"Cód. não cadastrado"))</f>
        <v/>
      </c>
      <c r="K1520" s="18">
        <f>IF(B1520="","",YEAR(B1520))</f>
        <v/>
      </c>
      <c r="L1520" s="18">
        <f>IF(B1520="","",MONTH(B1520))</f>
        <v/>
      </c>
      <c r="M1520" s="18">
        <f>IF(OR(B1520="",I1520=""),"",I1520-B1520)</f>
        <v/>
      </c>
      <c r="N1520" s="21">
        <f>IF(B1520="","",IF(I1520="",IF(H1520="","",IF(TODAY()&gt;H1520,"Atrasado (em aberto)","Em aberto")),IF(I1520&lt;=H1520,"No prazo","Fora do prazo")))</f>
        <v/>
      </c>
    </row>
    <row r="1521">
      <c r="B1521" s="22" t="n"/>
      <c r="E1521" s="23" t="n"/>
      <c r="F1521" s="24" t="n"/>
      <c r="H1521" s="22" t="n"/>
      <c r="I1521" s="22" t="n"/>
      <c r="J1521" s="21">
        <f>IF(C1521="","",IFERROR(INDEX(Clientes!$B:$B,MATCH(C1521,Clientes!$A:$A,0)),"Cód. não cadastrado"))</f>
        <v/>
      </c>
      <c r="K1521" s="18">
        <f>IF(B1521="","",YEAR(B1521))</f>
        <v/>
      </c>
      <c r="L1521" s="18">
        <f>IF(B1521="","",MONTH(B1521))</f>
        <v/>
      </c>
      <c r="M1521" s="18">
        <f>IF(OR(B1521="",I1521=""),"",I1521-B1521)</f>
        <v/>
      </c>
      <c r="N1521" s="21">
        <f>IF(B1521="","",IF(I1521="",IF(H1521="","",IF(TODAY()&gt;H1521,"Atrasado (em aberto)","Em aberto")),IF(I1521&lt;=H1521,"No prazo","Fora do prazo")))</f>
        <v/>
      </c>
    </row>
    <row r="1522">
      <c r="B1522" s="22" t="n"/>
      <c r="E1522" s="23" t="n"/>
      <c r="F1522" s="24" t="n"/>
      <c r="H1522" s="22" t="n"/>
      <c r="I1522" s="22" t="n"/>
      <c r="J1522" s="21">
        <f>IF(C1522="","",IFERROR(INDEX(Clientes!$B:$B,MATCH(C1522,Clientes!$A:$A,0)),"Cód. não cadastrado"))</f>
        <v/>
      </c>
      <c r="K1522" s="18">
        <f>IF(B1522="","",YEAR(B1522))</f>
        <v/>
      </c>
      <c r="L1522" s="18">
        <f>IF(B1522="","",MONTH(B1522))</f>
        <v/>
      </c>
      <c r="M1522" s="18">
        <f>IF(OR(B1522="",I1522=""),"",I1522-B1522)</f>
        <v/>
      </c>
      <c r="N1522" s="21">
        <f>IF(B1522="","",IF(I1522="",IF(H1522="","",IF(TODAY()&gt;H1522,"Atrasado (em aberto)","Em aberto")),IF(I1522&lt;=H1522,"No prazo","Fora do prazo")))</f>
        <v/>
      </c>
    </row>
    <row r="1523">
      <c r="B1523" s="22" t="n"/>
      <c r="E1523" s="23" t="n"/>
      <c r="F1523" s="24" t="n"/>
      <c r="H1523" s="22" t="n"/>
      <c r="I1523" s="22" t="n"/>
      <c r="J1523" s="21">
        <f>IF(C1523="","",IFERROR(INDEX(Clientes!$B:$B,MATCH(C1523,Clientes!$A:$A,0)),"Cód. não cadastrado"))</f>
        <v/>
      </c>
      <c r="K1523" s="18">
        <f>IF(B1523="","",YEAR(B1523))</f>
        <v/>
      </c>
      <c r="L1523" s="18">
        <f>IF(B1523="","",MONTH(B1523))</f>
        <v/>
      </c>
      <c r="M1523" s="18">
        <f>IF(OR(B1523="",I1523=""),"",I1523-B1523)</f>
        <v/>
      </c>
      <c r="N1523" s="21">
        <f>IF(B1523="","",IF(I1523="",IF(H1523="","",IF(TODAY()&gt;H1523,"Atrasado (em aberto)","Em aberto")),IF(I1523&lt;=H1523,"No prazo","Fora do prazo")))</f>
        <v/>
      </c>
    </row>
    <row r="1524">
      <c r="B1524" s="22" t="n"/>
      <c r="E1524" s="23" t="n"/>
      <c r="F1524" s="24" t="n"/>
      <c r="H1524" s="22" t="n"/>
      <c r="I1524" s="22" t="n"/>
      <c r="J1524" s="21">
        <f>IF(C1524="","",IFERROR(INDEX(Clientes!$B:$B,MATCH(C1524,Clientes!$A:$A,0)),"Cód. não cadastrado"))</f>
        <v/>
      </c>
      <c r="K1524" s="18">
        <f>IF(B1524="","",YEAR(B1524))</f>
        <v/>
      </c>
      <c r="L1524" s="18">
        <f>IF(B1524="","",MONTH(B1524))</f>
        <v/>
      </c>
      <c r="M1524" s="18">
        <f>IF(OR(B1524="",I1524=""),"",I1524-B1524)</f>
        <v/>
      </c>
      <c r="N1524" s="21">
        <f>IF(B1524="","",IF(I1524="",IF(H1524="","",IF(TODAY()&gt;H1524,"Atrasado (em aberto)","Em aberto")),IF(I1524&lt;=H1524,"No prazo","Fora do prazo")))</f>
        <v/>
      </c>
    </row>
    <row r="1525">
      <c r="B1525" s="22" t="n"/>
      <c r="E1525" s="23" t="n"/>
      <c r="F1525" s="24" t="n"/>
      <c r="H1525" s="22" t="n"/>
      <c r="I1525" s="22" t="n"/>
      <c r="J1525" s="21">
        <f>IF(C1525="","",IFERROR(INDEX(Clientes!$B:$B,MATCH(C1525,Clientes!$A:$A,0)),"Cód. não cadastrado"))</f>
        <v/>
      </c>
      <c r="K1525" s="18">
        <f>IF(B1525="","",YEAR(B1525))</f>
        <v/>
      </c>
      <c r="L1525" s="18">
        <f>IF(B1525="","",MONTH(B1525))</f>
        <v/>
      </c>
      <c r="M1525" s="18">
        <f>IF(OR(B1525="",I1525=""),"",I1525-B1525)</f>
        <v/>
      </c>
      <c r="N1525" s="21">
        <f>IF(B1525="","",IF(I1525="",IF(H1525="","",IF(TODAY()&gt;H1525,"Atrasado (em aberto)","Em aberto")),IF(I1525&lt;=H1525,"No prazo","Fora do prazo")))</f>
        <v/>
      </c>
    </row>
    <row r="1526">
      <c r="B1526" s="22" t="n"/>
      <c r="E1526" s="23" t="n"/>
      <c r="F1526" s="24" t="n"/>
      <c r="H1526" s="22" t="n"/>
      <c r="I1526" s="22" t="n"/>
      <c r="J1526" s="21">
        <f>IF(C1526="","",IFERROR(INDEX(Clientes!$B:$B,MATCH(C1526,Clientes!$A:$A,0)),"Cód. não cadastrado"))</f>
        <v/>
      </c>
      <c r="K1526" s="18">
        <f>IF(B1526="","",YEAR(B1526))</f>
        <v/>
      </c>
      <c r="L1526" s="18">
        <f>IF(B1526="","",MONTH(B1526))</f>
        <v/>
      </c>
      <c r="M1526" s="18">
        <f>IF(OR(B1526="",I1526=""),"",I1526-B1526)</f>
        <v/>
      </c>
      <c r="N1526" s="21">
        <f>IF(B1526="","",IF(I1526="",IF(H1526="","",IF(TODAY()&gt;H1526,"Atrasado (em aberto)","Em aberto")),IF(I1526&lt;=H1526,"No prazo","Fora do prazo")))</f>
        <v/>
      </c>
    </row>
    <row r="1527">
      <c r="B1527" s="22" t="n"/>
      <c r="E1527" s="23" t="n"/>
      <c r="F1527" s="24" t="n"/>
      <c r="H1527" s="22" t="n"/>
      <c r="I1527" s="22" t="n"/>
      <c r="J1527" s="21">
        <f>IF(C1527="","",IFERROR(INDEX(Clientes!$B:$B,MATCH(C1527,Clientes!$A:$A,0)),"Cód. não cadastrado"))</f>
        <v/>
      </c>
      <c r="K1527" s="18">
        <f>IF(B1527="","",YEAR(B1527))</f>
        <v/>
      </c>
      <c r="L1527" s="18">
        <f>IF(B1527="","",MONTH(B1527))</f>
        <v/>
      </c>
      <c r="M1527" s="18">
        <f>IF(OR(B1527="",I1527=""),"",I1527-B1527)</f>
        <v/>
      </c>
      <c r="N1527" s="21">
        <f>IF(B1527="","",IF(I1527="",IF(H1527="","",IF(TODAY()&gt;H1527,"Atrasado (em aberto)","Em aberto")),IF(I1527&lt;=H1527,"No prazo","Fora do prazo")))</f>
        <v/>
      </c>
    </row>
    <row r="1528">
      <c r="B1528" s="22" t="n"/>
      <c r="E1528" s="23" t="n"/>
      <c r="F1528" s="24" t="n"/>
      <c r="H1528" s="22" t="n"/>
      <c r="I1528" s="22" t="n"/>
      <c r="J1528" s="21">
        <f>IF(C1528="","",IFERROR(INDEX(Clientes!$B:$B,MATCH(C1528,Clientes!$A:$A,0)),"Cód. não cadastrado"))</f>
        <v/>
      </c>
      <c r="K1528" s="18">
        <f>IF(B1528="","",YEAR(B1528))</f>
        <v/>
      </c>
      <c r="L1528" s="18">
        <f>IF(B1528="","",MONTH(B1528))</f>
        <v/>
      </c>
      <c r="M1528" s="18">
        <f>IF(OR(B1528="",I1528=""),"",I1528-B1528)</f>
        <v/>
      </c>
      <c r="N1528" s="21">
        <f>IF(B1528="","",IF(I1528="",IF(H1528="","",IF(TODAY()&gt;H1528,"Atrasado (em aberto)","Em aberto")),IF(I1528&lt;=H1528,"No prazo","Fora do prazo")))</f>
        <v/>
      </c>
    </row>
    <row r="1529">
      <c r="B1529" s="22" t="n"/>
      <c r="E1529" s="23" t="n"/>
      <c r="F1529" s="24" t="n"/>
      <c r="H1529" s="22" t="n"/>
      <c r="I1529" s="22" t="n"/>
      <c r="J1529" s="21">
        <f>IF(C1529="","",IFERROR(INDEX(Clientes!$B:$B,MATCH(C1529,Clientes!$A:$A,0)),"Cód. não cadastrado"))</f>
        <v/>
      </c>
      <c r="K1529" s="18">
        <f>IF(B1529="","",YEAR(B1529))</f>
        <v/>
      </c>
      <c r="L1529" s="18">
        <f>IF(B1529="","",MONTH(B1529))</f>
        <v/>
      </c>
      <c r="M1529" s="18">
        <f>IF(OR(B1529="",I1529=""),"",I1529-B1529)</f>
        <v/>
      </c>
      <c r="N1529" s="21">
        <f>IF(B1529="","",IF(I1529="",IF(H1529="","",IF(TODAY()&gt;H1529,"Atrasado (em aberto)","Em aberto")),IF(I1529&lt;=H1529,"No prazo","Fora do prazo")))</f>
        <v/>
      </c>
    </row>
    <row r="1530">
      <c r="B1530" s="22" t="n"/>
      <c r="E1530" s="23" t="n"/>
      <c r="F1530" s="24" t="n"/>
      <c r="H1530" s="22" t="n"/>
      <c r="I1530" s="22" t="n"/>
      <c r="J1530" s="21">
        <f>IF(C1530="","",IFERROR(INDEX(Clientes!$B:$B,MATCH(C1530,Clientes!$A:$A,0)),"Cód. não cadastrado"))</f>
        <v/>
      </c>
      <c r="K1530" s="18">
        <f>IF(B1530="","",YEAR(B1530))</f>
        <v/>
      </c>
      <c r="L1530" s="18">
        <f>IF(B1530="","",MONTH(B1530))</f>
        <v/>
      </c>
      <c r="M1530" s="18">
        <f>IF(OR(B1530="",I1530=""),"",I1530-B1530)</f>
        <v/>
      </c>
      <c r="N1530" s="21">
        <f>IF(B1530="","",IF(I1530="",IF(H1530="","",IF(TODAY()&gt;H1530,"Atrasado (em aberto)","Em aberto")),IF(I1530&lt;=H1530,"No prazo","Fora do prazo")))</f>
        <v/>
      </c>
    </row>
    <row r="1531">
      <c r="B1531" s="22" t="n"/>
      <c r="E1531" s="23" t="n"/>
      <c r="F1531" s="24" t="n"/>
      <c r="H1531" s="22" t="n"/>
      <c r="I1531" s="22" t="n"/>
      <c r="J1531" s="21">
        <f>IF(C1531="","",IFERROR(INDEX(Clientes!$B:$B,MATCH(C1531,Clientes!$A:$A,0)),"Cód. não cadastrado"))</f>
        <v/>
      </c>
      <c r="K1531" s="18">
        <f>IF(B1531="","",YEAR(B1531))</f>
        <v/>
      </c>
      <c r="L1531" s="18">
        <f>IF(B1531="","",MONTH(B1531))</f>
        <v/>
      </c>
      <c r="M1531" s="18">
        <f>IF(OR(B1531="",I1531=""),"",I1531-B1531)</f>
        <v/>
      </c>
      <c r="N1531" s="21">
        <f>IF(B1531="","",IF(I1531="",IF(H1531="","",IF(TODAY()&gt;H1531,"Atrasado (em aberto)","Em aberto")),IF(I1531&lt;=H1531,"No prazo","Fora do prazo")))</f>
        <v/>
      </c>
    </row>
    <row r="1532">
      <c r="B1532" s="22" t="n"/>
      <c r="E1532" s="23" t="n"/>
      <c r="F1532" s="24" t="n"/>
      <c r="H1532" s="22" t="n"/>
      <c r="I1532" s="22" t="n"/>
      <c r="J1532" s="21">
        <f>IF(C1532="","",IFERROR(INDEX(Clientes!$B:$B,MATCH(C1532,Clientes!$A:$A,0)),"Cód. não cadastrado"))</f>
        <v/>
      </c>
      <c r="K1532" s="18">
        <f>IF(B1532="","",YEAR(B1532))</f>
        <v/>
      </c>
      <c r="L1532" s="18">
        <f>IF(B1532="","",MONTH(B1532))</f>
        <v/>
      </c>
      <c r="M1532" s="18">
        <f>IF(OR(B1532="",I1532=""),"",I1532-B1532)</f>
        <v/>
      </c>
      <c r="N1532" s="21">
        <f>IF(B1532="","",IF(I1532="",IF(H1532="","",IF(TODAY()&gt;H1532,"Atrasado (em aberto)","Em aberto")),IF(I1532&lt;=H1532,"No prazo","Fora do prazo")))</f>
        <v/>
      </c>
    </row>
    <row r="1533">
      <c r="B1533" s="22" t="n"/>
      <c r="E1533" s="23" t="n"/>
      <c r="F1533" s="24" t="n"/>
      <c r="H1533" s="22" t="n"/>
      <c r="I1533" s="22" t="n"/>
      <c r="J1533" s="21">
        <f>IF(C1533="","",IFERROR(INDEX(Clientes!$B:$B,MATCH(C1533,Clientes!$A:$A,0)),"Cód. não cadastrado"))</f>
        <v/>
      </c>
      <c r="K1533" s="18">
        <f>IF(B1533="","",YEAR(B1533))</f>
        <v/>
      </c>
      <c r="L1533" s="18">
        <f>IF(B1533="","",MONTH(B1533))</f>
        <v/>
      </c>
      <c r="M1533" s="18">
        <f>IF(OR(B1533="",I1533=""),"",I1533-B1533)</f>
        <v/>
      </c>
      <c r="N1533" s="21">
        <f>IF(B1533="","",IF(I1533="",IF(H1533="","",IF(TODAY()&gt;H1533,"Atrasado (em aberto)","Em aberto")),IF(I1533&lt;=H1533,"No prazo","Fora do prazo")))</f>
        <v/>
      </c>
    </row>
    <row r="1534">
      <c r="B1534" s="22" t="n"/>
      <c r="E1534" s="23" t="n"/>
      <c r="F1534" s="24" t="n"/>
      <c r="H1534" s="22" t="n"/>
      <c r="I1534" s="22" t="n"/>
      <c r="J1534" s="21">
        <f>IF(C1534="","",IFERROR(INDEX(Clientes!$B:$B,MATCH(C1534,Clientes!$A:$A,0)),"Cód. não cadastrado"))</f>
        <v/>
      </c>
      <c r="K1534" s="18">
        <f>IF(B1534="","",YEAR(B1534))</f>
        <v/>
      </c>
      <c r="L1534" s="18">
        <f>IF(B1534="","",MONTH(B1534))</f>
        <v/>
      </c>
      <c r="M1534" s="18">
        <f>IF(OR(B1534="",I1534=""),"",I1534-B1534)</f>
        <v/>
      </c>
      <c r="N1534" s="21">
        <f>IF(B1534="","",IF(I1534="",IF(H1534="","",IF(TODAY()&gt;H1534,"Atrasado (em aberto)","Em aberto")),IF(I1534&lt;=H1534,"No prazo","Fora do prazo")))</f>
        <v/>
      </c>
    </row>
    <row r="1535">
      <c r="B1535" s="22" t="n"/>
      <c r="E1535" s="23" t="n"/>
      <c r="F1535" s="24" t="n"/>
      <c r="H1535" s="22" t="n"/>
      <c r="I1535" s="22" t="n"/>
      <c r="J1535" s="21">
        <f>IF(C1535="","",IFERROR(INDEX(Clientes!$B:$B,MATCH(C1535,Clientes!$A:$A,0)),"Cód. não cadastrado"))</f>
        <v/>
      </c>
      <c r="K1535" s="18">
        <f>IF(B1535="","",YEAR(B1535))</f>
        <v/>
      </c>
      <c r="L1535" s="18">
        <f>IF(B1535="","",MONTH(B1535))</f>
        <v/>
      </c>
      <c r="M1535" s="18">
        <f>IF(OR(B1535="",I1535=""),"",I1535-B1535)</f>
        <v/>
      </c>
      <c r="N1535" s="21">
        <f>IF(B1535="","",IF(I1535="",IF(H1535="","",IF(TODAY()&gt;H1535,"Atrasado (em aberto)","Em aberto")),IF(I1535&lt;=H1535,"No prazo","Fora do prazo")))</f>
        <v/>
      </c>
    </row>
    <row r="1536">
      <c r="B1536" s="22" t="n"/>
      <c r="E1536" s="23" t="n"/>
      <c r="F1536" s="24" t="n"/>
      <c r="H1536" s="22" t="n"/>
      <c r="I1536" s="22" t="n"/>
      <c r="J1536" s="21">
        <f>IF(C1536="","",IFERROR(INDEX(Clientes!$B:$B,MATCH(C1536,Clientes!$A:$A,0)),"Cód. não cadastrado"))</f>
        <v/>
      </c>
      <c r="K1536" s="18">
        <f>IF(B1536="","",YEAR(B1536))</f>
        <v/>
      </c>
      <c r="L1536" s="18">
        <f>IF(B1536="","",MONTH(B1536))</f>
        <v/>
      </c>
      <c r="M1536" s="18">
        <f>IF(OR(B1536="",I1536=""),"",I1536-B1536)</f>
        <v/>
      </c>
      <c r="N1536" s="21">
        <f>IF(B1536="","",IF(I1536="",IF(H1536="","",IF(TODAY()&gt;H1536,"Atrasado (em aberto)","Em aberto")),IF(I1536&lt;=H1536,"No prazo","Fora do prazo")))</f>
        <v/>
      </c>
    </row>
    <row r="1537">
      <c r="B1537" s="22" t="n"/>
      <c r="E1537" s="23" t="n"/>
      <c r="F1537" s="24" t="n"/>
      <c r="H1537" s="22" t="n"/>
      <c r="I1537" s="22" t="n"/>
      <c r="J1537" s="21">
        <f>IF(C1537="","",IFERROR(INDEX(Clientes!$B:$B,MATCH(C1537,Clientes!$A:$A,0)),"Cód. não cadastrado"))</f>
        <v/>
      </c>
      <c r="K1537" s="18">
        <f>IF(B1537="","",YEAR(B1537))</f>
        <v/>
      </c>
      <c r="L1537" s="18">
        <f>IF(B1537="","",MONTH(B1537))</f>
        <v/>
      </c>
      <c r="M1537" s="18">
        <f>IF(OR(B1537="",I1537=""),"",I1537-B1537)</f>
        <v/>
      </c>
      <c r="N1537" s="21">
        <f>IF(B1537="","",IF(I1537="",IF(H1537="","",IF(TODAY()&gt;H1537,"Atrasado (em aberto)","Em aberto")),IF(I1537&lt;=H1537,"No prazo","Fora do prazo")))</f>
        <v/>
      </c>
    </row>
    <row r="1538">
      <c r="B1538" s="22" t="n"/>
      <c r="E1538" s="23" t="n"/>
      <c r="F1538" s="24" t="n"/>
      <c r="H1538" s="22" t="n"/>
      <c r="I1538" s="22" t="n"/>
      <c r="J1538" s="21">
        <f>IF(C1538="","",IFERROR(INDEX(Clientes!$B:$B,MATCH(C1538,Clientes!$A:$A,0)),"Cód. não cadastrado"))</f>
        <v/>
      </c>
      <c r="K1538" s="18">
        <f>IF(B1538="","",YEAR(B1538))</f>
        <v/>
      </c>
      <c r="L1538" s="18">
        <f>IF(B1538="","",MONTH(B1538))</f>
        <v/>
      </c>
      <c r="M1538" s="18">
        <f>IF(OR(B1538="",I1538=""),"",I1538-B1538)</f>
        <v/>
      </c>
      <c r="N1538" s="21">
        <f>IF(B1538="","",IF(I1538="",IF(H1538="","",IF(TODAY()&gt;H1538,"Atrasado (em aberto)","Em aberto")),IF(I1538&lt;=H1538,"No prazo","Fora do prazo")))</f>
        <v/>
      </c>
    </row>
    <row r="1539">
      <c r="B1539" s="22" t="n"/>
      <c r="E1539" s="23" t="n"/>
      <c r="F1539" s="24" t="n"/>
      <c r="H1539" s="22" t="n"/>
      <c r="I1539" s="22" t="n"/>
      <c r="J1539" s="21">
        <f>IF(C1539="","",IFERROR(INDEX(Clientes!$B:$B,MATCH(C1539,Clientes!$A:$A,0)),"Cód. não cadastrado"))</f>
        <v/>
      </c>
      <c r="K1539" s="18">
        <f>IF(B1539="","",YEAR(B1539))</f>
        <v/>
      </c>
      <c r="L1539" s="18">
        <f>IF(B1539="","",MONTH(B1539))</f>
        <v/>
      </c>
      <c r="M1539" s="18">
        <f>IF(OR(B1539="",I1539=""),"",I1539-B1539)</f>
        <v/>
      </c>
      <c r="N1539" s="21">
        <f>IF(B1539="","",IF(I1539="",IF(H1539="","",IF(TODAY()&gt;H1539,"Atrasado (em aberto)","Em aberto")),IF(I1539&lt;=H1539,"No prazo","Fora do prazo")))</f>
        <v/>
      </c>
    </row>
    <row r="1540">
      <c r="B1540" s="22" t="n"/>
      <c r="E1540" s="23" t="n"/>
      <c r="F1540" s="24" t="n"/>
      <c r="H1540" s="22" t="n"/>
      <c r="I1540" s="22" t="n"/>
      <c r="J1540" s="21">
        <f>IF(C1540="","",IFERROR(INDEX(Clientes!$B:$B,MATCH(C1540,Clientes!$A:$A,0)),"Cód. não cadastrado"))</f>
        <v/>
      </c>
      <c r="K1540" s="18">
        <f>IF(B1540="","",YEAR(B1540))</f>
        <v/>
      </c>
      <c r="L1540" s="18">
        <f>IF(B1540="","",MONTH(B1540))</f>
        <v/>
      </c>
      <c r="M1540" s="18">
        <f>IF(OR(B1540="",I1540=""),"",I1540-B1540)</f>
        <v/>
      </c>
      <c r="N1540" s="21">
        <f>IF(B1540="","",IF(I1540="",IF(H1540="","",IF(TODAY()&gt;H1540,"Atrasado (em aberto)","Em aberto")),IF(I1540&lt;=H1540,"No prazo","Fora do prazo")))</f>
        <v/>
      </c>
    </row>
    <row r="1541">
      <c r="B1541" s="22" t="n"/>
      <c r="E1541" s="23" t="n"/>
      <c r="F1541" s="24" t="n"/>
      <c r="H1541" s="22" t="n"/>
      <c r="I1541" s="22" t="n"/>
      <c r="J1541" s="21">
        <f>IF(C1541="","",IFERROR(INDEX(Clientes!$B:$B,MATCH(C1541,Clientes!$A:$A,0)),"Cód. não cadastrado"))</f>
        <v/>
      </c>
      <c r="K1541" s="18">
        <f>IF(B1541="","",YEAR(B1541))</f>
        <v/>
      </c>
      <c r="L1541" s="18">
        <f>IF(B1541="","",MONTH(B1541))</f>
        <v/>
      </c>
      <c r="M1541" s="18">
        <f>IF(OR(B1541="",I1541=""),"",I1541-B1541)</f>
        <v/>
      </c>
      <c r="N1541" s="21">
        <f>IF(B1541="","",IF(I1541="",IF(H1541="","",IF(TODAY()&gt;H1541,"Atrasado (em aberto)","Em aberto")),IF(I1541&lt;=H1541,"No prazo","Fora do prazo")))</f>
        <v/>
      </c>
    </row>
    <row r="1542">
      <c r="B1542" s="22" t="n"/>
      <c r="E1542" s="23" t="n"/>
      <c r="F1542" s="24" t="n"/>
      <c r="H1542" s="22" t="n"/>
      <c r="I1542" s="22" t="n"/>
      <c r="J1542" s="21">
        <f>IF(C1542="","",IFERROR(INDEX(Clientes!$B:$B,MATCH(C1542,Clientes!$A:$A,0)),"Cód. não cadastrado"))</f>
        <v/>
      </c>
      <c r="K1542" s="18">
        <f>IF(B1542="","",YEAR(B1542))</f>
        <v/>
      </c>
      <c r="L1542" s="18">
        <f>IF(B1542="","",MONTH(B1542))</f>
        <v/>
      </c>
      <c r="M1542" s="18">
        <f>IF(OR(B1542="",I1542=""),"",I1542-B1542)</f>
        <v/>
      </c>
      <c r="N1542" s="21">
        <f>IF(B1542="","",IF(I1542="",IF(H1542="","",IF(TODAY()&gt;H1542,"Atrasado (em aberto)","Em aberto")),IF(I1542&lt;=H1542,"No prazo","Fora do prazo")))</f>
        <v/>
      </c>
    </row>
    <row r="1543">
      <c r="B1543" s="22" t="n"/>
      <c r="E1543" s="23" t="n"/>
      <c r="F1543" s="24" t="n"/>
      <c r="H1543" s="22" t="n"/>
      <c r="I1543" s="22" t="n"/>
      <c r="J1543" s="21">
        <f>IF(C1543="","",IFERROR(INDEX(Clientes!$B:$B,MATCH(C1543,Clientes!$A:$A,0)),"Cód. não cadastrado"))</f>
        <v/>
      </c>
      <c r="K1543" s="18">
        <f>IF(B1543="","",YEAR(B1543))</f>
        <v/>
      </c>
      <c r="L1543" s="18">
        <f>IF(B1543="","",MONTH(B1543))</f>
        <v/>
      </c>
      <c r="M1543" s="18">
        <f>IF(OR(B1543="",I1543=""),"",I1543-B1543)</f>
        <v/>
      </c>
      <c r="N1543" s="21">
        <f>IF(B1543="","",IF(I1543="",IF(H1543="","",IF(TODAY()&gt;H1543,"Atrasado (em aberto)","Em aberto")),IF(I1543&lt;=H1543,"No prazo","Fora do prazo")))</f>
        <v/>
      </c>
    </row>
    <row r="1544">
      <c r="B1544" s="22" t="n"/>
      <c r="E1544" s="23" t="n"/>
      <c r="F1544" s="24" t="n"/>
      <c r="H1544" s="22" t="n"/>
      <c r="I1544" s="22" t="n"/>
      <c r="J1544" s="21">
        <f>IF(C1544="","",IFERROR(INDEX(Clientes!$B:$B,MATCH(C1544,Clientes!$A:$A,0)),"Cód. não cadastrado"))</f>
        <v/>
      </c>
      <c r="K1544" s="18">
        <f>IF(B1544="","",YEAR(B1544))</f>
        <v/>
      </c>
      <c r="L1544" s="18">
        <f>IF(B1544="","",MONTH(B1544))</f>
        <v/>
      </c>
      <c r="M1544" s="18">
        <f>IF(OR(B1544="",I1544=""),"",I1544-B1544)</f>
        <v/>
      </c>
      <c r="N1544" s="21">
        <f>IF(B1544="","",IF(I1544="",IF(H1544="","",IF(TODAY()&gt;H1544,"Atrasado (em aberto)","Em aberto")),IF(I1544&lt;=H1544,"No prazo","Fora do prazo")))</f>
        <v/>
      </c>
    </row>
    <row r="1545">
      <c r="B1545" s="22" t="n"/>
      <c r="E1545" s="23" t="n"/>
      <c r="F1545" s="24" t="n"/>
      <c r="H1545" s="22" t="n"/>
      <c r="I1545" s="22" t="n"/>
      <c r="J1545" s="21">
        <f>IF(C1545="","",IFERROR(INDEX(Clientes!$B:$B,MATCH(C1545,Clientes!$A:$A,0)),"Cód. não cadastrado"))</f>
        <v/>
      </c>
      <c r="K1545" s="18">
        <f>IF(B1545="","",YEAR(B1545))</f>
        <v/>
      </c>
      <c r="L1545" s="18">
        <f>IF(B1545="","",MONTH(B1545))</f>
        <v/>
      </c>
      <c r="M1545" s="18">
        <f>IF(OR(B1545="",I1545=""),"",I1545-B1545)</f>
        <v/>
      </c>
      <c r="N1545" s="21">
        <f>IF(B1545="","",IF(I1545="",IF(H1545="","",IF(TODAY()&gt;H1545,"Atrasado (em aberto)","Em aberto")),IF(I1545&lt;=H1545,"No prazo","Fora do prazo")))</f>
        <v/>
      </c>
    </row>
    <row r="1546">
      <c r="B1546" s="22" t="n"/>
      <c r="E1546" s="23" t="n"/>
      <c r="F1546" s="24" t="n"/>
      <c r="H1546" s="22" t="n"/>
      <c r="I1546" s="22" t="n"/>
      <c r="J1546" s="21">
        <f>IF(C1546="","",IFERROR(INDEX(Clientes!$B:$B,MATCH(C1546,Clientes!$A:$A,0)),"Cód. não cadastrado"))</f>
        <v/>
      </c>
      <c r="K1546" s="18">
        <f>IF(B1546="","",YEAR(B1546))</f>
        <v/>
      </c>
      <c r="L1546" s="18">
        <f>IF(B1546="","",MONTH(B1546))</f>
        <v/>
      </c>
      <c r="M1546" s="18">
        <f>IF(OR(B1546="",I1546=""),"",I1546-B1546)</f>
        <v/>
      </c>
      <c r="N1546" s="21">
        <f>IF(B1546="","",IF(I1546="",IF(H1546="","",IF(TODAY()&gt;H1546,"Atrasado (em aberto)","Em aberto")),IF(I1546&lt;=H1546,"No prazo","Fora do prazo")))</f>
        <v/>
      </c>
    </row>
    <row r="1547">
      <c r="B1547" s="22" t="n"/>
      <c r="E1547" s="23" t="n"/>
      <c r="F1547" s="24" t="n"/>
      <c r="H1547" s="22" t="n"/>
      <c r="I1547" s="22" t="n"/>
      <c r="J1547" s="21">
        <f>IF(C1547="","",IFERROR(INDEX(Clientes!$B:$B,MATCH(C1547,Clientes!$A:$A,0)),"Cód. não cadastrado"))</f>
        <v/>
      </c>
      <c r="K1547" s="18">
        <f>IF(B1547="","",YEAR(B1547))</f>
        <v/>
      </c>
      <c r="L1547" s="18">
        <f>IF(B1547="","",MONTH(B1547))</f>
        <v/>
      </c>
      <c r="M1547" s="18">
        <f>IF(OR(B1547="",I1547=""),"",I1547-B1547)</f>
        <v/>
      </c>
      <c r="N1547" s="21">
        <f>IF(B1547="","",IF(I1547="",IF(H1547="","",IF(TODAY()&gt;H1547,"Atrasado (em aberto)","Em aberto")),IF(I1547&lt;=H1547,"No prazo","Fora do prazo")))</f>
        <v/>
      </c>
    </row>
    <row r="1548">
      <c r="B1548" s="22" t="n"/>
      <c r="E1548" s="23" t="n"/>
      <c r="F1548" s="24" t="n"/>
      <c r="H1548" s="22" t="n"/>
      <c r="I1548" s="22" t="n"/>
      <c r="J1548" s="21">
        <f>IF(C1548="","",IFERROR(INDEX(Clientes!$B:$B,MATCH(C1548,Clientes!$A:$A,0)),"Cód. não cadastrado"))</f>
        <v/>
      </c>
      <c r="K1548" s="18">
        <f>IF(B1548="","",YEAR(B1548))</f>
        <v/>
      </c>
      <c r="L1548" s="18">
        <f>IF(B1548="","",MONTH(B1548))</f>
        <v/>
      </c>
      <c r="M1548" s="18">
        <f>IF(OR(B1548="",I1548=""),"",I1548-B1548)</f>
        <v/>
      </c>
      <c r="N1548" s="21">
        <f>IF(B1548="","",IF(I1548="",IF(H1548="","",IF(TODAY()&gt;H1548,"Atrasado (em aberto)","Em aberto")),IF(I1548&lt;=H1548,"No prazo","Fora do prazo")))</f>
        <v/>
      </c>
    </row>
    <row r="1549">
      <c r="B1549" s="22" t="n"/>
      <c r="E1549" s="23" t="n"/>
      <c r="F1549" s="24" t="n"/>
      <c r="H1549" s="22" t="n"/>
      <c r="I1549" s="22" t="n"/>
      <c r="J1549" s="21">
        <f>IF(C1549="","",IFERROR(INDEX(Clientes!$B:$B,MATCH(C1549,Clientes!$A:$A,0)),"Cód. não cadastrado"))</f>
        <v/>
      </c>
      <c r="K1549" s="18">
        <f>IF(B1549="","",YEAR(B1549))</f>
        <v/>
      </c>
      <c r="L1549" s="18">
        <f>IF(B1549="","",MONTH(B1549))</f>
        <v/>
      </c>
      <c r="M1549" s="18">
        <f>IF(OR(B1549="",I1549=""),"",I1549-B1549)</f>
        <v/>
      </c>
      <c r="N1549" s="21">
        <f>IF(B1549="","",IF(I1549="",IF(H1549="","",IF(TODAY()&gt;H1549,"Atrasado (em aberto)","Em aberto")),IF(I1549&lt;=H1549,"No prazo","Fora do prazo")))</f>
        <v/>
      </c>
    </row>
    <row r="1550">
      <c r="B1550" s="22" t="n"/>
      <c r="E1550" s="23" t="n"/>
      <c r="F1550" s="24" t="n"/>
      <c r="H1550" s="22" t="n"/>
      <c r="I1550" s="22" t="n"/>
      <c r="J1550" s="21">
        <f>IF(C1550="","",IFERROR(INDEX(Clientes!$B:$B,MATCH(C1550,Clientes!$A:$A,0)),"Cód. não cadastrado"))</f>
        <v/>
      </c>
      <c r="K1550" s="18">
        <f>IF(B1550="","",YEAR(B1550))</f>
        <v/>
      </c>
      <c r="L1550" s="18">
        <f>IF(B1550="","",MONTH(B1550))</f>
        <v/>
      </c>
      <c r="M1550" s="18">
        <f>IF(OR(B1550="",I1550=""),"",I1550-B1550)</f>
        <v/>
      </c>
      <c r="N1550" s="21">
        <f>IF(B1550="","",IF(I1550="",IF(H1550="","",IF(TODAY()&gt;H1550,"Atrasado (em aberto)","Em aberto")),IF(I1550&lt;=H1550,"No prazo","Fora do prazo")))</f>
        <v/>
      </c>
    </row>
    <row r="1551">
      <c r="B1551" s="22" t="n"/>
      <c r="E1551" s="23" t="n"/>
      <c r="F1551" s="24" t="n"/>
      <c r="H1551" s="22" t="n"/>
      <c r="I1551" s="22" t="n"/>
      <c r="J1551" s="21">
        <f>IF(C1551="","",IFERROR(INDEX(Clientes!$B:$B,MATCH(C1551,Clientes!$A:$A,0)),"Cód. não cadastrado"))</f>
        <v/>
      </c>
      <c r="K1551" s="18">
        <f>IF(B1551="","",YEAR(B1551))</f>
        <v/>
      </c>
      <c r="L1551" s="18">
        <f>IF(B1551="","",MONTH(B1551))</f>
        <v/>
      </c>
      <c r="M1551" s="18">
        <f>IF(OR(B1551="",I1551=""),"",I1551-B1551)</f>
        <v/>
      </c>
      <c r="N1551" s="21">
        <f>IF(B1551="","",IF(I1551="",IF(H1551="","",IF(TODAY()&gt;H1551,"Atrasado (em aberto)","Em aberto")),IF(I1551&lt;=H1551,"No prazo","Fora do prazo")))</f>
        <v/>
      </c>
    </row>
    <row r="1552">
      <c r="B1552" s="22" t="n"/>
      <c r="E1552" s="23" t="n"/>
      <c r="F1552" s="24" t="n"/>
      <c r="H1552" s="22" t="n"/>
      <c r="I1552" s="22" t="n"/>
      <c r="J1552" s="21">
        <f>IF(C1552="","",IFERROR(INDEX(Clientes!$B:$B,MATCH(C1552,Clientes!$A:$A,0)),"Cód. não cadastrado"))</f>
        <v/>
      </c>
      <c r="K1552" s="18">
        <f>IF(B1552="","",YEAR(B1552))</f>
        <v/>
      </c>
      <c r="L1552" s="18">
        <f>IF(B1552="","",MONTH(B1552))</f>
        <v/>
      </c>
      <c r="M1552" s="18">
        <f>IF(OR(B1552="",I1552=""),"",I1552-B1552)</f>
        <v/>
      </c>
      <c r="N1552" s="21">
        <f>IF(B1552="","",IF(I1552="",IF(H1552="","",IF(TODAY()&gt;H1552,"Atrasado (em aberto)","Em aberto")),IF(I1552&lt;=H1552,"No prazo","Fora do prazo")))</f>
        <v/>
      </c>
    </row>
    <row r="1553">
      <c r="B1553" s="22" t="n"/>
      <c r="E1553" s="23" t="n"/>
      <c r="F1553" s="24" t="n"/>
      <c r="H1553" s="22" t="n"/>
      <c r="I1553" s="22" t="n"/>
      <c r="J1553" s="21">
        <f>IF(C1553="","",IFERROR(INDEX(Clientes!$B:$B,MATCH(C1553,Clientes!$A:$A,0)),"Cód. não cadastrado"))</f>
        <v/>
      </c>
      <c r="K1553" s="18">
        <f>IF(B1553="","",YEAR(B1553))</f>
        <v/>
      </c>
      <c r="L1553" s="18">
        <f>IF(B1553="","",MONTH(B1553))</f>
        <v/>
      </c>
      <c r="M1553" s="18">
        <f>IF(OR(B1553="",I1553=""),"",I1553-B1553)</f>
        <v/>
      </c>
      <c r="N1553" s="21">
        <f>IF(B1553="","",IF(I1553="",IF(H1553="","",IF(TODAY()&gt;H1553,"Atrasado (em aberto)","Em aberto")),IF(I1553&lt;=H1553,"No prazo","Fora do prazo")))</f>
        <v/>
      </c>
    </row>
    <row r="1554">
      <c r="B1554" s="22" t="n"/>
      <c r="E1554" s="23" t="n"/>
      <c r="F1554" s="24" t="n"/>
      <c r="H1554" s="22" t="n"/>
      <c r="I1554" s="22" t="n"/>
      <c r="J1554" s="21">
        <f>IF(C1554="","",IFERROR(INDEX(Clientes!$B:$B,MATCH(C1554,Clientes!$A:$A,0)),"Cód. não cadastrado"))</f>
        <v/>
      </c>
      <c r="K1554" s="18">
        <f>IF(B1554="","",YEAR(B1554))</f>
        <v/>
      </c>
      <c r="L1554" s="18">
        <f>IF(B1554="","",MONTH(B1554))</f>
        <v/>
      </c>
      <c r="M1554" s="18">
        <f>IF(OR(B1554="",I1554=""),"",I1554-B1554)</f>
        <v/>
      </c>
      <c r="N1554" s="21">
        <f>IF(B1554="","",IF(I1554="",IF(H1554="","",IF(TODAY()&gt;H1554,"Atrasado (em aberto)","Em aberto")),IF(I1554&lt;=H1554,"No prazo","Fora do prazo")))</f>
        <v/>
      </c>
    </row>
    <row r="1555">
      <c r="B1555" s="22" t="n"/>
      <c r="E1555" s="23" t="n"/>
      <c r="F1555" s="24" t="n"/>
      <c r="H1555" s="22" t="n"/>
      <c r="I1555" s="22" t="n"/>
      <c r="J1555" s="21">
        <f>IF(C1555="","",IFERROR(INDEX(Clientes!$B:$B,MATCH(C1555,Clientes!$A:$A,0)),"Cód. não cadastrado"))</f>
        <v/>
      </c>
      <c r="K1555" s="18">
        <f>IF(B1555="","",YEAR(B1555))</f>
        <v/>
      </c>
      <c r="L1555" s="18">
        <f>IF(B1555="","",MONTH(B1555))</f>
        <v/>
      </c>
      <c r="M1555" s="18">
        <f>IF(OR(B1555="",I1555=""),"",I1555-B1555)</f>
        <v/>
      </c>
      <c r="N1555" s="21">
        <f>IF(B1555="","",IF(I1555="",IF(H1555="","",IF(TODAY()&gt;H1555,"Atrasado (em aberto)","Em aberto")),IF(I1555&lt;=H1555,"No prazo","Fora do prazo")))</f>
        <v/>
      </c>
    </row>
    <row r="1556">
      <c r="B1556" s="22" t="n"/>
      <c r="E1556" s="23" t="n"/>
      <c r="F1556" s="24" t="n"/>
      <c r="H1556" s="22" t="n"/>
      <c r="I1556" s="22" t="n"/>
      <c r="J1556" s="21">
        <f>IF(C1556="","",IFERROR(INDEX(Clientes!$B:$B,MATCH(C1556,Clientes!$A:$A,0)),"Cód. não cadastrado"))</f>
        <v/>
      </c>
      <c r="K1556" s="18">
        <f>IF(B1556="","",YEAR(B1556))</f>
        <v/>
      </c>
      <c r="L1556" s="18">
        <f>IF(B1556="","",MONTH(B1556))</f>
        <v/>
      </c>
      <c r="M1556" s="18">
        <f>IF(OR(B1556="",I1556=""),"",I1556-B1556)</f>
        <v/>
      </c>
      <c r="N1556" s="21">
        <f>IF(B1556="","",IF(I1556="",IF(H1556="","",IF(TODAY()&gt;H1556,"Atrasado (em aberto)","Em aberto")),IF(I1556&lt;=H1556,"No prazo","Fora do prazo")))</f>
        <v/>
      </c>
    </row>
    <row r="1557">
      <c r="B1557" s="22" t="n"/>
      <c r="E1557" s="23" t="n"/>
      <c r="F1557" s="24" t="n"/>
      <c r="H1557" s="22" t="n"/>
      <c r="I1557" s="22" t="n"/>
      <c r="J1557" s="21">
        <f>IF(C1557="","",IFERROR(INDEX(Clientes!$B:$B,MATCH(C1557,Clientes!$A:$A,0)),"Cód. não cadastrado"))</f>
        <v/>
      </c>
      <c r="K1557" s="18">
        <f>IF(B1557="","",YEAR(B1557))</f>
        <v/>
      </c>
      <c r="L1557" s="18">
        <f>IF(B1557="","",MONTH(B1557))</f>
        <v/>
      </c>
      <c r="M1557" s="18">
        <f>IF(OR(B1557="",I1557=""),"",I1557-B1557)</f>
        <v/>
      </c>
      <c r="N1557" s="21">
        <f>IF(B1557="","",IF(I1557="",IF(H1557="","",IF(TODAY()&gt;H1557,"Atrasado (em aberto)","Em aberto")),IF(I1557&lt;=H1557,"No prazo","Fora do prazo")))</f>
        <v/>
      </c>
    </row>
    <row r="1558">
      <c r="B1558" s="22" t="n"/>
      <c r="E1558" s="23" t="n"/>
      <c r="F1558" s="24" t="n"/>
      <c r="H1558" s="22" t="n"/>
      <c r="I1558" s="22" t="n"/>
      <c r="J1558" s="21">
        <f>IF(C1558="","",IFERROR(INDEX(Clientes!$B:$B,MATCH(C1558,Clientes!$A:$A,0)),"Cód. não cadastrado"))</f>
        <v/>
      </c>
      <c r="K1558" s="18">
        <f>IF(B1558="","",YEAR(B1558))</f>
        <v/>
      </c>
      <c r="L1558" s="18">
        <f>IF(B1558="","",MONTH(B1558))</f>
        <v/>
      </c>
      <c r="M1558" s="18">
        <f>IF(OR(B1558="",I1558=""),"",I1558-B1558)</f>
        <v/>
      </c>
      <c r="N1558" s="21">
        <f>IF(B1558="","",IF(I1558="",IF(H1558="","",IF(TODAY()&gt;H1558,"Atrasado (em aberto)","Em aberto")),IF(I1558&lt;=H1558,"No prazo","Fora do prazo")))</f>
        <v/>
      </c>
    </row>
    <row r="1559">
      <c r="B1559" s="22" t="n"/>
      <c r="E1559" s="23" t="n"/>
      <c r="F1559" s="24" t="n"/>
      <c r="H1559" s="22" t="n"/>
      <c r="I1559" s="22" t="n"/>
      <c r="J1559" s="21">
        <f>IF(C1559="","",IFERROR(INDEX(Clientes!$B:$B,MATCH(C1559,Clientes!$A:$A,0)),"Cód. não cadastrado"))</f>
        <v/>
      </c>
      <c r="K1559" s="18">
        <f>IF(B1559="","",YEAR(B1559))</f>
        <v/>
      </c>
      <c r="L1559" s="18">
        <f>IF(B1559="","",MONTH(B1559))</f>
        <v/>
      </c>
      <c r="M1559" s="18">
        <f>IF(OR(B1559="",I1559=""),"",I1559-B1559)</f>
        <v/>
      </c>
      <c r="N1559" s="21">
        <f>IF(B1559="","",IF(I1559="",IF(H1559="","",IF(TODAY()&gt;H1559,"Atrasado (em aberto)","Em aberto")),IF(I1559&lt;=H1559,"No prazo","Fora do prazo")))</f>
        <v/>
      </c>
    </row>
    <row r="1560">
      <c r="B1560" s="22" t="n"/>
      <c r="E1560" s="23" t="n"/>
      <c r="F1560" s="24" t="n"/>
      <c r="H1560" s="22" t="n"/>
      <c r="I1560" s="22" t="n"/>
      <c r="J1560" s="21">
        <f>IF(C1560="","",IFERROR(INDEX(Clientes!$B:$B,MATCH(C1560,Clientes!$A:$A,0)),"Cód. não cadastrado"))</f>
        <v/>
      </c>
      <c r="K1560" s="18">
        <f>IF(B1560="","",YEAR(B1560))</f>
        <v/>
      </c>
      <c r="L1560" s="18">
        <f>IF(B1560="","",MONTH(B1560))</f>
        <v/>
      </c>
      <c r="M1560" s="18">
        <f>IF(OR(B1560="",I1560=""),"",I1560-B1560)</f>
        <v/>
      </c>
      <c r="N1560" s="21">
        <f>IF(B1560="","",IF(I1560="",IF(H1560="","",IF(TODAY()&gt;H1560,"Atrasado (em aberto)","Em aberto")),IF(I1560&lt;=H1560,"No prazo","Fora do prazo")))</f>
        <v/>
      </c>
    </row>
    <row r="1561">
      <c r="B1561" s="22" t="n"/>
      <c r="E1561" s="23" t="n"/>
      <c r="F1561" s="24" t="n"/>
      <c r="H1561" s="22" t="n"/>
      <c r="I1561" s="22" t="n"/>
      <c r="J1561" s="21">
        <f>IF(C1561="","",IFERROR(INDEX(Clientes!$B:$B,MATCH(C1561,Clientes!$A:$A,0)),"Cód. não cadastrado"))</f>
        <v/>
      </c>
      <c r="K1561" s="18">
        <f>IF(B1561="","",YEAR(B1561))</f>
        <v/>
      </c>
      <c r="L1561" s="18">
        <f>IF(B1561="","",MONTH(B1561))</f>
        <v/>
      </c>
      <c r="M1561" s="18">
        <f>IF(OR(B1561="",I1561=""),"",I1561-B1561)</f>
        <v/>
      </c>
      <c r="N1561" s="21">
        <f>IF(B1561="","",IF(I1561="",IF(H1561="","",IF(TODAY()&gt;H1561,"Atrasado (em aberto)","Em aberto")),IF(I1561&lt;=H1561,"No prazo","Fora do prazo")))</f>
        <v/>
      </c>
    </row>
    <row r="1562">
      <c r="B1562" s="22" t="n"/>
      <c r="E1562" s="23" t="n"/>
      <c r="F1562" s="24" t="n"/>
      <c r="H1562" s="22" t="n"/>
      <c r="I1562" s="22" t="n"/>
      <c r="J1562" s="21">
        <f>IF(C1562="","",IFERROR(INDEX(Clientes!$B:$B,MATCH(C1562,Clientes!$A:$A,0)),"Cód. não cadastrado"))</f>
        <v/>
      </c>
      <c r="K1562" s="18">
        <f>IF(B1562="","",YEAR(B1562))</f>
        <v/>
      </c>
      <c r="L1562" s="18">
        <f>IF(B1562="","",MONTH(B1562))</f>
        <v/>
      </c>
      <c r="M1562" s="18">
        <f>IF(OR(B1562="",I1562=""),"",I1562-B1562)</f>
        <v/>
      </c>
      <c r="N1562" s="21">
        <f>IF(B1562="","",IF(I1562="",IF(H1562="","",IF(TODAY()&gt;H1562,"Atrasado (em aberto)","Em aberto")),IF(I1562&lt;=H1562,"No prazo","Fora do prazo")))</f>
        <v/>
      </c>
    </row>
    <row r="1563">
      <c r="B1563" s="22" t="n"/>
      <c r="E1563" s="23" t="n"/>
      <c r="F1563" s="24" t="n"/>
      <c r="H1563" s="22" t="n"/>
      <c r="I1563" s="22" t="n"/>
      <c r="J1563" s="21">
        <f>IF(C1563="","",IFERROR(INDEX(Clientes!$B:$B,MATCH(C1563,Clientes!$A:$A,0)),"Cód. não cadastrado"))</f>
        <v/>
      </c>
      <c r="K1563" s="18">
        <f>IF(B1563="","",YEAR(B1563))</f>
        <v/>
      </c>
      <c r="L1563" s="18">
        <f>IF(B1563="","",MONTH(B1563))</f>
        <v/>
      </c>
      <c r="M1563" s="18">
        <f>IF(OR(B1563="",I1563=""),"",I1563-B1563)</f>
        <v/>
      </c>
      <c r="N1563" s="21">
        <f>IF(B1563="","",IF(I1563="",IF(H1563="","",IF(TODAY()&gt;H1563,"Atrasado (em aberto)","Em aberto")),IF(I1563&lt;=H1563,"No prazo","Fora do prazo")))</f>
        <v/>
      </c>
    </row>
    <row r="1564">
      <c r="B1564" s="22" t="n"/>
      <c r="E1564" s="23" t="n"/>
      <c r="F1564" s="24" t="n"/>
      <c r="H1564" s="22" t="n"/>
      <c r="I1564" s="22" t="n"/>
      <c r="J1564" s="21">
        <f>IF(C1564="","",IFERROR(INDEX(Clientes!$B:$B,MATCH(C1564,Clientes!$A:$A,0)),"Cód. não cadastrado"))</f>
        <v/>
      </c>
      <c r="K1564" s="18">
        <f>IF(B1564="","",YEAR(B1564))</f>
        <v/>
      </c>
      <c r="L1564" s="18">
        <f>IF(B1564="","",MONTH(B1564))</f>
        <v/>
      </c>
      <c r="M1564" s="18">
        <f>IF(OR(B1564="",I1564=""),"",I1564-B1564)</f>
        <v/>
      </c>
      <c r="N1564" s="21">
        <f>IF(B1564="","",IF(I1564="",IF(H1564="","",IF(TODAY()&gt;H1564,"Atrasado (em aberto)","Em aberto")),IF(I1564&lt;=H1564,"No prazo","Fora do prazo")))</f>
        <v/>
      </c>
    </row>
    <row r="1565">
      <c r="B1565" s="22" t="n"/>
      <c r="E1565" s="23" t="n"/>
      <c r="F1565" s="24" t="n"/>
      <c r="H1565" s="22" t="n"/>
      <c r="I1565" s="22" t="n"/>
      <c r="J1565" s="21">
        <f>IF(C1565="","",IFERROR(INDEX(Clientes!$B:$B,MATCH(C1565,Clientes!$A:$A,0)),"Cód. não cadastrado"))</f>
        <v/>
      </c>
      <c r="K1565" s="18">
        <f>IF(B1565="","",YEAR(B1565))</f>
        <v/>
      </c>
      <c r="L1565" s="18">
        <f>IF(B1565="","",MONTH(B1565))</f>
        <v/>
      </c>
      <c r="M1565" s="18">
        <f>IF(OR(B1565="",I1565=""),"",I1565-B1565)</f>
        <v/>
      </c>
      <c r="N1565" s="21">
        <f>IF(B1565="","",IF(I1565="",IF(H1565="","",IF(TODAY()&gt;H1565,"Atrasado (em aberto)","Em aberto")),IF(I1565&lt;=H1565,"No prazo","Fora do prazo")))</f>
        <v/>
      </c>
    </row>
    <row r="1566">
      <c r="B1566" s="22" t="n"/>
      <c r="E1566" s="23" t="n"/>
      <c r="F1566" s="24" t="n"/>
      <c r="H1566" s="22" t="n"/>
      <c r="I1566" s="22" t="n"/>
      <c r="J1566" s="21">
        <f>IF(C1566="","",IFERROR(INDEX(Clientes!$B:$B,MATCH(C1566,Clientes!$A:$A,0)),"Cód. não cadastrado"))</f>
        <v/>
      </c>
      <c r="K1566" s="18">
        <f>IF(B1566="","",YEAR(B1566))</f>
        <v/>
      </c>
      <c r="L1566" s="18">
        <f>IF(B1566="","",MONTH(B1566))</f>
        <v/>
      </c>
      <c r="M1566" s="18">
        <f>IF(OR(B1566="",I1566=""),"",I1566-B1566)</f>
        <v/>
      </c>
      <c r="N1566" s="21">
        <f>IF(B1566="","",IF(I1566="",IF(H1566="","",IF(TODAY()&gt;H1566,"Atrasado (em aberto)","Em aberto")),IF(I1566&lt;=H1566,"No prazo","Fora do prazo")))</f>
        <v/>
      </c>
    </row>
    <row r="1567">
      <c r="B1567" s="22" t="n"/>
      <c r="E1567" s="23" t="n"/>
      <c r="F1567" s="24" t="n"/>
      <c r="H1567" s="22" t="n"/>
      <c r="I1567" s="22" t="n"/>
      <c r="J1567" s="21">
        <f>IF(C1567="","",IFERROR(INDEX(Clientes!$B:$B,MATCH(C1567,Clientes!$A:$A,0)),"Cód. não cadastrado"))</f>
        <v/>
      </c>
      <c r="K1567" s="18">
        <f>IF(B1567="","",YEAR(B1567))</f>
        <v/>
      </c>
      <c r="L1567" s="18">
        <f>IF(B1567="","",MONTH(B1567))</f>
        <v/>
      </c>
      <c r="M1567" s="18">
        <f>IF(OR(B1567="",I1567=""),"",I1567-B1567)</f>
        <v/>
      </c>
      <c r="N1567" s="21">
        <f>IF(B1567="","",IF(I1567="",IF(H1567="","",IF(TODAY()&gt;H1567,"Atrasado (em aberto)","Em aberto")),IF(I1567&lt;=H1567,"No prazo","Fora do prazo")))</f>
        <v/>
      </c>
    </row>
    <row r="1568">
      <c r="B1568" s="22" t="n"/>
      <c r="E1568" s="23" t="n"/>
      <c r="F1568" s="24" t="n"/>
      <c r="H1568" s="22" t="n"/>
      <c r="I1568" s="22" t="n"/>
      <c r="J1568" s="21">
        <f>IF(C1568="","",IFERROR(INDEX(Clientes!$B:$B,MATCH(C1568,Clientes!$A:$A,0)),"Cód. não cadastrado"))</f>
        <v/>
      </c>
      <c r="K1568" s="18">
        <f>IF(B1568="","",YEAR(B1568))</f>
        <v/>
      </c>
      <c r="L1568" s="18">
        <f>IF(B1568="","",MONTH(B1568))</f>
        <v/>
      </c>
      <c r="M1568" s="18">
        <f>IF(OR(B1568="",I1568=""),"",I1568-B1568)</f>
        <v/>
      </c>
      <c r="N1568" s="21">
        <f>IF(B1568="","",IF(I1568="",IF(H1568="","",IF(TODAY()&gt;H1568,"Atrasado (em aberto)","Em aberto")),IF(I1568&lt;=H1568,"No prazo","Fora do prazo")))</f>
        <v/>
      </c>
    </row>
    <row r="1569">
      <c r="B1569" s="22" t="n"/>
      <c r="E1569" s="23" t="n"/>
      <c r="F1569" s="24" t="n"/>
      <c r="H1569" s="22" t="n"/>
      <c r="I1569" s="22" t="n"/>
      <c r="J1569" s="21">
        <f>IF(C1569="","",IFERROR(INDEX(Clientes!$B:$B,MATCH(C1569,Clientes!$A:$A,0)),"Cód. não cadastrado"))</f>
        <v/>
      </c>
      <c r="K1569" s="18">
        <f>IF(B1569="","",YEAR(B1569))</f>
        <v/>
      </c>
      <c r="L1569" s="18">
        <f>IF(B1569="","",MONTH(B1569))</f>
        <v/>
      </c>
      <c r="M1569" s="18">
        <f>IF(OR(B1569="",I1569=""),"",I1569-B1569)</f>
        <v/>
      </c>
      <c r="N1569" s="21">
        <f>IF(B1569="","",IF(I1569="",IF(H1569="","",IF(TODAY()&gt;H1569,"Atrasado (em aberto)","Em aberto")),IF(I1569&lt;=H1569,"No prazo","Fora do prazo")))</f>
        <v/>
      </c>
    </row>
    <row r="1570">
      <c r="B1570" s="22" t="n"/>
      <c r="E1570" s="23" t="n"/>
      <c r="F1570" s="24" t="n"/>
      <c r="H1570" s="22" t="n"/>
      <c r="I1570" s="22" t="n"/>
      <c r="J1570" s="21">
        <f>IF(C1570="","",IFERROR(INDEX(Clientes!$B:$B,MATCH(C1570,Clientes!$A:$A,0)),"Cód. não cadastrado"))</f>
        <v/>
      </c>
      <c r="K1570" s="18">
        <f>IF(B1570="","",YEAR(B1570))</f>
        <v/>
      </c>
      <c r="L1570" s="18">
        <f>IF(B1570="","",MONTH(B1570))</f>
        <v/>
      </c>
      <c r="M1570" s="18">
        <f>IF(OR(B1570="",I1570=""),"",I1570-B1570)</f>
        <v/>
      </c>
      <c r="N1570" s="21">
        <f>IF(B1570="","",IF(I1570="",IF(H1570="","",IF(TODAY()&gt;H1570,"Atrasado (em aberto)","Em aberto")),IF(I1570&lt;=H1570,"No prazo","Fora do prazo")))</f>
        <v/>
      </c>
    </row>
    <row r="1571">
      <c r="B1571" s="22" t="n"/>
      <c r="E1571" s="23" t="n"/>
      <c r="F1571" s="24" t="n"/>
      <c r="H1571" s="22" t="n"/>
      <c r="I1571" s="22" t="n"/>
      <c r="J1571" s="21">
        <f>IF(C1571="","",IFERROR(INDEX(Clientes!$B:$B,MATCH(C1571,Clientes!$A:$A,0)),"Cód. não cadastrado"))</f>
        <v/>
      </c>
      <c r="K1571" s="18">
        <f>IF(B1571="","",YEAR(B1571))</f>
        <v/>
      </c>
      <c r="L1571" s="18">
        <f>IF(B1571="","",MONTH(B1571))</f>
        <v/>
      </c>
      <c r="M1571" s="18">
        <f>IF(OR(B1571="",I1571=""),"",I1571-B1571)</f>
        <v/>
      </c>
      <c r="N1571" s="21">
        <f>IF(B1571="","",IF(I1571="",IF(H1571="","",IF(TODAY()&gt;H1571,"Atrasado (em aberto)","Em aberto")),IF(I1571&lt;=H1571,"No prazo","Fora do prazo")))</f>
        <v/>
      </c>
    </row>
    <row r="1572">
      <c r="B1572" s="22" t="n"/>
      <c r="E1572" s="23" t="n"/>
      <c r="F1572" s="24" t="n"/>
      <c r="H1572" s="22" t="n"/>
      <c r="I1572" s="22" t="n"/>
      <c r="J1572" s="21">
        <f>IF(C1572="","",IFERROR(INDEX(Clientes!$B:$B,MATCH(C1572,Clientes!$A:$A,0)),"Cód. não cadastrado"))</f>
        <v/>
      </c>
      <c r="K1572" s="18">
        <f>IF(B1572="","",YEAR(B1572))</f>
        <v/>
      </c>
      <c r="L1572" s="18">
        <f>IF(B1572="","",MONTH(B1572))</f>
        <v/>
      </c>
      <c r="M1572" s="18">
        <f>IF(OR(B1572="",I1572=""),"",I1572-B1572)</f>
        <v/>
      </c>
      <c r="N1572" s="21">
        <f>IF(B1572="","",IF(I1572="",IF(H1572="","",IF(TODAY()&gt;H1572,"Atrasado (em aberto)","Em aberto")),IF(I1572&lt;=H1572,"No prazo","Fora do prazo")))</f>
        <v/>
      </c>
    </row>
    <row r="1573">
      <c r="B1573" s="22" t="n"/>
      <c r="E1573" s="23" t="n"/>
      <c r="F1573" s="24" t="n"/>
      <c r="H1573" s="22" t="n"/>
      <c r="I1573" s="22" t="n"/>
      <c r="J1573" s="21">
        <f>IF(C1573="","",IFERROR(INDEX(Clientes!$B:$B,MATCH(C1573,Clientes!$A:$A,0)),"Cód. não cadastrado"))</f>
        <v/>
      </c>
      <c r="K1573" s="18">
        <f>IF(B1573="","",YEAR(B1573))</f>
        <v/>
      </c>
      <c r="L1573" s="18">
        <f>IF(B1573="","",MONTH(B1573))</f>
        <v/>
      </c>
      <c r="M1573" s="18">
        <f>IF(OR(B1573="",I1573=""),"",I1573-B1573)</f>
        <v/>
      </c>
      <c r="N1573" s="21">
        <f>IF(B1573="","",IF(I1573="",IF(H1573="","",IF(TODAY()&gt;H1573,"Atrasado (em aberto)","Em aberto")),IF(I1573&lt;=H1573,"No prazo","Fora do prazo")))</f>
        <v/>
      </c>
    </row>
    <row r="1574">
      <c r="B1574" s="22" t="n"/>
      <c r="E1574" s="23" t="n"/>
      <c r="F1574" s="24" t="n"/>
      <c r="H1574" s="22" t="n"/>
      <c r="I1574" s="22" t="n"/>
      <c r="J1574" s="21">
        <f>IF(C1574="","",IFERROR(INDEX(Clientes!$B:$B,MATCH(C1574,Clientes!$A:$A,0)),"Cód. não cadastrado"))</f>
        <v/>
      </c>
      <c r="K1574" s="18">
        <f>IF(B1574="","",YEAR(B1574))</f>
        <v/>
      </c>
      <c r="L1574" s="18">
        <f>IF(B1574="","",MONTH(B1574))</f>
        <v/>
      </c>
      <c r="M1574" s="18">
        <f>IF(OR(B1574="",I1574=""),"",I1574-B1574)</f>
        <v/>
      </c>
      <c r="N1574" s="21">
        <f>IF(B1574="","",IF(I1574="",IF(H1574="","",IF(TODAY()&gt;H1574,"Atrasado (em aberto)","Em aberto")),IF(I1574&lt;=H1574,"No prazo","Fora do prazo")))</f>
        <v/>
      </c>
    </row>
    <row r="1575">
      <c r="B1575" s="22" t="n"/>
      <c r="E1575" s="23" t="n"/>
      <c r="F1575" s="24" t="n"/>
      <c r="H1575" s="22" t="n"/>
      <c r="I1575" s="22" t="n"/>
      <c r="J1575" s="21">
        <f>IF(C1575="","",IFERROR(INDEX(Clientes!$B:$B,MATCH(C1575,Clientes!$A:$A,0)),"Cód. não cadastrado"))</f>
        <v/>
      </c>
      <c r="K1575" s="18">
        <f>IF(B1575="","",YEAR(B1575))</f>
        <v/>
      </c>
      <c r="L1575" s="18">
        <f>IF(B1575="","",MONTH(B1575))</f>
        <v/>
      </c>
      <c r="M1575" s="18">
        <f>IF(OR(B1575="",I1575=""),"",I1575-B1575)</f>
        <v/>
      </c>
      <c r="N1575" s="21">
        <f>IF(B1575="","",IF(I1575="",IF(H1575="","",IF(TODAY()&gt;H1575,"Atrasado (em aberto)","Em aberto")),IF(I1575&lt;=H1575,"No prazo","Fora do prazo")))</f>
        <v/>
      </c>
    </row>
    <row r="1576">
      <c r="B1576" s="22" t="n"/>
      <c r="E1576" s="23" t="n"/>
      <c r="F1576" s="24" t="n"/>
      <c r="H1576" s="22" t="n"/>
      <c r="I1576" s="22" t="n"/>
      <c r="J1576" s="21">
        <f>IF(C1576="","",IFERROR(INDEX(Clientes!$B:$B,MATCH(C1576,Clientes!$A:$A,0)),"Cód. não cadastrado"))</f>
        <v/>
      </c>
      <c r="K1576" s="18">
        <f>IF(B1576="","",YEAR(B1576))</f>
        <v/>
      </c>
      <c r="L1576" s="18">
        <f>IF(B1576="","",MONTH(B1576))</f>
        <v/>
      </c>
      <c r="M1576" s="18">
        <f>IF(OR(B1576="",I1576=""),"",I1576-B1576)</f>
        <v/>
      </c>
      <c r="N1576" s="21">
        <f>IF(B1576="","",IF(I1576="",IF(H1576="","",IF(TODAY()&gt;H1576,"Atrasado (em aberto)","Em aberto")),IF(I1576&lt;=H1576,"No prazo","Fora do prazo")))</f>
        <v/>
      </c>
    </row>
    <row r="1577">
      <c r="B1577" s="22" t="n"/>
      <c r="E1577" s="23" t="n"/>
      <c r="F1577" s="24" t="n"/>
      <c r="H1577" s="22" t="n"/>
      <c r="I1577" s="22" t="n"/>
      <c r="J1577" s="21">
        <f>IF(C1577="","",IFERROR(INDEX(Clientes!$B:$B,MATCH(C1577,Clientes!$A:$A,0)),"Cód. não cadastrado"))</f>
        <v/>
      </c>
      <c r="K1577" s="18">
        <f>IF(B1577="","",YEAR(B1577))</f>
        <v/>
      </c>
      <c r="L1577" s="18">
        <f>IF(B1577="","",MONTH(B1577))</f>
        <v/>
      </c>
      <c r="M1577" s="18">
        <f>IF(OR(B1577="",I1577=""),"",I1577-B1577)</f>
        <v/>
      </c>
      <c r="N1577" s="21">
        <f>IF(B1577="","",IF(I1577="",IF(H1577="","",IF(TODAY()&gt;H1577,"Atrasado (em aberto)","Em aberto")),IF(I1577&lt;=H1577,"No prazo","Fora do prazo")))</f>
        <v/>
      </c>
    </row>
    <row r="1578">
      <c r="B1578" s="22" t="n"/>
      <c r="E1578" s="23" t="n"/>
      <c r="F1578" s="24" t="n"/>
      <c r="H1578" s="22" t="n"/>
      <c r="I1578" s="22" t="n"/>
      <c r="J1578" s="21">
        <f>IF(C1578="","",IFERROR(INDEX(Clientes!$B:$B,MATCH(C1578,Clientes!$A:$A,0)),"Cód. não cadastrado"))</f>
        <v/>
      </c>
      <c r="K1578" s="18">
        <f>IF(B1578="","",YEAR(B1578))</f>
        <v/>
      </c>
      <c r="L1578" s="18">
        <f>IF(B1578="","",MONTH(B1578))</f>
        <v/>
      </c>
      <c r="M1578" s="18">
        <f>IF(OR(B1578="",I1578=""),"",I1578-B1578)</f>
        <v/>
      </c>
      <c r="N1578" s="21">
        <f>IF(B1578="","",IF(I1578="",IF(H1578="","",IF(TODAY()&gt;H1578,"Atrasado (em aberto)","Em aberto")),IF(I1578&lt;=H1578,"No prazo","Fora do prazo")))</f>
        <v/>
      </c>
    </row>
    <row r="1579">
      <c r="B1579" s="22" t="n"/>
      <c r="E1579" s="23" t="n"/>
      <c r="F1579" s="24" t="n"/>
      <c r="H1579" s="22" t="n"/>
      <c r="I1579" s="22" t="n"/>
      <c r="J1579" s="21">
        <f>IF(C1579="","",IFERROR(INDEX(Clientes!$B:$B,MATCH(C1579,Clientes!$A:$A,0)),"Cód. não cadastrado"))</f>
        <v/>
      </c>
      <c r="K1579" s="18">
        <f>IF(B1579="","",YEAR(B1579))</f>
        <v/>
      </c>
      <c r="L1579" s="18">
        <f>IF(B1579="","",MONTH(B1579))</f>
        <v/>
      </c>
      <c r="M1579" s="18">
        <f>IF(OR(B1579="",I1579=""),"",I1579-B1579)</f>
        <v/>
      </c>
      <c r="N1579" s="21">
        <f>IF(B1579="","",IF(I1579="",IF(H1579="","",IF(TODAY()&gt;H1579,"Atrasado (em aberto)","Em aberto")),IF(I1579&lt;=H1579,"No prazo","Fora do prazo")))</f>
        <v/>
      </c>
    </row>
    <row r="1580">
      <c r="B1580" s="22" t="n"/>
      <c r="E1580" s="23" t="n"/>
      <c r="F1580" s="24" t="n"/>
      <c r="H1580" s="22" t="n"/>
      <c r="I1580" s="22" t="n"/>
      <c r="J1580" s="21">
        <f>IF(C1580="","",IFERROR(INDEX(Clientes!$B:$B,MATCH(C1580,Clientes!$A:$A,0)),"Cód. não cadastrado"))</f>
        <v/>
      </c>
      <c r="K1580" s="18">
        <f>IF(B1580="","",YEAR(B1580))</f>
        <v/>
      </c>
      <c r="L1580" s="18">
        <f>IF(B1580="","",MONTH(B1580))</f>
        <v/>
      </c>
      <c r="M1580" s="18">
        <f>IF(OR(B1580="",I1580=""),"",I1580-B1580)</f>
        <v/>
      </c>
      <c r="N1580" s="21">
        <f>IF(B1580="","",IF(I1580="",IF(H1580="","",IF(TODAY()&gt;H1580,"Atrasado (em aberto)","Em aberto")),IF(I1580&lt;=H1580,"No prazo","Fora do prazo")))</f>
        <v/>
      </c>
    </row>
    <row r="1581">
      <c r="B1581" s="22" t="n"/>
      <c r="E1581" s="23" t="n"/>
      <c r="F1581" s="24" t="n"/>
      <c r="H1581" s="22" t="n"/>
      <c r="I1581" s="22" t="n"/>
      <c r="J1581" s="21">
        <f>IF(C1581="","",IFERROR(INDEX(Clientes!$B:$B,MATCH(C1581,Clientes!$A:$A,0)),"Cód. não cadastrado"))</f>
        <v/>
      </c>
      <c r="K1581" s="18">
        <f>IF(B1581="","",YEAR(B1581))</f>
        <v/>
      </c>
      <c r="L1581" s="18">
        <f>IF(B1581="","",MONTH(B1581))</f>
        <v/>
      </c>
      <c r="M1581" s="18">
        <f>IF(OR(B1581="",I1581=""),"",I1581-B1581)</f>
        <v/>
      </c>
      <c r="N1581" s="21">
        <f>IF(B1581="","",IF(I1581="",IF(H1581="","",IF(TODAY()&gt;H1581,"Atrasado (em aberto)","Em aberto")),IF(I1581&lt;=H1581,"No prazo","Fora do prazo")))</f>
        <v/>
      </c>
    </row>
    <row r="1582">
      <c r="B1582" s="22" t="n"/>
      <c r="E1582" s="23" t="n"/>
      <c r="F1582" s="24" t="n"/>
      <c r="H1582" s="22" t="n"/>
      <c r="I1582" s="22" t="n"/>
      <c r="J1582" s="21">
        <f>IF(C1582="","",IFERROR(INDEX(Clientes!$B:$B,MATCH(C1582,Clientes!$A:$A,0)),"Cód. não cadastrado"))</f>
        <v/>
      </c>
      <c r="K1582" s="18">
        <f>IF(B1582="","",YEAR(B1582))</f>
        <v/>
      </c>
      <c r="L1582" s="18">
        <f>IF(B1582="","",MONTH(B1582))</f>
        <v/>
      </c>
      <c r="M1582" s="18">
        <f>IF(OR(B1582="",I1582=""),"",I1582-B1582)</f>
        <v/>
      </c>
      <c r="N1582" s="21">
        <f>IF(B1582="","",IF(I1582="",IF(H1582="","",IF(TODAY()&gt;H1582,"Atrasado (em aberto)","Em aberto")),IF(I1582&lt;=H1582,"No prazo","Fora do prazo")))</f>
        <v/>
      </c>
    </row>
    <row r="1583">
      <c r="B1583" s="22" t="n"/>
      <c r="E1583" s="23" t="n"/>
      <c r="F1583" s="24" t="n"/>
      <c r="H1583" s="22" t="n"/>
      <c r="I1583" s="22" t="n"/>
      <c r="J1583" s="21">
        <f>IF(C1583="","",IFERROR(INDEX(Clientes!$B:$B,MATCH(C1583,Clientes!$A:$A,0)),"Cód. não cadastrado"))</f>
        <v/>
      </c>
      <c r="K1583" s="18">
        <f>IF(B1583="","",YEAR(B1583))</f>
        <v/>
      </c>
      <c r="L1583" s="18">
        <f>IF(B1583="","",MONTH(B1583))</f>
        <v/>
      </c>
      <c r="M1583" s="18">
        <f>IF(OR(B1583="",I1583=""),"",I1583-B1583)</f>
        <v/>
      </c>
      <c r="N1583" s="21">
        <f>IF(B1583="","",IF(I1583="",IF(H1583="","",IF(TODAY()&gt;H1583,"Atrasado (em aberto)","Em aberto")),IF(I1583&lt;=H1583,"No prazo","Fora do prazo")))</f>
        <v/>
      </c>
    </row>
    <row r="1584">
      <c r="B1584" s="22" t="n"/>
      <c r="E1584" s="23" t="n"/>
      <c r="F1584" s="24" t="n"/>
      <c r="H1584" s="22" t="n"/>
      <c r="I1584" s="22" t="n"/>
      <c r="J1584" s="21">
        <f>IF(C1584="","",IFERROR(INDEX(Clientes!$B:$B,MATCH(C1584,Clientes!$A:$A,0)),"Cód. não cadastrado"))</f>
        <v/>
      </c>
      <c r="K1584" s="18">
        <f>IF(B1584="","",YEAR(B1584))</f>
        <v/>
      </c>
      <c r="L1584" s="18">
        <f>IF(B1584="","",MONTH(B1584))</f>
        <v/>
      </c>
      <c r="M1584" s="18">
        <f>IF(OR(B1584="",I1584=""),"",I1584-B1584)</f>
        <v/>
      </c>
      <c r="N1584" s="21">
        <f>IF(B1584="","",IF(I1584="",IF(H1584="","",IF(TODAY()&gt;H1584,"Atrasado (em aberto)","Em aberto")),IF(I1584&lt;=H1584,"No prazo","Fora do prazo")))</f>
        <v/>
      </c>
    </row>
    <row r="1585">
      <c r="B1585" s="22" t="n"/>
      <c r="E1585" s="23" t="n"/>
      <c r="F1585" s="24" t="n"/>
      <c r="H1585" s="22" t="n"/>
      <c r="I1585" s="22" t="n"/>
      <c r="J1585" s="21">
        <f>IF(C1585="","",IFERROR(INDEX(Clientes!$B:$B,MATCH(C1585,Clientes!$A:$A,0)),"Cód. não cadastrado"))</f>
        <v/>
      </c>
      <c r="K1585" s="18">
        <f>IF(B1585="","",YEAR(B1585))</f>
        <v/>
      </c>
      <c r="L1585" s="18">
        <f>IF(B1585="","",MONTH(B1585))</f>
        <v/>
      </c>
      <c r="M1585" s="18">
        <f>IF(OR(B1585="",I1585=""),"",I1585-B1585)</f>
        <v/>
      </c>
      <c r="N1585" s="21">
        <f>IF(B1585="","",IF(I1585="",IF(H1585="","",IF(TODAY()&gt;H1585,"Atrasado (em aberto)","Em aberto")),IF(I1585&lt;=H1585,"No prazo","Fora do prazo")))</f>
        <v/>
      </c>
    </row>
    <row r="1586">
      <c r="B1586" s="22" t="n"/>
      <c r="E1586" s="23" t="n"/>
      <c r="F1586" s="24" t="n"/>
      <c r="H1586" s="22" t="n"/>
      <c r="I1586" s="22" t="n"/>
      <c r="J1586" s="21">
        <f>IF(C1586="","",IFERROR(INDEX(Clientes!$B:$B,MATCH(C1586,Clientes!$A:$A,0)),"Cód. não cadastrado"))</f>
        <v/>
      </c>
      <c r="K1586" s="18">
        <f>IF(B1586="","",YEAR(B1586))</f>
        <v/>
      </c>
      <c r="L1586" s="18">
        <f>IF(B1586="","",MONTH(B1586))</f>
        <v/>
      </c>
      <c r="M1586" s="18">
        <f>IF(OR(B1586="",I1586=""),"",I1586-B1586)</f>
        <v/>
      </c>
      <c r="N1586" s="21">
        <f>IF(B1586="","",IF(I1586="",IF(H1586="","",IF(TODAY()&gt;H1586,"Atrasado (em aberto)","Em aberto")),IF(I1586&lt;=H1586,"No prazo","Fora do prazo")))</f>
        <v/>
      </c>
    </row>
    <row r="1587">
      <c r="B1587" s="22" t="n"/>
      <c r="E1587" s="23" t="n"/>
      <c r="F1587" s="24" t="n"/>
      <c r="H1587" s="22" t="n"/>
      <c r="I1587" s="22" t="n"/>
      <c r="J1587" s="21">
        <f>IF(C1587="","",IFERROR(INDEX(Clientes!$B:$B,MATCH(C1587,Clientes!$A:$A,0)),"Cód. não cadastrado"))</f>
        <v/>
      </c>
      <c r="K1587" s="18">
        <f>IF(B1587="","",YEAR(B1587))</f>
        <v/>
      </c>
      <c r="L1587" s="18">
        <f>IF(B1587="","",MONTH(B1587))</f>
        <v/>
      </c>
      <c r="M1587" s="18">
        <f>IF(OR(B1587="",I1587=""),"",I1587-B1587)</f>
        <v/>
      </c>
      <c r="N1587" s="21">
        <f>IF(B1587="","",IF(I1587="",IF(H1587="","",IF(TODAY()&gt;H1587,"Atrasado (em aberto)","Em aberto")),IF(I1587&lt;=H1587,"No prazo","Fora do prazo")))</f>
        <v/>
      </c>
    </row>
    <row r="1588">
      <c r="B1588" s="22" t="n"/>
      <c r="E1588" s="23" t="n"/>
      <c r="F1588" s="24" t="n"/>
      <c r="H1588" s="22" t="n"/>
      <c r="I1588" s="22" t="n"/>
      <c r="J1588" s="21">
        <f>IF(C1588="","",IFERROR(INDEX(Clientes!$B:$B,MATCH(C1588,Clientes!$A:$A,0)),"Cód. não cadastrado"))</f>
        <v/>
      </c>
      <c r="K1588" s="18">
        <f>IF(B1588="","",YEAR(B1588))</f>
        <v/>
      </c>
      <c r="L1588" s="18">
        <f>IF(B1588="","",MONTH(B1588))</f>
        <v/>
      </c>
      <c r="M1588" s="18">
        <f>IF(OR(B1588="",I1588=""),"",I1588-B1588)</f>
        <v/>
      </c>
      <c r="N1588" s="21">
        <f>IF(B1588="","",IF(I1588="",IF(H1588="","",IF(TODAY()&gt;H1588,"Atrasado (em aberto)","Em aberto")),IF(I1588&lt;=H1588,"No prazo","Fora do prazo")))</f>
        <v/>
      </c>
    </row>
    <row r="1589">
      <c r="B1589" s="22" t="n"/>
      <c r="E1589" s="23" t="n"/>
      <c r="F1589" s="24" t="n"/>
      <c r="H1589" s="22" t="n"/>
      <c r="I1589" s="22" t="n"/>
      <c r="J1589" s="21">
        <f>IF(C1589="","",IFERROR(INDEX(Clientes!$B:$B,MATCH(C1589,Clientes!$A:$A,0)),"Cód. não cadastrado"))</f>
        <v/>
      </c>
      <c r="K1589" s="18">
        <f>IF(B1589="","",YEAR(B1589))</f>
        <v/>
      </c>
      <c r="L1589" s="18">
        <f>IF(B1589="","",MONTH(B1589))</f>
        <v/>
      </c>
      <c r="M1589" s="18">
        <f>IF(OR(B1589="",I1589=""),"",I1589-B1589)</f>
        <v/>
      </c>
      <c r="N1589" s="21">
        <f>IF(B1589="","",IF(I1589="",IF(H1589="","",IF(TODAY()&gt;H1589,"Atrasado (em aberto)","Em aberto")),IF(I1589&lt;=H1589,"No prazo","Fora do prazo")))</f>
        <v/>
      </c>
    </row>
    <row r="1590">
      <c r="B1590" s="22" t="n"/>
      <c r="E1590" s="23" t="n"/>
      <c r="F1590" s="24" t="n"/>
      <c r="H1590" s="22" t="n"/>
      <c r="I1590" s="22" t="n"/>
      <c r="J1590" s="21">
        <f>IF(C1590="","",IFERROR(INDEX(Clientes!$B:$B,MATCH(C1590,Clientes!$A:$A,0)),"Cód. não cadastrado"))</f>
        <v/>
      </c>
      <c r="K1590" s="18">
        <f>IF(B1590="","",YEAR(B1590))</f>
        <v/>
      </c>
      <c r="L1590" s="18">
        <f>IF(B1590="","",MONTH(B1590))</f>
        <v/>
      </c>
      <c r="M1590" s="18">
        <f>IF(OR(B1590="",I1590=""),"",I1590-B1590)</f>
        <v/>
      </c>
      <c r="N1590" s="21">
        <f>IF(B1590="","",IF(I1590="",IF(H1590="","",IF(TODAY()&gt;H1590,"Atrasado (em aberto)","Em aberto")),IF(I1590&lt;=H1590,"No prazo","Fora do prazo")))</f>
        <v/>
      </c>
    </row>
    <row r="1591">
      <c r="B1591" s="22" t="n"/>
      <c r="E1591" s="23" t="n"/>
      <c r="F1591" s="24" t="n"/>
      <c r="H1591" s="22" t="n"/>
      <c r="I1591" s="22" t="n"/>
      <c r="J1591" s="21">
        <f>IF(C1591="","",IFERROR(INDEX(Clientes!$B:$B,MATCH(C1591,Clientes!$A:$A,0)),"Cód. não cadastrado"))</f>
        <v/>
      </c>
      <c r="K1591" s="18">
        <f>IF(B1591="","",YEAR(B1591))</f>
        <v/>
      </c>
      <c r="L1591" s="18">
        <f>IF(B1591="","",MONTH(B1591))</f>
        <v/>
      </c>
      <c r="M1591" s="18">
        <f>IF(OR(B1591="",I1591=""),"",I1591-B1591)</f>
        <v/>
      </c>
      <c r="N1591" s="21">
        <f>IF(B1591="","",IF(I1591="",IF(H1591="","",IF(TODAY()&gt;H1591,"Atrasado (em aberto)","Em aberto")),IF(I1591&lt;=H1591,"No prazo","Fora do prazo")))</f>
        <v/>
      </c>
    </row>
    <row r="1592">
      <c r="B1592" s="22" t="n"/>
      <c r="E1592" s="23" t="n"/>
      <c r="F1592" s="24" t="n"/>
      <c r="H1592" s="22" t="n"/>
      <c r="I1592" s="22" t="n"/>
      <c r="J1592" s="21">
        <f>IF(C1592="","",IFERROR(INDEX(Clientes!$B:$B,MATCH(C1592,Clientes!$A:$A,0)),"Cód. não cadastrado"))</f>
        <v/>
      </c>
      <c r="K1592" s="18">
        <f>IF(B1592="","",YEAR(B1592))</f>
        <v/>
      </c>
      <c r="L1592" s="18">
        <f>IF(B1592="","",MONTH(B1592))</f>
        <v/>
      </c>
      <c r="M1592" s="18">
        <f>IF(OR(B1592="",I1592=""),"",I1592-B1592)</f>
        <v/>
      </c>
      <c r="N1592" s="21">
        <f>IF(B1592="","",IF(I1592="",IF(H1592="","",IF(TODAY()&gt;H1592,"Atrasado (em aberto)","Em aberto")),IF(I1592&lt;=H1592,"No prazo","Fora do prazo")))</f>
        <v/>
      </c>
    </row>
    <row r="1593">
      <c r="B1593" s="22" t="n"/>
      <c r="E1593" s="23" t="n"/>
      <c r="F1593" s="24" t="n"/>
      <c r="H1593" s="22" t="n"/>
      <c r="I1593" s="22" t="n"/>
      <c r="J1593" s="21">
        <f>IF(C1593="","",IFERROR(INDEX(Clientes!$B:$B,MATCH(C1593,Clientes!$A:$A,0)),"Cód. não cadastrado"))</f>
        <v/>
      </c>
      <c r="K1593" s="18">
        <f>IF(B1593="","",YEAR(B1593))</f>
        <v/>
      </c>
      <c r="L1593" s="18">
        <f>IF(B1593="","",MONTH(B1593))</f>
        <v/>
      </c>
      <c r="M1593" s="18">
        <f>IF(OR(B1593="",I1593=""),"",I1593-B1593)</f>
        <v/>
      </c>
      <c r="N1593" s="21">
        <f>IF(B1593="","",IF(I1593="",IF(H1593="","",IF(TODAY()&gt;H1593,"Atrasado (em aberto)","Em aberto")),IF(I1593&lt;=H1593,"No prazo","Fora do prazo")))</f>
        <v/>
      </c>
    </row>
    <row r="1594">
      <c r="B1594" s="22" t="n"/>
      <c r="E1594" s="23" t="n"/>
      <c r="F1594" s="24" t="n"/>
      <c r="H1594" s="22" t="n"/>
      <c r="I1594" s="22" t="n"/>
      <c r="J1594" s="21">
        <f>IF(C1594="","",IFERROR(INDEX(Clientes!$B:$B,MATCH(C1594,Clientes!$A:$A,0)),"Cód. não cadastrado"))</f>
        <v/>
      </c>
      <c r="K1594" s="18">
        <f>IF(B1594="","",YEAR(B1594))</f>
        <v/>
      </c>
      <c r="L1594" s="18">
        <f>IF(B1594="","",MONTH(B1594))</f>
        <v/>
      </c>
      <c r="M1594" s="18">
        <f>IF(OR(B1594="",I1594=""),"",I1594-B1594)</f>
        <v/>
      </c>
      <c r="N1594" s="21">
        <f>IF(B1594="","",IF(I1594="",IF(H1594="","",IF(TODAY()&gt;H1594,"Atrasado (em aberto)","Em aberto")),IF(I1594&lt;=H1594,"No prazo","Fora do prazo")))</f>
        <v/>
      </c>
    </row>
    <row r="1595">
      <c r="B1595" s="22" t="n"/>
      <c r="E1595" s="23" t="n"/>
      <c r="F1595" s="24" t="n"/>
      <c r="H1595" s="22" t="n"/>
      <c r="I1595" s="22" t="n"/>
      <c r="J1595" s="21">
        <f>IF(C1595="","",IFERROR(INDEX(Clientes!$B:$B,MATCH(C1595,Clientes!$A:$A,0)),"Cód. não cadastrado"))</f>
        <v/>
      </c>
      <c r="K1595" s="18">
        <f>IF(B1595="","",YEAR(B1595))</f>
        <v/>
      </c>
      <c r="L1595" s="18">
        <f>IF(B1595="","",MONTH(B1595))</f>
        <v/>
      </c>
      <c r="M1595" s="18">
        <f>IF(OR(B1595="",I1595=""),"",I1595-B1595)</f>
        <v/>
      </c>
      <c r="N1595" s="21">
        <f>IF(B1595="","",IF(I1595="",IF(H1595="","",IF(TODAY()&gt;H1595,"Atrasado (em aberto)","Em aberto")),IF(I1595&lt;=H1595,"No prazo","Fora do prazo")))</f>
        <v/>
      </c>
    </row>
    <row r="1596">
      <c r="B1596" s="22" t="n"/>
      <c r="E1596" s="23" t="n"/>
      <c r="F1596" s="24" t="n"/>
      <c r="H1596" s="22" t="n"/>
      <c r="I1596" s="22" t="n"/>
      <c r="J1596" s="21">
        <f>IF(C1596="","",IFERROR(INDEX(Clientes!$B:$B,MATCH(C1596,Clientes!$A:$A,0)),"Cód. não cadastrado"))</f>
        <v/>
      </c>
      <c r="K1596" s="18">
        <f>IF(B1596="","",YEAR(B1596))</f>
        <v/>
      </c>
      <c r="L1596" s="18">
        <f>IF(B1596="","",MONTH(B1596))</f>
        <v/>
      </c>
      <c r="M1596" s="18">
        <f>IF(OR(B1596="",I1596=""),"",I1596-B1596)</f>
        <v/>
      </c>
      <c r="N1596" s="21">
        <f>IF(B1596="","",IF(I1596="",IF(H1596="","",IF(TODAY()&gt;H1596,"Atrasado (em aberto)","Em aberto")),IF(I1596&lt;=H1596,"No prazo","Fora do prazo")))</f>
        <v/>
      </c>
    </row>
    <row r="1597">
      <c r="B1597" s="22" t="n"/>
      <c r="E1597" s="23" t="n"/>
      <c r="F1597" s="24" t="n"/>
      <c r="H1597" s="22" t="n"/>
      <c r="I1597" s="22" t="n"/>
      <c r="J1597" s="21">
        <f>IF(C1597="","",IFERROR(INDEX(Clientes!$B:$B,MATCH(C1597,Clientes!$A:$A,0)),"Cód. não cadastrado"))</f>
        <v/>
      </c>
      <c r="K1597" s="18">
        <f>IF(B1597="","",YEAR(B1597))</f>
        <v/>
      </c>
      <c r="L1597" s="18">
        <f>IF(B1597="","",MONTH(B1597))</f>
        <v/>
      </c>
      <c r="M1597" s="18">
        <f>IF(OR(B1597="",I1597=""),"",I1597-B1597)</f>
        <v/>
      </c>
      <c r="N1597" s="21">
        <f>IF(B1597="","",IF(I1597="",IF(H1597="","",IF(TODAY()&gt;H1597,"Atrasado (em aberto)","Em aberto")),IF(I1597&lt;=H1597,"No prazo","Fora do prazo")))</f>
        <v/>
      </c>
    </row>
    <row r="1598">
      <c r="B1598" s="22" t="n"/>
      <c r="E1598" s="23" t="n"/>
      <c r="F1598" s="24" t="n"/>
      <c r="H1598" s="22" t="n"/>
      <c r="I1598" s="22" t="n"/>
      <c r="J1598" s="21">
        <f>IF(C1598="","",IFERROR(INDEX(Clientes!$B:$B,MATCH(C1598,Clientes!$A:$A,0)),"Cód. não cadastrado"))</f>
        <v/>
      </c>
      <c r="K1598" s="18">
        <f>IF(B1598="","",YEAR(B1598))</f>
        <v/>
      </c>
      <c r="L1598" s="18">
        <f>IF(B1598="","",MONTH(B1598))</f>
        <v/>
      </c>
      <c r="M1598" s="18">
        <f>IF(OR(B1598="",I1598=""),"",I1598-B1598)</f>
        <v/>
      </c>
      <c r="N1598" s="21">
        <f>IF(B1598="","",IF(I1598="",IF(H1598="","",IF(TODAY()&gt;H1598,"Atrasado (em aberto)","Em aberto")),IF(I1598&lt;=H1598,"No prazo","Fora do prazo")))</f>
        <v/>
      </c>
    </row>
    <row r="1599">
      <c r="B1599" s="22" t="n"/>
      <c r="E1599" s="23" t="n"/>
      <c r="F1599" s="24" t="n"/>
      <c r="H1599" s="22" t="n"/>
      <c r="I1599" s="22" t="n"/>
      <c r="J1599" s="21">
        <f>IF(C1599="","",IFERROR(INDEX(Clientes!$B:$B,MATCH(C1599,Clientes!$A:$A,0)),"Cód. não cadastrado"))</f>
        <v/>
      </c>
      <c r="K1599" s="18">
        <f>IF(B1599="","",YEAR(B1599))</f>
        <v/>
      </c>
      <c r="L1599" s="18">
        <f>IF(B1599="","",MONTH(B1599))</f>
        <v/>
      </c>
      <c r="M1599" s="18">
        <f>IF(OR(B1599="",I1599=""),"",I1599-B1599)</f>
        <v/>
      </c>
      <c r="N1599" s="21">
        <f>IF(B1599="","",IF(I1599="",IF(H1599="","",IF(TODAY()&gt;H1599,"Atrasado (em aberto)","Em aberto")),IF(I1599&lt;=H1599,"No prazo","Fora do prazo")))</f>
        <v/>
      </c>
    </row>
    <row r="1600">
      <c r="B1600" s="22" t="n"/>
      <c r="E1600" s="23" t="n"/>
      <c r="F1600" s="24" t="n"/>
      <c r="H1600" s="22" t="n"/>
      <c r="I1600" s="22" t="n"/>
      <c r="J1600" s="21">
        <f>IF(C1600="","",IFERROR(INDEX(Clientes!$B:$B,MATCH(C1600,Clientes!$A:$A,0)),"Cód. não cadastrado"))</f>
        <v/>
      </c>
      <c r="K1600" s="18">
        <f>IF(B1600="","",YEAR(B1600))</f>
        <v/>
      </c>
      <c r="L1600" s="18">
        <f>IF(B1600="","",MONTH(B1600))</f>
        <v/>
      </c>
      <c r="M1600" s="18">
        <f>IF(OR(B1600="",I1600=""),"",I1600-B1600)</f>
        <v/>
      </c>
      <c r="N1600" s="21">
        <f>IF(B1600="","",IF(I1600="",IF(H1600="","",IF(TODAY()&gt;H1600,"Atrasado (em aberto)","Em aberto")),IF(I1600&lt;=H1600,"No prazo","Fora do prazo")))</f>
        <v/>
      </c>
    </row>
    <row r="1601">
      <c r="B1601" s="22" t="n"/>
      <c r="E1601" s="23" t="n"/>
      <c r="F1601" s="24" t="n"/>
      <c r="H1601" s="22" t="n"/>
      <c r="I1601" s="22" t="n"/>
      <c r="J1601" s="21">
        <f>IF(C1601="","",IFERROR(INDEX(Clientes!$B:$B,MATCH(C1601,Clientes!$A:$A,0)),"Cód. não cadastrado"))</f>
        <v/>
      </c>
      <c r="K1601" s="18">
        <f>IF(B1601="","",YEAR(B1601))</f>
        <v/>
      </c>
      <c r="L1601" s="18">
        <f>IF(B1601="","",MONTH(B1601))</f>
        <v/>
      </c>
      <c r="M1601" s="18">
        <f>IF(OR(B1601="",I1601=""),"",I1601-B1601)</f>
        <v/>
      </c>
      <c r="N1601" s="21">
        <f>IF(B1601="","",IF(I1601="",IF(H1601="","",IF(TODAY()&gt;H1601,"Atrasado (em aberto)","Em aberto")),IF(I1601&lt;=H1601,"No prazo","Fora do prazo")))</f>
        <v/>
      </c>
    </row>
    <row r="1602">
      <c r="B1602" s="22" t="n"/>
      <c r="E1602" s="23" t="n"/>
      <c r="F1602" s="24" t="n"/>
      <c r="H1602" s="22" t="n"/>
      <c r="I1602" s="22" t="n"/>
      <c r="J1602" s="21">
        <f>IF(C1602="","",IFERROR(INDEX(Clientes!$B:$B,MATCH(C1602,Clientes!$A:$A,0)),"Cód. não cadastrado"))</f>
        <v/>
      </c>
      <c r="K1602" s="18">
        <f>IF(B1602="","",YEAR(B1602))</f>
        <v/>
      </c>
      <c r="L1602" s="18">
        <f>IF(B1602="","",MONTH(B1602))</f>
        <v/>
      </c>
      <c r="M1602" s="18">
        <f>IF(OR(B1602="",I1602=""),"",I1602-B1602)</f>
        <v/>
      </c>
      <c r="N1602" s="21">
        <f>IF(B1602="","",IF(I1602="",IF(H1602="","",IF(TODAY()&gt;H1602,"Atrasado (em aberto)","Em aberto")),IF(I1602&lt;=H1602,"No prazo","Fora do prazo")))</f>
        <v/>
      </c>
    </row>
    <row r="1603">
      <c r="B1603" s="22" t="n"/>
      <c r="E1603" s="23" t="n"/>
      <c r="F1603" s="24" t="n"/>
      <c r="H1603" s="22" t="n"/>
      <c r="I1603" s="22" t="n"/>
      <c r="J1603" s="21">
        <f>IF(C1603="","",IFERROR(INDEX(Clientes!$B:$B,MATCH(C1603,Clientes!$A:$A,0)),"Cód. não cadastrado"))</f>
        <v/>
      </c>
      <c r="K1603" s="18">
        <f>IF(B1603="","",YEAR(B1603))</f>
        <v/>
      </c>
      <c r="L1603" s="18">
        <f>IF(B1603="","",MONTH(B1603))</f>
        <v/>
      </c>
      <c r="M1603" s="18">
        <f>IF(OR(B1603="",I1603=""),"",I1603-B1603)</f>
        <v/>
      </c>
      <c r="N1603" s="21">
        <f>IF(B1603="","",IF(I1603="",IF(H1603="","",IF(TODAY()&gt;H1603,"Atrasado (em aberto)","Em aberto")),IF(I1603&lt;=H1603,"No prazo","Fora do prazo")))</f>
        <v/>
      </c>
    </row>
    <row r="1604">
      <c r="B1604" s="22" t="n"/>
      <c r="E1604" s="23" t="n"/>
      <c r="F1604" s="24" t="n"/>
      <c r="H1604" s="22" t="n"/>
      <c r="I1604" s="22" t="n"/>
      <c r="J1604" s="21">
        <f>IF(C1604="","",IFERROR(INDEX(Clientes!$B:$B,MATCH(C1604,Clientes!$A:$A,0)),"Cód. não cadastrado"))</f>
        <v/>
      </c>
      <c r="K1604" s="18">
        <f>IF(B1604="","",YEAR(B1604))</f>
        <v/>
      </c>
      <c r="L1604" s="18">
        <f>IF(B1604="","",MONTH(B1604))</f>
        <v/>
      </c>
      <c r="M1604" s="18">
        <f>IF(OR(B1604="",I1604=""),"",I1604-B1604)</f>
        <v/>
      </c>
      <c r="N1604" s="21">
        <f>IF(B1604="","",IF(I1604="",IF(H1604="","",IF(TODAY()&gt;H1604,"Atrasado (em aberto)","Em aberto")),IF(I1604&lt;=H1604,"No prazo","Fora do prazo")))</f>
        <v/>
      </c>
    </row>
    <row r="1605">
      <c r="B1605" s="22" t="n"/>
      <c r="E1605" s="23" t="n"/>
      <c r="F1605" s="24" t="n"/>
      <c r="H1605" s="22" t="n"/>
      <c r="I1605" s="22" t="n"/>
      <c r="J1605" s="21">
        <f>IF(C1605="","",IFERROR(INDEX(Clientes!$B:$B,MATCH(C1605,Clientes!$A:$A,0)),"Cód. não cadastrado"))</f>
        <v/>
      </c>
      <c r="K1605" s="18">
        <f>IF(B1605="","",YEAR(B1605))</f>
        <v/>
      </c>
      <c r="L1605" s="18">
        <f>IF(B1605="","",MONTH(B1605))</f>
        <v/>
      </c>
      <c r="M1605" s="18">
        <f>IF(OR(B1605="",I1605=""),"",I1605-B1605)</f>
        <v/>
      </c>
      <c r="N1605" s="21">
        <f>IF(B1605="","",IF(I1605="",IF(H1605="","",IF(TODAY()&gt;H1605,"Atrasado (em aberto)","Em aberto")),IF(I1605&lt;=H1605,"No prazo","Fora do prazo")))</f>
        <v/>
      </c>
    </row>
    <row r="1606">
      <c r="B1606" s="22" t="n"/>
      <c r="E1606" s="23" t="n"/>
      <c r="F1606" s="24" t="n"/>
      <c r="H1606" s="22" t="n"/>
      <c r="I1606" s="22" t="n"/>
      <c r="J1606" s="21">
        <f>IF(C1606="","",IFERROR(INDEX(Clientes!$B:$B,MATCH(C1606,Clientes!$A:$A,0)),"Cód. não cadastrado"))</f>
        <v/>
      </c>
      <c r="K1606" s="18">
        <f>IF(B1606="","",YEAR(B1606))</f>
        <v/>
      </c>
      <c r="L1606" s="18">
        <f>IF(B1606="","",MONTH(B1606))</f>
        <v/>
      </c>
      <c r="M1606" s="18">
        <f>IF(OR(B1606="",I1606=""),"",I1606-B1606)</f>
        <v/>
      </c>
      <c r="N1606" s="21">
        <f>IF(B1606="","",IF(I1606="",IF(H1606="","",IF(TODAY()&gt;H1606,"Atrasado (em aberto)","Em aberto")),IF(I1606&lt;=H1606,"No prazo","Fora do prazo")))</f>
        <v/>
      </c>
    </row>
    <row r="1607">
      <c r="B1607" s="22" t="n"/>
      <c r="E1607" s="23" t="n"/>
      <c r="F1607" s="24" t="n"/>
      <c r="H1607" s="22" t="n"/>
      <c r="I1607" s="22" t="n"/>
      <c r="J1607" s="21">
        <f>IF(C1607="","",IFERROR(INDEX(Clientes!$B:$B,MATCH(C1607,Clientes!$A:$A,0)),"Cód. não cadastrado"))</f>
        <v/>
      </c>
      <c r="K1607" s="18">
        <f>IF(B1607="","",YEAR(B1607))</f>
        <v/>
      </c>
      <c r="L1607" s="18">
        <f>IF(B1607="","",MONTH(B1607))</f>
        <v/>
      </c>
      <c r="M1607" s="18">
        <f>IF(OR(B1607="",I1607=""),"",I1607-B1607)</f>
        <v/>
      </c>
      <c r="N1607" s="21">
        <f>IF(B1607="","",IF(I1607="",IF(H1607="","",IF(TODAY()&gt;H1607,"Atrasado (em aberto)","Em aberto")),IF(I1607&lt;=H1607,"No prazo","Fora do prazo")))</f>
        <v/>
      </c>
    </row>
    <row r="1608">
      <c r="B1608" s="22" t="n"/>
      <c r="E1608" s="23" t="n"/>
      <c r="F1608" s="24" t="n"/>
      <c r="H1608" s="22" t="n"/>
      <c r="I1608" s="22" t="n"/>
      <c r="J1608" s="21">
        <f>IF(C1608="","",IFERROR(INDEX(Clientes!$B:$B,MATCH(C1608,Clientes!$A:$A,0)),"Cód. não cadastrado"))</f>
        <v/>
      </c>
      <c r="K1608" s="18">
        <f>IF(B1608="","",YEAR(B1608))</f>
        <v/>
      </c>
      <c r="L1608" s="18">
        <f>IF(B1608="","",MONTH(B1608))</f>
        <v/>
      </c>
      <c r="M1608" s="18">
        <f>IF(OR(B1608="",I1608=""),"",I1608-B1608)</f>
        <v/>
      </c>
      <c r="N1608" s="21">
        <f>IF(B1608="","",IF(I1608="",IF(H1608="","",IF(TODAY()&gt;H1608,"Atrasado (em aberto)","Em aberto")),IF(I1608&lt;=H1608,"No prazo","Fora do prazo")))</f>
        <v/>
      </c>
    </row>
    <row r="1609">
      <c r="B1609" s="22" t="n"/>
      <c r="E1609" s="23" t="n"/>
      <c r="F1609" s="24" t="n"/>
      <c r="H1609" s="22" t="n"/>
      <c r="I1609" s="22" t="n"/>
      <c r="J1609" s="21">
        <f>IF(C1609="","",IFERROR(INDEX(Clientes!$B:$B,MATCH(C1609,Clientes!$A:$A,0)),"Cód. não cadastrado"))</f>
        <v/>
      </c>
      <c r="K1609" s="18">
        <f>IF(B1609="","",YEAR(B1609))</f>
        <v/>
      </c>
      <c r="L1609" s="18">
        <f>IF(B1609="","",MONTH(B1609))</f>
        <v/>
      </c>
      <c r="M1609" s="18">
        <f>IF(OR(B1609="",I1609=""),"",I1609-B1609)</f>
        <v/>
      </c>
      <c r="N1609" s="21">
        <f>IF(B1609="","",IF(I1609="",IF(H1609="","",IF(TODAY()&gt;H1609,"Atrasado (em aberto)","Em aberto")),IF(I1609&lt;=H1609,"No prazo","Fora do prazo")))</f>
        <v/>
      </c>
    </row>
    <row r="1610">
      <c r="B1610" s="22" t="n"/>
      <c r="E1610" s="23" t="n"/>
      <c r="F1610" s="24" t="n"/>
      <c r="H1610" s="22" t="n"/>
      <c r="I1610" s="22" t="n"/>
      <c r="J1610" s="21">
        <f>IF(C1610="","",IFERROR(INDEX(Clientes!$B:$B,MATCH(C1610,Clientes!$A:$A,0)),"Cód. não cadastrado"))</f>
        <v/>
      </c>
      <c r="K1610" s="18">
        <f>IF(B1610="","",YEAR(B1610))</f>
        <v/>
      </c>
      <c r="L1610" s="18">
        <f>IF(B1610="","",MONTH(B1610))</f>
        <v/>
      </c>
      <c r="M1610" s="18">
        <f>IF(OR(B1610="",I1610=""),"",I1610-B1610)</f>
        <v/>
      </c>
      <c r="N1610" s="21">
        <f>IF(B1610="","",IF(I1610="",IF(H1610="","",IF(TODAY()&gt;H1610,"Atrasado (em aberto)","Em aberto")),IF(I1610&lt;=H1610,"No prazo","Fora do prazo")))</f>
        <v/>
      </c>
    </row>
    <row r="1611">
      <c r="B1611" s="22" t="n"/>
      <c r="E1611" s="23" t="n"/>
      <c r="F1611" s="24" t="n"/>
      <c r="H1611" s="22" t="n"/>
      <c r="I1611" s="22" t="n"/>
      <c r="J1611" s="21">
        <f>IF(C1611="","",IFERROR(INDEX(Clientes!$B:$B,MATCH(C1611,Clientes!$A:$A,0)),"Cód. não cadastrado"))</f>
        <v/>
      </c>
      <c r="K1611" s="18">
        <f>IF(B1611="","",YEAR(B1611))</f>
        <v/>
      </c>
      <c r="L1611" s="18">
        <f>IF(B1611="","",MONTH(B1611))</f>
        <v/>
      </c>
      <c r="M1611" s="18">
        <f>IF(OR(B1611="",I1611=""),"",I1611-B1611)</f>
        <v/>
      </c>
      <c r="N1611" s="21">
        <f>IF(B1611="","",IF(I1611="",IF(H1611="","",IF(TODAY()&gt;H1611,"Atrasado (em aberto)","Em aberto")),IF(I1611&lt;=H1611,"No prazo","Fora do prazo")))</f>
        <v/>
      </c>
    </row>
    <row r="1612">
      <c r="B1612" s="22" t="n"/>
      <c r="E1612" s="23" t="n"/>
      <c r="F1612" s="24" t="n"/>
      <c r="H1612" s="22" t="n"/>
      <c r="I1612" s="22" t="n"/>
      <c r="J1612" s="21">
        <f>IF(C1612="","",IFERROR(INDEX(Clientes!$B:$B,MATCH(C1612,Clientes!$A:$A,0)),"Cód. não cadastrado"))</f>
        <v/>
      </c>
      <c r="K1612" s="18">
        <f>IF(B1612="","",YEAR(B1612))</f>
        <v/>
      </c>
      <c r="L1612" s="18">
        <f>IF(B1612="","",MONTH(B1612))</f>
        <v/>
      </c>
      <c r="M1612" s="18">
        <f>IF(OR(B1612="",I1612=""),"",I1612-B1612)</f>
        <v/>
      </c>
      <c r="N1612" s="21">
        <f>IF(B1612="","",IF(I1612="",IF(H1612="","",IF(TODAY()&gt;H1612,"Atrasado (em aberto)","Em aberto")),IF(I1612&lt;=H1612,"No prazo","Fora do prazo")))</f>
        <v/>
      </c>
    </row>
    <row r="1613">
      <c r="B1613" s="22" t="n"/>
      <c r="E1613" s="23" t="n"/>
      <c r="F1613" s="24" t="n"/>
      <c r="H1613" s="22" t="n"/>
      <c r="I1613" s="22" t="n"/>
      <c r="J1613" s="21">
        <f>IF(C1613="","",IFERROR(INDEX(Clientes!$B:$B,MATCH(C1613,Clientes!$A:$A,0)),"Cód. não cadastrado"))</f>
        <v/>
      </c>
      <c r="K1613" s="18">
        <f>IF(B1613="","",YEAR(B1613))</f>
        <v/>
      </c>
      <c r="L1613" s="18">
        <f>IF(B1613="","",MONTH(B1613))</f>
        <v/>
      </c>
      <c r="M1613" s="18">
        <f>IF(OR(B1613="",I1613=""),"",I1613-B1613)</f>
        <v/>
      </c>
      <c r="N1613" s="21">
        <f>IF(B1613="","",IF(I1613="",IF(H1613="","",IF(TODAY()&gt;H1613,"Atrasado (em aberto)","Em aberto")),IF(I1613&lt;=H1613,"No prazo","Fora do prazo")))</f>
        <v/>
      </c>
    </row>
    <row r="1614">
      <c r="B1614" s="22" t="n"/>
      <c r="E1614" s="23" t="n"/>
      <c r="F1614" s="24" t="n"/>
      <c r="H1614" s="22" t="n"/>
      <c r="I1614" s="22" t="n"/>
      <c r="J1614" s="21">
        <f>IF(C1614="","",IFERROR(INDEX(Clientes!$B:$B,MATCH(C1614,Clientes!$A:$A,0)),"Cód. não cadastrado"))</f>
        <v/>
      </c>
      <c r="K1614" s="18">
        <f>IF(B1614="","",YEAR(B1614))</f>
        <v/>
      </c>
      <c r="L1614" s="18">
        <f>IF(B1614="","",MONTH(B1614))</f>
        <v/>
      </c>
      <c r="M1614" s="18">
        <f>IF(OR(B1614="",I1614=""),"",I1614-B1614)</f>
        <v/>
      </c>
      <c r="N1614" s="21">
        <f>IF(B1614="","",IF(I1614="",IF(H1614="","",IF(TODAY()&gt;H1614,"Atrasado (em aberto)","Em aberto")),IF(I1614&lt;=H1614,"No prazo","Fora do prazo")))</f>
        <v/>
      </c>
    </row>
    <row r="1615">
      <c r="B1615" s="22" t="n"/>
      <c r="E1615" s="23" t="n"/>
      <c r="F1615" s="24" t="n"/>
      <c r="H1615" s="22" t="n"/>
      <c r="I1615" s="22" t="n"/>
      <c r="J1615" s="21">
        <f>IF(C1615="","",IFERROR(INDEX(Clientes!$B:$B,MATCH(C1615,Clientes!$A:$A,0)),"Cód. não cadastrado"))</f>
        <v/>
      </c>
      <c r="K1615" s="18">
        <f>IF(B1615="","",YEAR(B1615))</f>
        <v/>
      </c>
      <c r="L1615" s="18">
        <f>IF(B1615="","",MONTH(B1615))</f>
        <v/>
      </c>
      <c r="M1615" s="18">
        <f>IF(OR(B1615="",I1615=""),"",I1615-B1615)</f>
        <v/>
      </c>
      <c r="N1615" s="21">
        <f>IF(B1615="","",IF(I1615="",IF(H1615="","",IF(TODAY()&gt;H1615,"Atrasado (em aberto)","Em aberto")),IF(I1615&lt;=H1615,"No prazo","Fora do prazo")))</f>
        <v/>
      </c>
    </row>
    <row r="1616">
      <c r="B1616" s="22" t="n"/>
      <c r="E1616" s="23" t="n"/>
      <c r="F1616" s="24" t="n"/>
      <c r="H1616" s="22" t="n"/>
      <c r="I1616" s="22" t="n"/>
      <c r="J1616" s="21">
        <f>IF(C1616="","",IFERROR(INDEX(Clientes!$B:$B,MATCH(C1616,Clientes!$A:$A,0)),"Cód. não cadastrado"))</f>
        <v/>
      </c>
      <c r="K1616" s="18">
        <f>IF(B1616="","",YEAR(B1616))</f>
        <v/>
      </c>
      <c r="L1616" s="18">
        <f>IF(B1616="","",MONTH(B1616))</f>
        <v/>
      </c>
      <c r="M1616" s="18">
        <f>IF(OR(B1616="",I1616=""),"",I1616-B1616)</f>
        <v/>
      </c>
      <c r="N1616" s="21">
        <f>IF(B1616="","",IF(I1616="",IF(H1616="","",IF(TODAY()&gt;H1616,"Atrasado (em aberto)","Em aberto")),IF(I1616&lt;=H1616,"No prazo","Fora do prazo")))</f>
        <v/>
      </c>
    </row>
    <row r="1617">
      <c r="B1617" s="22" t="n"/>
      <c r="E1617" s="23" t="n"/>
      <c r="F1617" s="24" t="n"/>
      <c r="H1617" s="22" t="n"/>
      <c r="I1617" s="22" t="n"/>
      <c r="J1617" s="21">
        <f>IF(C1617="","",IFERROR(INDEX(Clientes!$B:$B,MATCH(C1617,Clientes!$A:$A,0)),"Cód. não cadastrado"))</f>
        <v/>
      </c>
      <c r="K1617" s="18">
        <f>IF(B1617="","",YEAR(B1617))</f>
        <v/>
      </c>
      <c r="L1617" s="18">
        <f>IF(B1617="","",MONTH(B1617))</f>
        <v/>
      </c>
      <c r="M1617" s="18">
        <f>IF(OR(B1617="",I1617=""),"",I1617-B1617)</f>
        <v/>
      </c>
      <c r="N1617" s="21">
        <f>IF(B1617="","",IF(I1617="",IF(H1617="","",IF(TODAY()&gt;H1617,"Atrasado (em aberto)","Em aberto")),IF(I1617&lt;=H1617,"No prazo","Fora do prazo")))</f>
        <v/>
      </c>
    </row>
    <row r="1618">
      <c r="B1618" s="22" t="n"/>
      <c r="E1618" s="23" t="n"/>
      <c r="F1618" s="24" t="n"/>
      <c r="H1618" s="22" t="n"/>
      <c r="I1618" s="22" t="n"/>
      <c r="J1618" s="21">
        <f>IF(C1618="","",IFERROR(INDEX(Clientes!$B:$B,MATCH(C1618,Clientes!$A:$A,0)),"Cód. não cadastrado"))</f>
        <v/>
      </c>
      <c r="K1618" s="18">
        <f>IF(B1618="","",YEAR(B1618))</f>
        <v/>
      </c>
      <c r="L1618" s="18">
        <f>IF(B1618="","",MONTH(B1618))</f>
        <v/>
      </c>
      <c r="M1618" s="18">
        <f>IF(OR(B1618="",I1618=""),"",I1618-B1618)</f>
        <v/>
      </c>
      <c r="N1618" s="21">
        <f>IF(B1618="","",IF(I1618="",IF(H1618="","",IF(TODAY()&gt;H1618,"Atrasado (em aberto)","Em aberto")),IF(I1618&lt;=H1618,"No prazo","Fora do prazo")))</f>
        <v/>
      </c>
    </row>
    <row r="1619">
      <c r="B1619" s="22" t="n"/>
      <c r="E1619" s="23" t="n"/>
      <c r="F1619" s="24" t="n"/>
      <c r="H1619" s="22" t="n"/>
      <c r="I1619" s="22" t="n"/>
      <c r="J1619" s="21">
        <f>IF(C1619="","",IFERROR(INDEX(Clientes!$B:$B,MATCH(C1619,Clientes!$A:$A,0)),"Cód. não cadastrado"))</f>
        <v/>
      </c>
      <c r="K1619" s="18">
        <f>IF(B1619="","",YEAR(B1619))</f>
        <v/>
      </c>
      <c r="L1619" s="18">
        <f>IF(B1619="","",MONTH(B1619))</f>
        <v/>
      </c>
      <c r="M1619" s="18">
        <f>IF(OR(B1619="",I1619=""),"",I1619-B1619)</f>
        <v/>
      </c>
      <c r="N1619" s="21">
        <f>IF(B1619="","",IF(I1619="",IF(H1619="","",IF(TODAY()&gt;H1619,"Atrasado (em aberto)","Em aberto")),IF(I1619&lt;=H1619,"No prazo","Fora do prazo")))</f>
        <v/>
      </c>
    </row>
    <row r="1620">
      <c r="B1620" s="22" t="n"/>
      <c r="E1620" s="23" t="n"/>
      <c r="F1620" s="24" t="n"/>
      <c r="H1620" s="22" t="n"/>
      <c r="I1620" s="22" t="n"/>
      <c r="J1620" s="21">
        <f>IF(C1620="","",IFERROR(INDEX(Clientes!$B:$B,MATCH(C1620,Clientes!$A:$A,0)),"Cód. não cadastrado"))</f>
        <v/>
      </c>
      <c r="K1620" s="18">
        <f>IF(B1620="","",YEAR(B1620))</f>
        <v/>
      </c>
      <c r="L1620" s="18">
        <f>IF(B1620="","",MONTH(B1620))</f>
        <v/>
      </c>
      <c r="M1620" s="18">
        <f>IF(OR(B1620="",I1620=""),"",I1620-B1620)</f>
        <v/>
      </c>
      <c r="N1620" s="21">
        <f>IF(B1620="","",IF(I1620="",IF(H1620="","",IF(TODAY()&gt;H1620,"Atrasado (em aberto)","Em aberto")),IF(I1620&lt;=H1620,"No prazo","Fora do prazo")))</f>
        <v/>
      </c>
    </row>
    <row r="1621">
      <c r="B1621" s="22" t="n"/>
      <c r="E1621" s="23" t="n"/>
      <c r="F1621" s="24" t="n"/>
      <c r="H1621" s="22" t="n"/>
      <c r="I1621" s="22" t="n"/>
      <c r="J1621" s="21">
        <f>IF(C1621="","",IFERROR(INDEX(Clientes!$B:$B,MATCH(C1621,Clientes!$A:$A,0)),"Cód. não cadastrado"))</f>
        <v/>
      </c>
      <c r="K1621" s="18">
        <f>IF(B1621="","",YEAR(B1621))</f>
        <v/>
      </c>
      <c r="L1621" s="18">
        <f>IF(B1621="","",MONTH(B1621))</f>
        <v/>
      </c>
      <c r="M1621" s="18">
        <f>IF(OR(B1621="",I1621=""),"",I1621-B1621)</f>
        <v/>
      </c>
      <c r="N1621" s="21">
        <f>IF(B1621="","",IF(I1621="",IF(H1621="","",IF(TODAY()&gt;H1621,"Atrasado (em aberto)","Em aberto")),IF(I1621&lt;=H1621,"No prazo","Fora do prazo")))</f>
        <v/>
      </c>
    </row>
    <row r="1622">
      <c r="B1622" s="22" t="n"/>
      <c r="E1622" s="23" t="n"/>
      <c r="F1622" s="24" t="n"/>
      <c r="H1622" s="22" t="n"/>
      <c r="I1622" s="22" t="n"/>
      <c r="J1622" s="21">
        <f>IF(C1622="","",IFERROR(INDEX(Clientes!$B:$B,MATCH(C1622,Clientes!$A:$A,0)),"Cód. não cadastrado"))</f>
        <v/>
      </c>
      <c r="K1622" s="18">
        <f>IF(B1622="","",YEAR(B1622))</f>
        <v/>
      </c>
      <c r="L1622" s="18">
        <f>IF(B1622="","",MONTH(B1622))</f>
        <v/>
      </c>
      <c r="M1622" s="18">
        <f>IF(OR(B1622="",I1622=""),"",I1622-B1622)</f>
        <v/>
      </c>
      <c r="N1622" s="21">
        <f>IF(B1622="","",IF(I1622="",IF(H1622="","",IF(TODAY()&gt;H1622,"Atrasado (em aberto)","Em aberto")),IF(I1622&lt;=H1622,"No prazo","Fora do prazo")))</f>
        <v/>
      </c>
    </row>
    <row r="1623">
      <c r="B1623" s="22" t="n"/>
      <c r="E1623" s="23" t="n"/>
      <c r="F1623" s="24" t="n"/>
      <c r="H1623" s="22" t="n"/>
      <c r="I1623" s="22" t="n"/>
      <c r="J1623" s="21">
        <f>IF(C1623="","",IFERROR(INDEX(Clientes!$B:$B,MATCH(C1623,Clientes!$A:$A,0)),"Cód. não cadastrado"))</f>
        <v/>
      </c>
      <c r="K1623" s="18">
        <f>IF(B1623="","",YEAR(B1623))</f>
        <v/>
      </c>
      <c r="L1623" s="18">
        <f>IF(B1623="","",MONTH(B1623))</f>
        <v/>
      </c>
      <c r="M1623" s="18">
        <f>IF(OR(B1623="",I1623=""),"",I1623-B1623)</f>
        <v/>
      </c>
      <c r="N1623" s="21">
        <f>IF(B1623="","",IF(I1623="",IF(H1623="","",IF(TODAY()&gt;H1623,"Atrasado (em aberto)","Em aberto")),IF(I1623&lt;=H1623,"No prazo","Fora do prazo")))</f>
        <v/>
      </c>
    </row>
    <row r="1624">
      <c r="B1624" s="22" t="n"/>
      <c r="E1624" s="23" t="n"/>
      <c r="F1624" s="24" t="n"/>
      <c r="H1624" s="22" t="n"/>
      <c r="I1624" s="22" t="n"/>
      <c r="J1624" s="21">
        <f>IF(C1624="","",IFERROR(INDEX(Clientes!$B:$B,MATCH(C1624,Clientes!$A:$A,0)),"Cód. não cadastrado"))</f>
        <v/>
      </c>
      <c r="K1624" s="18">
        <f>IF(B1624="","",YEAR(B1624))</f>
        <v/>
      </c>
      <c r="L1624" s="18">
        <f>IF(B1624="","",MONTH(B1624))</f>
        <v/>
      </c>
      <c r="M1624" s="18">
        <f>IF(OR(B1624="",I1624=""),"",I1624-B1624)</f>
        <v/>
      </c>
      <c r="N1624" s="21">
        <f>IF(B1624="","",IF(I1624="",IF(H1624="","",IF(TODAY()&gt;H1624,"Atrasado (em aberto)","Em aberto")),IF(I1624&lt;=H1624,"No prazo","Fora do prazo")))</f>
        <v/>
      </c>
    </row>
    <row r="1625">
      <c r="B1625" s="22" t="n"/>
      <c r="E1625" s="23" t="n"/>
      <c r="F1625" s="24" t="n"/>
      <c r="H1625" s="22" t="n"/>
      <c r="I1625" s="22" t="n"/>
      <c r="J1625" s="21">
        <f>IF(C1625="","",IFERROR(INDEX(Clientes!$B:$B,MATCH(C1625,Clientes!$A:$A,0)),"Cód. não cadastrado"))</f>
        <v/>
      </c>
      <c r="K1625" s="18">
        <f>IF(B1625="","",YEAR(B1625))</f>
        <v/>
      </c>
      <c r="L1625" s="18">
        <f>IF(B1625="","",MONTH(B1625))</f>
        <v/>
      </c>
      <c r="M1625" s="18">
        <f>IF(OR(B1625="",I1625=""),"",I1625-B1625)</f>
        <v/>
      </c>
      <c r="N1625" s="21">
        <f>IF(B1625="","",IF(I1625="",IF(H1625="","",IF(TODAY()&gt;H1625,"Atrasado (em aberto)","Em aberto")),IF(I1625&lt;=H1625,"No prazo","Fora do prazo")))</f>
        <v/>
      </c>
    </row>
    <row r="1626">
      <c r="B1626" s="22" t="n"/>
      <c r="E1626" s="23" t="n"/>
      <c r="F1626" s="24" t="n"/>
      <c r="H1626" s="22" t="n"/>
      <c r="I1626" s="22" t="n"/>
      <c r="J1626" s="21">
        <f>IF(C1626="","",IFERROR(INDEX(Clientes!$B:$B,MATCH(C1626,Clientes!$A:$A,0)),"Cód. não cadastrado"))</f>
        <v/>
      </c>
      <c r="K1626" s="18">
        <f>IF(B1626="","",YEAR(B1626))</f>
        <v/>
      </c>
      <c r="L1626" s="18">
        <f>IF(B1626="","",MONTH(B1626))</f>
        <v/>
      </c>
      <c r="M1626" s="18">
        <f>IF(OR(B1626="",I1626=""),"",I1626-B1626)</f>
        <v/>
      </c>
      <c r="N1626" s="21">
        <f>IF(B1626="","",IF(I1626="",IF(H1626="","",IF(TODAY()&gt;H1626,"Atrasado (em aberto)","Em aberto")),IF(I1626&lt;=H1626,"No prazo","Fora do prazo")))</f>
        <v/>
      </c>
    </row>
    <row r="1627">
      <c r="B1627" s="22" t="n"/>
      <c r="E1627" s="23" t="n"/>
      <c r="F1627" s="24" t="n"/>
      <c r="H1627" s="22" t="n"/>
      <c r="I1627" s="22" t="n"/>
      <c r="J1627" s="21">
        <f>IF(C1627="","",IFERROR(INDEX(Clientes!$B:$B,MATCH(C1627,Clientes!$A:$A,0)),"Cód. não cadastrado"))</f>
        <v/>
      </c>
      <c r="K1627" s="18">
        <f>IF(B1627="","",YEAR(B1627))</f>
        <v/>
      </c>
      <c r="L1627" s="18">
        <f>IF(B1627="","",MONTH(B1627))</f>
        <v/>
      </c>
      <c r="M1627" s="18">
        <f>IF(OR(B1627="",I1627=""),"",I1627-B1627)</f>
        <v/>
      </c>
      <c r="N1627" s="21">
        <f>IF(B1627="","",IF(I1627="",IF(H1627="","",IF(TODAY()&gt;H1627,"Atrasado (em aberto)","Em aberto")),IF(I1627&lt;=H1627,"No prazo","Fora do prazo")))</f>
        <v/>
      </c>
    </row>
    <row r="1628">
      <c r="B1628" s="22" t="n"/>
      <c r="E1628" s="23" t="n"/>
      <c r="F1628" s="24" t="n"/>
      <c r="H1628" s="22" t="n"/>
      <c r="I1628" s="22" t="n"/>
      <c r="J1628" s="21">
        <f>IF(C1628="","",IFERROR(INDEX(Clientes!$B:$B,MATCH(C1628,Clientes!$A:$A,0)),"Cód. não cadastrado"))</f>
        <v/>
      </c>
      <c r="K1628" s="18">
        <f>IF(B1628="","",YEAR(B1628))</f>
        <v/>
      </c>
      <c r="L1628" s="18">
        <f>IF(B1628="","",MONTH(B1628))</f>
        <v/>
      </c>
      <c r="M1628" s="18">
        <f>IF(OR(B1628="",I1628=""),"",I1628-B1628)</f>
        <v/>
      </c>
      <c r="N1628" s="21">
        <f>IF(B1628="","",IF(I1628="",IF(H1628="","",IF(TODAY()&gt;H1628,"Atrasado (em aberto)","Em aberto")),IF(I1628&lt;=H1628,"No prazo","Fora do prazo")))</f>
        <v/>
      </c>
    </row>
    <row r="1629">
      <c r="B1629" s="22" t="n"/>
      <c r="E1629" s="23" t="n"/>
      <c r="F1629" s="24" t="n"/>
      <c r="H1629" s="22" t="n"/>
      <c r="I1629" s="22" t="n"/>
      <c r="J1629" s="21">
        <f>IF(C1629="","",IFERROR(INDEX(Clientes!$B:$B,MATCH(C1629,Clientes!$A:$A,0)),"Cód. não cadastrado"))</f>
        <v/>
      </c>
      <c r="K1629" s="18">
        <f>IF(B1629="","",YEAR(B1629))</f>
        <v/>
      </c>
      <c r="L1629" s="18">
        <f>IF(B1629="","",MONTH(B1629))</f>
        <v/>
      </c>
      <c r="M1629" s="18">
        <f>IF(OR(B1629="",I1629=""),"",I1629-B1629)</f>
        <v/>
      </c>
      <c r="N1629" s="21">
        <f>IF(B1629="","",IF(I1629="",IF(H1629="","",IF(TODAY()&gt;H1629,"Atrasado (em aberto)","Em aberto")),IF(I1629&lt;=H1629,"No prazo","Fora do prazo")))</f>
        <v/>
      </c>
    </row>
    <row r="1630">
      <c r="B1630" s="22" t="n"/>
      <c r="E1630" s="23" t="n"/>
      <c r="F1630" s="24" t="n"/>
      <c r="H1630" s="22" t="n"/>
      <c r="I1630" s="22" t="n"/>
      <c r="J1630" s="21">
        <f>IF(C1630="","",IFERROR(INDEX(Clientes!$B:$B,MATCH(C1630,Clientes!$A:$A,0)),"Cód. não cadastrado"))</f>
        <v/>
      </c>
      <c r="K1630" s="18">
        <f>IF(B1630="","",YEAR(B1630))</f>
        <v/>
      </c>
      <c r="L1630" s="18">
        <f>IF(B1630="","",MONTH(B1630))</f>
        <v/>
      </c>
      <c r="M1630" s="18">
        <f>IF(OR(B1630="",I1630=""),"",I1630-B1630)</f>
        <v/>
      </c>
      <c r="N1630" s="21">
        <f>IF(B1630="","",IF(I1630="",IF(H1630="","",IF(TODAY()&gt;H1630,"Atrasado (em aberto)","Em aberto")),IF(I1630&lt;=H1630,"No prazo","Fora do prazo")))</f>
        <v/>
      </c>
    </row>
    <row r="1631">
      <c r="B1631" s="22" t="n"/>
      <c r="E1631" s="23" t="n"/>
      <c r="F1631" s="24" t="n"/>
      <c r="H1631" s="22" t="n"/>
      <c r="I1631" s="22" t="n"/>
      <c r="J1631" s="21">
        <f>IF(C1631="","",IFERROR(INDEX(Clientes!$B:$B,MATCH(C1631,Clientes!$A:$A,0)),"Cód. não cadastrado"))</f>
        <v/>
      </c>
      <c r="K1631" s="18">
        <f>IF(B1631="","",YEAR(B1631))</f>
        <v/>
      </c>
      <c r="L1631" s="18">
        <f>IF(B1631="","",MONTH(B1631))</f>
        <v/>
      </c>
      <c r="M1631" s="18">
        <f>IF(OR(B1631="",I1631=""),"",I1631-B1631)</f>
        <v/>
      </c>
      <c r="N1631" s="21">
        <f>IF(B1631="","",IF(I1631="",IF(H1631="","",IF(TODAY()&gt;H1631,"Atrasado (em aberto)","Em aberto")),IF(I1631&lt;=H1631,"No prazo","Fora do prazo")))</f>
        <v/>
      </c>
    </row>
    <row r="1632">
      <c r="B1632" s="22" t="n"/>
      <c r="E1632" s="23" t="n"/>
      <c r="F1632" s="24" t="n"/>
      <c r="H1632" s="22" t="n"/>
      <c r="I1632" s="22" t="n"/>
      <c r="J1632" s="21">
        <f>IF(C1632="","",IFERROR(INDEX(Clientes!$B:$B,MATCH(C1632,Clientes!$A:$A,0)),"Cód. não cadastrado"))</f>
        <v/>
      </c>
      <c r="K1632" s="18">
        <f>IF(B1632="","",YEAR(B1632))</f>
        <v/>
      </c>
      <c r="L1632" s="18">
        <f>IF(B1632="","",MONTH(B1632))</f>
        <v/>
      </c>
      <c r="M1632" s="18">
        <f>IF(OR(B1632="",I1632=""),"",I1632-B1632)</f>
        <v/>
      </c>
      <c r="N1632" s="21">
        <f>IF(B1632="","",IF(I1632="",IF(H1632="","",IF(TODAY()&gt;H1632,"Atrasado (em aberto)","Em aberto")),IF(I1632&lt;=H1632,"No prazo","Fora do prazo")))</f>
        <v/>
      </c>
    </row>
    <row r="1633">
      <c r="B1633" s="22" t="n"/>
      <c r="E1633" s="23" t="n"/>
      <c r="F1633" s="24" t="n"/>
      <c r="H1633" s="22" t="n"/>
      <c r="I1633" s="22" t="n"/>
      <c r="J1633" s="21">
        <f>IF(C1633="","",IFERROR(INDEX(Clientes!$B:$B,MATCH(C1633,Clientes!$A:$A,0)),"Cód. não cadastrado"))</f>
        <v/>
      </c>
      <c r="K1633" s="18">
        <f>IF(B1633="","",YEAR(B1633))</f>
        <v/>
      </c>
      <c r="L1633" s="18">
        <f>IF(B1633="","",MONTH(B1633))</f>
        <v/>
      </c>
      <c r="M1633" s="18">
        <f>IF(OR(B1633="",I1633=""),"",I1633-B1633)</f>
        <v/>
      </c>
      <c r="N1633" s="21">
        <f>IF(B1633="","",IF(I1633="",IF(H1633="","",IF(TODAY()&gt;H1633,"Atrasado (em aberto)","Em aberto")),IF(I1633&lt;=H1633,"No prazo","Fora do prazo")))</f>
        <v/>
      </c>
    </row>
    <row r="1634">
      <c r="B1634" s="22" t="n"/>
      <c r="E1634" s="23" t="n"/>
      <c r="F1634" s="24" t="n"/>
      <c r="H1634" s="22" t="n"/>
      <c r="I1634" s="22" t="n"/>
      <c r="J1634" s="21">
        <f>IF(C1634="","",IFERROR(INDEX(Clientes!$B:$B,MATCH(C1634,Clientes!$A:$A,0)),"Cód. não cadastrado"))</f>
        <v/>
      </c>
      <c r="K1634" s="18">
        <f>IF(B1634="","",YEAR(B1634))</f>
        <v/>
      </c>
      <c r="L1634" s="18">
        <f>IF(B1634="","",MONTH(B1634))</f>
        <v/>
      </c>
      <c r="M1634" s="18">
        <f>IF(OR(B1634="",I1634=""),"",I1634-B1634)</f>
        <v/>
      </c>
      <c r="N1634" s="21">
        <f>IF(B1634="","",IF(I1634="",IF(H1634="","",IF(TODAY()&gt;H1634,"Atrasado (em aberto)","Em aberto")),IF(I1634&lt;=H1634,"No prazo","Fora do prazo")))</f>
        <v/>
      </c>
    </row>
    <row r="1635">
      <c r="B1635" s="22" t="n"/>
      <c r="E1635" s="23" t="n"/>
      <c r="F1635" s="24" t="n"/>
      <c r="H1635" s="22" t="n"/>
      <c r="I1635" s="22" t="n"/>
      <c r="J1635" s="21">
        <f>IF(C1635="","",IFERROR(INDEX(Clientes!$B:$B,MATCH(C1635,Clientes!$A:$A,0)),"Cód. não cadastrado"))</f>
        <v/>
      </c>
      <c r="K1635" s="18">
        <f>IF(B1635="","",YEAR(B1635))</f>
        <v/>
      </c>
      <c r="L1635" s="18">
        <f>IF(B1635="","",MONTH(B1635))</f>
        <v/>
      </c>
      <c r="M1635" s="18">
        <f>IF(OR(B1635="",I1635=""),"",I1635-B1635)</f>
        <v/>
      </c>
      <c r="N1635" s="21">
        <f>IF(B1635="","",IF(I1635="",IF(H1635="","",IF(TODAY()&gt;H1635,"Atrasado (em aberto)","Em aberto")),IF(I1635&lt;=H1635,"No prazo","Fora do prazo")))</f>
        <v/>
      </c>
    </row>
    <row r="1636">
      <c r="B1636" s="22" t="n"/>
      <c r="E1636" s="23" t="n"/>
      <c r="F1636" s="24" t="n"/>
      <c r="H1636" s="22" t="n"/>
      <c r="I1636" s="22" t="n"/>
      <c r="J1636" s="21">
        <f>IF(C1636="","",IFERROR(INDEX(Clientes!$B:$B,MATCH(C1636,Clientes!$A:$A,0)),"Cód. não cadastrado"))</f>
        <v/>
      </c>
      <c r="K1636" s="18">
        <f>IF(B1636="","",YEAR(B1636))</f>
        <v/>
      </c>
      <c r="L1636" s="18">
        <f>IF(B1636="","",MONTH(B1636))</f>
        <v/>
      </c>
      <c r="M1636" s="18">
        <f>IF(OR(B1636="",I1636=""),"",I1636-B1636)</f>
        <v/>
      </c>
      <c r="N1636" s="21">
        <f>IF(B1636="","",IF(I1636="",IF(H1636="","",IF(TODAY()&gt;H1636,"Atrasado (em aberto)","Em aberto")),IF(I1636&lt;=H1636,"No prazo","Fora do prazo")))</f>
        <v/>
      </c>
    </row>
    <row r="1637">
      <c r="B1637" s="22" t="n"/>
      <c r="E1637" s="23" t="n"/>
      <c r="F1637" s="24" t="n"/>
      <c r="H1637" s="22" t="n"/>
      <c r="I1637" s="22" t="n"/>
      <c r="J1637" s="21">
        <f>IF(C1637="","",IFERROR(INDEX(Clientes!$B:$B,MATCH(C1637,Clientes!$A:$A,0)),"Cód. não cadastrado"))</f>
        <v/>
      </c>
      <c r="K1637" s="18">
        <f>IF(B1637="","",YEAR(B1637))</f>
        <v/>
      </c>
      <c r="L1637" s="18">
        <f>IF(B1637="","",MONTH(B1637))</f>
        <v/>
      </c>
      <c r="M1637" s="18">
        <f>IF(OR(B1637="",I1637=""),"",I1637-B1637)</f>
        <v/>
      </c>
      <c r="N1637" s="21">
        <f>IF(B1637="","",IF(I1637="",IF(H1637="","",IF(TODAY()&gt;H1637,"Atrasado (em aberto)","Em aberto")),IF(I1637&lt;=H1637,"No prazo","Fora do prazo")))</f>
        <v/>
      </c>
    </row>
    <row r="1638">
      <c r="B1638" s="22" t="n"/>
      <c r="E1638" s="23" t="n"/>
      <c r="F1638" s="24" t="n"/>
      <c r="H1638" s="22" t="n"/>
      <c r="I1638" s="22" t="n"/>
      <c r="J1638" s="21">
        <f>IF(C1638="","",IFERROR(INDEX(Clientes!$B:$B,MATCH(C1638,Clientes!$A:$A,0)),"Cód. não cadastrado"))</f>
        <v/>
      </c>
      <c r="K1638" s="18">
        <f>IF(B1638="","",YEAR(B1638))</f>
        <v/>
      </c>
      <c r="L1638" s="18">
        <f>IF(B1638="","",MONTH(B1638))</f>
        <v/>
      </c>
      <c r="M1638" s="18">
        <f>IF(OR(B1638="",I1638=""),"",I1638-B1638)</f>
        <v/>
      </c>
      <c r="N1638" s="21">
        <f>IF(B1638="","",IF(I1638="",IF(H1638="","",IF(TODAY()&gt;H1638,"Atrasado (em aberto)","Em aberto")),IF(I1638&lt;=H1638,"No prazo","Fora do prazo")))</f>
        <v/>
      </c>
    </row>
    <row r="1639">
      <c r="B1639" s="22" t="n"/>
      <c r="E1639" s="23" t="n"/>
      <c r="F1639" s="24" t="n"/>
      <c r="H1639" s="22" t="n"/>
      <c r="I1639" s="22" t="n"/>
      <c r="J1639" s="21">
        <f>IF(C1639="","",IFERROR(INDEX(Clientes!$B:$B,MATCH(C1639,Clientes!$A:$A,0)),"Cód. não cadastrado"))</f>
        <v/>
      </c>
      <c r="K1639" s="18">
        <f>IF(B1639="","",YEAR(B1639))</f>
        <v/>
      </c>
      <c r="L1639" s="18">
        <f>IF(B1639="","",MONTH(B1639))</f>
        <v/>
      </c>
      <c r="M1639" s="18">
        <f>IF(OR(B1639="",I1639=""),"",I1639-B1639)</f>
        <v/>
      </c>
      <c r="N1639" s="21">
        <f>IF(B1639="","",IF(I1639="",IF(H1639="","",IF(TODAY()&gt;H1639,"Atrasado (em aberto)","Em aberto")),IF(I1639&lt;=H1639,"No prazo","Fora do prazo")))</f>
        <v/>
      </c>
    </row>
    <row r="1640">
      <c r="B1640" s="22" t="n"/>
      <c r="E1640" s="23" t="n"/>
      <c r="F1640" s="24" t="n"/>
      <c r="H1640" s="22" t="n"/>
      <c r="I1640" s="22" t="n"/>
      <c r="J1640" s="21">
        <f>IF(C1640="","",IFERROR(INDEX(Clientes!$B:$B,MATCH(C1640,Clientes!$A:$A,0)),"Cód. não cadastrado"))</f>
        <v/>
      </c>
      <c r="K1640" s="18">
        <f>IF(B1640="","",YEAR(B1640))</f>
        <v/>
      </c>
      <c r="L1640" s="18">
        <f>IF(B1640="","",MONTH(B1640))</f>
        <v/>
      </c>
      <c r="M1640" s="18">
        <f>IF(OR(B1640="",I1640=""),"",I1640-B1640)</f>
        <v/>
      </c>
      <c r="N1640" s="21">
        <f>IF(B1640="","",IF(I1640="",IF(H1640="","",IF(TODAY()&gt;H1640,"Atrasado (em aberto)","Em aberto")),IF(I1640&lt;=H1640,"No prazo","Fora do prazo")))</f>
        <v/>
      </c>
    </row>
    <row r="1641">
      <c r="B1641" s="22" t="n"/>
      <c r="E1641" s="23" t="n"/>
      <c r="F1641" s="24" t="n"/>
      <c r="H1641" s="22" t="n"/>
      <c r="I1641" s="22" t="n"/>
      <c r="J1641" s="21">
        <f>IF(C1641="","",IFERROR(INDEX(Clientes!$B:$B,MATCH(C1641,Clientes!$A:$A,0)),"Cód. não cadastrado"))</f>
        <v/>
      </c>
      <c r="K1641" s="18">
        <f>IF(B1641="","",YEAR(B1641))</f>
        <v/>
      </c>
      <c r="L1641" s="18">
        <f>IF(B1641="","",MONTH(B1641))</f>
        <v/>
      </c>
      <c r="M1641" s="18">
        <f>IF(OR(B1641="",I1641=""),"",I1641-B1641)</f>
        <v/>
      </c>
      <c r="N1641" s="21">
        <f>IF(B1641="","",IF(I1641="",IF(H1641="","",IF(TODAY()&gt;H1641,"Atrasado (em aberto)","Em aberto")),IF(I1641&lt;=H1641,"No prazo","Fora do prazo")))</f>
        <v/>
      </c>
    </row>
    <row r="1642">
      <c r="B1642" s="22" t="n"/>
      <c r="E1642" s="23" t="n"/>
      <c r="F1642" s="24" t="n"/>
      <c r="H1642" s="22" t="n"/>
      <c r="I1642" s="22" t="n"/>
      <c r="J1642" s="21">
        <f>IF(C1642="","",IFERROR(INDEX(Clientes!$B:$B,MATCH(C1642,Clientes!$A:$A,0)),"Cód. não cadastrado"))</f>
        <v/>
      </c>
      <c r="K1642" s="18">
        <f>IF(B1642="","",YEAR(B1642))</f>
        <v/>
      </c>
      <c r="L1642" s="18">
        <f>IF(B1642="","",MONTH(B1642))</f>
        <v/>
      </c>
      <c r="M1642" s="18">
        <f>IF(OR(B1642="",I1642=""),"",I1642-B1642)</f>
        <v/>
      </c>
      <c r="N1642" s="21">
        <f>IF(B1642="","",IF(I1642="",IF(H1642="","",IF(TODAY()&gt;H1642,"Atrasado (em aberto)","Em aberto")),IF(I1642&lt;=H1642,"No prazo","Fora do prazo")))</f>
        <v/>
      </c>
    </row>
    <row r="1643">
      <c r="B1643" s="22" t="n"/>
      <c r="E1643" s="23" t="n"/>
      <c r="F1643" s="24" t="n"/>
      <c r="H1643" s="22" t="n"/>
      <c r="I1643" s="22" t="n"/>
      <c r="J1643" s="21">
        <f>IF(C1643="","",IFERROR(INDEX(Clientes!$B:$B,MATCH(C1643,Clientes!$A:$A,0)),"Cód. não cadastrado"))</f>
        <v/>
      </c>
      <c r="K1643" s="18">
        <f>IF(B1643="","",YEAR(B1643))</f>
        <v/>
      </c>
      <c r="L1643" s="18">
        <f>IF(B1643="","",MONTH(B1643))</f>
        <v/>
      </c>
      <c r="M1643" s="18">
        <f>IF(OR(B1643="",I1643=""),"",I1643-B1643)</f>
        <v/>
      </c>
      <c r="N1643" s="21">
        <f>IF(B1643="","",IF(I1643="",IF(H1643="","",IF(TODAY()&gt;H1643,"Atrasado (em aberto)","Em aberto")),IF(I1643&lt;=H1643,"No prazo","Fora do prazo")))</f>
        <v/>
      </c>
    </row>
    <row r="1644">
      <c r="B1644" s="22" t="n"/>
      <c r="E1644" s="23" t="n"/>
      <c r="F1644" s="24" t="n"/>
      <c r="H1644" s="22" t="n"/>
      <c r="I1644" s="22" t="n"/>
      <c r="J1644" s="21">
        <f>IF(C1644="","",IFERROR(INDEX(Clientes!$B:$B,MATCH(C1644,Clientes!$A:$A,0)),"Cód. não cadastrado"))</f>
        <v/>
      </c>
      <c r="K1644" s="18">
        <f>IF(B1644="","",YEAR(B1644))</f>
        <v/>
      </c>
      <c r="L1644" s="18">
        <f>IF(B1644="","",MONTH(B1644))</f>
        <v/>
      </c>
      <c r="M1644" s="18">
        <f>IF(OR(B1644="",I1644=""),"",I1644-B1644)</f>
        <v/>
      </c>
      <c r="N1644" s="21">
        <f>IF(B1644="","",IF(I1644="",IF(H1644="","",IF(TODAY()&gt;H1644,"Atrasado (em aberto)","Em aberto")),IF(I1644&lt;=H1644,"No prazo","Fora do prazo")))</f>
        <v/>
      </c>
    </row>
    <row r="1645">
      <c r="B1645" s="22" t="n"/>
      <c r="E1645" s="23" t="n"/>
      <c r="F1645" s="24" t="n"/>
      <c r="H1645" s="22" t="n"/>
      <c r="I1645" s="22" t="n"/>
      <c r="J1645" s="21">
        <f>IF(C1645="","",IFERROR(INDEX(Clientes!$B:$B,MATCH(C1645,Clientes!$A:$A,0)),"Cód. não cadastrado"))</f>
        <v/>
      </c>
      <c r="K1645" s="18">
        <f>IF(B1645="","",YEAR(B1645))</f>
        <v/>
      </c>
      <c r="L1645" s="18">
        <f>IF(B1645="","",MONTH(B1645))</f>
        <v/>
      </c>
      <c r="M1645" s="18">
        <f>IF(OR(B1645="",I1645=""),"",I1645-B1645)</f>
        <v/>
      </c>
      <c r="N1645" s="21">
        <f>IF(B1645="","",IF(I1645="",IF(H1645="","",IF(TODAY()&gt;H1645,"Atrasado (em aberto)","Em aberto")),IF(I1645&lt;=H1645,"No prazo","Fora do prazo")))</f>
        <v/>
      </c>
    </row>
    <row r="1646">
      <c r="B1646" s="22" t="n"/>
      <c r="E1646" s="23" t="n"/>
      <c r="F1646" s="24" t="n"/>
      <c r="H1646" s="22" t="n"/>
      <c r="I1646" s="22" t="n"/>
      <c r="J1646" s="21">
        <f>IF(C1646="","",IFERROR(INDEX(Clientes!$B:$B,MATCH(C1646,Clientes!$A:$A,0)),"Cód. não cadastrado"))</f>
        <v/>
      </c>
      <c r="K1646" s="18">
        <f>IF(B1646="","",YEAR(B1646))</f>
        <v/>
      </c>
      <c r="L1646" s="18">
        <f>IF(B1646="","",MONTH(B1646))</f>
        <v/>
      </c>
      <c r="M1646" s="18">
        <f>IF(OR(B1646="",I1646=""),"",I1646-B1646)</f>
        <v/>
      </c>
      <c r="N1646" s="21">
        <f>IF(B1646="","",IF(I1646="",IF(H1646="","",IF(TODAY()&gt;H1646,"Atrasado (em aberto)","Em aberto")),IF(I1646&lt;=H1646,"No prazo","Fora do prazo")))</f>
        <v/>
      </c>
    </row>
    <row r="1647">
      <c r="B1647" s="22" t="n"/>
      <c r="E1647" s="23" t="n"/>
      <c r="F1647" s="24" t="n"/>
      <c r="H1647" s="22" t="n"/>
      <c r="I1647" s="22" t="n"/>
      <c r="J1647" s="21">
        <f>IF(C1647="","",IFERROR(INDEX(Clientes!$B:$B,MATCH(C1647,Clientes!$A:$A,0)),"Cód. não cadastrado"))</f>
        <v/>
      </c>
      <c r="K1647" s="18">
        <f>IF(B1647="","",YEAR(B1647))</f>
        <v/>
      </c>
      <c r="L1647" s="18">
        <f>IF(B1647="","",MONTH(B1647))</f>
        <v/>
      </c>
      <c r="M1647" s="18">
        <f>IF(OR(B1647="",I1647=""),"",I1647-B1647)</f>
        <v/>
      </c>
      <c r="N1647" s="21">
        <f>IF(B1647="","",IF(I1647="",IF(H1647="","",IF(TODAY()&gt;H1647,"Atrasado (em aberto)","Em aberto")),IF(I1647&lt;=H1647,"No prazo","Fora do prazo")))</f>
        <v/>
      </c>
    </row>
    <row r="1648">
      <c r="B1648" s="22" t="n"/>
      <c r="E1648" s="23" t="n"/>
      <c r="F1648" s="24" t="n"/>
      <c r="H1648" s="22" t="n"/>
      <c r="I1648" s="22" t="n"/>
      <c r="J1648" s="21">
        <f>IF(C1648="","",IFERROR(INDEX(Clientes!$B:$B,MATCH(C1648,Clientes!$A:$A,0)),"Cód. não cadastrado"))</f>
        <v/>
      </c>
      <c r="K1648" s="18">
        <f>IF(B1648="","",YEAR(B1648))</f>
        <v/>
      </c>
      <c r="L1648" s="18">
        <f>IF(B1648="","",MONTH(B1648))</f>
        <v/>
      </c>
      <c r="M1648" s="18">
        <f>IF(OR(B1648="",I1648=""),"",I1648-B1648)</f>
        <v/>
      </c>
      <c r="N1648" s="21">
        <f>IF(B1648="","",IF(I1648="",IF(H1648="","",IF(TODAY()&gt;H1648,"Atrasado (em aberto)","Em aberto")),IF(I1648&lt;=H1648,"No prazo","Fora do prazo")))</f>
        <v/>
      </c>
    </row>
    <row r="1649">
      <c r="B1649" s="22" t="n"/>
      <c r="E1649" s="23" t="n"/>
      <c r="F1649" s="24" t="n"/>
      <c r="H1649" s="22" t="n"/>
      <c r="I1649" s="22" t="n"/>
      <c r="J1649" s="21">
        <f>IF(C1649="","",IFERROR(INDEX(Clientes!$B:$B,MATCH(C1649,Clientes!$A:$A,0)),"Cód. não cadastrado"))</f>
        <v/>
      </c>
      <c r="K1649" s="18">
        <f>IF(B1649="","",YEAR(B1649))</f>
        <v/>
      </c>
      <c r="L1649" s="18">
        <f>IF(B1649="","",MONTH(B1649))</f>
        <v/>
      </c>
      <c r="M1649" s="18">
        <f>IF(OR(B1649="",I1649=""),"",I1649-B1649)</f>
        <v/>
      </c>
      <c r="N1649" s="21">
        <f>IF(B1649="","",IF(I1649="",IF(H1649="","",IF(TODAY()&gt;H1649,"Atrasado (em aberto)","Em aberto")),IF(I1649&lt;=H1649,"No prazo","Fora do prazo")))</f>
        <v/>
      </c>
    </row>
    <row r="1650">
      <c r="B1650" s="22" t="n"/>
      <c r="E1650" s="23" t="n"/>
      <c r="F1650" s="24" t="n"/>
      <c r="H1650" s="22" t="n"/>
      <c r="I1650" s="22" t="n"/>
      <c r="J1650" s="21">
        <f>IF(C1650="","",IFERROR(INDEX(Clientes!$B:$B,MATCH(C1650,Clientes!$A:$A,0)),"Cód. não cadastrado"))</f>
        <v/>
      </c>
      <c r="K1650" s="18">
        <f>IF(B1650="","",YEAR(B1650))</f>
        <v/>
      </c>
      <c r="L1650" s="18">
        <f>IF(B1650="","",MONTH(B1650))</f>
        <v/>
      </c>
      <c r="M1650" s="18">
        <f>IF(OR(B1650="",I1650=""),"",I1650-B1650)</f>
        <v/>
      </c>
      <c r="N1650" s="21">
        <f>IF(B1650="","",IF(I1650="",IF(H1650="","",IF(TODAY()&gt;H1650,"Atrasado (em aberto)","Em aberto")),IF(I1650&lt;=H1650,"No prazo","Fora do prazo")))</f>
        <v/>
      </c>
    </row>
    <row r="1651">
      <c r="B1651" s="22" t="n"/>
      <c r="E1651" s="23" t="n"/>
      <c r="F1651" s="24" t="n"/>
      <c r="H1651" s="22" t="n"/>
      <c r="I1651" s="22" t="n"/>
      <c r="J1651" s="21">
        <f>IF(C1651="","",IFERROR(INDEX(Clientes!$B:$B,MATCH(C1651,Clientes!$A:$A,0)),"Cód. não cadastrado"))</f>
        <v/>
      </c>
      <c r="K1651" s="18">
        <f>IF(B1651="","",YEAR(B1651))</f>
        <v/>
      </c>
      <c r="L1651" s="18">
        <f>IF(B1651="","",MONTH(B1651))</f>
        <v/>
      </c>
      <c r="M1651" s="18">
        <f>IF(OR(B1651="",I1651=""),"",I1651-B1651)</f>
        <v/>
      </c>
      <c r="N1651" s="21">
        <f>IF(B1651="","",IF(I1651="",IF(H1651="","",IF(TODAY()&gt;H1651,"Atrasado (em aberto)","Em aberto")),IF(I1651&lt;=H1651,"No prazo","Fora do prazo")))</f>
        <v/>
      </c>
    </row>
    <row r="1652">
      <c r="B1652" s="22" t="n"/>
      <c r="E1652" s="23" t="n"/>
      <c r="F1652" s="24" t="n"/>
      <c r="H1652" s="22" t="n"/>
      <c r="I1652" s="22" t="n"/>
      <c r="J1652" s="21">
        <f>IF(C1652="","",IFERROR(INDEX(Clientes!$B:$B,MATCH(C1652,Clientes!$A:$A,0)),"Cód. não cadastrado"))</f>
        <v/>
      </c>
      <c r="K1652" s="18">
        <f>IF(B1652="","",YEAR(B1652))</f>
        <v/>
      </c>
      <c r="L1652" s="18">
        <f>IF(B1652="","",MONTH(B1652))</f>
        <v/>
      </c>
      <c r="M1652" s="18">
        <f>IF(OR(B1652="",I1652=""),"",I1652-B1652)</f>
        <v/>
      </c>
      <c r="N1652" s="21">
        <f>IF(B1652="","",IF(I1652="",IF(H1652="","",IF(TODAY()&gt;H1652,"Atrasado (em aberto)","Em aberto")),IF(I1652&lt;=H1652,"No prazo","Fora do prazo")))</f>
        <v/>
      </c>
    </row>
    <row r="1653">
      <c r="B1653" s="22" t="n"/>
      <c r="E1653" s="23" t="n"/>
      <c r="F1653" s="24" t="n"/>
      <c r="H1653" s="22" t="n"/>
      <c r="I1653" s="22" t="n"/>
      <c r="J1653" s="21">
        <f>IF(C1653="","",IFERROR(INDEX(Clientes!$B:$B,MATCH(C1653,Clientes!$A:$A,0)),"Cód. não cadastrado"))</f>
        <v/>
      </c>
      <c r="K1653" s="18">
        <f>IF(B1653="","",YEAR(B1653))</f>
        <v/>
      </c>
      <c r="L1653" s="18">
        <f>IF(B1653="","",MONTH(B1653))</f>
        <v/>
      </c>
      <c r="M1653" s="18">
        <f>IF(OR(B1653="",I1653=""),"",I1653-B1653)</f>
        <v/>
      </c>
      <c r="N1653" s="21">
        <f>IF(B1653="","",IF(I1653="",IF(H1653="","",IF(TODAY()&gt;H1653,"Atrasado (em aberto)","Em aberto")),IF(I1653&lt;=H1653,"No prazo","Fora do prazo")))</f>
        <v/>
      </c>
    </row>
    <row r="1654">
      <c r="B1654" s="22" t="n"/>
      <c r="E1654" s="23" t="n"/>
      <c r="F1654" s="24" t="n"/>
      <c r="H1654" s="22" t="n"/>
      <c r="I1654" s="22" t="n"/>
      <c r="J1654" s="21">
        <f>IF(C1654="","",IFERROR(INDEX(Clientes!$B:$B,MATCH(C1654,Clientes!$A:$A,0)),"Cód. não cadastrado"))</f>
        <v/>
      </c>
      <c r="K1654" s="18">
        <f>IF(B1654="","",YEAR(B1654))</f>
        <v/>
      </c>
      <c r="L1654" s="18">
        <f>IF(B1654="","",MONTH(B1654))</f>
        <v/>
      </c>
      <c r="M1654" s="18">
        <f>IF(OR(B1654="",I1654=""),"",I1654-B1654)</f>
        <v/>
      </c>
      <c r="N1654" s="21">
        <f>IF(B1654="","",IF(I1654="",IF(H1654="","",IF(TODAY()&gt;H1654,"Atrasado (em aberto)","Em aberto")),IF(I1654&lt;=H1654,"No prazo","Fora do prazo")))</f>
        <v/>
      </c>
    </row>
    <row r="1655">
      <c r="B1655" s="22" t="n"/>
      <c r="E1655" s="23" t="n"/>
      <c r="F1655" s="24" t="n"/>
      <c r="H1655" s="22" t="n"/>
      <c r="I1655" s="22" t="n"/>
      <c r="J1655" s="21">
        <f>IF(C1655="","",IFERROR(INDEX(Clientes!$B:$B,MATCH(C1655,Clientes!$A:$A,0)),"Cód. não cadastrado"))</f>
        <v/>
      </c>
      <c r="K1655" s="18">
        <f>IF(B1655="","",YEAR(B1655))</f>
        <v/>
      </c>
      <c r="L1655" s="18">
        <f>IF(B1655="","",MONTH(B1655))</f>
        <v/>
      </c>
      <c r="M1655" s="18">
        <f>IF(OR(B1655="",I1655=""),"",I1655-B1655)</f>
        <v/>
      </c>
      <c r="N1655" s="21">
        <f>IF(B1655="","",IF(I1655="",IF(H1655="","",IF(TODAY()&gt;H1655,"Atrasado (em aberto)","Em aberto")),IF(I1655&lt;=H1655,"No prazo","Fora do prazo")))</f>
        <v/>
      </c>
    </row>
    <row r="1656">
      <c r="B1656" s="22" t="n"/>
      <c r="E1656" s="23" t="n"/>
      <c r="F1656" s="24" t="n"/>
      <c r="H1656" s="22" t="n"/>
      <c r="I1656" s="22" t="n"/>
      <c r="J1656" s="21">
        <f>IF(C1656="","",IFERROR(INDEX(Clientes!$B:$B,MATCH(C1656,Clientes!$A:$A,0)),"Cód. não cadastrado"))</f>
        <v/>
      </c>
      <c r="K1656" s="18">
        <f>IF(B1656="","",YEAR(B1656))</f>
        <v/>
      </c>
      <c r="L1656" s="18">
        <f>IF(B1656="","",MONTH(B1656))</f>
        <v/>
      </c>
      <c r="M1656" s="18">
        <f>IF(OR(B1656="",I1656=""),"",I1656-B1656)</f>
        <v/>
      </c>
      <c r="N1656" s="21">
        <f>IF(B1656="","",IF(I1656="",IF(H1656="","",IF(TODAY()&gt;H1656,"Atrasado (em aberto)","Em aberto")),IF(I1656&lt;=H1656,"No prazo","Fora do prazo")))</f>
        <v/>
      </c>
    </row>
    <row r="1657">
      <c r="B1657" s="22" t="n"/>
      <c r="E1657" s="23" t="n"/>
      <c r="F1657" s="24" t="n"/>
      <c r="H1657" s="22" t="n"/>
      <c r="I1657" s="22" t="n"/>
      <c r="J1657" s="21">
        <f>IF(C1657="","",IFERROR(INDEX(Clientes!$B:$B,MATCH(C1657,Clientes!$A:$A,0)),"Cód. não cadastrado"))</f>
        <v/>
      </c>
      <c r="K1657" s="18">
        <f>IF(B1657="","",YEAR(B1657))</f>
        <v/>
      </c>
      <c r="L1657" s="18">
        <f>IF(B1657="","",MONTH(B1657))</f>
        <v/>
      </c>
      <c r="M1657" s="18">
        <f>IF(OR(B1657="",I1657=""),"",I1657-B1657)</f>
        <v/>
      </c>
      <c r="N1657" s="21">
        <f>IF(B1657="","",IF(I1657="",IF(H1657="","",IF(TODAY()&gt;H1657,"Atrasado (em aberto)","Em aberto")),IF(I1657&lt;=H1657,"No prazo","Fora do prazo")))</f>
        <v/>
      </c>
    </row>
    <row r="1658">
      <c r="B1658" s="22" t="n"/>
      <c r="E1658" s="23" t="n"/>
      <c r="F1658" s="24" t="n"/>
      <c r="H1658" s="22" t="n"/>
      <c r="I1658" s="22" t="n"/>
      <c r="J1658" s="21">
        <f>IF(C1658="","",IFERROR(INDEX(Clientes!$B:$B,MATCH(C1658,Clientes!$A:$A,0)),"Cód. não cadastrado"))</f>
        <v/>
      </c>
      <c r="K1658" s="18">
        <f>IF(B1658="","",YEAR(B1658))</f>
        <v/>
      </c>
      <c r="L1658" s="18">
        <f>IF(B1658="","",MONTH(B1658))</f>
        <v/>
      </c>
      <c r="M1658" s="18">
        <f>IF(OR(B1658="",I1658=""),"",I1658-B1658)</f>
        <v/>
      </c>
      <c r="N1658" s="21">
        <f>IF(B1658="","",IF(I1658="",IF(H1658="","",IF(TODAY()&gt;H1658,"Atrasado (em aberto)","Em aberto")),IF(I1658&lt;=H1658,"No prazo","Fora do prazo")))</f>
        <v/>
      </c>
    </row>
    <row r="1659">
      <c r="B1659" s="22" t="n"/>
      <c r="E1659" s="23" t="n"/>
      <c r="F1659" s="24" t="n"/>
      <c r="H1659" s="22" t="n"/>
      <c r="I1659" s="22" t="n"/>
      <c r="J1659" s="21">
        <f>IF(C1659="","",IFERROR(INDEX(Clientes!$B:$B,MATCH(C1659,Clientes!$A:$A,0)),"Cód. não cadastrado"))</f>
        <v/>
      </c>
      <c r="K1659" s="18">
        <f>IF(B1659="","",YEAR(B1659))</f>
        <v/>
      </c>
      <c r="L1659" s="18">
        <f>IF(B1659="","",MONTH(B1659))</f>
        <v/>
      </c>
      <c r="M1659" s="18">
        <f>IF(OR(B1659="",I1659=""),"",I1659-B1659)</f>
        <v/>
      </c>
      <c r="N1659" s="21">
        <f>IF(B1659="","",IF(I1659="",IF(H1659="","",IF(TODAY()&gt;H1659,"Atrasado (em aberto)","Em aberto")),IF(I1659&lt;=H1659,"No prazo","Fora do prazo")))</f>
        <v/>
      </c>
    </row>
    <row r="1660">
      <c r="B1660" s="22" t="n"/>
      <c r="E1660" s="23" t="n"/>
      <c r="F1660" s="24" t="n"/>
      <c r="H1660" s="22" t="n"/>
      <c r="I1660" s="22" t="n"/>
      <c r="J1660" s="21">
        <f>IF(C1660="","",IFERROR(INDEX(Clientes!$B:$B,MATCH(C1660,Clientes!$A:$A,0)),"Cód. não cadastrado"))</f>
        <v/>
      </c>
      <c r="K1660" s="18">
        <f>IF(B1660="","",YEAR(B1660))</f>
        <v/>
      </c>
      <c r="L1660" s="18">
        <f>IF(B1660="","",MONTH(B1660))</f>
        <v/>
      </c>
      <c r="M1660" s="18">
        <f>IF(OR(B1660="",I1660=""),"",I1660-B1660)</f>
        <v/>
      </c>
      <c r="N1660" s="21">
        <f>IF(B1660="","",IF(I1660="",IF(H1660="","",IF(TODAY()&gt;H1660,"Atrasado (em aberto)","Em aberto")),IF(I1660&lt;=H1660,"No prazo","Fora do prazo")))</f>
        <v/>
      </c>
    </row>
    <row r="1661">
      <c r="B1661" s="22" t="n"/>
      <c r="E1661" s="23" t="n"/>
      <c r="F1661" s="24" t="n"/>
      <c r="H1661" s="22" t="n"/>
      <c r="I1661" s="22" t="n"/>
      <c r="J1661" s="21">
        <f>IF(C1661="","",IFERROR(INDEX(Clientes!$B:$B,MATCH(C1661,Clientes!$A:$A,0)),"Cód. não cadastrado"))</f>
        <v/>
      </c>
      <c r="K1661" s="18">
        <f>IF(B1661="","",YEAR(B1661))</f>
        <v/>
      </c>
      <c r="L1661" s="18">
        <f>IF(B1661="","",MONTH(B1661))</f>
        <v/>
      </c>
      <c r="M1661" s="18">
        <f>IF(OR(B1661="",I1661=""),"",I1661-B1661)</f>
        <v/>
      </c>
      <c r="N1661" s="21">
        <f>IF(B1661="","",IF(I1661="",IF(H1661="","",IF(TODAY()&gt;H1661,"Atrasado (em aberto)","Em aberto")),IF(I1661&lt;=H1661,"No prazo","Fora do prazo")))</f>
        <v/>
      </c>
    </row>
    <row r="1662">
      <c r="B1662" s="22" t="n"/>
      <c r="E1662" s="23" t="n"/>
      <c r="F1662" s="24" t="n"/>
      <c r="H1662" s="22" t="n"/>
      <c r="I1662" s="22" t="n"/>
      <c r="J1662" s="21">
        <f>IF(C1662="","",IFERROR(INDEX(Clientes!$B:$B,MATCH(C1662,Clientes!$A:$A,0)),"Cód. não cadastrado"))</f>
        <v/>
      </c>
      <c r="K1662" s="18">
        <f>IF(B1662="","",YEAR(B1662))</f>
        <v/>
      </c>
      <c r="L1662" s="18">
        <f>IF(B1662="","",MONTH(B1662))</f>
        <v/>
      </c>
      <c r="M1662" s="18">
        <f>IF(OR(B1662="",I1662=""),"",I1662-B1662)</f>
        <v/>
      </c>
      <c r="N1662" s="21">
        <f>IF(B1662="","",IF(I1662="",IF(H1662="","",IF(TODAY()&gt;H1662,"Atrasado (em aberto)","Em aberto")),IF(I1662&lt;=H1662,"No prazo","Fora do prazo")))</f>
        <v/>
      </c>
    </row>
    <row r="1663">
      <c r="B1663" s="22" t="n"/>
      <c r="E1663" s="23" t="n"/>
      <c r="F1663" s="24" t="n"/>
      <c r="H1663" s="22" t="n"/>
      <c r="I1663" s="22" t="n"/>
      <c r="J1663" s="21">
        <f>IF(C1663="","",IFERROR(INDEX(Clientes!$B:$B,MATCH(C1663,Clientes!$A:$A,0)),"Cód. não cadastrado"))</f>
        <v/>
      </c>
      <c r="K1663" s="18">
        <f>IF(B1663="","",YEAR(B1663))</f>
        <v/>
      </c>
      <c r="L1663" s="18">
        <f>IF(B1663="","",MONTH(B1663))</f>
        <v/>
      </c>
      <c r="M1663" s="18">
        <f>IF(OR(B1663="",I1663=""),"",I1663-B1663)</f>
        <v/>
      </c>
      <c r="N1663" s="21">
        <f>IF(B1663="","",IF(I1663="",IF(H1663="","",IF(TODAY()&gt;H1663,"Atrasado (em aberto)","Em aberto")),IF(I1663&lt;=H1663,"No prazo","Fora do prazo")))</f>
        <v/>
      </c>
    </row>
    <row r="1664">
      <c r="B1664" s="22" t="n"/>
      <c r="E1664" s="23" t="n"/>
      <c r="F1664" s="24" t="n"/>
      <c r="H1664" s="22" t="n"/>
      <c r="I1664" s="22" t="n"/>
      <c r="J1664" s="21">
        <f>IF(C1664="","",IFERROR(INDEX(Clientes!$B:$B,MATCH(C1664,Clientes!$A:$A,0)),"Cód. não cadastrado"))</f>
        <v/>
      </c>
      <c r="K1664" s="18">
        <f>IF(B1664="","",YEAR(B1664))</f>
        <v/>
      </c>
      <c r="L1664" s="18">
        <f>IF(B1664="","",MONTH(B1664))</f>
        <v/>
      </c>
      <c r="M1664" s="18">
        <f>IF(OR(B1664="",I1664=""),"",I1664-B1664)</f>
        <v/>
      </c>
      <c r="N1664" s="21">
        <f>IF(B1664="","",IF(I1664="",IF(H1664="","",IF(TODAY()&gt;H1664,"Atrasado (em aberto)","Em aberto")),IF(I1664&lt;=H1664,"No prazo","Fora do prazo")))</f>
        <v/>
      </c>
    </row>
    <row r="1665">
      <c r="B1665" s="22" t="n"/>
      <c r="E1665" s="23" t="n"/>
      <c r="F1665" s="24" t="n"/>
      <c r="H1665" s="22" t="n"/>
      <c r="I1665" s="22" t="n"/>
      <c r="J1665" s="21">
        <f>IF(C1665="","",IFERROR(INDEX(Clientes!$B:$B,MATCH(C1665,Clientes!$A:$A,0)),"Cód. não cadastrado"))</f>
        <v/>
      </c>
      <c r="K1665" s="18">
        <f>IF(B1665="","",YEAR(B1665))</f>
        <v/>
      </c>
      <c r="L1665" s="18">
        <f>IF(B1665="","",MONTH(B1665))</f>
        <v/>
      </c>
      <c r="M1665" s="18">
        <f>IF(OR(B1665="",I1665=""),"",I1665-B1665)</f>
        <v/>
      </c>
      <c r="N1665" s="21">
        <f>IF(B1665="","",IF(I1665="",IF(H1665="","",IF(TODAY()&gt;H1665,"Atrasado (em aberto)","Em aberto")),IF(I1665&lt;=H1665,"No prazo","Fora do prazo")))</f>
        <v/>
      </c>
    </row>
    <row r="1666">
      <c r="B1666" s="22" t="n"/>
      <c r="E1666" s="23" t="n"/>
      <c r="F1666" s="24" t="n"/>
      <c r="H1666" s="22" t="n"/>
      <c r="I1666" s="22" t="n"/>
      <c r="J1666" s="21">
        <f>IF(C1666="","",IFERROR(INDEX(Clientes!$B:$B,MATCH(C1666,Clientes!$A:$A,0)),"Cód. não cadastrado"))</f>
        <v/>
      </c>
      <c r="K1666" s="18">
        <f>IF(B1666="","",YEAR(B1666))</f>
        <v/>
      </c>
      <c r="L1666" s="18">
        <f>IF(B1666="","",MONTH(B1666))</f>
        <v/>
      </c>
      <c r="M1666" s="18">
        <f>IF(OR(B1666="",I1666=""),"",I1666-B1666)</f>
        <v/>
      </c>
      <c r="N1666" s="21">
        <f>IF(B1666="","",IF(I1666="",IF(H1666="","",IF(TODAY()&gt;H1666,"Atrasado (em aberto)","Em aberto")),IF(I1666&lt;=H1666,"No prazo","Fora do prazo")))</f>
        <v/>
      </c>
    </row>
    <row r="1667">
      <c r="B1667" s="22" t="n"/>
      <c r="E1667" s="23" t="n"/>
      <c r="F1667" s="24" t="n"/>
      <c r="H1667" s="22" t="n"/>
      <c r="I1667" s="22" t="n"/>
      <c r="J1667" s="21">
        <f>IF(C1667="","",IFERROR(INDEX(Clientes!$B:$B,MATCH(C1667,Clientes!$A:$A,0)),"Cód. não cadastrado"))</f>
        <v/>
      </c>
      <c r="K1667" s="18">
        <f>IF(B1667="","",YEAR(B1667))</f>
        <v/>
      </c>
      <c r="L1667" s="18">
        <f>IF(B1667="","",MONTH(B1667))</f>
        <v/>
      </c>
      <c r="M1667" s="18">
        <f>IF(OR(B1667="",I1667=""),"",I1667-B1667)</f>
        <v/>
      </c>
      <c r="N1667" s="21">
        <f>IF(B1667="","",IF(I1667="",IF(H1667="","",IF(TODAY()&gt;H1667,"Atrasado (em aberto)","Em aberto")),IF(I1667&lt;=H1667,"No prazo","Fora do prazo")))</f>
        <v/>
      </c>
    </row>
    <row r="1668">
      <c r="B1668" s="22" t="n"/>
      <c r="E1668" s="23" t="n"/>
      <c r="F1668" s="24" t="n"/>
      <c r="H1668" s="22" t="n"/>
      <c r="I1668" s="22" t="n"/>
      <c r="J1668" s="21">
        <f>IF(C1668="","",IFERROR(INDEX(Clientes!$B:$B,MATCH(C1668,Clientes!$A:$A,0)),"Cód. não cadastrado"))</f>
        <v/>
      </c>
      <c r="K1668" s="18">
        <f>IF(B1668="","",YEAR(B1668))</f>
        <v/>
      </c>
      <c r="L1668" s="18">
        <f>IF(B1668="","",MONTH(B1668))</f>
        <v/>
      </c>
      <c r="M1668" s="18">
        <f>IF(OR(B1668="",I1668=""),"",I1668-B1668)</f>
        <v/>
      </c>
      <c r="N1668" s="21">
        <f>IF(B1668="","",IF(I1668="",IF(H1668="","",IF(TODAY()&gt;H1668,"Atrasado (em aberto)","Em aberto")),IF(I1668&lt;=H1668,"No prazo","Fora do prazo")))</f>
        <v/>
      </c>
    </row>
    <row r="1669">
      <c r="B1669" s="22" t="n"/>
      <c r="E1669" s="23" t="n"/>
      <c r="F1669" s="24" t="n"/>
      <c r="H1669" s="22" t="n"/>
      <c r="I1669" s="22" t="n"/>
      <c r="J1669" s="21">
        <f>IF(C1669="","",IFERROR(INDEX(Clientes!$B:$B,MATCH(C1669,Clientes!$A:$A,0)),"Cód. não cadastrado"))</f>
        <v/>
      </c>
      <c r="K1669" s="18">
        <f>IF(B1669="","",YEAR(B1669))</f>
        <v/>
      </c>
      <c r="L1669" s="18">
        <f>IF(B1669="","",MONTH(B1669))</f>
        <v/>
      </c>
      <c r="M1669" s="18">
        <f>IF(OR(B1669="",I1669=""),"",I1669-B1669)</f>
        <v/>
      </c>
      <c r="N1669" s="21">
        <f>IF(B1669="","",IF(I1669="",IF(H1669="","",IF(TODAY()&gt;H1669,"Atrasado (em aberto)","Em aberto")),IF(I1669&lt;=H1669,"No prazo","Fora do prazo")))</f>
        <v/>
      </c>
    </row>
    <row r="1670">
      <c r="B1670" s="22" t="n"/>
      <c r="E1670" s="23" t="n"/>
      <c r="F1670" s="24" t="n"/>
      <c r="H1670" s="22" t="n"/>
      <c r="I1670" s="22" t="n"/>
      <c r="J1670" s="21">
        <f>IF(C1670="","",IFERROR(INDEX(Clientes!$B:$B,MATCH(C1670,Clientes!$A:$A,0)),"Cód. não cadastrado"))</f>
        <v/>
      </c>
      <c r="K1670" s="18">
        <f>IF(B1670="","",YEAR(B1670))</f>
        <v/>
      </c>
      <c r="L1670" s="18">
        <f>IF(B1670="","",MONTH(B1670))</f>
        <v/>
      </c>
      <c r="M1670" s="18">
        <f>IF(OR(B1670="",I1670=""),"",I1670-B1670)</f>
        <v/>
      </c>
      <c r="N1670" s="21">
        <f>IF(B1670="","",IF(I1670="",IF(H1670="","",IF(TODAY()&gt;H1670,"Atrasado (em aberto)","Em aberto")),IF(I1670&lt;=H1670,"No prazo","Fora do prazo")))</f>
        <v/>
      </c>
    </row>
    <row r="1671">
      <c r="B1671" s="22" t="n"/>
      <c r="E1671" s="23" t="n"/>
      <c r="F1671" s="24" t="n"/>
      <c r="H1671" s="22" t="n"/>
      <c r="I1671" s="22" t="n"/>
      <c r="J1671" s="21">
        <f>IF(C1671="","",IFERROR(INDEX(Clientes!$B:$B,MATCH(C1671,Clientes!$A:$A,0)),"Cód. não cadastrado"))</f>
        <v/>
      </c>
      <c r="K1671" s="18">
        <f>IF(B1671="","",YEAR(B1671))</f>
        <v/>
      </c>
      <c r="L1671" s="18">
        <f>IF(B1671="","",MONTH(B1671))</f>
        <v/>
      </c>
      <c r="M1671" s="18">
        <f>IF(OR(B1671="",I1671=""),"",I1671-B1671)</f>
        <v/>
      </c>
      <c r="N1671" s="21">
        <f>IF(B1671="","",IF(I1671="",IF(H1671="","",IF(TODAY()&gt;H1671,"Atrasado (em aberto)","Em aberto")),IF(I1671&lt;=H1671,"No prazo","Fora do prazo")))</f>
        <v/>
      </c>
    </row>
    <row r="1672">
      <c r="B1672" s="22" t="n"/>
      <c r="E1672" s="23" t="n"/>
      <c r="F1672" s="24" t="n"/>
      <c r="H1672" s="22" t="n"/>
      <c r="I1672" s="22" t="n"/>
      <c r="J1672" s="21">
        <f>IF(C1672="","",IFERROR(INDEX(Clientes!$B:$B,MATCH(C1672,Clientes!$A:$A,0)),"Cód. não cadastrado"))</f>
        <v/>
      </c>
      <c r="K1672" s="18">
        <f>IF(B1672="","",YEAR(B1672))</f>
        <v/>
      </c>
      <c r="L1672" s="18">
        <f>IF(B1672="","",MONTH(B1672))</f>
        <v/>
      </c>
      <c r="M1672" s="18">
        <f>IF(OR(B1672="",I1672=""),"",I1672-B1672)</f>
        <v/>
      </c>
      <c r="N1672" s="21">
        <f>IF(B1672="","",IF(I1672="",IF(H1672="","",IF(TODAY()&gt;H1672,"Atrasado (em aberto)","Em aberto")),IF(I1672&lt;=H1672,"No prazo","Fora do prazo")))</f>
        <v/>
      </c>
    </row>
    <row r="1673">
      <c r="B1673" s="22" t="n"/>
      <c r="E1673" s="23" t="n"/>
      <c r="F1673" s="24" t="n"/>
      <c r="H1673" s="22" t="n"/>
      <c r="I1673" s="22" t="n"/>
      <c r="J1673" s="21">
        <f>IF(C1673="","",IFERROR(INDEX(Clientes!$B:$B,MATCH(C1673,Clientes!$A:$A,0)),"Cód. não cadastrado"))</f>
        <v/>
      </c>
      <c r="K1673" s="18">
        <f>IF(B1673="","",YEAR(B1673))</f>
        <v/>
      </c>
      <c r="L1673" s="18">
        <f>IF(B1673="","",MONTH(B1673))</f>
        <v/>
      </c>
      <c r="M1673" s="18">
        <f>IF(OR(B1673="",I1673=""),"",I1673-B1673)</f>
        <v/>
      </c>
      <c r="N1673" s="21">
        <f>IF(B1673="","",IF(I1673="",IF(H1673="","",IF(TODAY()&gt;H1673,"Atrasado (em aberto)","Em aberto")),IF(I1673&lt;=H1673,"No prazo","Fora do prazo")))</f>
        <v/>
      </c>
    </row>
    <row r="1674">
      <c r="B1674" s="22" t="n"/>
      <c r="E1674" s="23" t="n"/>
      <c r="F1674" s="24" t="n"/>
      <c r="H1674" s="22" t="n"/>
      <c r="I1674" s="22" t="n"/>
      <c r="J1674" s="21">
        <f>IF(C1674="","",IFERROR(INDEX(Clientes!$B:$B,MATCH(C1674,Clientes!$A:$A,0)),"Cód. não cadastrado"))</f>
        <v/>
      </c>
      <c r="K1674" s="18">
        <f>IF(B1674="","",YEAR(B1674))</f>
        <v/>
      </c>
      <c r="L1674" s="18">
        <f>IF(B1674="","",MONTH(B1674))</f>
        <v/>
      </c>
      <c r="M1674" s="18">
        <f>IF(OR(B1674="",I1674=""),"",I1674-B1674)</f>
        <v/>
      </c>
      <c r="N1674" s="21">
        <f>IF(B1674="","",IF(I1674="",IF(H1674="","",IF(TODAY()&gt;H1674,"Atrasado (em aberto)","Em aberto")),IF(I1674&lt;=H1674,"No prazo","Fora do prazo")))</f>
        <v/>
      </c>
    </row>
    <row r="1675">
      <c r="B1675" s="22" t="n"/>
      <c r="E1675" s="23" t="n"/>
      <c r="F1675" s="24" t="n"/>
      <c r="H1675" s="22" t="n"/>
      <c r="I1675" s="22" t="n"/>
      <c r="J1675" s="21">
        <f>IF(C1675="","",IFERROR(INDEX(Clientes!$B:$B,MATCH(C1675,Clientes!$A:$A,0)),"Cód. não cadastrado"))</f>
        <v/>
      </c>
      <c r="K1675" s="18">
        <f>IF(B1675="","",YEAR(B1675))</f>
        <v/>
      </c>
      <c r="L1675" s="18">
        <f>IF(B1675="","",MONTH(B1675))</f>
        <v/>
      </c>
      <c r="M1675" s="18">
        <f>IF(OR(B1675="",I1675=""),"",I1675-B1675)</f>
        <v/>
      </c>
      <c r="N1675" s="21">
        <f>IF(B1675="","",IF(I1675="",IF(H1675="","",IF(TODAY()&gt;H1675,"Atrasado (em aberto)","Em aberto")),IF(I1675&lt;=H1675,"No prazo","Fora do prazo")))</f>
        <v/>
      </c>
    </row>
    <row r="1676">
      <c r="B1676" s="22" t="n"/>
      <c r="E1676" s="23" t="n"/>
      <c r="F1676" s="24" t="n"/>
      <c r="H1676" s="22" t="n"/>
      <c r="I1676" s="22" t="n"/>
      <c r="J1676" s="21">
        <f>IF(C1676="","",IFERROR(INDEX(Clientes!$B:$B,MATCH(C1676,Clientes!$A:$A,0)),"Cód. não cadastrado"))</f>
        <v/>
      </c>
      <c r="K1676" s="18">
        <f>IF(B1676="","",YEAR(B1676))</f>
        <v/>
      </c>
      <c r="L1676" s="18">
        <f>IF(B1676="","",MONTH(B1676))</f>
        <v/>
      </c>
      <c r="M1676" s="18">
        <f>IF(OR(B1676="",I1676=""),"",I1676-B1676)</f>
        <v/>
      </c>
      <c r="N1676" s="21">
        <f>IF(B1676="","",IF(I1676="",IF(H1676="","",IF(TODAY()&gt;H1676,"Atrasado (em aberto)","Em aberto")),IF(I1676&lt;=H1676,"No prazo","Fora do prazo")))</f>
        <v/>
      </c>
    </row>
    <row r="1677">
      <c r="B1677" s="22" t="n"/>
      <c r="E1677" s="23" t="n"/>
      <c r="F1677" s="24" t="n"/>
      <c r="H1677" s="22" t="n"/>
      <c r="I1677" s="22" t="n"/>
      <c r="J1677" s="21">
        <f>IF(C1677="","",IFERROR(INDEX(Clientes!$B:$B,MATCH(C1677,Clientes!$A:$A,0)),"Cód. não cadastrado"))</f>
        <v/>
      </c>
      <c r="K1677" s="18">
        <f>IF(B1677="","",YEAR(B1677))</f>
        <v/>
      </c>
      <c r="L1677" s="18">
        <f>IF(B1677="","",MONTH(B1677))</f>
        <v/>
      </c>
      <c r="M1677" s="18">
        <f>IF(OR(B1677="",I1677=""),"",I1677-B1677)</f>
        <v/>
      </c>
      <c r="N1677" s="21">
        <f>IF(B1677="","",IF(I1677="",IF(H1677="","",IF(TODAY()&gt;H1677,"Atrasado (em aberto)","Em aberto")),IF(I1677&lt;=H1677,"No prazo","Fora do prazo")))</f>
        <v/>
      </c>
    </row>
    <row r="1678">
      <c r="B1678" s="22" t="n"/>
      <c r="E1678" s="23" t="n"/>
      <c r="F1678" s="24" t="n"/>
      <c r="H1678" s="22" t="n"/>
      <c r="I1678" s="22" t="n"/>
      <c r="J1678" s="21">
        <f>IF(C1678="","",IFERROR(INDEX(Clientes!$B:$B,MATCH(C1678,Clientes!$A:$A,0)),"Cód. não cadastrado"))</f>
        <v/>
      </c>
      <c r="K1678" s="18">
        <f>IF(B1678="","",YEAR(B1678))</f>
        <v/>
      </c>
      <c r="L1678" s="18">
        <f>IF(B1678="","",MONTH(B1678))</f>
        <v/>
      </c>
      <c r="M1678" s="18">
        <f>IF(OR(B1678="",I1678=""),"",I1678-B1678)</f>
        <v/>
      </c>
      <c r="N1678" s="21">
        <f>IF(B1678="","",IF(I1678="",IF(H1678="","",IF(TODAY()&gt;H1678,"Atrasado (em aberto)","Em aberto")),IF(I1678&lt;=H1678,"No prazo","Fora do prazo")))</f>
        <v/>
      </c>
    </row>
    <row r="1679">
      <c r="B1679" s="22" t="n"/>
      <c r="E1679" s="23" t="n"/>
      <c r="F1679" s="24" t="n"/>
      <c r="H1679" s="22" t="n"/>
      <c r="I1679" s="22" t="n"/>
      <c r="J1679" s="21">
        <f>IF(C1679="","",IFERROR(INDEX(Clientes!$B:$B,MATCH(C1679,Clientes!$A:$A,0)),"Cód. não cadastrado"))</f>
        <v/>
      </c>
      <c r="K1679" s="18">
        <f>IF(B1679="","",YEAR(B1679))</f>
        <v/>
      </c>
      <c r="L1679" s="18">
        <f>IF(B1679="","",MONTH(B1679))</f>
        <v/>
      </c>
      <c r="M1679" s="18">
        <f>IF(OR(B1679="",I1679=""),"",I1679-B1679)</f>
        <v/>
      </c>
      <c r="N1679" s="21">
        <f>IF(B1679="","",IF(I1679="",IF(H1679="","",IF(TODAY()&gt;H1679,"Atrasado (em aberto)","Em aberto")),IF(I1679&lt;=H1679,"No prazo","Fora do prazo")))</f>
        <v/>
      </c>
    </row>
    <row r="1680">
      <c r="B1680" s="22" t="n"/>
      <c r="E1680" s="23" t="n"/>
      <c r="F1680" s="24" t="n"/>
      <c r="H1680" s="22" t="n"/>
      <c r="I1680" s="22" t="n"/>
      <c r="J1680" s="21">
        <f>IF(C1680="","",IFERROR(INDEX(Clientes!$B:$B,MATCH(C1680,Clientes!$A:$A,0)),"Cód. não cadastrado"))</f>
        <v/>
      </c>
      <c r="K1680" s="18">
        <f>IF(B1680="","",YEAR(B1680))</f>
        <v/>
      </c>
      <c r="L1680" s="18">
        <f>IF(B1680="","",MONTH(B1680))</f>
        <v/>
      </c>
      <c r="M1680" s="18">
        <f>IF(OR(B1680="",I1680=""),"",I1680-B1680)</f>
        <v/>
      </c>
      <c r="N1680" s="21">
        <f>IF(B1680="","",IF(I1680="",IF(H1680="","",IF(TODAY()&gt;H1680,"Atrasado (em aberto)","Em aberto")),IF(I1680&lt;=H1680,"No prazo","Fora do prazo")))</f>
        <v/>
      </c>
    </row>
    <row r="1681">
      <c r="B1681" s="22" t="n"/>
      <c r="E1681" s="23" t="n"/>
      <c r="F1681" s="24" t="n"/>
      <c r="H1681" s="22" t="n"/>
      <c r="I1681" s="22" t="n"/>
      <c r="J1681" s="21">
        <f>IF(C1681="","",IFERROR(INDEX(Clientes!$B:$B,MATCH(C1681,Clientes!$A:$A,0)),"Cód. não cadastrado"))</f>
        <v/>
      </c>
      <c r="K1681" s="18">
        <f>IF(B1681="","",YEAR(B1681))</f>
        <v/>
      </c>
      <c r="L1681" s="18">
        <f>IF(B1681="","",MONTH(B1681))</f>
        <v/>
      </c>
      <c r="M1681" s="18">
        <f>IF(OR(B1681="",I1681=""),"",I1681-B1681)</f>
        <v/>
      </c>
      <c r="N1681" s="21">
        <f>IF(B1681="","",IF(I1681="",IF(H1681="","",IF(TODAY()&gt;H1681,"Atrasado (em aberto)","Em aberto")),IF(I1681&lt;=H1681,"No prazo","Fora do prazo")))</f>
        <v/>
      </c>
    </row>
    <row r="1682">
      <c r="B1682" s="22" t="n"/>
      <c r="E1682" s="23" t="n"/>
      <c r="F1682" s="24" t="n"/>
      <c r="H1682" s="22" t="n"/>
      <c r="I1682" s="22" t="n"/>
      <c r="J1682" s="21">
        <f>IF(C1682="","",IFERROR(INDEX(Clientes!$B:$B,MATCH(C1682,Clientes!$A:$A,0)),"Cód. não cadastrado"))</f>
        <v/>
      </c>
      <c r="K1682" s="18">
        <f>IF(B1682="","",YEAR(B1682))</f>
        <v/>
      </c>
      <c r="L1682" s="18">
        <f>IF(B1682="","",MONTH(B1682))</f>
        <v/>
      </c>
      <c r="M1682" s="18">
        <f>IF(OR(B1682="",I1682=""),"",I1682-B1682)</f>
        <v/>
      </c>
      <c r="N1682" s="21">
        <f>IF(B1682="","",IF(I1682="",IF(H1682="","",IF(TODAY()&gt;H1682,"Atrasado (em aberto)","Em aberto")),IF(I1682&lt;=H1682,"No prazo","Fora do prazo")))</f>
        <v/>
      </c>
    </row>
    <row r="1683">
      <c r="B1683" s="22" t="n"/>
      <c r="E1683" s="23" t="n"/>
      <c r="F1683" s="24" t="n"/>
      <c r="H1683" s="22" t="n"/>
      <c r="I1683" s="22" t="n"/>
      <c r="J1683" s="21">
        <f>IF(C1683="","",IFERROR(INDEX(Clientes!$B:$B,MATCH(C1683,Clientes!$A:$A,0)),"Cód. não cadastrado"))</f>
        <v/>
      </c>
      <c r="K1683" s="18">
        <f>IF(B1683="","",YEAR(B1683))</f>
        <v/>
      </c>
      <c r="L1683" s="18">
        <f>IF(B1683="","",MONTH(B1683))</f>
        <v/>
      </c>
      <c r="M1683" s="18">
        <f>IF(OR(B1683="",I1683=""),"",I1683-B1683)</f>
        <v/>
      </c>
      <c r="N1683" s="21">
        <f>IF(B1683="","",IF(I1683="",IF(H1683="","",IF(TODAY()&gt;H1683,"Atrasado (em aberto)","Em aberto")),IF(I1683&lt;=H1683,"No prazo","Fora do prazo")))</f>
        <v/>
      </c>
    </row>
    <row r="1684">
      <c r="B1684" s="22" t="n"/>
      <c r="E1684" s="23" t="n"/>
      <c r="F1684" s="24" t="n"/>
      <c r="H1684" s="22" t="n"/>
      <c r="I1684" s="22" t="n"/>
      <c r="J1684" s="21">
        <f>IF(C1684="","",IFERROR(INDEX(Clientes!$B:$B,MATCH(C1684,Clientes!$A:$A,0)),"Cód. não cadastrado"))</f>
        <v/>
      </c>
      <c r="K1684" s="18">
        <f>IF(B1684="","",YEAR(B1684))</f>
        <v/>
      </c>
      <c r="L1684" s="18">
        <f>IF(B1684="","",MONTH(B1684))</f>
        <v/>
      </c>
      <c r="M1684" s="18">
        <f>IF(OR(B1684="",I1684=""),"",I1684-B1684)</f>
        <v/>
      </c>
      <c r="N1684" s="21">
        <f>IF(B1684="","",IF(I1684="",IF(H1684="","",IF(TODAY()&gt;H1684,"Atrasado (em aberto)","Em aberto")),IF(I1684&lt;=H1684,"No prazo","Fora do prazo")))</f>
        <v/>
      </c>
    </row>
    <row r="1685">
      <c r="B1685" s="22" t="n"/>
      <c r="E1685" s="23" t="n"/>
      <c r="F1685" s="24" t="n"/>
      <c r="H1685" s="22" t="n"/>
      <c r="I1685" s="22" t="n"/>
      <c r="J1685" s="21">
        <f>IF(C1685="","",IFERROR(INDEX(Clientes!$B:$B,MATCH(C1685,Clientes!$A:$A,0)),"Cód. não cadastrado"))</f>
        <v/>
      </c>
      <c r="K1685" s="18">
        <f>IF(B1685="","",YEAR(B1685))</f>
        <v/>
      </c>
      <c r="L1685" s="18">
        <f>IF(B1685="","",MONTH(B1685))</f>
        <v/>
      </c>
      <c r="M1685" s="18">
        <f>IF(OR(B1685="",I1685=""),"",I1685-B1685)</f>
        <v/>
      </c>
      <c r="N1685" s="21">
        <f>IF(B1685="","",IF(I1685="",IF(H1685="","",IF(TODAY()&gt;H1685,"Atrasado (em aberto)","Em aberto")),IF(I1685&lt;=H1685,"No prazo","Fora do prazo")))</f>
        <v/>
      </c>
    </row>
    <row r="1686">
      <c r="B1686" s="22" t="n"/>
      <c r="E1686" s="23" t="n"/>
      <c r="F1686" s="24" t="n"/>
      <c r="H1686" s="22" t="n"/>
      <c r="I1686" s="22" t="n"/>
      <c r="J1686" s="21">
        <f>IF(C1686="","",IFERROR(INDEX(Clientes!$B:$B,MATCH(C1686,Clientes!$A:$A,0)),"Cód. não cadastrado"))</f>
        <v/>
      </c>
      <c r="K1686" s="18">
        <f>IF(B1686="","",YEAR(B1686))</f>
        <v/>
      </c>
      <c r="L1686" s="18">
        <f>IF(B1686="","",MONTH(B1686))</f>
        <v/>
      </c>
      <c r="M1686" s="18">
        <f>IF(OR(B1686="",I1686=""),"",I1686-B1686)</f>
        <v/>
      </c>
      <c r="N1686" s="21">
        <f>IF(B1686="","",IF(I1686="",IF(H1686="","",IF(TODAY()&gt;H1686,"Atrasado (em aberto)","Em aberto")),IF(I1686&lt;=H1686,"No prazo","Fora do prazo")))</f>
        <v/>
      </c>
    </row>
    <row r="1687">
      <c r="B1687" s="22" t="n"/>
      <c r="E1687" s="23" t="n"/>
      <c r="F1687" s="24" t="n"/>
      <c r="H1687" s="22" t="n"/>
      <c r="I1687" s="22" t="n"/>
      <c r="J1687" s="21">
        <f>IF(C1687="","",IFERROR(INDEX(Clientes!$B:$B,MATCH(C1687,Clientes!$A:$A,0)),"Cód. não cadastrado"))</f>
        <v/>
      </c>
      <c r="K1687" s="18">
        <f>IF(B1687="","",YEAR(B1687))</f>
        <v/>
      </c>
      <c r="L1687" s="18">
        <f>IF(B1687="","",MONTH(B1687))</f>
        <v/>
      </c>
      <c r="M1687" s="18">
        <f>IF(OR(B1687="",I1687=""),"",I1687-B1687)</f>
        <v/>
      </c>
      <c r="N1687" s="21">
        <f>IF(B1687="","",IF(I1687="",IF(H1687="","",IF(TODAY()&gt;H1687,"Atrasado (em aberto)","Em aberto")),IF(I1687&lt;=H1687,"No prazo","Fora do prazo")))</f>
        <v/>
      </c>
    </row>
    <row r="1688">
      <c r="B1688" s="22" t="n"/>
      <c r="E1688" s="23" t="n"/>
      <c r="F1688" s="24" t="n"/>
      <c r="H1688" s="22" t="n"/>
      <c r="I1688" s="22" t="n"/>
      <c r="J1688" s="21">
        <f>IF(C1688="","",IFERROR(INDEX(Clientes!$B:$B,MATCH(C1688,Clientes!$A:$A,0)),"Cód. não cadastrado"))</f>
        <v/>
      </c>
      <c r="K1688" s="18">
        <f>IF(B1688="","",YEAR(B1688))</f>
        <v/>
      </c>
      <c r="L1688" s="18">
        <f>IF(B1688="","",MONTH(B1688))</f>
        <v/>
      </c>
      <c r="M1688" s="18">
        <f>IF(OR(B1688="",I1688=""),"",I1688-B1688)</f>
        <v/>
      </c>
      <c r="N1688" s="21">
        <f>IF(B1688="","",IF(I1688="",IF(H1688="","",IF(TODAY()&gt;H1688,"Atrasado (em aberto)","Em aberto")),IF(I1688&lt;=H1688,"No prazo","Fora do prazo")))</f>
        <v/>
      </c>
    </row>
    <row r="1689">
      <c r="B1689" s="22" t="n"/>
      <c r="E1689" s="23" t="n"/>
      <c r="F1689" s="24" t="n"/>
      <c r="H1689" s="22" t="n"/>
      <c r="I1689" s="22" t="n"/>
      <c r="J1689" s="21">
        <f>IF(C1689="","",IFERROR(INDEX(Clientes!$B:$B,MATCH(C1689,Clientes!$A:$A,0)),"Cód. não cadastrado"))</f>
        <v/>
      </c>
      <c r="K1689" s="18">
        <f>IF(B1689="","",YEAR(B1689))</f>
        <v/>
      </c>
      <c r="L1689" s="18">
        <f>IF(B1689="","",MONTH(B1689))</f>
        <v/>
      </c>
      <c r="M1689" s="18">
        <f>IF(OR(B1689="",I1689=""),"",I1689-B1689)</f>
        <v/>
      </c>
      <c r="N1689" s="21">
        <f>IF(B1689="","",IF(I1689="",IF(H1689="","",IF(TODAY()&gt;H1689,"Atrasado (em aberto)","Em aberto")),IF(I1689&lt;=H1689,"No prazo","Fora do prazo")))</f>
        <v/>
      </c>
    </row>
    <row r="1690">
      <c r="B1690" s="22" t="n"/>
      <c r="E1690" s="23" t="n"/>
      <c r="F1690" s="24" t="n"/>
      <c r="H1690" s="22" t="n"/>
      <c r="I1690" s="22" t="n"/>
      <c r="J1690" s="21">
        <f>IF(C1690="","",IFERROR(INDEX(Clientes!$B:$B,MATCH(C1690,Clientes!$A:$A,0)),"Cód. não cadastrado"))</f>
        <v/>
      </c>
      <c r="K1690" s="18">
        <f>IF(B1690="","",YEAR(B1690))</f>
        <v/>
      </c>
      <c r="L1690" s="18">
        <f>IF(B1690="","",MONTH(B1690))</f>
        <v/>
      </c>
      <c r="M1690" s="18">
        <f>IF(OR(B1690="",I1690=""),"",I1690-B1690)</f>
        <v/>
      </c>
      <c r="N1690" s="21">
        <f>IF(B1690="","",IF(I1690="",IF(H1690="","",IF(TODAY()&gt;H1690,"Atrasado (em aberto)","Em aberto")),IF(I1690&lt;=H1690,"No prazo","Fora do prazo")))</f>
        <v/>
      </c>
    </row>
    <row r="1691">
      <c r="B1691" s="22" t="n"/>
      <c r="E1691" s="23" t="n"/>
      <c r="F1691" s="24" t="n"/>
      <c r="H1691" s="22" t="n"/>
      <c r="I1691" s="22" t="n"/>
      <c r="J1691" s="21">
        <f>IF(C1691="","",IFERROR(INDEX(Clientes!$B:$B,MATCH(C1691,Clientes!$A:$A,0)),"Cód. não cadastrado"))</f>
        <v/>
      </c>
      <c r="K1691" s="18">
        <f>IF(B1691="","",YEAR(B1691))</f>
        <v/>
      </c>
      <c r="L1691" s="18">
        <f>IF(B1691="","",MONTH(B1691))</f>
        <v/>
      </c>
      <c r="M1691" s="18">
        <f>IF(OR(B1691="",I1691=""),"",I1691-B1691)</f>
        <v/>
      </c>
      <c r="N1691" s="21">
        <f>IF(B1691="","",IF(I1691="",IF(H1691="","",IF(TODAY()&gt;H1691,"Atrasado (em aberto)","Em aberto")),IF(I1691&lt;=H1691,"No prazo","Fora do prazo")))</f>
        <v/>
      </c>
    </row>
    <row r="1692">
      <c r="B1692" s="22" t="n"/>
      <c r="E1692" s="23" t="n"/>
      <c r="F1692" s="24" t="n"/>
      <c r="H1692" s="22" t="n"/>
      <c r="I1692" s="22" t="n"/>
      <c r="J1692" s="21">
        <f>IF(C1692="","",IFERROR(INDEX(Clientes!$B:$B,MATCH(C1692,Clientes!$A:$A,0)),"Cód. não cadastrado"))</f>
        <v/>
      </c>
      <c r="K1692" s="18">
        <f>IF(B1692="","",YEAR(B1692))</f>
        <v/>
      </c>
      <c r="L1692" s="18">
        <f>IF(B1692="","",MONTH(B1692))</f>
        <v/>
      </c>
      <c r="M1692" s="18">
        <f>IF(OR(B1692="",I1692=""),"",I1692-B1692)</f>
        <v/>
      </c>
      <c r="N1692" s="21">
        <f>IF(B1692="","",IF(I1692="",IF(H1692="","",IF(TODAY()&gt;H1692,"Atrasado (em aberto)","Em aberto")),IF(I1692&lt;=H1692,"No prazo","Fora do prazo")))</f>
        <v/>
      </c>
    </row>
    <row r="1693">
      <c r="B1693" s="22" t="n"/>
      <c r="E1693" s="23" t="n"/>
      <c r="F1693" s="24" t="n"/>
      <c r="H1693" s="22" t="n"/>
      <c r="I1693" s="22" t="n"/>
      <c r="J1693" s="21">
        <f>IF(C1693="","",IFERROR(INDEX(Clientes!$B:$B,MATCH(C1693,Clientes!$A:$A,0)),"Cód. não cadastrado"))</f>
        <v/>
      </c>
      <c r="K1693" s="18">
        <f>IF(B1693="","",YEAR(B1693))</f>
        <v/>
      </c>
      <c r="L1693" s="18">
        <f>IF(B1693="","",MONTH(B1693))</f>
        <v/>
      </c>
      <c r="M1693" s="18">
        <f>IF(OR(B1693="",I1693=""),"",I1693-B1693)</f>
        <v/>
      </c>
      <c r="N1693" s="21">
        <f>IF(B1693="","",IF(I1693="",IF(H1693="","",IF(TODAY()&gt;H1693,"Atrasado (em aberto)","Em aberto")),IF(I1693&lt;=H1693,"No prazo","Fora do prazo")))</f>
        <v/>
      </c>
    </row>
    <row r="1694">
      <c r="B1694" s="22" t="n"/>
      <c r="E1694" s="23" t="n"/>
      <c r="F1694" s="24" t="n"/>
      <c r="H1694" s="22" t="n"/>
      <c r="I1694" s="22" t="n"/>
      <c r="J1694" s="21">
        <f>IF(C1694="","",IFERROR(INDEX(Clientes!$B:$B,MATCH(C1694,Clientes!$A:$A,0)),"Cód. não cadastrado"))</f>
        <v/>
      </c>
      <c r="K1694" s="18">
        <f>IF(B1694="","",YEAR(B1694))</f>
        <v/>
      </c>
      <c r="L1694" s="18">
        <f>IF(B1694="","",MONTH(B1694))</f>
        <v/>
      </c>
      <c r="M1694" s="18">
        <f>IF(OR(B1694="",I1694=""),"",I1694-B1694)</f>
        <v/>
      </c>
      <c r="N1694" s="21">
        <f>IF(B1694="","",IF(I1694="",IF(H1694="","",IF(TODAY()&gt;H1694,"Atrasado (em aberto)","Em aberto")),IF(I1694&lt;=H1694,"No prazo","Fora do prazo")))</f>
        <v/>
      </c>
    </row>
    <row r="1695">
      <c r="B1695" s="22" t="n"/>
      <c r="E1695" s="23" t="n"/>
      <c r="F1695" s="24" t="n"/>
      <c r="H1695" s="22" t="n"/>
      <c r="I1695" s="22" t="n"/>
      <c r="J1695" s="21">
        <f>IF(C1695="","",IFERROR(INDEX(Clientes!$B:$B,MATCH(C1695,Clientes!$A:$A,0)),"Cód. não cadastrado"))</f>
        <v/>
      </c>
      <c r="K1695" s="18">
        <f>IF(B1695="","",YEAR(B1695))</f>
        <v/>
      </c>
      <c r="L1695" s="18">
        <f>IF(B1695="","",MONTH(B1695))</f>
        <v/>
      </c>
      <c r="M1695" s="18">
        <f>IF(OR(B1695="",I1695=""),"",I1695-B1695)</f>
        <v/>
      </c>
      <c r="N1695" s="21">
        <f>IF(B1695="","",IF(I1695="",IF(H1695="","",IF(TODAY()&gt;H1695,"Atrasado (em aberto)","Em aberto")),IF(I1695&lt;=H1695,"No prazo","Fora do prazo")))</f>
        <v/>
      </c>
    </row>
    <row r="1696">
      <c r="B1696" s="22" t="n"/>
      <c r="E1696" s="23" t="n"/>
      <c r="F1696" s="24" t="n"/>
      <c r="H1696" s="22" t="n"/>
      <c r="I1696" s="22" t="n"/>
      <c r="J1696" s="21">
        <f>IF(C1696="","",IFERROR(INDEX(Clientes!$B:$B,MATCH(C1696,Clientes!$A:$A,0)),"Cód. não cadastrado"))</f>
        <v/>
      </c>
      <c r="K1696" s="18">
        <f>IF(B1696="","",YEAR(B1696))</f>
        <v/>
      </c>
      <c r="L1696" s="18">
        <f>IF(B1696="","",MONTH(B1696))</f>
        <v/>
      </c>
      <c r="M1696" s="18">
        <f>IF(OR(B1696="",I1696=""),"",I1696-B1696)</f>
        <v/>
      </c>
      <c r="N1696" s="21">
        <f>IF(B1696="","",IF(I1696="",IF(H1696="","",IF(TODAY()&gt;H1696,"Atrasado (em aberto)","Em aberto")),IF(I1696&lt;=H1696,"No prazo","Fora do prazo")))</f>
        <v/>
      </c>
    </row>
    <row r="1697">
      <c r="B1697" s="22" t="n"/>
      <c r="E1697" s="23" t="n"/>
      <c r="F1697" s="24" t="n"/>
      <c r="H1697" s="22" t="n"/>
      <c r="I1697" s="22" t="n"/>
      <c r="J1697" s="21">
        <f>IF(C1697="","",IFERROR(INDEX(Clientes!$B:$B,MATCH(C1697,Clientes!$A:$A,0)),"Cód. não cadastrado"))</f>
        <v/>
      </c>
      <c r="K1697" s="18">
        <f>IF(B1697="","",YEAR(B1697))</f>
        <v/>
      </c>
      <c r="L1697" s="18">
        <f>IF(B1697="","",MONTH(B1697))</f>
        <v/>
      </c>
      <c r="M1697" s="18">
        <f>IF(OR(B1697="",I1697=""),"",I1697-B1697)</f>
        <v/>
      </c>
      <c r="N1697" s="21">
        <f>IF(B1697="","",IF(I1697="",IF(H1697="","",IF(TODAY()&gt;H1697,"Atrasado (em aberto)","Em aberto")),IF(I1697&lt;=H1697,"No prazo","Fora do prazo")))</f>
        <v/>
      </c>
    </row>
    <row r="1698">
      <c r="B1698" s="22" t="n"/>
      <c r="E1698" s="23" t="n"/>
      <c r="F1698" s="24" t="n"/>
      <c r="H1698" s="22" t="n"/>
      <c r="I1698" s="22" t="n"/>
      <c r="J1698" s="21">
        <f>IF(C1698="","",IFERROR(INDEX(Clientes!$B:$B,MATCH(C1698,Clientes!$A:$A,0)),"Cód. não cadastrado"))</f>
        <v/>
      </c>
      <c r="K1698" s="18">
        <f>IF(B1698="","",YEAR(B1698))</f>
        <v/>
      </c>
      <c r="L1698" s="18">
        <f>IF(B1698="","",MONTH(B1698))</f>
        <v/>
      </c>
      <c r="M1698" s="18">
        <f>IF(OR(B1698="",I1698=""),"",I1698-B1698)</f>
        <v/>
      </c>
      <c r="N1698" s="21">
        <f>IF(B1698="","",IF(I1698="",IF(H1698="","",IF(TODAY()&gt;H1698,"Atrasado (em aberto)","Em aberto")),IF(I1698&lt;=H1698,"No prazo","Fora do prazo")))</f>
        <v/>
      </c>
    </row>
    <row r="1699">
      <c r="B1699" s="22" t="n"/>
      <c r="E1699" s="23" t="n"/>
      <c r="F1699" s="24" t="n"/>
      <c r="H1699" s="22" t="n"/>
      <c r="I1699" s="22" t="n"/>
      <c r="J1699" s="21">
        <f>IF(C1699="","",IFERROR(INDEX(Clientes!$B:$B,MATCH(C1699,Clientes!$A:$A,0)),"Cód. não cadastrado"))</f>
        <v/>
      </c>
      <c r="K1699" s="18">
        <f>IF(B1699="","",YEAR(B1699))</f>
        <v/>
      </c>
      <c r="L1699" s="18">
        <f>IF(B1699="","",MONTH(B1699))</f>
        <v/>
      </c>
      <c r="M1699" s="18">
        <f>IF(OR(B1699="",I1699=""),"",I1699-B1699)</f>
        <v/>
      </c>
      <c r="N1699" s="21">
        <f>IF(B1699="","",IF(I1699="",IF(H1699="","",IF(TODAY()&gt;H1699,"Atrasado (em aberto)","Em aberto")),IF(I1699&lt;=H1699,"No prazo","Fora do prazo")))</f>
        <v/>
      </c>
    </row>
    <row r="1700">
      <c r="B1700" s="22" t="n"/>
      <c r="E1700" s="23" t="n"/>
      <c r="F1700" s="24" t="n"/>
      <c r="H1700" s="22" t="n"/>
      <c r="I1700" s="22" t="n"/>
      <c r="J1700" s="21">
        <f>IF(C1700="","",IFERROR(INDEX(Clientes!$B:$B,MATCH(C1700,Clientes!$A:$A,0)),"Cód. não cadastrado"))</f>
        <v/>
      </c>
      <c r="K1700" s="18">
        <f>IF(B1700="","",YEAR(B1700))</f>
        <v/>
      </c>
      <c r="L1700" s="18">
        <f>IF(B1700="","",MONTH(B1700))</f>
        <v/>
      </c>
      <c r="M1700" s="18">
        <f>IF(OR(B1700="",I1700=""),"",I1700-B1700)</f>
        <v/>
      </c>
      <c r="N1700" s="21">
        <f>IF(B1700="","",IF(I1700="",IF(H1700="","",IF(TODAY()&gt;H1700,"Atrasado (em aberto)","Em aberto")),IF(I1700&lt;=H1700,"No prazo","Fora do prazo")))</f>
        <v/>
      </c>
    </row>
    <row r="1701">
      <c r="B1701" s="22" t="n"/>
      <c r="E1701" s="23" t="n"/>
      <c r="F1701" s="24" t="n"/>
      <c r="H1701" s="22" t="n"/>
      <c r="I1701" s="22" t="n"/>
      <c r="J1701" s="21">
        <f>IF(C1701="","",IFERROR(INDEX(Clientes!$B:$B,MATCH(C1701,Clientes!$A:$A,0)),"Cód. não cadastrado"))</f>
        <v/>
      </c>
      <c r="K1701" s="18">
        <f>IF(B1701="","",YEAR(B1701))</f>
        <v/>
      </c>
      <c r="L1701" s="18">
        <f>IF(B1701="","",MONTH(B1701))</f>
        <v/>
      </c>
      <c r="M1701" s="18">
        <f>IF(OR(B1701="",I1701=""),"",I1701-B1701)</f>
        <v/>
      </c>
      <c r="N1701" s="21">
        <f>IF(B1701="","",IF(I1701="",IF(H1701="","",IF(TODAY()&gt;H1701,"Atrasado (em aberto)","Em aberto")),IF(I1701&lt;=H1701,"No prazo","Fora do prazo")))</f>
        <v/>
      </c>
    </row>
    <row r="1702">
      <c r="B1702" s="22" t="n"/>
      <c r="E1702" s="23" t="n"/>
      <c r="F1702" s="24" t="n"/>
      <c r="H1702" s="22" t="n"/>
      <c r="I1702" s="22" t="n"/>
      <c r="J1702" s="21">
        <f>IF(C1702="","",IFERROR(INDEX(Clientes!$B:$B,MATCH(C1702,Clientes!$A:$A,0)),"Cód. não cadastrado"))</f>
        <v/>
      </c>
      <c r="K1702" s="18">
        <f>IF(B1702="","",YEAR(B1702))</f>
        <v/>
      </c>
      <c r="L1702" s="18">
        <f>IF(B1702="","",MONTH(B1702))</f>
        <v/>
      </c>
      <c r="M1702" s="18">
        <f>IF(OR(B1702="",I1702=""),"",I1702-B1702)</f>
        <v/>
      </c>
      <c r="N1702" s="21">
        <f>IF(B1702="","",IF(I1702="",IF(H1702="","",IF(TODAY()&gt;H1702,"Atrasado (em aberto)","Em aberto")),IF(I1702&lt;=H1702,"No prazo","Fora do prazo")))</f>
        <v/>
      </c>
    </row>
    <row r="1703">
      <c r="B1703" s="22" t="n"/>
      <c r="E1703" s="23" t="n"/>
      <c r="F1703" s="24" t="n"/>
      <c r="H1703" s="22" t="n"/>
      <c r="I1703" s="22" t="n"/>
      <c r="J1703" s="21">
        <f>IF(C1703="","",IFERROR(INDEX(Clientes!$B:$B,MATCH(C1703,Clientes!$A:$A,0)),"Cód. não cadastrado"))</f>
        <v/>
      </c>
      <c r="K1703" s="18">
        <f>IF(B1703="","",YEAR(B1703))</f>
        <v/>
      </c>
      <c r="L1703" s="18">
        <f>IF(B1703="","",MONTH(B1703))</f>
        <v/>
      </c>
      <c r="M1703" s="18">
        <f>IF(OR(B1703="",I1703=""),"",I1703-B1703)</f>
        <v/>
      </c>
      <c r="N1703" s="21">
        <f>IF(B1703="","",IF(I1703="",IF(H1703="","",IF(TODAY()&gt;H1703,"Atrasado (em aberto)","Em aberto")),IF(I1703&lt;=H1703,"No prazo","Fora do prazo")))</f>
        <v/>
      </c>
    </row>
    <row r="1704">
      <c r="B1704" s="22" t="n"/>
      <c r="E1704" s="23" t="n"/>
      <c r="F1704" s="24" t="n"/>
      <c r="H1704" s="22" t="n"/>
      <c r="I1704" s="22" t="n"/>
      <c r="J1704" s="21">
        <f>IF(C1704="","",IFERROR(INDEX(Clientes!$B:$B,MATCH(C1704,Clientes!$A:$A,0)),"Cód. não cadastrado"))</f>
        <v/>
      </c>
      <c r="K1704" s="18">
        <f>IF(B1704="","",YEAR(B1704))</f>
        <v/>
      </c>
      <c r="L1704" s="18">
        <f>IF(B1704="","",MONTH(B1704))</f>
        <v/>
      </c>
      <c r="M1704" s="18">
        <f>IF(OR(B1704="",I1704=""),"",I1704-B1704)</f>
        <v/>
      </c>
      <c r="N1704" s="21">
        <f>IF(B1704="","",IF(I1704="",IF(H1704="","",IF(TODAY()&gt;H1704,"Atrasado (em aberto)","Em aberto")),IF(I1704&lt;=H1704,"No prazo","Fora do prazo")))</f>
        <v/>
      </c>
    </row>
    <row r="1705">
      <c r="B1705" s="22" t="n"/>
      <c r="E1705" s="23" t="n"/>
      <c r="F1705" s="24" t="n"/>
      <c r="H1705" s="22" t="n"/>
      <c r="I1705" s="22" t="n"/>
      <c r="J1705" s="21">
        <f>IF(C1705="","",IFERROR(INDEX(Clientes!$B:$B,MATCH(C1705,Clientes!$A:$A,0)),"Cód. não cadastrado"))</f>
        <v/>
      </c>
      <c r="K1705" s="18">
        <f>IF(B1705="","",YEAR(B1705))</f>
        <v/>
      </c>
      <c r="L1705" s="18">
        <f>IF(B1705="","",MONTH(B1705))</f>
        <v/>
      </c>
      <c r="M1705" s="18">
        <f>IF(OR(B1705="",I1705=""),"",I1705-B1705)</f>
        <v/>
      </c>
      <c r="N1705" s="21">
        <f>IF(B1705="","",IF(I1705="",IF(H1705="","",IF(TODAY()&gt;H1705,"Atrasado (em aberto)","Em aberto")),IF(I1705&lt;=H1705,"No prazo","Fora do prazo")))</f>
        <v/>
      </c>
    </row>
    <row r="1706">
      <c r="B1706" s="22" t="n"/>
      <c r="E1706" s="23" t="n"/>
      <c r="F1706" s="24" t="n"/>
      <c r="H1706" s="22" t="n"/>
      <c r="I1706" s="22" t="n"/>
      <c r="J1706" s="21">
        <f>IF(C1706="","",IFERROR(INDEX(Clientes!$B:$B,MATCH(C1706,Clientes!$A:$A,0)),"Cód. não cadastrado"))</f>
        <v/>
      </c>
      <c r="K1706" s="18">
        <f>IF(B1706="","",YEAR(B1706))</f>
        <v/>
      </c>
      <c r="L1706" s="18">
        <f>IF(B1706="","",MONTH(B1706))</f>
        <v/>
      </c>
      <c r="M1706" s="18">
        <f>IF(OR(B1706="",I1706=""),"",I1706-B1706)</f>
        <v/>
      </c>
      <c r="N1706" s="21">
        <f>IF(B1706="","",IF(I1706="",IF(H1706="","",IF(TODAY()&gt;H1706,"Atrasado (em aberto)","Em aberto")),IF(I1706&lt;=H1706,"No prazo","Fora do prazo")))</f>
        <v/>
      </c>
    </row>
    <row r="1707">
      <c r="B1707" s="22" t="n"/>
      <c r="E1707" s="23" t="n"/>
      <c r="F1707" s="24" t="n"/>
      <c r="H1707" s="22" t="n"/>
      <c r="I1707" s="22" t="n"/>
      <c r="J1707" s="21">
        <f>IF(C1707="","",IFERROR(INDEX(Clientes!$B:$B,MATCH(C1707,Clientes!$A:$A,0)),"Cód. não cadastrado"))</f>
        <v/>
      </c>
      <c r="K1707" s="18">
        <f>IF(B1707="","",YEAR(B1707))</f>
        <v/>
      </c>
      <c r="L1707" s="18">
        <f>IF(B1707="","",MONTH(B1707))</f>
        <v/>
      </c>
      <c r="M1707" s="18">
        <f>IF(OR(B1707="",I1707=""),"",I1707-B1707)</f>
        <v/>
      </c>
      <c r="N1707" s="21">
        <f>IF(B1707="","",IF(I1707="",IF(H1707="","",IF(TODAY()&gt;H1707,"Atrasado (em aberto)","Em aberto")),IF(I1707&lt;=H1707,"No prazo","Fora do prazo")))</f>
        <v/>
      </c>
    </row>
    <row r="1708">
      <c r="B1708" s="22" t="n"/>
      <c r="E1708" s="23" t="n"/>
      <c r="F1708" s="24" t="n"/>
      <c r="H1708" s="22" t="n"/>
      <c r="I1708" s="22" t="n"/>
      <c r="J1708" s="21">
        <f>IF(C1708="","",IFERROR(INDEX(Clientes!$B:$B,MATCH(C1708,Clientes!$A:$A,0)),"Cód. não cadastrado"))</f>
        <v/>
      </c>
      <c r="K1708" s="18">
        <f>IF(B1708="","",YEAR(B1708))</f>
        <v/>
      </c>
      <c r="L1708" s="18">
        <f>IF(B1708="","",MONTH(B1708))</f>
        <v/>
      </c>
      <c r="M1708" s="18">
        <f>IF(OR(B1708="",I1708=""),"",I1708-B1708)</f>
        <v/>
      </c>
      <c r="N1708" s="21">
        <f>IF(B1708="","",IF(I1708="",IF(H1708="","",IF(TODAY()&gt;H1708,"Atrasado (em aberto)","Em aberto")),IF(I1708&lt;=H1708,"No prazo","Fora do prazo")))</f>
        <v/>
      </c>
    </row>
    <row r="1709">
      <c r="B1709" s="22" t="n"/>
      <c r="E1709" s="23" t="n"/>
      <c r="F1709" s="24" t="n"/>
      <c r="H1709" s="22" t="n"/>
      <c r="I1709" s="22" t="n"/>
      <c r="J1709" s="21">
        <f>IF(C1709="","",IFERROR(INDEX(Clientes!$B:$B,MATCH(C1709,Clientes!$A:$A,0)),"Cód. não cadastrado"))</f>
        <v/>
      </c>
      <c r="K1709" s="18">
        <f>IF(B1709="","",YEAR(B1709))</f>
        <v/>
      </c>
      <c r="L1709" s="18">
        <f>IF(B1709="","",MONTH(B1709))</f>
        <v/>
      </c>
      <c r="M1709" s="18">
        <f>IF(OR(B1709="",I1709=""),"",I1709-B1709)</f>
        <v/>
      </c>
      <c r="N1709" s="21">
        <f>IF(B1709="","",IF(I1709="",IF(H1709="","",IF(TODAY()&gt;H1709,"Atrasado (em aberto)","Em aberto")),IF(I1709&lt;=H1709,"No prazo","Fora do prazo")))</f>
        <v/>
      </c>
    </row>
    <row r="1710">
      <c r="B1710" s="22" t="n"/>
      <c r="E1710" s="23" t="n"/>
      <c r="F1710" s="24" t="n"/>
      <c r="H1710" s="22" t="n"/>
      <c r="I1710" s="22" t="n"/>
      <c r="J1710" s="21">
        <f>IF(C1710="","",IFERROR(INDEX(Clientes!$B:$B,MATCH(C1710,Clientes!$A:$A,0)),"Cód. não cadastrado"))</f>
        <v/>
      </c>
      <c r="K1710" s="18">
        <f>IF(B1710="","",YEAR(B1710))</f>
        <v/>
      </c>
      <c r="L1710" s="18">
        <f>IF(B1710="","",MONTH(B1710))</f>
        <v/>
      </c>
      <c r="M1710" s="18">
        <f>IF(OR(B1710="",I1710=""),"",I1710-B1710)</f>
        <v/>
      </c>
      <c r="N1710" s="21">
        <f>IF(B1710="","",IF(I1710="",IF(H1710="","",IF(TODAY()&gt;H1710,"Atrasado (em aberto)","Em aberto")),IF(I1710&lt;=H1710,"No prazo","Fora do prazo")))</f>
        <v/>
      </c>
    </row>
    <row r="1711">
      <c r="B1711" s="22" t="n"/>
      <c r="E1711" s="23" t="n"/>
      <c r="F1711" s="24" t="n"/>
      <c r="H1711" s="22" t="n"/>
      <c r="I1711" s="22" t="n"/>
      <c r="J1711" s="21">
        <f>IF(C1711="","",IFERROR(INDEX(Clientes!$B:$B,MATCH(C1711,Clientes!$A:$A,0)),"Cód. não cadastrado"))</f>
        <v/>
      </c>
      <c r="K1711" s="18">
        <f>IF(B1711="","",YEAR(B1711))</f>
        <v/>
      </c>
      <c r="L1711" s="18">
        <f>IF(B1711="","",MONTH(B1711))</f>
        <v/>
      </c>
      <c r="M1711" s="18">
        <f>IF(OR(B1711="",I1711=""),"",I1711-B1711)</f>
        <v/>
      </c>
      <c r="N1711" s="21">
        <f>IF(B1711="","",IF(I1711="",IF(H1711="","",IF(TODAY()&gt;H1711,"Atrasado (em aberto)","Em aberto")),IF(I1711&lt;=H1711,"No prazo","Fora do prazo")))</f>
        <v/>
      </c>
    </row>
    <row r="1712">
      <c r="B1712" s="22" t="n"/>
      <c r="E1712" s="23" t="n"/>
      <c r="F1712" s="24" t="n"/>
      <c r="H1712" s="22" t="n"/>
      <c r="I1712" s="22" t="n"/>
      <c r="J1712" s="21">
        <f>IF(C1712="","",IFERROR(INDEX(Clientes!$B:$B,MATCH(C1712,Clientes!$A:$A,0)),"Cód. não cadastrado"))</f>
        <v/>
      </c>
      <c r="K1712" s="18">
        <f>IF(B1712="","",YEAR(B1712))</f>
        <v/>
      </c>
      <c r="L1712" s="18">
        <f>IF(B1712="","",MONTH(B1712))</f>
        <v/>
      </c>
      <c r="M1712" s="18">
        <f>IF(OR(B1712="",I1712=""),"",I1712-B1712)</f>
        <v/>
      </c>
      <c r="N1712" s="21">
        <f>IF(B1712="","",IF(I1712="",IF(H1712="","",IF(TODAY()&gt;H1712,"Atrasado (em aberto)","Em aberto")),IF(I1712&lt;=H1712,"No prazo","Fora do prazo")))</f>
        <v/>
      </c>
    </row>
    <row r="1713">
      <c r="B1713" s="22" t="n"/>
      <c r="E1713" s="23" t="n"/>
      <c r="F1713" s="24" t="n"/>
      <c r="H1713" s="22" t="n"/>
      <c r="I1713" s="22" t="n"/>
      <c r="J1713" s="21">
        <f>IF(C1713="","",IFERROR(INDEX(Clientes!$B:$B,MATCH(C1713,Clientes!$A:$A,0)),"Cód. não cadastrado"))</f>
        <v/>
      </c>
      <c r="K1713" s="18">
        <f>IF(B1713="","",YEAR(B1713))</f>
        <v/>
      </c>
      <c r="L1713" s="18">
        <f>IF(B1713="","",MONTH(B1713))</f>
        <v/>
      </c>
      <c r="M1713" s="18">
        <f>IF(OR(B1713="",I1713=""),"",I1713-B1713)</f>
        <v/>
      </c>
      <c r="N1713" s="21">
        <f>IF(B1713="","",IF(I1713="",IF(H1713="","",IF(TODAY()&gt;H1713,"Atrasado (em aberto)","Em aberto")),IF(I1713&lt;=H1713,"No prazo","Fora do prazo")))</f>
        <v/>
      </c>
    </row>
    <row r="1714">
      <c r="B1714" s="22" t="n"/>
      <c r="E1714" s="23" t="n"/>
      <c r="F1714" s="24" t="n"/>
      <c r="H1714" s="22" t="n"/>
      <c r="I1714" s="22" t="n"/>
      <c r="J1714" s="21">
        <f>IF(C1714="","",IFERROR(INDEX(Clientes!$B:$B,MATCH(C1714,Clientes!$A:$A,0)),"Cód. não cadastrado"))</f>
        <v/>
      </c>
      <c r="K1714" s="18">
        <f>IF(B1714="","",YEAR(B1714))</f>
        <v/>
      </c>
      <c r="L1714" s="18">
        <f>IF(B1714="","",MONTH(B1714))</f>
        <v/>
      </c>
      <c r="M1714" s="18">
        <f>IF(OR(B1714="",I1714=""),"",I1714-B1714)</f>
        <v/>
      </c>
      <c r="N1714" s="21">
        <f>IF(B1714="","",IF(I1714="",IF(H1714="","",IF(TODAY()&gt;H1714,"Atrasado (em aberto)","Em aberto")),IF(I1714&lt;=H1714,"No prazo","Fora do prazo")))</f>
        <v/>
      </c>
    </row>
    <row r="1715">
      <c r="B1715" s="22" t="n"/>
      <c r="E1715" s="23" t="n"/>
      <c r="F1715" s="24" t="n"/>
      <c r="H1715" s="22" t="n"/>
      <c r="I1715" s="22" t="n"/>
      <c r="J1715" s="21">
        <f>IF(C1715="","",IFERROR(INDEX(Clientes!$B:$B,MATCH(C1715,Clientes!$A:$A,0)),"Cód. não cadastrado"))</f>
        <v/>
      </c>
      <c r="K1715" s="18">
        <f>IF(B1715="","",YEAR(B1715))</f>
        <v/>
      </c>
      <c r="L1715" s="18">
        <f>IF(B1715="","",MONTH(B1715))</f>
        <v/>
      </c>
      <c r="M1715" s="18">
        <f>IF(OR(B1715="",I1715=""),"",I1715-B1715)</f>
        <v/>
      </c>
      <c r="N1715" s="21">
        <f>IF(B1715="","",IF(I1715="",IF(H1715="","",IF(TODAY()&gt;H1715,"Atrasado (em aberto)","Em aberto")),IF(I1715&lt;=H1715,"No prazo","Fora do prazo")))</f>
        <v/>
      </c>
    </row>
    <row r="1716">
      <c r="B1716" s="22" t="n"/>
      <c r="E1716" s="23" t="n"/>
      <c r="F1716" s="24" t="n"/>
      <c r="H1716" s="22" t="n"/>
      <c r="I1716" s="22" t="n"/>
      <c r="J1716" s="21">
        <f>IF(C1716="","",IFERROR(INDEX(Clientes!$B:$B,MATCH(C1716,Clientes!$A:$A,0)),"Cód. não cadastrado"))</f>
        <v/>
      </c>
      <c r="K1716" s="18">
        <f>IF(B1716="","",YEAR(B1716))</f>
        <v/>
      </c>
      <c r="L1716" s="18">
        <f>IF(B1716="","",MONTH(B1716))</f>
        <v/>
      </c>
      <c r="M1716" s="18">
        <f>IF(OR(B1716="",I1716=""),"",I1716-B1716)</f>
        <v/>
      </c>
      <c r="N1716" s="21">
        <f>IF(B1716="","",IF(I1716="",IF(H1716="","",IF(TODAY()&gt;H1716,"Atrasado (em aberto)","Em aberto")),IF(I1716&lt;=H1716,"No prazo","Fora do prazo")))</f>
        <v/>
      </c>
    </row>
    <row r="1717">
      <c r="B1717" s="22" t="n"/>
      <c r="E1717" s="23" t="n"/>
      <c r="F1717" s="24" t="n"/>
      <c r="H1717" s="22" t="n"/>
      <c r="I1717" s="22" t="n"/>
      <c r="J1717" s="21">
        <f>IF(C1717="","",IFERROR(INDEX(Clientes!$B:$B,MATCH(C1717,Clientes!$A:$A,0)),"Cód. não cadastrado"))</f>
        <v/>
      </c>
      <c r="K1717" s="18">
        <f>IF(B1717="","",YEAR(B1717))</f>
        <v/>
      </c>
      <c r="L1717" s="18">
        <f>IF(B1717="","",MONTH(B1717))</f>
        <v/>
      </c>
      <c r="M1717" s="18">
        <f>IF(OR(B1717="",I1717=""),"",I1717-B1717)</f>
        <v/>
      </c>
      <c r="N1717" s="21">
        <f>IF(B1717="","",IF(I1717="",IF(H1717="","",IF(TODAY()&gt;H1717,"Atrasado (em aberto)","Em aberto")),IF(I1717&lt;=H1717,"No prazo","Fora do prazo")))</f>
        <v/>
      </c>
    </row>
    <row r="1718">
      <c r="B1718" s="22" t="n"/>
      <c r="E1718" s="23" t="n"/>
      <c r="F1718" s="24" t="n"/>
      <c r="H1718" s="22" t="n"/>
      <c r="I1718" s="22" t="n"/>
      <c r="J1718" s="21">
        <f>IF(C1718="","",IFERROR(INDEX(Clientes!$B:$B,MATCH(C1718,Clientes!$A:$A,0)),"Cód. não cadastrado"))</f>
        <v/>
      </c>
      <c r="K1718" s="18">
        <f>IF(B1718="","",YEAR(B1718))</f>
        <v/>
      </c>
      <c r="L1718" s="18">
        <f>IF(B1718="","",MONTH(B1718))</f>
        <v/>
      </c>
      <c r="M1718" s="18">
        <f>IF(OR(B1718="",I1718=""),"",I1718-B1718)</f>
        <v/>
      </c>
      <c r="N1718" s="21">
        <f>IF(B1718="","",IF(I1718="",IF(H1718="","",IF(TODAY()&gt;H1718,"Atrasado (em aberto)","Em aberto")),IF(I1718&lt;=H1718,"No prazo","Fora do prazo")))</f>
        <v/>
      </c>
    </row>
    <row r="1719">
      <c r="B1719" s="22" t="n"/>
      <c r="E1719" s="23" t="n"/>
      <c r="F1719" s="24" t="n"/>
      <c r="H1719" s="22" t="n"/>
      <c r="I1719" s="22" t="n"/>
      <c r="J1719" s="21">
        <f>IF(C1719="","",IFERROR(INDEX(Clientes!$B:$B,MATCH(C1719,Clientes!$A:$A,0)),"Cód. não cadastrado"))</f>
        <v/>
      </c>
      <c r="K1719" s="18">
        <f>IF(B1719="","",YEAR(B1719))</f>
        <v/>
      </c>
      <c r="L1719" s="18">
        <f>IF(B1719="","",MONTH(B1719))</f>
        <v/>
      </c>
      <c r="M1719" s="18">
        <f>IF(OR(B1719="",I1719=""),"",I1719-B1719)</f>
        <v/>
      </c>
      <c r="N1719" s="21">
        <f>IF(B1719="","",IF(I1719="",IF(H1719="","",IF(TODAY()&gt;H1719,"Atrasado (em aberto)","Em aberto")),IF(I1719&lt;=H1719,"No prazo","Fora do prazo")))</f>
        <v/>
      </c>
    </row>
    <row r="1720">
      <c r="B1720" s="22" t="n"/>
      <c r="E1720" s="23" t="n"/>
      <c r="F1720" s="24" t="n"/>
      <c r="H1720" s="22" t="n"/>
      <c r="I1720" s="22" t="n"/>
      <c r="J1720" s="21">
        <f>IF(C1720="","",IFERROR(INDEX(Clientes!$B:$B,MATCH(C1720,Clientes!$A:$A,0)),"Cód. não cadastrado"))</f>
        <v/>
      </c>
      <c r="K1720" s="18">
        <f>IF(B1720="","",YEAR(B1720))</f>
        <v/>
      </c>
      <c r="L1720" s="18">
        <f>IF(B1720="","",MONTH(B1720))</f>
        <v/>
      </c>
      <c r="M1720" s="18">
        <f>IF(OR(B1720="",I1720=""),"",I1720-B1720)</f>
        <v/>
      </c>
      <c r="N1720" s="21">
        <f>IF(B1720="","",IF(I1720="",IF(H1720="","",IF(TODAY()&gt;H1720,"Atrasado (em aberto)","Em aberto")),IF(I1720&lt;=H1720,"No prazo","Fora do prazo")))</f>
        <v/>
      </c>
    </row>
    <row r="1721">
      <c r="B1721" s="22" t="n"/>
      <c r="E1721" s="23" t="n"/>
      <c r="F1721" s="24" t="n"/>
      <c r="H1721" s="22" t="n"/>
      <c r="I1721" s="22" t="n"/>
      <c r="J1721" s="21">
        <f>IF(C1721="","",IFERROR(INDEX(Clientes!$B:$B,MATCH(C1721,Clientes!$A:$A,0)),"Cód. não cadastrado"))</f>
        <v/>
      </c>
      <c r="K1721" s="18">
        <f>IF(B1721="","",YEAR(B1721))</f>
        <v/>
      </c>
      <c r="L1721" s="18">
        <f>IF(B1721="","",MONTH(B1721))</f>
        <v/>
      </c>
      <c r="M1721" s="18">
        <f>IF(OR(B1721="",I1721=""),"",I1721-B1721)</f>
        <v/>
      </c>
      <c r="N1721" s="21">
        <f>IF(B1721="","",IF(I1721="",IF(H1721="","",IF(TODAY()&gt;H1721,"Atrasado (em aberto)","Em aberto")),IF(I1721&lt;=H1721,"No prazo","Fora do prazo")))</f>
        <v/>
      </c>
    </row>
    <row r="1722">
      <c r="B1722" s="22" t="n"/>
      <c r="E1722" s="23" t="n"/>
      <c r="F1722" s="24" t="n"/>
      <c r="H1722" s="22" t="n"/>
      <c r="I1722" s="22" t="n"/>
      <c r="J1722" s="21">
        <f>IF(C1722="","",IFERROR(INDEX(Clientes!$B:$B,MATCH(C1722,Clientes!$A:$A,0)),"Cód. não cadastrado"))</f>
        <v/>
      </c>
      <c r="K1722" s="18">
        <f>IF(B1722="","",YEAR(B1722))</f>
        <v/>
      </c>
      <c r="L1722" s="18">
        <f>IF(B1722="","",MONTH(B1722))</f>
        <v/>
      </c>
      <c r="M1722" s="18">
        <f>IF(OR(B1722="",I1722=""),"",I1722-B1722)</f>
        <v/>
      </c>
      <c r="N1722" s="21">
        <f>IF(B1722="","",IF(I1722="",IF(H1722="","",IF(TODAY()&gt;H1722,"Atrasado (em aberto)","Em aberto")),IF(I1722&lt;=H1722,"No prazo","Fora do prazo")))</f>
        <v/>
      </c>
    </row>
    <row r="1723">
      <c r="B1723" s="22" t="n"/>
      <c r="E1723" s="23" t="n"/>
      <c r="F1723" s="24" t="n"/>
      <c r="H1723" s="22" t="n"/>
      <c r="I1723" s="22" t="n"/>
      <c r="J1723" s="21">
        <f>IF(C1723="","",IFERROR(INDEX(Clientes!$B:$B,MATCH(C1723,Clientes!$A:$A,0)),"Cód. não cadastrado"))</f>
        <v/>
      </c>
      <c r="K1723" s="18">
        <f>IF(B1723="","",YEAR(B1723))</f>
        <v/>
      </c>
      <c r="L1723" s="18">
        <f>IF(B1723="","",MONTH(B1723))</f>
        <v/>
      </c>
      <c r="M1723" s="18">
        <f>IF(OR(B1723="",I1723=""),"",I1723-B1723)</f>
        <v/>
      </c>
      <c r="N1723" s="21">
        <f>IF(B1723="","",IF(I1723="",IF(H1723="","",IF(TODAY()&gt;H1723,"Atrasado (em aberto)","Em aberto")),IF(I1723&lt;=H1723,"No prazo","Fora do prazo")))</f>
        <v/>
      </c>
    </row>
    <row r="1724">
      <c r="B1724" s="22" t="n"/>
      <c r="E1724" s="23" t="n"/>
      <c r="F1724" s="24" t="n"/>
      <c r="H1724" s="22" t="n"/>
      <c r="I1724" s="22" t="n"/>
      <c r="J1724" s="21">
        <f>IF(C1724="","",IFERROR(INDEX(Clientes!$B:$B,MATCH(C1724,Clientes!$A:$A,0)),"Cód. não cadastrado"))</f>
        <v/>
      </c>
      <c r="K1724" s="18">
        <f>IF(B1724="","",YEAR(B1724))</f>
        <v/>
      </c>
      <c r="L1724" s="18">
        <f>IF(B1724="","",MONTH(B1724))</f>
        <v/>
      </c>
      <c r="M1724" s="18">
        <f>IF(OR(B1724="",I1724=""),"",I1724-B1724)</f>
        <v/>
      </c>
      <c r="N1724" s="21">
        <f>IF(B1724="","",IF(I1724="",IF(H1724="","",IF(TODAY()&gt;H1724,"Atrasado (em aberto)","Em aberto")),IF(I1724&lt;=H1724,"No prazo","Fora do prazo")))</f>
        <v/>
      </c>
    </row>
    <row r="1725">
      <c r="B1725" s="22" t="n"/>
      <c r="E1725" s="23" t="n"/>
      <c r="F1725" s="24" t="n"/>
      <c r="H1725" s="22" t="n"/>
      <c r="I1725" s="22" t="n"/>
      <c r="J1725" s="21">
        <f>IF(C1725="","",IFERROR(INDEX(Clientes!$B:$B,MATCH(C1725,Clientes!$A:$A,0)),"Cód. não cadastrado"))</f>
        <v/>
      </c>
      <c r="K1725" s="18">
        <f>IF(B1725="","",YEAR(B1725))</f>
        <v/>
      </c>
      <c r="L1725" s="18">
        <f>IF(B1725="","",MONTH(B1725))</f>
        <v/>
      </c>
      <c r="M1725" s="18">
        <f>IF(OR(B1725="",I1725=""),"",I1725-B1725)</f>
        <v/>
      </c>
      <c r="N1725" s="21">
        <f>IF(B1725="","",IF(I1725="",IF(H1725="","",IF(TODAY()&gt;H1725,"Atrasado (em aberto)","Em aberto")),IF(I1725&lt;=H1725,"No prazo","Fora do prazo")))</f>
        <v/>
      </c>
    </row>
    <row r="1726">
      <c r="B1726" s="22" t="n"/>
      <c r="E1726" s="23" t="n"/>
      <c r="F1726" s="24" t="n"/>
      <c r="H1726" s="22" t="n"/>
      <c r="I1726" s="22" t="n"/>
      <c r="J1726" s="21">
        <f>IF(C1726="","",IFERROR(INDEX(Clientes!$B:$B,MATCH(C1726,Clientes!$A:$A,0)),"Cód. não cadastrado"))</f>
        <v/>
      </c>
      <c r="K1726" s="18">
        <f>IF(B1726="","",YEAR(B1726))</f>
        <v/>
      </c>
      <c r="L1726" s="18">
        <f>IF(B1726="","",MONTH(B1726))</f>
        <v/>
      </c>
      <c r="M1726" s="18">
        <f>IF(OR(B1726="",I1726=""),"",I1726-B1726)</f>
        <v/>
      </c>
      <c r="N1726" s="21">
        <f>IF(B1726="","",IF(I1726="",IF(H1726="","",IF(TODAY()&gt;H1726,"Atrasado (em aberto)","Em aberto")),IF(I1726&lt;=H1726,"No prazo","Fora do prazo")))</f>
        <v/>
      </c>
    </row>
    <row r="1727">
      <c r="B1727" s="22" t="n"/>
      <c r="E1727" s="23" t="n"/>
      <c r="F1727" s="24" t="n"/>
      <c r="H1727" s="22" t="n"/>
      <c r="I1727" s="22" t="n"/>
      <c r="J1727" s="21">
        <f>IF(C1727="","",IFERROR(INDEX(Clientes!$B:$B,MATCH(C1727,Clientes!$A:$A,0)),"Cód. não cadastrado"))</f>
        <v/>
      </c>
      <c r="K1727" s="18">
        <f>IF(B1727="","",YEAR(B1727))</f>
        <v/>
      </c>
      <c r="L1727" s="18">
        <f>IF(B1727="","",MONTH(B1727))</f>
        <v/>
      </c>
      <c r="M1727" s="18">
        <f>IF(OR(B1727="",I1727=""),"",I1727-B1727)</f>
        <v/>
      </c>
      <c r="N1727" s="21">
        <f>IF(B1727="","",IF(I1727="",IF(H1727="","",IF(TODAY()&gt;H1727,"Atrasado (em aberto)","Em aberto")),IF(I1727&lt;=H1727,"No prazo","Fora do prazo")))</f>
        <v/>
      </c>
    </row>
    <row r="1728">
      <c r="B1728" s="22" t="n"/>
      <c r="E1728" s="23" t="n"/>
      <c r="F1728" s="24" t="n"/>
      <c r="H1728" s="22" t="n"/>
      <c r="I1728" s="22" t="n"/>
      <c r="J1728" s="21">
        <f>IF(C1728="","",IFERROR(INDEX(Clientes!$B:$B,MATCH(C1728,Clientes!$A:$A,0)),"Cód. não cadastrado"))</f>
        <v/>
      </c>
      <c r="K1728" s="18">
        <f>IF(B1728="","",YEAR(B1728))</f>
        <v/>
      </c>
      <c r="L1728" s="18">
        <f>IF(B1728="","",MONTH(B1728))</f>
        <v/>
      </c>
      <c r="M1728" s="18">
        <f>IF(OR(B1728="",I1728=""),"",I1728-B1728)</f>
        <v/>
      </c>
      <c r="N1728" s="21">
        <f>IF(B1728="","",IF(I1728="",IF(H1728="","",IF(TODAY()&gt;H1728,"Atrasado (em aberto)","Em aberto")),IF(I1728&lt;=H1728,"No prazo","Fora do prazo")))</f>
        <v/>
      </c>
    </row>
    <row r="1729">
      <c r="B1729" s="22" t="n"/>
      <c r="E1729" s="23" t="n"/>
      <c r="F1729" s="24" t="n"/>
      <c r="H1729" s="22" t="n"/>
      <c r="I1729" s="22" t="n"/>
      <c r="J1729" s="21">
        <f>IF(C1729="","",IFERROR(INDEX(Clientes!$B:$B,MATCH(C1729,Clientes!$A:$A,0)),"Cód. não cadastrado"))</f>
        <v/>
      </c>
      <c r="K1729" s="18">
        <f>IF(B1729="","",YEAR(B1729))</f>
        <v/>
      </c>
      <c r="L1729" s="18">
        <f>IF(B1729="","",MONTH(B1729))</f>
        <v/>
      </c>
      <c r="M1729" s="18">
        <f>IF(OR(B1729="",I1729=""),"",I1729-B1729)</f>
        <v/>
      </c>
      <c r="N1729" s="21">
        <f>IF(B1729="","",IF(I1729="",IF(H1729="","",IF(TODAY()&gt;H1729,"Atrasado (em aberto)","Em aberto")),IF(I1729&lt;=H1729,"No prazo","Fora do prazo")))</f>
        <v/>
      </c>
    </row>
    <row r="1730">
      <c r="B1730" s="22" t="n"/>
      <c r="E1730" s="23" t="n"/>
      <c r="F1730" s="24" t="n"/>
      <c r="H1730" s="22" t="n"/>
      <c r="I1730" s="22" t="n"/>
      <c r="J1730" s="21">
        <f>IF(C1730="","",IFERROR(INDEX(Clientes!$B:$B,MATCH(C1730,Clientes!$A:$A,0)),"Cód. não cadastrado"))</f>
        <v/>
      </c>
      <c r="K1730" s="18">
        <f>IF(B1730="","",YEAR(B1730))</f>
        <v/>
      </c>
      <c r="L1730" s="18">
        <f>IF(B1730="","",MONTH(B1730))</f>
        <v/>
      </c>
      <c r="M1730" s="18">
        <f>IF(OR(B1730="",I1730=""),"",I1730-B1730)</f>
        <v/>
      </c>
      <c r="N1730" s="21">
        <f>IF(B1730="","",IF(I1730="",IF(H1730="","",IF(TODAY()&gt;H1730,"Atrasado (em aberto)","Em aberto")),IF(I1730&lt;=H1730,"No prazo","Fora do prazo")))</f>
        <v/>
      </c>
    </row>
    <row r="1731">
      <c r="B1731" s="22" t="n"/>
      <c r="E1731" s="23" t="n"/>
      <c r="F1731" s="24" t="n"/>
      <c r="H1731" s="22" t="n"/>
      <c r="I1731" s="22" t="n"/>
      <c r="J1731" s="21">
        <f>IF(C1731="","",IFERROR(INDEX(Clientes!$B:$B,MATCH(C1731,Clientes!$A:$A,0)),"Cód. não cadastrado"))</f>
        <v/>
      </c>
      <c r="K1731" s="18">
        <f>IF(B1731="","",YEAR(B1731))</f>
        <v/>
      </c>
      <c r="L1731" s="18">
        <f>IF(B1731="","",MONTH(B1731))</f>
        <v/>
      </c>
      <c r="M1731" s="18">
        <f>IF(OR(B1731="",I1731=""),"",I1731-B1731)</f>
        <v/>
      </c>
      <c r="N1731" s="21">
        <f>IF(B1731="","",IF(I1731="",IF(H1731="","",IF(TODAY()&gt;H1731,"Atrasado (em aberto)","Em aberto")),IF(I1731&lt;=H1731,"No prazo","Fora do prazo")))</f>
        <v/>
      </c>
    </row>
    <row r="1732">
      <c r="B1732" s="22" t="n"/>
      <c r="E1732" s="23" t="n"/>
      <c r="F1732" s="24" t="n"/>
      <c r="H1732" s="22" t="n"/>
      <c r="I1732" s="22" t="n"/>
      <c r="J1732" s="21">
        <f>IF(C1732="","",IFERROR(INDEX(Clientes!$B:$B,MATCH(C1732,Clientes!$A:$A,0)),"Cód. não cadastrado"))</f>
        <v/>
      </c>
      <c r="K1732" s="18">
        <f>IF(B1732="","",YEAR(B1732))</f>
        <v/>
      </c>
      <c r="L1732" s="18">
        <f>IF(B1732="","",MONTH(B1732))</f>
        <v/>
      </c>
      <c r="M1732" s="18">
        <f>IF(OR(B1732="",I1732=""),"",I1732-B1732)</f>
        <v/>
      </c>
      <c r="N1732" s="21">
        <f>IF(B1732="","",IF(I1732="",IF(H1732="","",IF(TODAY()&gt;H1732,"Atrasado (em aberto)","Em aberto")),IF(I1732&lt;=H1732,"No prazo","Fora do prazo")))</f>
        <v/>
      </c>
    </row>
    <row r="1733">
      <c r="B1733" s="22" t="n"/>
      <c r="E1733" s="23" t="n"/>
      <c r="F1733" s="24" t="n"/>
      <c r="H1733" s="22" t="n"/>
      <c r="I1733" s="22" t="n"/>
      <c r="J1733" s="21">
        <f>IF(C1733="","",IFERROR(INDEX(Clientes!$B:$B,MATCH(C1733,Clientes!$A:$A,0)),"Cód. não cadastrado"))</f>
        <v/>
      </c>
      <c r="K1733" s="18">
        <f>IF(B1733="","",YEAR(B1733))</f>
        <v/>
      </c>
      <c r="L1733" s="18">
        <f>IF(B1733="","",MONTH(B1733))</f>
        <v/>
      </c>
      <c r="M1733" s="18">
        <f>IF(OR(B1733="",I1733=""),"",I1733-B1733)</f>
        <v/>
      </c>
      <c r="N1733" s="21">
        <f>IF(B1733="","",IF(I1733="",IF(H1733="","",IF(TODAY()&gt;H1733,"Atrasado (em aberto)","Em aberto")),IF(I1733&lt;=H1733,"No prazo","Fora do prazo")))</f>
        <v/>
      </c>
    </row>
    <row r="1734">
      <c r="B1734" s="22" t="n"/>
      <c r="E1734" s="23" t="n"/>
      <c r="F1734" s="24" t="n"/>
      <c r="H1734" s="22" t="n"/>
      <c r="I1734" s="22" t="n"/>
      <c r="J1734" s="21">
        <f>IF(C1734="","",IFERROR(INDEX(Clientes!$B:$B,MATCH(C1734,Clientes!$A:$A,0)),"Cód. não cadastrado"))</f>
        <v/>
      </c>
      <c r="K1734" s="18">
        <f>IF(B1734="","",YEAR(B1734))</f>
        <v/>
      </c>
      <c r="L1734" s="18">
        <f>IF(B1734="","",MONTH(B1734))</f>
        <v/>
      </c>
      <c r="M1734" s="18">
        <f>IF(OR(B1734="",I1734=""),"",I1734-B1734)</f>
        <v/>
      </c>
      <c r="N1734" s="21">
        <f>IF(B1734="","",IF(I1734="",IF(H1734="","",IF(TODAY()&gt;H1734,"Atrasado (em aberto)","Em aberto")),IF(I1734&lt;=H1734,"No prazo","Fora do prazo")))</f>
        <v/>
      </c>
    </row>
    <row r="1735">
      <c r="B1735" s="22" t="n"/>
      <c r="E1735" s="23" t="n"/>
      <c r="F1735" s="24" t="n"/>
      <c r="H1735" s="22" t="n"/>
      <c r="I1735" s="22" t="n"/>
      <c r="J1735" s="21">
        <f>IF(C1735="","",IFERROR(INDEX(Clientes!$B:$B,MATCH(C1735,Clientes!$A:$A,0)),"Cód. não cadastrado"))</f>
        <v/>
      </c>
      <c r="K1735" s="18">
        <f>IF(B1735="","",YEAR(B1735))</f>
        <v/>
      </c>
      <c r="L1735" s="18">
        <f>IF(B1735="","",MONTH(B1735))</f>
        <v/>
      </c>
      <c r="M1735" s="18">
        <f>IF(OR(B1735="",I1735=""),"",I1735-B1735)</f>
        <v/>
      </c>
      <c r="N1735" s="21">
        <f>IF(B1735="","",IF(I1735="",IF(H1735="","",IF(TODAY()&gt;H1735,"Atrasado (em aberto)","Em aberto")),IF(I1735&lt;=H1735,"No prazo","Fora do prazo")))</f>
        <v/>
      </c>
    </row>
    <row r="1736">
      <c r="B1736" s="22" t="n"/>
      <c r="E1736" s="23" t="n"/>
      <c r="F1736" s="24" t="n"/>
      <c r="H1736" s="22" t="n"/>
      <c r="I1736" s="22" t="n"/>
      <c r="J1736" s="21">
        <f>IF(C1736="","",IFERROR(INDEX(Clientes!$B:$B,MATCH(C1736,Clientes!$A:$A,0)),"Cód. não cadastrado"))</f>
        <v/>
      </c>
      <c r="K1736" s="18">
        <f>IF(B1736="","",YEAR(B1736))</f>
        <v/>
      </c>
      <c r="L1736" s="18">
        <f>IF(B1736="","",MONTH(B1736))</f>
        <v/>
      </c>
      <c r="M1736" s="18">
        <f>IF(OR(B1736="",I1736=""),"",I1736-B1736)</f>
        <v/>
      </c>
      <c r="N1736" s="21">
        <f>IF(B1736="","",IF(I1736="",IF(H1736="","",IF(TODAY()&gt;H1736,"Atrasado (em aberto)","Em aberto")),IF(I1736&lt;=H1736,"No prazo","Fora do prazo")))</f>
        <v/>
      </c>
    </row>
    <row r="1737">
      <c r="B1737" s="22" t="n"/>
      <c r="E1737" s="23" t="n"/>
      <c r="F1737" s="24" t="n"/>
      <c r="H1737" s="22" t="n"/>
      <c r="I1737" s="22" t="n"/>
      <c r="J1737" s="21">
        <f>IF(C1737="","",IFERROR(INDEX(Clientes!$B:$B,MATCH(C1737,Clientes!$A:$A,0)),"Cód. não cadastrado"))</f>
        <v/>
      </c>
      <c r="K1737" s="18">
        <f>IF(B1737="","",YEAR(B1737))</f>
        <v/>
      </c>
      <c r="L1737" s="18">
        <f>IF(B1737="","",MONTH(B1737))</f>
        <v/>
      </c>
      <c r="M1737" s="18">
        <f>IF(OR(B1737="",I1737=""),"",I1737-B1737)</f>
        <v/>
      </c>
      <c r="N1737" s="21">
        <f>IF(B1737="","",IF(I1737="",IF(H1737="","",IF(TODAY()&gt;H1737,"Atrasado (em aberto)","Em aberto")),IF(I1737&lt;=H1737,"No prazo","Fora do prazo")))</f>
        <v/>
      </c>
    </row>
    <row r="1738">
      <c r="B1738" s="22" t="n"/>
      <c r="E1738" s="23" t="n"/>
      <c r="F1738" s="24" t="n"/>
      <c r="H1738" s="22" t="n"/>
      <c r="I1738" s="22" t="n"/>
      <c r="J1738" s="21">
        <f>IF(C1738="","",IFERROR(INDEX(Clientes!$B:$B,MATCH(C1738,Clientes!$A:$A,0)),"Cód. não cadastrado"))</f>
        <v/>
      </c>
      <c r="K1738" s="18">
        <f>IF(B1738="","",YEAR(B1738))</f>
        <v/>
      </c>
      <c r="L1738" s="18">
        <f>IF(B1738="","",MONTH(B1738))</f>
        <v/>
      </c>
      <c r="M1738" s="18">
        <f>IF(OR(B1738="",I1738=""),"",I1738-B1738)</f>
        <v/>
      </c>
      <c r="N1738" s="21">
        <f>IF(B1738="","",IF(I1738="",IF(H1738="","",IF(TODAY()&gt;H1738,"Atrasado (em aberto)","Em aberto")),IF(I1738&lt;=H1738,"No prazo","Fora do prazo")))</f>
        <v/>
      </c>
    </row>
    <row r="1739">
      <c r="B1739" s="22" t="n"/>
      <c r="E1739" s="23" t="n"/>
      <c r="F1739" s="24" t="n"/>
      <c r="H1739" s="22" t="n"/>
      <c r="I1739" s="22" t="n"/>
      <c r="J1739" s="21">
        <f>IF(C1739="","",IFERROR(INDEX(Clientes!$B:$B,MATCH(C1739,Clientes!$A:$A,0)),"Cód. não cadastrado"))</f>
        <v/>
      </c>
      <c r="K1739" s="18">
        <f>IF(B1739="","",YEAR(B1739))</f>
        <v/>
      </c>
      <c r="L1739" s="18">
        <f>IF(B1739="","",MONTH(B1739))</f>
        <v/>
      </c>
      <c r="M1739" s="18">
        <f>IF(OR(B1739="",I1739=""),"",I1739-B1739)</f>
        <v/>
      </c>
      <c r="N1739" s="21">
        <f>IF(B1739="","",IF(I1739="",IF(H1739="","",IF(TODAY()&gt;H1739,"Atrasado (em aberto)","Em aberto")),IF(I1739&lt;=H1739,"No prazo","Fora do prazo")))</f>
        <v/>
      </c>
    </row>
    <row r="1740">
      <c r="B1740" s="22" t="n"/>
      <c r="E1740" s="23" t="n"/>
      <c r="F1740" s="24" t="n"/>
      <c r="H1740" s="22" t="n"/>
      <c r="I1740" s="22" t="n"/>
      <c r="J1740" s="21">
        <f>IF(C1740="","",IFERROR(INDEX(Clientes!$B:$B,MATCH(C1740,Clientes!$A:$A,0)),"Cód. não cadastrado"))</f>
        <v/>
      </c>
      <c r="K1740" s="18">
        <f>IF(B1740="","",YEAR(B1740))</f>
        <v/>
      </c>
      <c r="L1740" s="18">
        <f>IF(B1740="","",MONTH(B1740))</f>
        <v/>
      </c>
      <c r="M1740" s="18">
        <f>IF(OR(B1740="",I1740=""),"",I1740-B1740)</f>
        <v/>
      </c>
      <c r="N1740" s="21">
        <f>IF(B1740="","",IF(I1740="",IF(H1740="","",IF(TODAY()&gt;H1740,"Atrasado (em aberto)","Em aberto")),IF(I1740&lt;=H1740,"No prazo","Fora do prazo")))</f>
        <v/>
      </c>
    </row>
    <row r="1741">
      <c r="B1741" s="22" t="n"/>
      <c r="E1741" s="23" t="n"/>
      <c r="F1741" s="24" t="n"/>
      <c r="H1741" s="22" t="n"/>
      <c r="I1741" s="22" t="n"/>
      <c r="J1741" s="21">
        <f>IF(C1741="","",IFERROR(INDEX(Clientes!$B:$B,MATCH(C1741,Clientes!$A:$A,0)),"Cód. não cadastrado"))</f>
        <v/>
      </c>
      <c r="K1741" s="18">
        <f>IF(B1741="","",YEAR(B1741))</f>
        <v/>
      </c>
      <c r="L1741" s="18">
        <f>IF(B1741="","",MONTH(B1741))</f>
        <v/>
      </c>
      <c r="M1741" s="18">
        <f>IF(OR(B1741="",I1741=""),"",I1741-B1741)</f>
        <v/>
      </c>
      <c r="N1741" s="21">
        <f>IF(B1741="","",IF(I1741="",IF(H1741="","",IF(TODAY()&gt;H1741,"Atrasado (em aberto)","Em aberto")),IF(I1741&lt;=H1741,"No prazo","Fora do prazo")))</f>
        <v/>
      </c>
    </row>
    <row r="1742">
      <c r="B1742" s="22" t="n"/>
      <c r="E1742" s="23" t="n"/>
      <c r="F1742" s="24" t="n"/>
      <c r="H1742" s="22" t="n"/>
      <c r="I1742" s="22" t="n"/>
      <c r="J1742" s="21">
        <f>IF(C1742="","",IFERROR(INDEX(Clientes!$B:$B,MATCH(C1742,Clientes!$A:$A,0)),"Cód. não cadastrado"))</f>
        <v/>
      </c>
      <c r="K1742" s="18">
        <f>IF(B1742="","",YEAR(B1742))</f>
        <v/>
      </c>
      <c r="L1742" s="18">
        <f>IF(B1742="","",MONTH(B1742))</f>
        <v/>
      </c>
      <c r="M1742" s="18">
        <f>IF(OR(B1742="",I1742=""),"",I1742-B1742)</f>
        <v/>
      </c>
      <c r="N1742" s="21">
        <f>IF(B1742="","",IF(I1742="",IF(H1742="","",IF(TODAY()&gt;H1742,"Atrasado (em aberto)","Em aberto")),IF(I1742&lt;=H1742,"No prazo","Fora do prazo")))</f>
        <v/>
      </c>
    </row>
    <row r="1743">
      <c r="B1743" s="22" t="n"/>
      <c r="E1743" s="23" t="n"/>
      <c r="F1743" s="24" t="n"/>
      <c r="H1743" s="22" t="n"/>
      <c r="I1743" s="22" t="n"/>
      <c r="J1743" s="21">
        <f>IF(C1743="","",IFERROR(INDEX(Clientes!$B:$B,MATCH(C1743,Clientes!$A:$A,0)),"Cód. não cadastrado"))</f>
        <v/>
      </c>
      <c r="K1743" s="18">
        <f>IF(B1743="","",YEAR(B1743))</f>
        <v/>
      </c>
      <c r="L1743" s="18">
        <f>IF(B1743="","",MONTH(B1743))</f>
        <v/>
      </c>
      <c r="M1743" s="18">
        <f>IF(OR(B1743="",I1743=""),"",I1743-B1743)</f>
        <v/>
      </c>
      <c r="N1743" s="21">
        <f>IF(B1743="","",IF(I1743="",IF(H1743="","",IF(TODAY()&gt;H1743,"Atrasado (em aberto)","Em aberto")),IF(I1743&lt;=H1743,"No prazo","Fora do prazo")))</f>
        <v/>
      </c>
    </row>
    <row r="1744">
      <c r="B1744" s="22" t="n"/>
      <c r="E1744" s="23" t="n"/>
      <c r="F1744" s="24" t="n"/>
      <c r="H1744" s="22" t="n"/>
      <c r="I1744" s="22" t="n"/>
      <c r="J1744" s="21">
        <f>IF(C1744="","",IFERROR(INDEX(Clientes!$B:$B,MATCH(C1744,Clientes!$A:$A,0)),"Cód. não cadastrado"))</f>
        <v/>
      </c>
      <c r="K1744" s="18">
        <f>IF(B1744="","",YEAR(B1744))</f>
        <v/>
      </c>
      <c r="L1744" s="18">
        <f>IF(B1744="","",MONTH(B1744))</f>
        <v/>
      </c>
      <c r="M1744" s="18">
        <f>IF(OR(B1744="",I1744=""),"",I1744-B1744)</f>
        <v/>
      </c>
      <c r="N1744" s="21">
        <f>IF(B1744="","",IF(I1744="",IF(H1744="","",IF(TODAY()&gt;H1744,"Atrasado (em aberto)","Em aberto")),IF(I1744&lt;=H1744,"No prazo","Fora do prazo")))</f>
        <v/>
      </c>
    </row>
    <row r="1745">
      <c r="B1745" s="22" t="n"/>
      <c r="E1745" s="23" t="n"/>
      <c r="F1745" s="24" t="n"/>
      <c r="H1745" s="22" t="n"/>
      <c r="I1745" s="22" t="n"/>
      <c r="J1745" s="21">
        <f>IF(C1745="","",IFERROR(INDEX(Clientes!$B:$B,MATCH(C1745,Clientes!$A:$A,0)),"Cód. não cadastrado"))</f>
        <v/>
      </c>
      <c r="K1745" s="18">
        <f>IF(B1745="","",YEAR(B1745))</f>
        <v/>
      </c>
      <c r="L1745" s="18">
        <f>IF(B1745="","",MONTH(B1745))</f>
        <v/>
      </c>
      <c r="M1745" s="18">
        <f>IF(OR(B1745="",I1745=""),"",I1745-B1745)</f>
        <v/>
      </c>
      <c r="N1745" s="21">
        <f>IF(B1745="","",IF(I1745="",IF(H1745="","",IF(TODAY()&gt;H1745,"Atrasado (em aberto)","Em aberto")),IF(I1745&lt;=H1745,"No prazo","Fora do prazo")))</f>
        <v/>
      </c>
    </row>
    <row r="1746">
      <c r="B1746" s="22" t="n"/>
      <c r="E1746" s="23" t="n"/>
      <c r="F1746" s="24" t="n"/>
      <c r="H1746" s="22" t="n"/>
      <c r="I1746" s="22" t="n"/>
      <c r="J1746" s="21">
        <f>IF(C1746="","",IFERROR(INDEX(Clientes!$B:$B,MATCH(C1746,Clientes!$A:$A,0)),"Cód. não cadastrado"))</f>
        <v/>
      </c>
      <c r="K1746" s="18">
        <f>IF(B1746="","",YEAR(B1746))</f>
        <v/>
      </c>
      <c r="L1746" s="18">
        <f>IF(B1746="","",MONTH(B1746))</f>
        <v/>
      </c>
      <c r="M1746" s="18">
        <f>IF(OR(B1746="",I1746=""),"",I1746-B1746)</f>
        <v/>
      </c>
      <c r="N1746" s="21">
        <f>IF(B1746="","",IF(I1746="",IF(H1746="","",IF(TODAY()&gt;H1746,"Atrasado (em aberto)","Em aberto")),IF(I1746&lt;=H1746,"No prazo","Fora do prazo")))</f>
        <v/>
      </c>
    </row>
    <row r="1747">
      <c r="B1747" s="22" t="n"/>
      <c r="E1747" s="23" t="n"/>
      <c r="F1747" s="24" t="n"/>
      <c r="H1747" s="22" t="n"/>
      <c r="I1747" s="22" t="n"/>
      <c r="J1747" s="21">
        <f>IF(C1747="","",IFERROR(INDEX(Clientes!$B:$B,MATCH(C1747,Clientes!$A:$A,0)),"Cód. não cadastrado"))</f>
        <v/>
      </c>
      <c r="K1747" s="18">
        <f>IF(B1747="","",YEAR(B1747))</f>
        <v/>
      </c>
      <c r="L1747" s="18">
        <f>IF(B1747="","",MONTH(B1747))</f>
        <v/>
      </c>
      <c r="M1747" s="18">
        <f>IF(OR(B1747="",I1747=""),"",I1747-B1747)</f>
        <v/>
      </c>
      <c r="N1747" s="21">
        <f>IF(B1747="","",IF(I1747="",IF(H1747="","",IF(TODAY()&gt;H1747,"Atrasado (em aberto)","Em aberto")),IF(I1747&lt;=H1747,"No prazo","Fora do prazo")))</f>
        <v/>
      </c>
    </row>
    <row r="1748">
      <c r="B1748" s="22" t="n"/>
      <c r="E1748" s="23" t="n"/>
      <c r="F1748" s="24" t="n"/>
      <c r="H1748" s="22" t="n"/>
      <c r="I1748" s="22" t="n"/>
      <c r="J1748" s="21">
        <f>IF(C1748="","",IFERROR(INDEX(Clientes!$B:$B,MATCH(C1748,Clientes!$A:$A,0)),"Cód. não cadastrado"))</f>
        <v/>
      </c>
      <c r="K1748" s="18">
        <f>IF(B1748="","",YEAR(B1748))</f>
        <v/>
      </c>
      <c r="L1748" s="18">
        <f>IF(B1748="","",MONTH(B1748))</f>
        <v/>
      </c>
      <c r="M1748" s="18">
        <f>IF(OR(B1748="",I1748=""),"",I1748-B1748)</f>
        <v/>
      </c>
      <c r="N1748" s="21">
        <f>IF(B1748="","",IF(I1748="",IF(H1748="","",IF(TODAY()&gt;H1748,"Atrasado (em aberto)","Em aberto")),IF(I1748&lt;=H1748,"No prazo","Fora do prazo")))</f>
        <v/>
      </c>
    </row>
    <row r="1749">
      <c r="B1749" s="22" t="n"/>
      <c r="E1749" s="23" t="n"/>
      <c r="F1749" s="24" t="n"/>
      <c r="H1749" s="22" t="n"/>
      <c r="I1749" s="22" t="n"/>
      <c r="J1749" s="21">
        <f>IF(C1749="","",IFERROR(INDEX(Clientes!$B:$B,MATCH(C1749,Clientes!$A:$A,0)),"Cód. não cadastrado"))</f>
        <v/>
      </c>
      <c r="K1749" s="18">
        <f>IF(B1749="","",YEAR(B1749))</f>
        <v/>
      </c>
      <c r="L1749" s="18">
        <f>IF(B1749="","",MONTH(B1749))</f>
        <v/>
      </c>
      <c r="M1749" s="18">
        <f>IF(OR(B1749="",I1749=""),"",I1749-B1749)</f>
        <v/>
      </c>
      <c r="N1749" s="21">
        <f>IF(B1749="","",IF(I1749="",IF(H1749="","",IF(TODAY()&gt;H1749,"Atrasado (em aberto)","Em aberto")),IF(I1749&lt;=H1749,"No prazo","Fora do prazo")))</f>
        <v/>
      </c>
    </row>
    <row r="1750">
      <c r="B1750" s="22" t="n"/>
      <c r="E1750" s="23" t="n"/>
      <c r="F1750" s="24" t="n"/>
      <c r="H1750" s="22" t="n"/>
      <c r="I1750" s="22" t="n"/>
      <c r="J1750" s="21">
        <f>IF(C1750="","",IFERROR(INDEX(Clientes!$B:$B,MATCH(C1750,Clientes!$A:$A,0)),"Cód. não cadastrado"))</f>
        <v/>
      </c>
      <c r="K1750" s="18">
        <f>IF(B1750="","",YEAR(B1750))</f>
        <v/>
      </c>
      <c r="L1750" s="18">
        <f>IF(B1750="","",MONTH(B1750))</f>
        <v/>
      </c>
      <c r="M1750" s="18">
        <f>IF(OR(B1750="",I1750=""),"",I1750-B1750)</f>
        <v/>
      </c>
      <c r="N1750" s="21">
        <f>IF(B1750="","",IF(I1750="",IF(H1750="","",IF(TODAY()&gt;H1750,"Atrasado (em aberto)","Em aberto")),IF(I1750&lt;=H1750,"No prazo","Fora do prazo")))</f>
        <v/>
      </c>
    </row>
    <row r="1751">
      <c r="B1751" s="22" t="n"/>
      <c r="E1751" s="23" t="n"/>
      <c r="F1751" s="24" t="n"/>
      <c r="H1751" s="22" t="n"/>
      <c r="I1751" s="22" t="n"/>
      <c r="J1751" s="21">
        <f>IF(C1751="","",IFERROR(INDEX(Clientes!$B:$B,MATCH(C1751,Clientes!$A:$A,0)),"Cód. não cadastrado"))</f>
        <v/>
      </c>
      <c r="K1751" s="18">
        <f>IF(B1751="","",YEAR(B1751))</f>
        <v/>
      </c>
      <c r="L1751" s="18">
        <f>IF(B1751="","",MONTH(B1751))</f>
        <v/>
      </c>
      <c r="M1751" s="18">
        <f>IF(OR(B1751="",I1751=""),"",I1751-B1751)</f>
        <v/>
      </c>
      <c r="N1751" s="21">
        <f>IF(B1751="","",IF(I1751="",IF(H1751="","",IF(TODAY()&gt;H1751,"Atrasado (em aberto)","Em aberto")),IF(I1751&lt;=H1751,"No prazo","Fora do prazo")))</f>
        <v/>
      </c>
    </row>
    <row r="1752">
      <c r="B1752" s="22" t="n"/>
      <c r="E1752" s="23" t="n"/>
      <c r="F1752" s="24" t="n"/>
      <c r="H1752" s="22" t="n"/>
      <c r="I1752" s="22" t="n"/>
      <c r="J1752" s="21">
        <f>IF(C1752="","",IFERROR(INDEX(Clientes!$B:$B,MATCH(C1752,Clientes!$A:$A,0)),"Cód. não cadastrado"))</f>
        <v/>
      </c>
      <c r="K1752" s="18">
        <f>IF(B1752="","",YEAR(B1752))</f>
        <v/>
      </c>
      <c r="L1752" s="18">
        <f>IF(B1752="","",MONTH(B1752))</f>
        <v/>
      </c>
      <c r="M1752" s="18">
        <f>IF(OR(B1752="",I1752=""),"",I1752-B1752)</f>
        <v/>
      </c>
      <c r="N1752" s="21">
        <f>IF(B1752="","",IF(I1752="",IF(H1752="","",IF(TODAY()&gt;H1752,"Atrasado (em aberto)","Em aberto")),IF(I1752&lt;=H1752,"No prazo","Fora do prazo")))</f>
        <v/>
      </c>
    </row>
    <row r="1753">
      <c r="B1753" s="22" t="n"/>
      <c r="E1753" s="23" t="n"/>
      <c r="F1753" s="24" t="n"/>
      <c r="H1753" s="22" t="n"/>
      <c r="I1753" s="22" t="n"/>
      <c r="J1753" s="21">
        <f>IF(C1753="","",IFERROR(INDEX(Clientes!$B:$B,MATCH(C1753,Clientes!$A:$A,0)),"Cód. não cadastrado"))</f>
        <v/>
      </c>
      <c r="K1753" s="18">
        <f>IF(B1753="","",YEAR(B1753))</f>
        <v/>
      </c>
      <c r="L1753" s="18">
        <f>IF(B1753="","",MONTH(B1753))</f>
        <v/>
      </c>
      <c r="M1753" s="18">
        <f>IF(OR(B1753="",I1753=""),"",I1753-B1753)</f>
        <v/>
      </c>
      <c r="N1753" s="21">
        <f>IF(B1753="","",IF(I1753="",IF(H1753="","",IF(TODAY()&gt;H1753,"Atrasado (em aberto)","Em aberto")),IF(I1753&lt;=H1753,"No prazo","Fora do prazo")))</f>
        <v/>
      </c>
    </row>
    <row r="1754">
      <c r="B1754" s="22" t="n"/>
      <c r="E1754" s="23" t="n"/>
      <c r="F1754" s="24" t="n"/>
      <c r="H1754" s="22" t="n"/>
      <c r="I1754" s="22" t="n"/>
      <c r="J1754" s="21">
        <f>IF(C1754="","",IFERROR(INDEX(Clientes!$B:$B,MATCH(C1754,Clientes!$A:$A,0)),"Cód. não cadastrado"))</f>
        <v/>
      </c>
      <c r="K1754" s="18">
        <f>IF(B1754="","",YEAR(B1754))</f>
        <v/>
      </c>
      <c r="L1754" s="18">
        <f>IF(B1754="","",MONTH(B1754))</f>
        <v/>
      </c>
      <c r="M1754" s="18">
        <f>IF(OR(B1754="",I1754=""),"",I1754-B1754)</f>
        <v/>
      </c>
      <c r="N1754" s="21">
        <f>IF(B1754="","",IF(I1754="",IF(H1754="","",IF(TODAY()&gt;H1754,"Atrasado (em aberto)","Em aberto")),IF(I1754&lt;=H1754,"No prazo","Fora do prazo")))</f>
        <v/>
      </c>
    </row>
    <row r="1755">
      <c r="B1755" s="22" t="n"/>
      <c r="E1755" s="23" t="n"/>
      <c r="F1755" s="24" t="n"/>
      <c r="H1755" s="22" t="n"/>
      <c r="I1755" s="22" t="n"/>
      <c r="J1755" s="21">
        <f>IF(C1755="","",IFERROR(INDEX(Clientes!$B:$B,MATCH(C1755,Clientes!$A:$A,0)),"Cód. não cadastrado"))</f>
        <v/>
      </c>
      <c r="K1755" s="18">
        <f>IF(B1755="","",YEAR(B1755))</f>
        <v/>
      </c>
      <c r="L1755" s="18">
        <f>IF(B1755="","",MONTH(B1755))</f>
        <v/>
      </c>
      <c r="M1755" s="18">
        <f>IF(OR(B1755="",I1755=""),"",I1755-B1755)</f>
        <v/>
      </c>
      <c r="N1755" s="21">
        <f>IF(B1755="","",IF(I1755="",IF(H1755="","",IF(TODAY()&gt;H1755,"Atrasado (em aberto)","Em aberto")),IF(I1755&lt;=H1755,"No prazo","Fora do prazo")))</f>
        <v/>
      </c>
    </row>
    <row r="1756">
      <c r="B1756" s="22" t="n"/>
      <c r="E1756" s="23" t="n"/>
      <c r="F1756" s="24" t="n"/>
      <c r="H1756" s="22" t="n"/>
      <c r="I1756" s="22" t="n"/>
      <c r="J1756" s="21">
        <f>IF(C1756="","",IFERROR(INDEX(Clientes!$B:$B,MATCH(C1756,Clientes!$A:$A,0)),"Cód. não cadastrado"))</f>
        <v/>
      </c>
      <c r="K1756" s="18">
        <f>IF(B1756="","",YEAR(B1756))</f>
        <v/>
      </c>
      <c r="L1756" s="18">
        <f>IF(B1756="","",MONTH(B1756))</f>
        <v/>
      </c>
      <c r="M1756" s="18">
        <f>IF(OR(B1756="",I1756=""),"",I1756-B1756)</f>
        <v/>
      </c>
      <c r="N1756" s="21">
        <f>IF(B1756="","",IF(I1756="",IF(H1756="","",IF(TODAY()&gt;H1756,"Atrasado (em aberto)","Em aberto")),IF(I1756&lt;=H1756,"No prazo","Fora do prazo")))</f>
        <v/>
      </c>
    </row>
    <row r="1757">
      <c r="B1757" s="22" t="n"/>
      <c r="E1757" s="23" t="n"/>
      <c r="F1757" s="24" t="n"/>
      <c r="H1757" s="22" t="n"/>
      <c r="I1757" s="22" t="n"/>
      <c r="J1757" s="21">
        <f>IF(C1757="","",IFERROR(INDEX(Clientes!$B:$B,MATCH(C1757,Clientes!$A:$A,0)),"Cód. não cadastrado"))</f>
        <v/>
      </c>
      <c r="K1757" s="18">
        <f>IF(B1757="","",YEAR(B1757))</f>
        <v/>
      </c>
      <c r="L1757" s="18">
        <f>IF(B1757="","",MONTH(B1757))</f>
        <v/>
      </c>
      <c r="M1757" s="18">
        <f>IF(OR(B1757="",I1757=""),"",I1757-B1757)</f>
        <v/>
      </c>
      <c r="N1757" s="21">
        <f>IF(B1757="","",IF(I1757="",IF(H1757="","",IF(TODAY()&gt;H1757,"Atrasado (em aberto)","Em aberto")),IF(I1757&lt;=H1757,"No prazo","Fora do prazo")))</f>
        <v/>
      </c>
    </row>
    <row r="1758">
      <c r="B1758" s="22" t="n"/>
      <c r="E1758" s="23" t="n"/>
      <c r="F1758" s="24" t="n"/>
      <c r="H1758" s="22" t="n"/>
      <c r="I1758" s="22" t="n"/>
      <c r="J1758" s="21">
        <f>IF(C1758="","",IFERROR(INDEX(Clientes!$B:$B,MATCH(C1758,Clientes!$A:$A,0)),"Cód. não cadastrado"))</f>
        <v/>
      </c>
      <c r="K1758" s="18">
        <f>IF(B1758="","",YEAR(B1758))</f>
        <v/>
      </c>
      <c r="L1758" s="18">
        <f>IF(B1758="","",MONTH(B1758))</f>
        <v/>
      </c>
      <c r="M1758" s="18">
        <f>IF(OR(B1758="",I1758=""),"",I1758-B1758)</f>
        <v/>
      </c>
      <c r="N1758" s="21">
        <f>IF(B1758="","",IF(I1758="",IF(H1758="","",IF(TODAY()&gt;H1758,"Atrasado (em aberto)","Em aberto")),IF(I1758&lt;=H1758,"No prazo","Fora do prazo")))</f>
        <v/>
      </c>
    </row>
    <row r="1759">
      <c r="B1759" s="22" t="n"/>
      <c r="E1759" s="23" t="n"/>
      <c r="F1759" s="24" t="n"/>
      <c r="H1759" s="22" t="n"/>
      <c r="I1759" s="22" t="n"/>
      <c r="J1759" s="21">
        <f>IF(C1759="","",IFERROR(INDEX(Clientes!$B:$B,MATCH(C1759,Clientes!$A:$A,0)),"Cód. não cadastrado"))</f>
        <v/>
      </c>
      <c r="K1759" s="18">
        <f>IF(B1759="","",YEAR(B1759))</f>
        <v/>
      </c>
      <c r="L1759" s="18">
        <f>IF(B1759="","",MONTH(B1759))</f>
        <v/>
      </c>
      <c r="M1759" s="18">
        <f>IF(OR(B1759="",I1759=""),"",I1759-B1759)</f>
        <v/>
      </c>
      <c r="N1759" s="21">
        <f>IF(B1759="","",IF(I1759="",IF(H1759="","",IF(TODAY()&gt;H1759,"Atrasado (em aberto)","Em aberto")),IF(I1759&lt;=H1759,"No prazo","Fora do prazo")))</f>
        <v/>
      </c>
    </row>
    <row r="1760">
      <c r="B1760" s="22" t="n"/>
      <c r="E1760" s="23" t="n"/>
      <c r="F1760" s="24" t="n"/>
      <c r="H1760" s="22" t="n"/>
      <c r="I1760" s="22" t="n"/>
      <c r="J1760" s="21">
        <f>IF(C1760="","",IFERROR(INDEX(Clientes!$B:$B,MATCH(C1760,Clientes!$A:$A,0)),"Cód. não cadastrado"))</f>
        <v/>
      </c>
      <c r="K1760" s="18">
        <f>IF(B1760="","",YEAR(B1760))</f>
        <v/>
      </c>
      <c r="L1760" s="18">
        <f>IF(B1760="","",MONTH(B1760))</f>
        <v/>
      </c>
      <c r="M1760" s="18">
        <f>IF(OR(B1760="",I1760=""),"",I1760-B1760)</f>
        <v/>
      </c>
      <c r="N1760" s="21">
        <f>IF(B1760="","",IF(I1760="",IF(H1760="","",IF(TODAY()&gt;H1760,"Atrasado (em aberto)","Em aberto")),IF(I1760&lt;=H1760,"No prazo","Fora do prazo")))</f>
        <v/>
      </c>
    </row>
    <row r="1761">
      <c r="B1761" s="22" t="n"/>
      <c r="E1761" s="23" t="n"/>
      <c r="F1761" s="24" t="n"/>
      <c r="H1761" s="22" t="n"/>
      <c r="I1761" s="22" t="n"/>
      <c r="J1761" s="21">
        <f>IF(C1761="","",IFERROR(INDEX(Clientes!$B:$B,MATCH(C1761,Clientes!$A:$A,0)),"Cód. não cadastrado"))</f>
        <v/>
      </c>
      <c r="K1761" s="18">
        <f>IF(B1761="","",YEAR(B1761))</f>
        <v/>
      </c>
      <c r="L1761" s="18">
        <f>IF(B1761="","",MONTH(B1761))</f>
        <v/>
      </c>
      <c r="M1761" s="18">
        <f>IF(OR(B1761="",I1761=""),"",I1761-B1761)</f>
        <v/>
      </c>
      <c r="N1761" s="21">
        <f>IF(B1761="","",IF(I1761="",IF(H1761="","",IF(TODAY()&gt;H1761,"Atrasado (em aberto)","Em aberto")),IF(I1761&lt;=H1761,"No prazo","Fora do prazo")))</f>
        <v/>
      </c>
    </row>
    <row r="1762">
      <c r="B1762" s="22" t="n"/>
      <c r="E1762" s="23" t="n"/>
      <c r="F1762" s="24" t="n"/>
      <c r="H1762" s="22" t="n"/>
      <c r="I1762" s="22" t="n"/>
      <c r="J1762" s="21">
        <f>IF(C1762="","",IFERROR(INDEX(Clientes!$B:$B,MATCH(C1762,Clientes!$A:$A,0)),"Cód. não cadastrado"))</f>
        <v/>
      </c>
      <c r="K1762" s="18">
        <f>IF(B1762="","",YEAR(B1762))</f>
        <v/>
      </c>
      <c r="L1762" s="18">
        <f>IF(B1762="","",MONTH(B1762))</f>
        <v/>
      </c>
      <c r="M1762" s="18">
        <f>IF(OR(B1762="",I1762=""),"",I1762-B1762)</f>
        <v/>
      </c>
      <c r="N1762" s="21">
        <f>IF(B1762="","",IF(I1762="",IF(H1762="","",IF(TODAY()&gt;H1762,"Atrasado (em aberto)","Em aberto")),IF(I1762&lt;=H1762,"No prazo","Fora do prazo")))</f>
        <v/>
      </c>
    </row>
    <row r="1763">
      <c r="B1763" s="22" t="n"/>
      <c r="E1763" s="23" t="n"/>
      <c r="F1763" s="24" t="n"/>
      <c r="H1763" s="22" t="n"/>
      <c r="I1763" s="22" t="n"/>
      <c r="J1763" s="21">
        <f>IF(C1763="","",IFERROR(INDEX(Clientes!$B:$B,MATCH(C1763,Clientes!$A:$A,0)),"Cód. não cadastrado"))</f>
        <v/>
      </c>
      <c r="K1763" s="18">
        <f>IF(B1763="","",YEAR(B1763))</f>
        <v/>
      </c>
      <c r="L1763" s="18">
        <f>IF(B1763="","",MONTH(B1763))</f>
        <v/>
      </c>
      <c r="M1763" s="18">
        <f>IF(OR(B1763="",I1763=""),"",I1763-B1763)</f>
        <v/>
      </c>
      <c r="N1763" s="21">
        <f>IF(B1763="","",IF(I1763="",IF(H1763="","",IF(TODAY()&gt;H1763,"Atrasado (em aberto)","Em aberto")),IF(I1763&lt;=H1763,"No prazo","Fora do prazo")))</f>
        <v/>
      </c>
    </row>
    <row r="1764">
      <c r="B1764" s="22" t="n"/>
      <c r="E1764" s="23" t="n"/>
      <c r="F1764" s="24" t="n"/>
      <c r="H1764" s="22" t="n"/>
      <c r="I1764" s="22" t="n"/>
      <c r="J1764" s="21">
        <f>IF(C1764="","",IFERROR(INDEX(Clientes!$B:$B,MATCH(C1764,Clientes!$A:$A,0)),"Cód. não cadastrado"))</f>
        <v/>
      </c>
      <c r="K1764" s="18">
        <f>IF(B1764="","",YEAR(B1764))</f>
        <v/>
      </c>
      <c r="L1764" s="18">
        <f>IF(B1764="","",MONTH(B1764))</f>
        <v/>
      </c>
      <c r="M1764" s="18">
        <f>IF(OR(B1764="",I1764=""),"",I1764-B1764)</f>
        <v/>
      </c>
      <c r="N1764" s="21">
        <f>IF(B1764="","",IF(I1764="",IF(H1764="","",IF(TODAY()&gt;H1764,"Atrasado (em aberto)","Em aberto")),IF(I1764&lt;=H1764,"No prazo","Fora do prazo")))</f>
        <v/>
      </c>
    </row>
    <row r="1765">
      <c r="B1765" s="22" t="n"/>
      <c r="E1765" s="23" t="n"/>
      <c r="F1765" s="24" t="n"/>
      <c r="H1765" s="22" t="n"/>
      <c r="I1765" s="22" t="n"/>
      <c r="J1765" s="21">
        <f>IF(C1765="","",IFERROR(INDEX(Clientes!$B:$B,MATCH(C1765,Clientes!$A:$A,0)),"Cód. não cadastrado"))</f>
        <v/>
      </c>
      <c r="K1765" s="18">
        <f>IF(B1765="","",YEAR(B1765))</f>
        <v/>
      </c>
      <c r="L1765" s="18">
        <f>IF(B1765="","",MONTH(B1765))</f>
        <v/>
      </c>
      <c r="M1765" s="18">
        <f>IF(OR(B1765="",I1765=""),"",I1765-B1765)</f>
        <v/>
      </c>
      <c r="N1765" s="21">
        <f>IF(B1765="","",IF(I1765="",IF(H1765="","",IF(TODAY()&gt;H1765,"Atrasado (em aberto)","Em aberto")),IF(I1765&lt;=H1765,"No prazo","Fora do prazo")))</f>
        <v/>
      </c>
    </row>
    <row r="1766">
      <c r="B1766" s="22" t="n"/>
      <c r="E1766" s="23" t="n"/>
      <c r="F1766" s="24" t="n"/>
      <c r="H1766" s="22" t="n"/>
      <c r="I1766" s="22" t="n"/>
      <c r="J1766" s="21">
        <f>IF(C1766="","",IFERROR(INDEX(Clientes!$B:$B,MATCH(C1766,Clientes!$A:$A,0)),"Cód. não cadastrado"))</f>
        <v/>
      </c>
      <c r="K1766" s="18">
        <f>IF(B1766="","",YEAR(B1766))</f>
        <v/>
      </c>
      <c r="L1766" s="18">
        <f>IF(B1766="","",MONTH(B1766))</f>
        <v/>
      </c>
      <c r="M1766" s="18">
        <f>IF(OR(B1766="",I1766=""),"",I1766-B1766)</f>
        <v/>
      </c>
      <c r="N1766" s="21">
        <f>IF(B1766="","",IF(I1766="",IF(H1766="","",IF(TODAY()&gt;H1766,"Atrasado (em aberto)","Em aberto")),IF(I1766&lt;=H1766,"No prazo","Fora do prazo")))</f>
        <v/>
      </c>
    </row>
    <row r="1767">
      <c r="B1767" s="22" t="n"/>
      <c r="E1767" s="23" t="n"/>
      <c r="F1767" s="24" t="n"/>
      <c r="H1767" s="22" t="n"/>
      <c r="I1767" s="22" t="n"/>
      <c r="J1767" s="21">
        <f>IF(C1767="","",IFERROR(INDEX(Clientes!$B:$B,MATCH(C1767,Clientes!$A:$A,0)),"Cód. não cadastrado"))</f>
        <v/>
      </c>
      <c r="K1767" s="18">
        <f>IF(B1767="","",YEAR(B1767))</f>
        <v/>
      </c>
      <c r="L1767" s="18">
        <f>IF(B1767="","",MONTH(B1767))</f>
        <v/>
      </c>
      <c r="M1767" s="18">
        <f>IF(OR(B1767="",I1767=""),"",I1767-B1767)</f>
        <v/>
      </c>
      <c r="N1767" s="21">
        <f>IF(B1767="","",IF(I1767="",IF(H1767="","",IF(TODAY()&gt;H1767,"Atrasado (em aberto)","Em aberto")),IF(I1767&lt;=H1767,"No prazo","Fora do prazo")))</f>
        <v/>
      </c>
    </row>
    <row r="1768">
      <c r="B1768" s="22" t="n"/>
      <c r="E1768" s="23" t="n"/>
      <c r="F1768" s="24" t="n"/>
      <c r="H1768" s="22" t="n"/>
      <c r="I1768" s="22" t="n"/>
      <c r="J1768" s="21">
        <f>IF(C1768="","",IFERROR(INDEX(Clientes!$B:$B,MATCH(C1768,Clientes!$A:$A,0)),"Cód. não cadastrado"))</f>
        <v/>
      </c>
      <c r="K1768" s="18">
        <f>IF(B1768="","",YEAR(B1768))</f>
        <v/>
      </c>
      <c r="L1768" s="18">
        <f>IF(B1768="","",MONTH(B1768))</f>
        <v/>
      </c>
      <c r="M1768" s="18">
        <f>IF(OR(B1768="",I1768=""),"",I1768-B1768)</f>
        <v/>
      </c>
      <c r="N1768" s="21">
        <f>IF(B1768="","",IF(I1768="",IF(H1768="","",IF(TODAY()&gt;H1768,"Atrasado (em aberto)","Em aberto")),IF(I1768&lt;=H1768,"No prazo","Fora do prazo")))</f>
        <v/>
      </c>
    </row>
    <row r="1769">
      <c r="B1769" s="22" t="n"/>
      <c r="E1769" s="23" t="n"/>
      <c r="F1769" s="24" t="n"/>
      <c r="H1769" s="22" t="n"/>
      <c r="I1769" s="22" t="n"/>
      <c r="J1769" s="21">
        <f>IF(C1769="","",IFERROR(INDEX(Clientes!$B:$B,MATCH(C1769,Clientes!$A:$A,0)),"Cód. não cadastrado"))</f>
        <v/>
      </c>
      <c r="K1769" s="18">
        <f>IF(B1769="","",YEAR(B1769))</f>
        <v/>
      </c>
      <c r="L1769" s="18">
        <f>IF(B1769="","",MONTH(B1769))</f>
        <v/>
      </c>
      <c r="M1769" s="18">
        <f>IF(OR(B1769="",I1769=""),"",I1769-B1769)</f>
        <v/>
      </c>
      <c r="N1769" s="21">
        <f>IF(B1769="","",IF(I1769="",IF(H1769="","",IF(TODAY()&gt;H1769,"Atrasado (em aberto)","Em aberto")),IF(I1769&lt;=H1769,"No prazo","Fora do prazo")))</f>
        <v/>
      </c>
    </row>
    <row r="1770">
      <c r="B1770" s="22" t="n"/>
      <c r="E1770" s="23" t="n"/>
      <c r="F1770" s="24" t="n"/>
      <c r="H1770" s="22" t="n"/>
      <c r="I1770" s="22" t="n"/>
      <c r="J1770" s="21">
        <f>IF(C1770="","",IFERROR(INDEX(Clientes!$B:$B,MATCH(C1770,Clientes!$A:$A,0)),"Cód. não cadastrado"))</f>
        <v/>
      </c>
      <c r="K1770" s="18">
        <f>IF(B1770="","",YEAR(B1770))</f>
        <v/>
      </c>
      <c r="L1770" s="18">
        <f>IF(B1770="","",MONTH(B1770))</f>
        <v/>
      </c>
      <c r="M1770" s="18">
        <f>IF(OR(B1770="",I1770=""),"",I1770-B1770)</f>
        <v/>
      </c>
      <c r="N1770" s="21">
        <f>IF(B1770="","",IF(I1770="",IF(H1770="","",IF(TODAY()&gt;H1770,"Atrasado (em aberto)","Em aberto")),IF(I1770&lt;=H1770,"No prazo","Fora do prazo")))</f>
        <v/>
      </c>
    </row>
    <row r="1771">
      <c r="B1771" s="22" t="n"/>
      <c r="E1771" s="23" t="n"/>
      <c r="F1771" s="24" t="n"/>
      <c r="H1771" s="22" t="n"/>
      <c r="I1771" s="22" t="n"/>
      <c r="J1771" s="21">
        <f>IF(C1771="","",IFERROR(INDEX(Clientes!$B:$B,MATCH(C1771,Clientes!$A:$A,0)),"Cód. não cadastrado"))</f>
        <v/>
      </c>
      <c r="K1771" s="18">
        <f>IF(B1771="","",YEAR(B1771))</f>
        <v/>
      </c>
      <c r="L1771" s="18">
        <f>IF(B1771="","",MONTH(B1771))</f>
        <v/>
      </c>
      <c r="M1771" s="18">
        <f>IF(OR(B1771="",I1771=""),"",I1771-B1771)</f>
        <v/>
      </c>
      <c r="N1771" s="21">
        <f>IF(B1771="","",IF(I1771="",IF(H1771="","",IF(TODAY()&gt;H1771,"Atrasado (em aberto)","Em aberto")),IF(I1771&lt;=H1771,"No prazo","Fora do prazo")))</f>
        <v/>
      </c>
    </row>
    <row r="1772">
      <c r="B1772" s="22" t="n"/>
      <c r="E1772" s="23" t="n"/>
      <c r="F1772" s="24" t="n"/>
      <c r="H1772" s="22" t="n"/>
      <c r="I1772" s="22" t="n"/>
      <c r="J1772" s="21">
        <f>IF(C1772="","",IFERROR(INDEX(Clientes!$B:$B,MATCH(C1772,Clientes!$A:$A,0)),"Cód. não cadastrado"))</f>
        <v/>
      </c>
      <c r="K1772" s="18">
        <f>IF(B1772="","",YEAR(B1772))</f>
        <v/>
      </c>
      <c r="L1772" s="18">
        <f>IF(B1772="","",MONTH(B1772))</f>
        <v/>
      </c>
      <c r="M1772" s="18">
        <f>IF(OR(B1772="",I1772=""),"",I1772-B1772)</f>
        <v/>
      </c>
      <c r="N1772" s="21">
        <f>IF(B1772="","",IF(I1772="",IF(H1772="","",IF(TODAY()&gt;H1772,"Atrasado (em aberto)","Em aberto")),IF(I1772&lt;=H1772,"No prazo","Fora do prazo")))</f>
        <v/>
      </c>
    </row>
    <row r="1773">
      <c r="B1773" s="22" t="n"/>
      <c r="E1773" s="23" t="n"/>
      <c r="F1773" s="24" t="n"/>
      <c r="H1773" s="22" t="n"/>
      <c r="I1773" s="22" t="n"/>
      <c r="J1773" s="21">
        <f>IF(C1773="","",IFERROR(INDEX(Clientes!$B:$B,MATCH(C1773,Clientes!$A:$A,0)),"Cód. não cadastrado"))</f>
        <v/>
      </c>
      <c r="K1773" s="18">
        <f>IF(B1773="","",YEAR(B1773))</f>
        <v/>
      </c>
      <c r="L1773" s="18">
        <f>IF(B1773="","",MONTH(B1773))</f>
        <v/>
      </c>
      <c r="M1773" s="18">
        <f>IF(OR(B1773="",I1773=""),"",I1773-B1773)</f>
        <v/>
      </c>
      <c r="N1773" s="21">
        <f>IF(B1773="","",IF(I1773="",IF(H1773="","",IF(TODAY()&gt;H1773,"Atrasado (em aberto)","Em aberto")),IF(I1773&lt;=H1773,"No prazo","Fora do prazo")))</f>
        <v/>
      </c>
    </row>
    <row r="1774">
      <c r="B1774" s="22" t="n"/>
      <c r="E1774" s="23" t="n"/>
      <c r="F1774" s="24" t="n"/>
      <c r="H1774" s="22" t="n"/>
      <c r="I1774" s="22" t="n"/>
      <c r="J1774" s="21">
        <f>IF(C1774="","",IFERROR(INDEX(Clientes!$B:$B,MATCH(C1774,Clientes!$A:$A,0)),"Cód. não cadastrado"))</f>
        <v/>
      </c>
      <c r="K1774" s="18">
        <f>IF(B1774="","",YEAR(B1774))</f>
        <v/>
      </c>
      <c r="L1774" s="18">
        <f>IF(B1774="","",MONTH(B1774))</f>
        <v/>
      </c>
      <c r="M1774" s="18">
        <f>IF(OR(B1774="",I1774=""),"",I1774-B1774)</f>
        <v/>
      </c>
      <c r="N1774" s="21">
        <f>IF(B1774="","",IF(I1774="",IF(H1774="","",IF(TODAY()&gt;H1774,"Atrasado (em aberto)","Em aberto")),IF(I1774&lt;=H1774,"No prazo","Fora do prazo")))</f>
        <v/>
      </c>
    </row>
    <row r="1775">
      <c r="B1775" s="22" t="n"/>
      <c r="E1775" s="23" t="n"/>
      <c r="F1775" s="24" t="n"/>
      <c r="H1775" s="22" t="n"/>
      <c r="I1775" s="22" t="n"/>
      <c r="J1775" s="21">
        <f>IF(C1775="","",IFERROR(INDEX(Clientes!$B:$B,MATCH(C1775,Clientes!$A:$A,0)),"Cód. não cadastrado"))</f>
        <v/>
      </c>
      <c r="K1775" s="18">
        <f>IF(B1775="","",YEAR(B1775))</f>
        <v/>
      </c>
      <c r="L1775" s="18">
        <f>IF(B1775="","",MONTH(B1775))</f>
        <v/>
      </c>
      <c r="M1775" s="18">
        <f>IF(OR(B1775="",I1775=""),"",I1775-B1775)</f>
        <v/>
      </c>
      <c r="N1775" s="21">
        <f>IF(B1775="","",IF(I1775="",IF(H1775="","",IF(TODAY()&gt;H1775,"Atrasado (em aberto)","Em aberto")),IF(I1775&lt;=H1775,"No prazo","Fora do prazo")))</f>
        <v/>
      </c>
    </row>
    <row r="1776">
      <c r="B1776" s="22" t="n"/>
      <c r="E1776" s="23" t="n"/>
      <c r="F1776" s="24" t="n"/>
      <c r="H1776" s="22" t="n"/>
      <c r="I1776" s="22" t="n"/>
      <c r="J1776" s="21">
        <f>IF(C1776="","",IFERROR(INDEX(Clientes!$B:$B,MATCH(C1776,Clientes!$A:$A,0)),"Cód. não cadastrado"))</f>
        <v/>
      </c>
      <c r="K1776" s="18">
        <f>IF(B1776="","",YEAR(B1776))</f>
        <v/>
      </c>
      <c r="L1776" s="18">
        <f>IF(B1776="","",MONTH(B1776))</f>
        <v/>
      </c>
      <c r="M1776" s="18">
        <f>IF(OR(B1776="",I1776=""),"",I1776-B1776)</f>
        <v/>
      </c>
      <c r="N1776" s="21">
        <f>IF(B1776="","",IF(I1776="",IF(H1776="","",IF(TODAY()&gt;H1776,"Atrasado (em aberto)","Em aberto")),IF(I1776&lt;=H1776,"No prazo","Fora do prazo")))</f>
        <v/>
      </c>
    </row>
    <row r="1777">
      <c r="B1777" s="22" t="n"/>
      <c r="E1777" s="23" t="n"/>
      <c r="F1777" s="24" t="n"/>
      <c r="H1777" s="22" t="n"/>
      <c r="I1777" s="22" t="n"/>
      <c r="J1777" s="21">
        <f>IF(C1777="","",IFERROR(INDEX(Clientes!$B:$B,MATCH(C1777,Clientes!$A:$A,0)),"Cód. não cadastrado"))</f>
        <v/>
      </c>
      <c r="K1777" s="18">
        <f>IF(B1777="","",YEAR(B1777))</f>
        <v/>
      </c>
      <c r="L1777" s="18">
        <f>IF(B1777="","",MONTH(B1777))</f>
        <v/>
      </c>
      <c r="M1777" s="18">
        <f>IF(OR(B1777="",I1777=""),"",I1777-B1777)</f>
        <v/>
      </c>
      <c r="N1777" s="21">
        <f>IF(B1777="","",IF(I1777="",IF(H1777="","",IF(TODAY()&gt;H1777,"Atrasado (em aberto)","Em aberto")),IF(I1777&lt;=H1777,"No prazo","Fora do prazo")))</f>
        <v/>
      </c>
    </row>
    <row r="1778">
      <c r="B1778" s="22" t="n"/>
      <c r="E1778" s="23" t="n"/>
      <c r="F1778" s="24" t="n"/>
      <c r="H1778" s="22" t="n"/>
      <c r="I1778" s="22" t="n"/>
      <c r="J1778" s="21">
        <f>IF(C1778="","",IFERROR(INDEX(Clientes!$B:$B,MATCH(C1778,Clientes!$A:$A,0)),"Cód. não cadastrado"))</f>
        <v/>
      </c>
      <c r="K1778" s="18">
        <f>IF(B1778="","",YEAR(B1778))</f>
        <v/>
      </c>
      <c r="L1778" s="18">
        <f>IF(B1778="","",MONTH(B1778))</f>
        <v/>
      </c>
      <c r="M1778" s="18">
        <f>IF(OR(B1778="",I1778=""),"",I1778-B1778)</f>
        <v/>
      </c>
      <c r="N1778" s="21">
        <f>IF(B1778="","",IF(I1778="",IF(H1778="","",IF(TODAY()&gt;H1778,"Atrasado (em aberto)","Em aberto")),IF(I1778&lt;=H1778,"No prazo","Fora do prazo")))</f>
        <v/>
      </c>
    </row>
    <row r="1779">
      <c r="B1779" s="22" t="n"/>
      <c r="E1779" s="23" t="n"/>
      <c r="F1779" s="24" t="n"/>
      <c r="H1779" s="22" t="n"/>
      <c r="I1779" s="22" t="n"/>
      <c r="J1779" s="21">
        <f>IF(C1779="","",IFERROR(INDEX(Clientes!$B:$B,MATCH(C1779,Clientes!$A:$A,0)),"Cód. não cadastrado"))</f>
        <v/>
      </c>
      <c r="K1779" s="18">
        <f>IF(B1779="","",YEAR(B1779))</f>
        <v/>
      </c>
      <c r="L1779" s="18">
        <f>IF(B1779="","",MONTH(B1779))</f>
        <v/>
      </c>
      <c r="M1779" s="18">
        <f>IF(OR(B1779="",I1779=""),"",I1779-B1779)</f>
        <v/>
      </c>
      <c r="N1779" s="21">
        <f>IF(B1779="","",IF(I1779="",IF(H1779="","",IF(TODAY()&gt;H1779,"Atrasado (em aberto)","Em aberto")),IF(I1779&lt;=H1779,"No prazo","Fora do prazo")))</f>
        <v/>
      </c>
    </row>
    <row r="1780">
      <c r="B1780" s="22" t="n"/>
      <c r="E1780" s="23" t="n"/>
      <c r="F1780" s="24" t="n"/>
      <c r="H1780" s="22" t="n"/>
      <c r="I1780" s="22" t="n"/>
      <c r="J1780" s="21">
        <f>IF(C1780="","",IFERROR(INDEX(Clientes!$B:$B,MATCH(C1780,Clientes!$A:$A,0)),"Cód. não cadastrado"))</f>
        <v/>
      </c>
      <c r="K1780" s="18">
        <f>IF(B1780="","",YEAR(B1780))</f>
        <v/>
      </c>
      <c r="L1780" s="18">
        <f>IF(B1780="","",MONTH(B1780))</f>
        <v/>
      </c>
      <c r="M1780" s="18">
        <f>IF(OR(B1780="",I1780=""),"",I1780-B1780)</f>
        <v/>
      </c>
      <c r="N1780" s="21">
        <f>IF(B1780="","",IF(I1780="",IF(H1780="","",IF(TODAY()&gt;H1780,"Atrasado (em aberto)","Em aberto")),IF(I1780&lt;=H1780,"No prazo","Fora do prazo")))</f>
        <v/>
      </c>
    </row>
    <row r="1781">
      <c r="B1781" s="22" t="n"/>
      <c r="E1781" s="23" t="n"/>
      <c r="F1781" s="24" t="n"/>
      <c r="H1781" s="22" t="n"/>
      <c r="I1781" s="22" t="n"/>
      <c r="J1781" s="21">
        <f>IF(C1781="","",IFERROR(INDEX(Clientes!$B:$B,MATCH(C1781,Clientes!$A:$A,0)),"Cód. não cadastrado"))</f>
        <v/>
      </c>
      <c r="K1781" s="18">
        <f>IF(B1781="","",YEAR(B1781))</f>
        <v/>
      </c>
      <c r="L1781" s="18">
        <f>IF(B1781="","",MONTH(B1781))</f>
        <v/>
      </c>
      <c r="M1781" s="18">
        <f>IF(OR(B1781="",I1781=""),"",I1781-B1781)</f>
        <v/>
      </c>
      <c r="N1781" s="21">
        <f>IF(B1781="","",IF(I1781="",IF(H1781="","",IF(TODAY()&gt;H1781,"Atrasado (em aberto)","Em aberto")),IF(I1781&lt;=H1781,"No prazo","Fora do prazo")))</f>
        <v/>
      </c>
    </row>
    <row r="1782">
      <c r="B1782" s="22" t="n"/>
      <c r="E1782" s="23" t="n"/>
      <c r="F1782" s="24" t="n"/>
      <c r="H1782" s="22" t="n"/>
      <c r="I1782" s="22" t="n"/>
      <c r="J1782" s="21">
        <f>IF(C1782="","",IFERROR(INDEX(Clientes!$B:$B,MATCH(C1782,Clientes!$A:$A,0)),"Cód. não cadastrado"))</f>
        <v/>
      </c>
      <c r="K1782" s="18">
        <f>IF(B1782="","",YEAR(B1782))</f>
        <v/>
      </c>
      <c r="L1782" s="18">
        <f>IF(B1782="","",MONTH(B1782))</f>
        <v/>
      </c>
      <c r="M1782" s="18">
        <f>IF(OR(B1782="",I1782=""),"",I1782-B1782)</f>
        <v/>
      </c>
      <c r="N1782" s="21">
        <f>IF(B1782="","",IF(I1782="",IF(H1782="","",IF(TODAY()&gt;H1782,"Atrasado (em aberto)","Em aberto")),IF(I1782&lt;=H1782,"No prazo","Fora do prazo")))</f>
        <v/>
      </c>
    </row>
    <row r="1783">
      <c r="B1783" s="22" t="n"/>
      <c r="E1783" s="23" t="n"/>
      <c r="F1783" s="24" t="n"/>
      <c r="H1783" s="22" t="n"/>
      <c r="I1783" s="22" t="n"/>
      <c r="J1783" s="21">
        <f>IF(C1783="","",IFERROR(INDEX(Clientes!$B:$B,MATCH(C1783,Clientes!$A:$A,0)),"Cód. não cadastrado"))</f>
        <v/>
      </c>
      <c r="K1783" s="18">
        <f>IF(B1783="","",YEAR(B1783))</f>
        <v/>
      </c>
      <c r="L1783" s="18">
        <f>IF(B1783="","",MONTH(B1783))</f>
        <v/>
      </c>
      <c r="M1783" s="18">
        <f>IF(OR(B1783="",I1783=""),"",I1783-B1783)</f>
        <v/>
      </c>
      <c r="N1783" s="21">
        <f>IF(B1783="","",IF(I1783="",IF(H1783="","",IF(TODAY()&gt;H1783,"Atrasado (em aberto)","Em aberto")),IF(I1783&lt;=H1783,"No prazo","Fora do prazo")))</f>
        <v/>
      </c>
    </row>
    <row r="1784">
      <c r="B1784" s="22" t="n"/>
      <c r="E1784" s="23" t="n"/>
      <c r="F1784" s="24" t="n"/>
      <c r="H1784" s="22" t="n"/>
      <c r="I1784" s="22" t="n"/>
      <c r="J1784" s="21">
        <f>IF(C1784="","",IFERROR(INDEX(Clientes!$B:$B,MATCH(C1784,Clientes!$A:$A,0)),"Cód. não cadastrado"))</f>
        <v/>
      </c>
      <c r="K1784" s="18">
        <f>IF(B1784="","",YEAR(B1784))</f>
        <v/>
      </c>
      <c r="L1784" s="18">
        <f>IF(B1784="","",MONTH(B1784))</f>
        <v/>
      </c>
      <c r="M1784" s="18">
        <f>IF(OR(B1784="",I1784=""),"",I1784-B1784)</f>
        <v/>
      </c>
      <c r="N1784" s="21">
        <f>IF(B1784="","",IF(I1784="",IF(H1784="","",IF(TODAY()&gt;H1784,"Atrasado (em aberto)","Em aberto")),IF(I1784&lt;=H1784,"No prazo","Fora do prazo")))</f>
        <v/>
      </c>
    </row>
    <row r="1785">
      <c r="B1785" s="22" t="n"/>
      <c r="E1785" s="23" t="n"/>
      <c r="F1785" s="24" t="n"/>
      <c r="H1785" s="22" t="n"/>
      <c r="I1785" s="22" t="n"/>
      <c r="J1785" s="21">
        <f>IF(C1785="","",IFERROR(INDEX(Clientes!$B:$B,MATCH(C1785,Clientes!$A:$A,0)),"Cód. não cadastrado"))</f>
        <v/>
      </c>
      <c r="K1785" s="18">
        <f>IF(B1785="","",YEAR(B1785))</f>
        <v/>
      </c>
      <c r="L1785" s="18">
        <f>IF(B1785="","",MONTH(B1785))</f>
        <v/>
      </c>
      <c r="M1785" s="18">
        <f>IF(OR(B1785="",I1785=""),"",I1785-B1785)</f>
        <v/>
      </c>
      <c r="N1785" s="21">
        <f>IF(B1785="","",IF(I1785="",IF(H1785="","",IF(TODAY()&gt;H1785,"Atrasado (em aberto)","Em aberto")),IF(I1785&lt;=H1785,"No prazo","Fora do prazo")))</f>
        <v/>
      </c>
    </row>
    <row r="1786">
      <c r="B1786" s="22" t="n"/>
      <c r="E1786" s="23" t="n"/>
      <c r="F1786" s="24" t="n"/>
      <c r="H1786" s="22" t="n"/>
      <c r="I1786" s="22" t="n"/>
      <c r="J1786" s="21">
        <f>IF(C1786="","",IFERROR(INDEX(Clientes!$B:$B,MATCH(C1786,Clientes!$A:$A,0)),"Cód. não cadastrado"))</f>
        <v/>
      </c>
      <c r="K1786" s="18">
        <f>IF(B1786="","",YEAR(B1786))</f>
        <v/>
      </c>
      <c r="L1786" s="18">
        <f>IF(B1786="","",MONTH(B1786))</f>
        <v/>
      </c>
      <c r="M1786" s="18">
        <f>IF(OR(B1786="",I1786=""),"",I1786-B1786)</f>
        <v/>
      </c>
      <c r="N1786" s="21">
        <f>IF(B1786="","",IF(I1786="",IF(H1786="","",IF(TODAY()&gt;H1786,"Atrasado (em aberto)","Em aberto")),IF(I1786&lt;=H1786,"No prazo","Fora do prazo")))</f>
        <v/>
      </c>
    </row>
    <row r="1787">
      <c r="B1787" s="22" t="n"/>
      <c r="E1787" s="23" t="n"/>
      <c r="F1787" s="24" t="n"/>
      <c r="H1787" s="22" t="n"/>
      <c r="I1787" s="22" t="n"/>
      <c r="J1787" s="21">
        <f>IF(C1787="","",IFERROR(INDEX(Clientes!$B:$B,MATCH(C1787,Clientes!$A:$A,0)),"Cód. não cadastrado"))</f>
        <v/>
      </c>
      <c r="K1787" s="18">
        <f>IF(B1787="","",YEAR(B1787))</f>
        <v/>
      </c>
      <c r="L1787" s="18">
        <f>IF(B1787="","",MONTH(B1787))</f>
        <v/>
      </c>
      <c r="M1787" s="18">
        <f>IF(OR(B1787="",I1787=""),"",I1787-B1787)</f>
        <v/>
      </c>
      <c r="N1787" s="21">
        <f>IF(B1787="","",IF(I1787="",IF(H1787="","",IF(TODAY()&gt;H1787,"Atrasado (em aberto)","Em aberto")),IF(I1787&lt;=H1787,"No prazo","Fora do prazo")))</f>
        <v/>
      </c>
    </row>
    <row r="1788">
      <c r="B1788" s="22" t="n"/>
      <c r="E1788" s="23" t="n"/>
      <c r="F1788" s="24" t="n"/>
      <c r="H1788" s="22" t="n"/>
      <c r="I1788" s="22" t="n"/>
      <c r="J1788" s="21">
        <f>IF(C1788="","",IFERROR(INDEX(Clientes!$B:$B,MATCH(C1788,Clientes!$A:$A,0)),"Cód. não cadastrado"))</f>
        <v/>
      </c>
      <c r="K1788" s="18">
        <f>IF(B1788="","",YEAR(B1788))</f>
        <v/>
      </c>
      <c r="L1788" s="18">
        <f>IF(B1788="","",MONTH(B1788))</f>
        <v/>
      </c>
      <c r="M1788" s="18">
        <f>IF(OR(B1788="",I1788=""),"",I1788-B1788)</f>
        <v/>
      </c>
      <c r="N1788" s="21">
        <f>IF(B1788="","",IF(I1788="",IF(H1788="","",IF(TODAY()&gt;H1788,"Atrasado (em aberto)","Em aberto")),IF(I1788&lt;=H1788,"No prazo","Fora do prazo")))</f>
        <v/>
      </c>
    </row>
    <row r="1789">
      <c r="B1789" s="22" t="n"/>
      <c r="E1789" s="23" t="n"/>
      <c r="F1789" s="24" t="n"/>
      <c r="H1789" s="22" t="n"/>
      <c r="I1789" s="22" t="n"/>
      <c r="J1789" s="21">
        <f>IF(C1789="","",IFERROR(INDEX(Clientes!$B:$B,MATCH(C1789,Clientes!$A:$A,0)),"Cód. não cadastrado"))</f>
        <v/>
      </c>
      <c r="K1789" s="18">
        <f>IF(B1789="","",YEAR(B1789))</f>
        <v/>
      </c>
      <c r="L1789" s="18">
        <f>IF(B1789="","",MONTH(B1789))</f>
        <v/>
      </c>
      <c r="M1789" s="18">
        <f>IF(OR(B1789="",I1789=""),"",I1789-B1789)</f>
        <v/>
      </c>
      <c r="N1789" s="21">
        <f>IF(B1789="","",IF(I1789="",IF(H1789="","",IF(TODAY()&gt;H1789,"Atrasado (em aberto)","Em aberto")),IF(I1789&lt;=H1789,"No prazo","Fora do prazo")))</f>
        <v/>
      </c>
    </row>
    <row r="1790">
      <c r="B1790" s="22" t="n"/>
      <c r="E1790" s="23" t="n"/>
      <c r="F1790" s="24" t="n"/>
      <c r="H1790" s="22" t="n"/>
      <c r="I1790" s="22" t="n"/>
      <c r="J1790" s="21">
        <f>IF(C1790="","",IFERROR(INDEX(Clientes!$B:$B,MATCH(C1790,Clientes!$A:$A,0)),"Cód. não cadastrado"))</f>
        <v/>
      </c>
      <c r="K1790" s="18">
        <f>IF(B1790="","",YEAR(B1790))</f>
        <v/>
      </c>
      <c r="L1790" s="18">
        <f>IF(B1790="","",MONTH(B1790))</f>
        <v/>
      </c>
      <c r="M1790" s="18">
        <f>IF(OR(B1790="",I1790=""),"",I1790-B1790)</f>
        <v/>
      </c>
      <c r="N1790" s="21">
        <f>IF(B1790="","",IF(I1790="",IF(H1790="","",IF(TODAY()&gt;H1790,"Atrasado (em aberto)","Em aberto")),IF(I1790&lt;=H1790,"No prazo","Fora do prazo")))</f>
        <v/>
      </c>
    </row>
    <row r="1791">
      <c r="B1791" s="22" t="n"/>
      <c r="E1791" s="23" t="n"/>
      <c r="F1791" s="24" t="n"/>
      <c r="H1791" s="22" t="n"/>
      <c r="I1791" s="22" t="n"/>
      <c r="J1791" s="21">
        <f>IF(C1791="","",IFERROR(INDEX(Clientes!$B:$B,MATCH(C1791,Clientes!$A:$A,0)),"Cód. não cadastrado"))</f>
        <v/>
      </c>
      <c r="K1791" s="18">
        <f>IF(B1791="","",YEAR(B1791))</f>
        <v/>
      </c>
      <c r="L1791" s="18">
        <f>IF(B1791="","",MONTH(B1791))</f>
        <v/>
      </c>
      <c r="M1791" s="18">
        <f>IF(OR(B1791="",I1791=""),"",I1791-B1791)</f>
        <v/>
      </c>
      <c r="N1791" s="21">
        <f>IF(B1791="","",IF(I1791="",IF(H1791="","",IF(TODAY()&gt;H1791,"Atrasado (em aberto)","Em aberto")),IF(I1791&lt;=H1791,"No prazo","Fora do prazo")))</f>
        <v/>
      </c>
    </row>
    <row r="1792">
      <c r="B1792" s="22" t="n"/>
      <c r="E1792" s="23" t="n"/>
      <c r="F1792" s="24" t="n"/>
      <c r="H1792" s="22" t="n"/>
      <c r="I1792" s="22" t="n"/>
      <c r="J1792" s="21">
        <f>IF(C1792="","",IFERROR(INDEX(Clientes!$B:$B,MATCH(C1792,Clientes!$A:$A,0)),"Cód. não cadastrado"))</f>
        <v/>
      </c>
      <c r="K1792" s="18">
        <f>IF(B1792="","",YEAR(B1792))</f>
        <v/>
      </c>
      <c r="L1792" s="18">
        <f>IF(B1792="","",MONTH(B1792))</f>
        <v/>
      </c>
      <c r="M1792" s="18">
        <f>IF(OR(B1792="",I1792=""),"",I1792-B1792)</f>
        <v/>
      </c>
      <c r="N1792" s="21">
        <f>IF(B1792="","",IF(I1792="",IF(H1792="","",IF(TODAY()&gt;H1792,"Atrasado (em aberto)","Em aberto")),IF(I1792&lt;=H1792,"No prazo","Fora do prazo")))</f>
        <v/>
      </c>
    </row>
    <row r="1793">
      <c r="B1793" s="22" t="n"/>
      <c r="E1793" s="23" t="n"/>
      <c r="F1793" s="24" t="n"/>
      <c r="H1793" s="22" t="n"/>
      <c r="I1793" s="22" t="n"/>
      <c r="J1793" s="21">
        <f>IF(C1793="","",IFERROR(INDEX(Clientes!$B:$B,MATCH(C1793,Clientes!$A:$A,0)),"Cód. não cadastrado"))</f>
        <v/>
      </c>
      <c r="K1793" s="18">
        <f>IF(B1793="","",YEAR(B1793))</f>
        <v/>
      </c>
      <c r="L1793" s="18">
        <f>IF(B1793="","",MONTH(B1793))</f>
        <v/>
      </c>
      <c r="M1793" s="18">
        <f>IF(OR(B1793="",I1793=""),"",I1793-B1793)</f>
        <v/>
      </c>
      <c r="N1793" s="21">
        <f>IF(B1793="","",IF(I1793="",IF(H1793="","",IF(TODAY()&gt;H1793,"Atrasado (em aberto)","Em aberto")),IF(I1793&lt;=H1793,"No prazo","Fora do prazo")))</f>
        <v/>
      </c>
    </row>
    <row r="1794">
      <c r="B1794" s="22" t="n"/>
      <c r="E1794" s="23" t="n"/>
      <c r="F1794" s="24" t="n"/>
      <c r="H1794" s="22" t="n"/>
      <c r="I1794" s="22" t="n"/>
      <c r="J1794" s="21">
        <f>IF(C1794="","",IFERROR(INDEX(Clientes!$B:$B,MATCH(C1794,Clientes!$A:$A,0)),"Cód. não cadastrado"))</f>
        <v/>
      </c>
      <c r="K1794" s="18">
        <f>IF(B1794="","",YEAR(B1794))</f>
        <v/>
      </c>
      <c r="L1794" s="18">
        <f>IF(B1794="","",MONTH(B1794))</f>
        <v/>
      </c>
      <c r="M1794" s="18">
        <f>IF(OR(B1794="",I1794=""),"",I1794-B1794)</f>
        <v/>
      </c>
      <c r="N1794" s="21">
        <f>IF(B1794="","",IF(I1794="",IF(H1794="","",IF(TODAY()&gt;H1794,"Atrasado (em aberto)","Em aberto")),IF(I1794&lt;=H1794,"No prazo","Fora do prazo")))</f>
        <v/>
      </c>
    </row>
    <row r="1795">
      <c r="B1795" s="22" t="n"/>
      <c r="E1795" s="23" t="n"/>
      <c r="F1795" s="24" t="n"/>
      <c r="H1795" s="22" t="n"/>
      <c r="I1795" s="22" t="n"/>
      <c r="J1795" s="21">
        <f>IF(C1795="","",IFERROR(INDEX(Clientes!$B:$B,MATCH(C1795,Clientes!$A:$A,0)),"Cód. não cadastrado"))</f>
        <v/>
      </c>
      <c r="K1795" s="18">
        <f>IF(B1795="","",YEAR(B1795))</f>
        <v/>
      </c>
      <c r="L1795" s="18">
        <f>IF(B1795="","",MONTH(B1795))</f>
        <v/>
      </c>
      <c r="M1795" s="18">
        <f>IF(OR(B1795="",I1795=""),"",I1795-B1795)</f>
        <v/>
      </c>
      <c r="N1795" s="21">
        <f>IF(B1795="","",IF(I1795="",IF(H1795="","",IF(TODAY()&gt;H1795,"Atrasado (em aberto)","Em aberto")),IF(I1795&lt;=H1795,"No prazo","Fora do prazo")))</f>
        <v/>
      </c>
    </row>
    <row r="1796">
      <c r="B1796" s="22" t="n"/>
      <c r="E1796" s="23" t="n"/>
      <c r="F1796" s="24" t="n"/>
      <c r="H1796" s="22" t="n"/>
      <c r="I1796" s="22" t="n"/>
      <c r="J1796" s="21">
        <f>IF(C1796="","",IFERROR(INDEX(Clientes!$B:$B,MATCH(C1796,Clientes!$A:$A,0)),"Cód. não cadastrado"))</f>
        <v/>
      </c>
      <c r="K1796" s="18">
        <f>IF(B1796="","",YEAR(B1796))</f>
        <v/>
      </c>
      <c r="L1796" s="18">
        <f>IF(B1796="","",MONTH(B1796))</f>
        <v/>
      </c>
      <c r="M1796" s="18">
        <f>IF(OR(B1796="",I1796=""),"",I1796-B1796)</f>
        <v/>
      </c>
      <c r="N1796" s="21">
        <f>IF(B1796="","",IF(I1796="",IF(H1796="","",IF(TODAY()&gt;H1796,"Atrasado (em aberto)","Em aberto")),IF(I1796&lt;=H1796,"No prazo","Fora do prazo")))</f>
        <v/>
      </c>
    </row>
    <row r="1797">
      <c r="B1797" s="22" t="n"/>
      <c r="E1797" s="23" t="n"/>
      <c r="F1797" s="24" t="n"/>
      <c r="H1797" s="22" t="n"/>
      <c r="I1797" s="22" t="n"/>
      <c r="J1797" s="21">
        <f>IF(C1797="","",IFERROR(INDEX(Clientes!$B:$B,MATCH(C1797,Clientes!$A:$A,0)),"Cód. não cadastrado"))</f>
        <v/>
      </c>
      <c r="K1797" s="18">
        <f>IF(B1797="","",YEAR(B1797))</f>
        <v/>
      </c>
      <c r="L1797" s="18">
        <f>IF(B1797="","",MONTH(B1797))</f>
        <v/>
      </c>
      <c r="M1797" s="18">
        <f>IF(OR(B1797="",I1797=""),"",I1797-B1797)</f>
        <v/>
      </c>
      <c r="N1797" s="21">
        <f>IF(B1797="","",IF(I1797="",IF(H1797="","",IF(TODAY()&gt;H1797,"Atrasado (em aberto)","Em aberto")),IF(I1797&lt;=H1797,"No prazo","Fora do prazo")))</f>
        <v/>
      </c>
    </row>
    <row r="1798">
      <c r="B1798" s="22" t="n"/>
      <c r="E1798" s="23" t="n"/>
      <c r="F1798" s="24" t="n"/>
      <c r="H1798" s="22" t="n"/>
      <c r="I1798" s="22" t="n"/>
      <c r="J1798" s="21">
        <f>IF(C1798="","",IFERROR(INDEX(Clientes!$B:$B,MATCH(C1798,Clientes!$A:$A,0)),"Cód. não cadastrado"))</f>
        <v/>
      </c>
      <c r="K1798" s="18">
        <f>IF(B1798="","",YEAR(B1798))</f>
        <v/>
      </c>
      <c r="L1798" s="18">
        <f>IF(B1798="","",MONTH(B1798))</f>
        <v/>
      </c>
      <c r="M1798" s="18">
        <f>IF(OR(B1798="",I1798=""),"",I1798-B1798)</f>
        <v/>
      </c>
      <c r="N1798" s="21">
        <f>IF(B1798="","",IF(I1798="",IF(H1798="","",IF(TODAY()&gt;H1798,"Atrasado (em aberto)","Em aberto")),IF(I1798&lt;=H1798,"No prazo","Fora do prazo")))</f>
        <v/>
      </c>
    </row>
    <row r="1799">
      <c r="B1799" s="22" t="n"/>
      <c r="E1799" s="23" t="n"/>
      <c r="F1799" s="24" t="n"/>
      <c r="H1799" s="22" t="n"/>
      <c r="I1799" s="22" t="n"/>
      <c r="J1799" s="21">
        <f>IF(C1799="","",IFERROR(INDEX(Clientes!$B:$B,MATCH(C1799,Clientes!$A:$A,0)),"Cód. não cadastrado"))</f>
        <v/>
      </c>
      <c r="K1799" s="18">
        <f>IF(B1799="","",YEAR(B1799))</f>
        <v/>
      </c>
      <c r="L1799" s="18">
        <f>IF(B1799="","",MONTH(B1799))</f>
        <v/>
      </c>
      <c r="M1799" s="18">
        <f>IF(OR(B1799="",I1799=""),"",I1799-B1799)</f>
        <v/>
      </c>
      <c r="N1799" s="21">
        <f>IF(B1799="","",IF(I1799="",IF(H1799="","",IF(TODAY()&gt;H1799,"Atrasado (em aberto)","Em aberto")),IF(I1799&lt;=H1799,"No prazo","Fora do prazo")))</f>
        <v/>
      </c>
    </row>
    <row r="1800">
      <c r="B1800" s="22" t="n"/>
      <c r="E1800" s="23" t="n"/>
      <c r="F1800" s="24" t="n"/>
      <c r="H1800" s="22" t="n"/>
      <c r="I1800" s="22" t="n"/>
      <c r="J1800" s="21">
        <f>IF(C1800="","",IFERROR(INDEX(Clientes!$B:$B,MATCH(C1800,Clientes!$A:$A,0)),"Cód. não cadastrado"))</f>
        <v/>
      </c>
      <c r="K1800" s="18">
        <f>IF(B1800="","",YEAR(B1800))</f>
        <v/>
      </c>
      <c r="L1800" s="18">
        <f>IF(B1800="","",MONTH(B1800))</f>
        <v/>
      </c>
      <c r="M1800" s="18">
        <f>IF(OR(B1800="",I1800=""),"",I1800-B1800)</f>
        <v/>
      </c>
      <c r="N1800" s="21">
        <f>IF(B1800="","",IF(I1800="",IF(H1800="","",IF(TODAY()&gt;H1800,"Atrasado (em aberto)","Em aberto")),IF(I1800&lt;=H1800,"No prazo","Fora do prazo")))</f>
        <v/>
      </c>
    </row>
    <row r="1801">
      <c r="B1801" s="22" t="n"/>
      <c r="E1801" s="23" t="n"/>
      <c r="F1801" s="24" t="n"/>
      <c r="H1801" s="22" t="n"/>
      <c r="I1801" s="22" t="n"/>
      <c r="J1801" s="21">
        <f>IF(C1801="","",IFERROR(INDEX(Clientes!$B:$B,MATCH(C1801,Clientes!$A:$A,0)),"Cód. não cadastrado"))</f>
        <v/>
      </c>
      <c r="K1801" s="18">
        <f>IF(B1801="","",YEAR(B1801))</f>
        <v/>
      </c>
      <c r="L1801" s="18">
        <f>IF(B1801="","",MONTH(B1801))</f>
        <v/>
      </c>
      <c r="M1801" s="18">
        <f>IF(OR(B1801="",I1801=""),"",I1801-B1801)</f>
        <v/>
      </c>
      <c r="N1801" s="21">
        <f>IF(B1801="","",IF(I1801="",IF(H1801="","",IF(TODAY()&gt;H1801,"Atrasado (em aberto)","Em aberto")),IF(I1801&lt;=H1801,"No prazo","Fora do prazo")))</f>
        <v/>
      </c>
    </row>
    <row r="1802">
      <c r="B1802" s="22" t="n"/>
      <c r="E1802" s="23" t="n"/>
      <c r="F1802" s="24" t="n"/>
      <c r="H1802" s="22" t="n"/>
      <c r="I1802" s="22" t="n"/>
      <c r="J1802" s="21">
        <f>IF(C1802="","",IFERROR(INDEX(Clientes!$B:$B,MATCH(C1802,Clientes!$A:$A,0)),"Cód. não cadastrado"))</f>
        <v/>
      </c>
      <c r="K1802" s="18">
        <f>IF(B1802="","",YEAR(B1802))</f>
        <v/>
      </c>
      <c r="L1802" s="18">
        <f>IF(B1802="","",MONTH(B1802))</f>
        <v/>
      </c>
      <c r="M1802" s="18">
        <f>IF(OR(B1802="",I1802=""),"",I1802-B1802)</f>
        <v/>
      </c>
      <c r="N1802" s="21">
        <f>IF(B1802="","",IF(I1802="",IF(H1802="","",IF(TODAY()&gt;H1802,"Atrasado (em aberto)","Em aberto")),IF(I1802&lt;=H1802,"No prazo","Fora do prazo")))</f>
        <v/>
      </c>
    </row>
    <row r="1803">
      <c r="B1803" s="22" t="n"/>
      <c r="E1803" s="23" t="n"/>
      <c r="F1803" s="24" t="n"/>
      <c r="H1803" s="22" t="n"/>
      <c r="I1803" s="22" t="n"/>
      <c r="J1803" s="21">
        <f>IF(C1803="","",IFERROR(INDEX(Clientes!$B:$B,MATCH(C1803,Clientes!$A:$A,0)),"Cód. não cadastrado"))</f>
        <v/>
      </c>
      <c r="K1803" s="18">
        <f>IF(B1803="","",YEAR(B1803))</f>
        <v/>
      </c>
      <c r="L1803" s="18">
        <f>IF(B1803="","",MONTH(B1803))</f>
        <v/>
      </c>
      <c r="M1803" s="18">
        <f>IF(OR(B1803="",I1803=""),"",I1803-B1803)</f>
        <v/>
      </c>
      <c r="N1803" s="21">
        <f>IF(B1803="","",IF(I1803="",IF(H1803="","",IF(TODAY()&gt;H1803,"Atrasado (em aberto)","Em aberto")),IF(I1803&lt;=H1803,"No prazo","Fora do prazo")))</f>
        <v/>
      </c>
    </row>
    <row r="1804">
      <c r="B1804" s="22" t="n"/>
      <c r="E1804" s="23" t="n"/>
      <c r="F1804" s="24" t="n"/>
      <c r="H1804" s="22" t="n"/>
      <c r="I1804" s="22" t="n"/>
      <c r="J1804" s="21">
        <f>IF(C1804="","",IFERROR(INDEX(Clientes!$B:$B,MATCH(C1804,Clientes!$A:$A,0)),"Cód. não cadastrado"))</f>
        <v/>
      </c>
      <c r="K1804" s="18">
        <f>IF(B1804="","",YEAR(B1804))</f>
        <v/>
      </c>
      <c r="L1804" s="18">
        <f>IF(B1804="","",MONTH(B1804))</f>
        <v/>
      </c>
      <c r="M1804" s="18">
        <f>IF(OR(B1804="",I1804=""),"",I1804-B1804)</f>
        <v/>
      </c>
      <c r="N1804" s="21">
        <f>IF(B1804="","",IF(I1804="",IF(H1804="","",IF(TODAY()&gt;H1804,"Atrasado (em aberto)","Em aberto")),IF(I1804&lt;=H1804,"No prazo","Fora do prazo")))</f>
        <v/>
      </c>
    </row>
    <row r="1805">
      <c r="B1805" s="22" t="n"/>
      <c r="E1805" s="23" t="n"/>
      <c r="F1805" s="24" t="n"/>
      <c r="H1805" s="22" t="n"/>
      <c r="I1805" s="22" t="n"/>
      <c r="J1805" s="21">
        <f>IF(C1805="","",IFERROR(INDEX(Clientes!$B:$B,MATCH(C1805,Clientes!$A:$A,0)),"Cód. não cadastrado"))</f>
        <v/>
      </c>
      <c r="K1805" s="18">
        <f>IF(B1805="","",YEAR(B1805))</f>
        <v/>
      </c>
      <c r="L1805" s="18">
        <f>IF(B1805="","",MONTH(B1805))</f>
        <v/>
      </c>
      <c r="M1805" s="18">
        <f>IF(OR(B1805="",I1805=""),"",I1805-B1805)</f>
        <v/>
      </c>
      <c r="N1805" s="21">
        <f>IF(B1805="","",IF(I1805="",IF(H1805="","",IF(TODAY()&gt;H1805,"Atrasado (em aberto)","Em aberto")),IF(I1805&lt;=H1805,"No prazo","Fora do prazo")))</f>
        <v/>
      </c>
    </row>
    <row r="1806">
      <c r="B1806" s="22" t="n"/>
      <c r="E1806" s="23" t="n"/>
      <c r="F1806" s="24" t="n"/>
      <c r="H1806" s="22" t="n"/>
      <c r="I1806" s="22" t="n"/>
      <c r="J1806" s="21">
        <f>IF(C1806="","",IFERROR(INDEX(Clientes!$B:$B,MATCH(C1806,Clientes!$A:$A,0)),"Cód. não cadastrado"))</f>
        <v/>
      </c>
      <c r="K1806" s="18">
        <f>IF(B1806="","",YEAR(B1806))</f>
        <v/>
      </c>
      <c r="L1806" s="18">
        <f>IF(B1806="","",MONTH(B1806))</f>
        <v/>
      </c>
      <c r="M1806" s="18">
        <f>IF(OR(B1806="",I1806=""),"",I1806-B1806)</f>
        <v/>
      </c>
      <c r="N1806" s="21">
        <f>IF(B1806="","",IF(I1806="",IF(H1806="","",IF(TODAY()&gt;H1806,"Atrasado (em aberto)","Em aberto")),IF(I1806&lt;=H1806,"No prazo","Fora do prazo")))</f>
        <v/>
      </c>
    </row>
    <row r="1807">
      <c r="B1807" s="22" t="n"/>
      <c r="E1807" s="23" t="n"/>
      <c r="F1807" s="24" t="n"/>
      <c r="H1807" s="22" t="n"/>
      <c r="I1807" s="22" t="n"/>
      <c r="J1807" s="21">
        <f>IF(C1807="","",IFERROR(INDEX(Clientes!$B:$B,MATCH(C1807,Clientes!$A:$A,0)),"Cód. não cadastrado"))</f>
        <v/>
      </c>
      <c r="K1807" s="18">
        <f>IF(B1807="","",YEAR(B1807))</f>
        <v/>
      </c>
      <c r="L1807" s="18">
        <f>IF(B1807="","",MONTH(B1807))</f>
        <v/>
      </c>
      <c r="M1807" s="18">
        <f>IF(OR(B1807="",I1807=""),"",I1807-B1807)</f>
        <v/>
      </c>
      <c r="N1807" s="21">
        <f>IF(B1807="","",IF(I1807="",IF(H1807="","",IF(TODAY()&gt;H1807,"Atrasado (em aberto)","Em aberto")),IF(I1807&lt;=H1807,"No prazo","Fora do prazo")))</f>
        <v/>
      </c>
    </row>
    <row r="1808">
      <c r="B1808" s="22" t="n"/>
      <c r="E1808" s="23" t="n"/>
      <c r="F1808" s="24" t="n"/>
      <c r="H1808" s="22" t="n"/>
      <c r="I1808" s="22" t="n"/>
      <c r="J1808" s="21">
        <f>IF(C1808="","",IFERROR(INDEX(Clientes!$B:$B,MATCH(C1808,Clientes!$A:$A,0)),"Cód. não cadastrado"))</f>
        <v/>
      </c>
      <c r="K1808" s="18">
        <f>IF(B1808="","",YEAR(B1808))</f>
        <v/>
      </c>
      <c r="L1808" s="18">
        <f>IF(B1808="","",MONTH(B1808))</f>
        <v/>
      </c>
      <c r="M1808" s="18">
        <f>IF(OR(B1808="",I1808=""),"",I1808-B1808)</f>
        <v/>
      </c>
      <c r="N1808" s="21">
        <f>IF(B1808="","",IF(I1808="",IF(H1808="","",IF(TODAY()&gt;H1808,"Atrasado (em aberto)","Em aberto")),IF(I1808&lt;=H1808,"No prazo","Fora do prazo")))</f>
        <v/>
      </c>
    </row>
    <row r="1809">
      <c r="B1809" s="22" t="n"/>
      <c r="E1809" s="23" t="n"/>
      <c r="F1809" s="24" t="n"/>
      <c r="H1809" s="22" t="n"/>
      <c r="I1809" s="22" t="n"/>
      <c r="J1809" s="21">
        <f>IF(C1809="","",IFERROR(INDEX(Clientes!$B:$B,MATCH(C1809,Clientes!$A:$A,0)),"Cód. não cadastrado"))</f>
        <v/>
      </c>
      <c r="K1809" s="18">
        <f>IF(B1809="","",YEAR(B1809))</f>
        <v/>
      </c>
      <c r="L1809" s="18">
        <f>IF(B1809="","",MONTH(B1809))</f>
        <v/>
      </c>
      <c r="M1809" s="18">
        <f>IF(OR(B1809="",I1809=""),"",I1809-B1809)</f>
        <v/>
      </c>
      <c r="N1809" s="21">
        <f>IF(B1809="","",IF(I1809="",IF(H1809="","",IF(TODAY()&gt;H1809,"Atrasado (em aberto)","Em aberto")),IF(I1809&lt;=H1809,"No prazo","Fora do prazo")))</f>
        <v/>
      </c>
    </row>
    <row r="1810">
      <c r="B1810" s="22" t="n"/>
      <c r="E1810" s="23" t="n"/>
      <c r="F1810" s="24" t="n"/>
      <c r="H1810" s="22" t="n"/>
      <c r="I1810" s="22" t="n"/>
      <c r="J1810" s="21">
        <f>IF(C1810="","",IFERROR(INDEX(Clientes!$B:$B,MATCH(C1810,Clientes!$A:$A,0)),"Cód. não cadastrado"))</f>
        <v/>
      </c>
      <c r="K1810" s="18">
        <f>IF(B1810="","",YEAR(B1810))</f>
        <v/>
      </c>
      <c r="L1810" s="18">
        <f>IF(B1810="","",MONTH(B1810))</f>
        <v/>
      </c>
      <c r="M1810" s="18">
        <f>IF(OR(B1810="",I1810=""),"",I1810-B1810)</f>
        <v/>
      </c>
      <c r="N1810" s="21">
        <f>IF(B1810="","",IF(I1810="",IF(H1810="","",IF(TODAY()&gt;H1810,"Atrasado (em aberto)","Em aberto")),IF(I1810&lt;=H1810,"No prazo","Fora do prazo")))</f>
        <v/>
      </c>
    </row>
    <row r="1811">
      <c r="B1811" s="22" t="n"/>
      <c r="E1811" s="23" t="n"/>
      <c r="F1811" s="24" t="n"/>
      <c r="H1811" s="22" t="n"/>
      <c r="I1811" s="22" t="n"/>
      <c r="J1811" s="21">
        <f>IF(C1811="","",IFERROR(INDEX(Clientes!$B:$B,MATCH(C1811,Clientes!$A:$A,0)),"Cód. não cadastrado"))</f>
        <v/>
      </c>
      <c r="K1811" s="18">
        <f>IF(B1811="","",YEAR(B1811))</f>
        <v/>
      </c>
      <c r="L1811" s="18">
        <f>IF(B1811="","",MONTH(B1811))</f>
        <v/>
      </c>
      <c r="M1811" s="18">
        <f>IF(OR(B1811="",I1811=""),"",I1811-B1811)</f>
        <v/>
      </c>
      <c r="N1811" s="21">
        <f>IF(B1811="","",IF(I1811="",IF(H1811="","",IF(TODAY()&gt;H1811,"Atrasado (em aberto)","Em aberto")),IF(I1811&lt;=H1811,"No prazo","Fora do prazo")))</f>
        <v/>
      </c>
    </row>
    <row r="1812">
      <c r="B1812" s="22" t="n"/>
      <c r="E1812" s="23" t="n"/>
      <c r="F1812" s="24" t="n"/>
      <c r="H1812" s="22" t="n"/>
      <c r="I1812" s="22" t="n"/>
      <c r="J1812" s="21">
        <f>IF(C1812="","",IFERROR(INDEX(Clientes!$B:$B,MATCH(C1812,Clientes!$A:$A,0)),"Cód. não cadastrado"))</f>
        <v/>
      </c>
      <c r="K1812" s="18">
        <f>IF(B1812="","",YEAR(B1812))</f>
        <v/>
      </c>
      <c r="L1812" s="18">
        <f>IF(B1812="","",MONTH(B1812))</f>
        <v/>
      </c>
      <c r="M1812" s="18">
        <f>IF(OR(B1812="",I1812=""),"",I1812-B1812)</f>
        <v/>
      </c>
      <c r="N1812" s="21">
        <f>IF(B1812="","",IF(I1812="",IF(H1812="","",IF(TODAY()&gt;H1812,"Atrasado (em aberto)","Em aberto")),IF(I1812&lt;=H1812,"No prazo","Fora do prazo")))</f>
        <v/>
      </c>
    </row>
    <row r="1813">
      <c r="B1813" s="22" t="n"/>
      <c r="E1813" s="23" t="n"/>
      <c r="F1813" s="24" t="n"/>
      <c r="H1813" s="22" t="n"/>
      <c r="I1813" s="22" t="n"/>
      <c r="J1813" s="21">
        <f>IF(C1813="","",IFERROR(INDEX(Clientes!$B:$B,MATCH(C1813,Clientes!$A:$A,0)),"Cód. não cadastrado"))</f>
        <v/>
      </c>
      <c r="K1813" s="18">
        <f>IF(B1813="","",YEAR(B1813))</f>
        <v/>
      </c>
      <c r="L1813" s="18">
        <f>IF(B1813="","",MONTH(B1813))</f>
        <v/>
      </c>
      <c r="M1813" s="18">
        <f>IF(OR(B1813="",I1813=""),"",I1813-B1813)</f>
        <v/>
      </c>
      <c r="N1813" s="21">
        <f>IF(B1813="","",IF(I1813="",IF(H1813="","",IF(TODAY()&gt;H1813,"Atrasado (em aberto)","Em aberto")),IF(I1813&lt;=H1813,"No prazo","Fora do prazo")))</f>
        <v/>
      </c>
    </row>
    <row r="1814">
      <c r="B1814" s="22" t="n"/>
      <c r="E1814" s="23" t="n"/>
      <c r="F1814" s="24" t="n"/>
      <c r="H1814" s="22" t="n"/>
      <c r="I1814" s="22" t="n"/>
      <c r="J1814" s="21">
        <f>IF(C1814="","",IFERROR(INDEX(Clientes!$B:$B,MATCH(C1814,Clientes!$A:$A,0)),"Cód. não cadastrado"))</f>
        <v/>
      </c>
      <c r="K1814" s="18">
        <f>IF(B1814="","",YEAR(B1814))</f>
        <v/>
      </c>
      <c r="L1814" s="18">
        <f>IF(B1814="","",MONTH(B1814))</f>
        <v/>
      </c>
      <c r="M1814" s="18">
        <f>IF(OR(B1814="",I1814=""),"",I1814-B1814)</f>
        <v/>
      </c>
      <c r="N1814" s="21">
        <f>IF(B1814="","",IF(I1814="",IF(H1814="","",IF(TODAY()&gt;H1814,"Atrasado (em aberto)","Em aberto")),IF(I1814&lt;=H1814,"No prazo","Fora do prazo")))</f>
        <v/>
      </c>
    </row>
    <row r="1815">
      <c r="B1815" s="22" t="n"/>
      <c r="E1815" s="23" t="n"/>
      <c r="F1815" s="24" t="n"/>
      <c r="H1815" s="22" t="n"/>
      <c r="I1815" s="22" t="n"/>
      <c r="J1815" s="21">
        <f>IF(C1815="","",IFERROR(INDEX(Clientes!$B:$B,MATCH(C1815,Clientes!$A:$A,0)),"Cód. não cadastrado"))</f>
        <v/>
      </c>
      <c r="K1815" s="18">
        <f>IF(B1815="","",YEAR(B1815))</f>
        <v/>
      </c>
      <c r="L1815" s="18">
        <f>IF(B1815="","",MONTH(B1815))</f>
        <v/>
      </c>
      <c r="M1815" s="18">
        <f>IF(OR(B1815="",I1815=""),"",I1815-B1815)</f>
        <v/>
      </c>
      <c r="N1815" s="21">
        <f>IF(B1815="","",IF(I1815="",IF(H1815="","",IF(TODAY()&gt;H1815,"Atrasado (em aberto)","Em aberto")),IF(I1815&lt;=H1815,"No prazo","Fora do prazo")))</f>
        <v/>
      </c>
    </row>
    <row r="1816">
      <c r="B1816" s="22" t="n"/>
      <c r="E1816" s="23" t="n"/>
      <c r="F1816" s="24" t="n"/>
      <c r="H1816" s="22" t="n"/>
      <c r="I1816" s="22" t="n"/>
      <c r="J1816" s="21">
        <f>IF(C1816="","",IFERROR(INDEX(Clientes!$B:$B,MATCH(C1816,Clientes!$A:$A,0)),"Cód. não cadastrado"))</f>
        <v/>
      </c>
      <c r="K1816" s="18">
        <f>IF(B1816="","",YEAR(B1816))</f>
        <v/>
      </c>
      <c r="L1816" s="18">
        <f>IF(B1816="","",MONTH(B1816))</f>
        <v/>
      </c>
      <c r="M1816" s="18">
        <f>IF(OR(B1816="",I1816=""),"",I1816-B1816)</f>
        <v/>
      </c>
      <c r="N1816" s="21">
        <f>IF(B1816="","",IF(I1816="",IF(H1816="","",IF(TODAY()&gt;H1816,"Atrasado (em aberto)","Em aberto")),IF(I1816&lt;=H1816,"No prazo","Fora do prazo")))</f>
        <v/>
      </c>
    </row>
    <row r="1817">
      <c r="B1817" s="22" t="n"/>
      <c r="E1817" s="23" t="n"/>
      <c r="F1817" s="24" t="n"/>
      <c r="H1817" s="22" t="n"/>
      <c r="I1817" s="22" t="n"/>
      <c r="J1817" s="21">
        <f>IF(C1817="","",IFERROR(INDEX(Clientes!$B:$B,MATCH(C1817,Clientes!$A:$A,0)),"Cód. não cadastrado"))</f>
        <v/>
      </c>
      <c r="K1817" s="18">
        <f>IF(B1817="","",YEAR(B1817))</f>
        <v/>
      </c>
      <c r="L1817" s="18">
        <f>IF(B1817="","",MONTH(B1817))</f>
        <v/>
      </c>
      <c r="M1817" s="18">
        <f>IF(OR(B1817="",I1817=""),"",I1817-B1817)</f>
        <v/>
      </c>
      <c r="N1817" s="21">
        <f>IF(B1817="","",IF(I1817="",IF(H1817="","",IF(TODAY()&gt;H1817,"Atrasado (em aberto)","Em aberto")),IF(I1817&lt;=H1817,"No prazo","Fora do prazo")))</f>
        <v/>
      </c>
    </row>
    <row r="1818">
      <c r="B1818" s="22" t="n"/>
      <c r="E1818" s="23" t="n"/>
      <c r="F1818" s="24" t="n"/>
      <c r="H1818" s="22" t="n"/>
      <c r="I1818" s="22" t="n"/>
      <c r="J1818" s="21">
        <f>IF(C1818="","",IFERROR(INDEX(Clientes!$B:$B,MATCH(C1818,Clientes!$A:$A,0)),"Cód. não cadastrado"))</f>
        <v/>
      </c>
      <c r="K1818" s="18">
        <f>IF(B1818="","",YEAR(B1818))</f>
        <v/>
      </c>
      <c r="L1818" s="18">
        <f>IF(B1818="","",MONTH(B1818))</f>
        <v/>
      </c>
      <c r="M1818" s="18">
        <f>IF(OR(B1818="",I1818=""),"",I1818-B1818)</f>
        <v/>
      </c>
      <c r="N1818" s="21">
        <f>IF(B1818="","",IF(I1818="",IF(H1818="","",IF(TODAY()&gt;H1818,"Atrasado (em aberto)","Em aberto")),IF(I1818&lt;=H1818,"No prazo","Fora do prazo")))</f>
        <v/>
      </c>
    </row>
    <row r="1819">
      <c r="B1819" s="22" t="n"/>
      <c r="E1819" s="23" t="n"/>
      <c r="F1819" s="24" t="n"/>
      <c r="H1819" s="22" t="n"/>
      <c r="I1819" s="22" t="n"/>
      <c r="J1819" s="21">
        <f>IF(C1819="","",IFERROR(INDEX(Clientes!$B:$B,MATCH(C1819,Clientes!$A:$A,0)),"Cód. não cadastrado"))</f>
        <v/>
      </c>
      <c r="K1819" s="18">
        <f>IF(B1819="","",YEAR(B1819))</f>
        <v/>
      </c>
      <c r="L1819" s="18">
        <f>IF(B1819="","",MONTH(B1819))</f>
        <v/>
      </c>
      <c r="M1819" s="18">
        <f>IF(OR(B1819="",I1819=""),"",I1819-B1819)</f>
        <v/>
      </c>
      <c r="N1819" s="21">
        <f>IF(B1819="","",IF(I1819="",IF(H1819="","",IF(TODAY()&gt;H1819,"Atrasado (em aberto)","Em aberto")),IF(I1819&lt;=H1819,"No prazo","Fora do prazo")))</f>
        <v/>
      </c>
    </row>
    <row r="1820">
      <c r="B1820" s="22" t="n"/>
      <c r="E1820" s="23" t="n"/>
      <c r="F1820" s="24" t="n"/>
      <c r="H1820" s="22" t="n"/>
      <c r="I1820" s="22" t="n"/>
      <c r="J1820" s="21">
        <f>IF(C1820="","",IFERROR(INDEX(Clientes!$B:$B,MATCH(C1820,Clientes!$A:$A,0)),"Cód. não cadastrado"))</f>
        <v/>
      </c>
      <c r="K1820" s="18">
        <f>IF(B1820="","",YEAR(B1820))</f>
        <v/>
      </c>
      <c r="L1820" s="18">
        <f>IF(B1820="","",MONTH(B1820))</f>
        <v/>
      </c>
      <c r="M1820" s="18">
        <f>IF(OR(B1820="",I1820=""),"",I1820-B1820)</f>
        <v/>
      </c>
      <c r="N1820" s="21">
        <f>IF(B1820="","",IF(I1820="",IF(H1820="","",IF(TODAY()&gt;H1820,"Atrasado (em aberto)","Em aberto")),IF(I1820&lt;=H1820,"No prazo","Fora do prazo")))</f>
        <v/>
      </c>
    </row>
    <row r="1821">
      <c r="B1821" s="22" t="n"/>
      <c r="E1821" s="23" t="n"/>
      <c r="F1821" s="24" t="n"/>
      <c r="H1821" s="22" t="n"/>
      <c r="I1821" s="22" t="n"/>
      <c r="J1821" s="21">
        <f>IF(C1821="","",IFERROR(INDEX(Clientes!$B:$B,MATCH(C1821,Clientes!$A:$A,0)),"Cód. não cadastrado"))</f>
        <v/>
      </c>
      <c r="K1821" s="18">
        <f>IF(B1821="","",YEAR(B1821))</f>
        <v/>
      </c>
      <c r="L1821" s="18">
        <f>IF(B1821="","",MONTH(B1821))</f>
        <v/>
      </c>
      <c r="M1821" s="18">
        <f>IF(OR(B1821="",I1821=""),"",I1821-B1821)</f>
        <v/>
      </c>
      <c r="N1821" s="21">
        <f>IF(B1821="","",IF(I1821="",IF(H1821="","",IF(TODAY()&gt;H1821,"Atrasado (em aberto)","Em aberto")),IF(I1821&lt;=H1821,"No prazo","Fora do prazo")))</f>
        <v/>
      </c>
    </row>
    <row r="1822">
      <c r="B1822" s="22" t="n"/>
      <c r="E1822" s="23" t="n"/>
      <c r="F1822" s="24" t="n"/>
      <c r="H1822" s="22" t="n"/>
      <c r="I1822" s="22" t="n"/>
      <c r="J1822" s="21">
        <f>IF(C1822="","",IFERROR(INDEX(Clientes!$B:$B,MATCH(C1822,Clientes!$A:$A,0)),"Cód. não cadastrado"))</f>
        <v/>
      </c>
      <c r="K1822" s="18">
        <f>IF(B1822="","",YEAR(B1822))</f>
        <v/>
      </c>
      <c r="L1822" s="18">
        <f>IF(B1822="","",MONTH(B1822))</f>
        <v/>
      </c>
      <c r="M1822" s="18">
        <f>IF(OR(B1822="",I1822=""),"",I1822-B1822)</f>
        <v/>
      </c>
      <c r="N1822" s="21">
        <f>IF(B1822="","",IF(I1822="",IF(H1822="","",IF(TODAY()&gt;H1822,"Atrasado (em aberto)","Em aberto")),IF(I1822&lt;=H1822,"No prazo","Fora do prazo")))</f>
        <v/>
      </c>
    </row>
    <row r="1823">
      <c r="B1823" s="22" t="n"/>
      <c r="E1823" s="23" t="n"/>
      <c r="F1823" s="24" t="n"/>
      <c r="H1823" s="22" t="n"/>
      <c r="I1823" s="22" t="n"/>
      <c r="J1823" s="21">
        <f>IF(C1823="","",IFERROR(INDEX(Clientes!$B:$B,MATCH(C1823,Clientes!$A:$A,0)),"Cód. não cadastrado"))</f>
        <v/>
      </c>
      <c r="K1823" s="18">
        <f>IF(B1823="","",YEAR(B1823))</f>
        <v/>
      </c>
      <c r="L1823" s="18">
        <f>IF(B1823="","",MONTH(B1823))</f>
        <v/>
      </c>
      <c r="M1823" s="18">
        <f>IF(OR(B1823="",I1823=""),"",I1823-B1823)</f>
        <v/>
      </c>
      <c r="N1823" s="21">
        <f>IF(B1823="","",IF(I1823="",IF(H1823="","",IF(TODAY()&gt;H1823,"Atrasado (em aberto)","Em aberto")),IF(I1823&lt;=H1823,"No prazo","Fora do prazo")))</f>
        <v/>
      </c>
    </row>
    <row r="1824">
      <c r="B1824" s="22" t="n"/>
      <c r="E1824" s="23" t="n"/>
      <c r="F1824" s="24" t="n"/>
      <c r="H1824" s="22" t="n"/>
      <c r="I1824" s="22" t="n"/>
      <c r="J1824" s="21">
        <f>IF(C1824="","",IFERROR(INDEX(Clientes!$B:$B,MATCH(C1824,Clientes!$A:$A,0)),"Cód. não cadastrado"))</f>
        <v/>
      </c>
      <c r="K1824" s="18">
        <f>IF(B1824="","",YEAR(B1824))</f>
        <v/>
      </c>
      <c r="L1824" s="18">
        <f>IF(B1824="","",MONTH(B1824))</f>
        <v/>
      </c>
      <c r="M1824" s="18">
        <f>IF(OR(B1824="",I1824=""),"",I1824-B1824)</f>
        <v/>
      </c>
      <c r="N1824" s="21">
        <f>IF(B1824="","",IF(I1824="",IF(H1824="","",IF(TODAY()&gt;H1824,"Atrasado (em aberto)","Em aberto")),IF(I1824&lt;=H1824,"No prazo","Fora do prazo")))</f>
        <v/>
      </c>
    </row>
    <row r="1825">
      <c r="B1825" s="22" t="n"/>
      <c r="E1825" s="23" t="n"/>
      <c r="F1825" s="24" t="n"/>
      <c r="H1825" s="22" t="n"/>
      <c r="I1825" s="22" t="n"/>
      <c r="J1825" s="21">
        <f>IF(C1825="","",IFERROR(INDEX(Clientes!$B:$B,MATCH(C1825,Clientes!$A:$A,0)),"Cód. não cadastrado"))</f>
        <v/>
      </c>
      <c r="K1825" s="18">
        <f>IF(B1825="","",YEAR(B1825))</f>
        <v/>
      </c>
      <c r="L1825" s="18">
        <f>IF(B1825="","",MONTH(B1825))</f>
        <v/>
      </c>
      <c r="M1825" s="18">
        <f>IF(OR(B1825="",I1825=""),"",I1825-B1825)</f>
        <v/>
      </c>
      <c r="N1825" s="21">
        <f>IF(B1825="","",IF(I1825="",IF(H1825="","",IF(TODAY()&gt;H1825,"Atrasado (em aberto)","Em aberto")),IF(I1825&lt;=H1825,"No prazo","Fora do prazo")))</f>
        <v/>
      </c>
    </row>
    <row r="1826">
      <c r="B1826" s="22" t="n"/>
      <c r="E1826" s="23" t="n"/>
      <c r="F1826" s="24" t="n"/>
      <c r="H1826" s="22" t="n"/>
      <c r="I1826" s="22" t="n"/>
      <c r="J1826" s="21">
        <f>IF(C1826="","",IFERROR(INDEX(Clientes!$B:$B,MATCH(C1826,Clientes!$A:$A,0)),"Cód. não cadastrado"))</f>
        <v/>
      </c>
      <c r="K1826" s="18">
        <f>IF(B1826="","",YEAR(B1826))</f>
        <v/>
      </c>
      <c r="L1826" s="18">
        <f>IF(B1826="","",MONTH(B1826))</f>
        <v/>
      </c>
      <c r="M1826" s="18">
        <f>IF(OR(B1826="",I1826=""),"",I1826-B1826)</f>
        <v/>
      </c>
      <c r="N1826" s="21">
        <f>IF(B1826="","",IF(I1826="",IF(H1826="","",IF(TODAY()&gt;H1826,"Atrasado (em aberto)","Em aberto")),IF(I1826&lt;=H1826,"No prazo","Fora do prazo")))</f>
        <v/>
      </c>
    </row>
    <row r="1827">
      <c r="B1827" s="22" t="n"/>
      <c r="E1827" s="23" t="n"/>
      <c r="F1827" s="24" t="n"/>
      <c r="H1827" s="22" t="n"/>
      <c r="I1827" s="22" t="n"/>
      <c r="J1827" s="21">
        <f>IF(C1827="","",IFERROR(INDEX(Clientes!$B:$B,MATCH(C1827,Clientes!$A:$A,0)),"Cód. não cadastrado"))</f>
        <v/>
      </c>
      <c r="K1827" s="18">
        <f>IF(B1827="","",YEAR(B1827))</f>
        <v/>
      </c>
      <c r="L1827" s="18">
        <f>IF(B1827="","",MONTH(B1827))</f>
        <v/>
      </c>
      <c r="M1827" s="18">
        <f>IF(OR(B1827="",I1827=""),"",I1827-B1827)</f>
        <v/>
      </c>
      <c r="N1827" s="21">
        <f>IF(B1827="","",IF(I1827="",IF(H1827="","",IF(TODAY()&gt;H1827,"Atrasado (em aberto)","Em aberto")),IF(I1827&lt;=H1827,"No prazo","Fora do prazo")))</f>
        <v/>
      </c>
    </row>
    <row r="1828">
      <c r="B1828" s="22" t="n"/>
      <c r="E1828" s="23" t="n"/>
      <c r="F1828" s="24" t="n"/>
      <c r="H1828" s="22" t="n"/>
      <c r="I1828" s="22" t="n"/>
      <c r="J1828" s="21">
        <f>IF(C1828="","",IFERROR(INDEX(Clientes!$B:$B,MATCH(C1828,Clientes!$A:$A,0)),"Cód. não cadastrado"))</f>
        <v/>
      </c>
      <c r="K1828" s="18">
        <f>IF(B1828="","",YEAR(B1828))</f>
        <v/>
      </c>
      <c r="L1828" s="18">
        <f>IF(B1828="","",MONTH(B1828))</f>
        <v/>
      </c>
      <c r="M1828" s="18">
        <f>IF(OR(B1828="",I1828=""),"",I1828-B1828)</f>
        <v/>
      </c>
      <c r="N1828" s="21">
        <f>IF(B1828="","",IF(I1828="",IF(H1828="","",IF(TODAY()&gt;H1828,"Atrasado (em aberto)","Em aberto")),IF(I1828&lt;=H1828,"No prazo","Fora do prazo")))</f>
        <v/>
      </c>
    </row>
    <row r="1829">
      <c r="B1829" s="22" t="n"/>
      <c r="E1829" s="23" t="n"/>
      <c r="F1829" s="24" t="n"/>
      <c r="H1829" s="22" t="n"/>
      <c r="I1829" s="22" t="n"/>
      <c r="J1829" s="21">
        <f>IF(C1829="","",IFERROR(INDEX(Clientes!$B:$B,MATCH(C1829,Clientes!$A:$A,0)),"Cód. não cadastrado"))</f>
        <v/>
      </c>
      <c r="K1829" s="18">
        <f>IF(B1829="","",YEAR(B1829))</f>
        <v/>
      </c>
      <c r="L1829" s="18">
        <f>IF(B1829="","",MONTH(B1829))</f>
        <v/>
      </c>
      <c r="M1829" s="18">
        <f>IF(OR(B1829="",I1829=""),"",I1829-B1829)</f>
        <v/>
      </c>
      <c r="N1829" s="21">
        <f>IF(B1829="","",IF(I1829="",IF(H1829="","",IF(TODAY()&gt;H1829,"Atrasado (em aberto)","Em aberto")),IF(I1829&lt;=H1829,"No prazo","Fora do prazo")))</f>
        <v/>
      </c>
    </row>
    <row r="1830">
      <c r="B1830" s="22" t="n"/>
      <c r="E1830" s="23" t="n"/>
      <c r="F1830" s="24" t="n"/>
      <c r="H1830" s="22" t="n"/>
      <c r="I1830" s="22" t="n"/>
      <c r="J1830" s="21">
        <f>IF(C1830="","",IFERROR(INDEX(Clientes!$B:$B,MATCH(C1830,Clientes!$A:$A,0)),"Cód. não cadastrado"))</f>
        <v/>
      </c>
      <c r="K1830" s="18">
        <f>IF(B1830="","",YEAR(B1830))</f>
        <v/>
      </c>
      <c r="L1830" s="18">
        <f>IF(B1830="","",MONTH(B1830))</f>
        <v/>
      </c>
      <c r="M1830" s="18">
        <f>IF(OR(B1830="",I1830=""),"",I1830-B1830)</f>
        <v/>
      </c>
      <c r="N1830" s="21">
        <f>IF(B1830="","",IF(I1830="",IF(H1830="","",IF(TODAY()&gt;H1830,"Atrasado (em aberto)","Em aberto")),IF(I1830&lt;=H1830,"No prazo","Fora do prazo")))</f>
        <v/>
      </c>
    </row>
    <row r="1831">
      <c r="B1831" s="22" t="n"/>
      <c r="E1831" s="23" t="n"/>
      <c r="F1831" s="24" t="n"/>
      <c r="H1831" s="22" t="n"/>
      <c r="I1831" s="22" t="n"/>
      <c r="J1831" s="21">
        <f>IF(C1831="","",IFERROR(INDEX(Clientes!$B:$B,MATCH(C1831,Clientes!$A:$A,0)),"Cód. não cadastrado"))</f>
        <v/>
      </c>
      <c r="K1831" s="18">
        <f>IF(B1831="","",YEAR(B1831))</f>
        <v/>
      </c>
      <c r="L1831" s="18">
        <f>IF(B1831="","",MONTH(B1831))</f>
        <v/>
      </c>
      <c r="M1831" s="18">
        <f>IF(OR(B1831="",I1831=""),"",I1831-B1831)</f>
        <v/>
      </c>
      <c r="N1831" s="21">
        <f>IF(B1831="","",IF(I1831="",IF(H1831="","",IF(TODAY()&gt;H1831,"Atrasado (em aberto)","Em aberto")),IF(I1831&lt;=H1831,"No prazo","Fora do prazo")))</f>
        <v/>
      </c>
    </row>
    <row r="1832">
      <c r="B1832" s="22" t="n"/>
      <c r="E1832" s="23" t="n"/>
      <c r="F1832" s="24" t="n"/>
      <c r="H1832" s="22" t="n"/>
      <c r="I1832" s="22" t="n"/>
      <c r="J1832" s="21">
        <f>IF(C1832="","",IFERROR(INDEX(Clientes!$B:$B,MATCH(C1832,Clientes!$A:$A,0)),"Cód. não cadastrado"))</f>
        <v/>
      </c>
      <c r="K1832" s="18">
        <f>IF(B1832="","",YEAR(B1832))</f>
        <v/>
      </c>
      <c r="L1832" s="18">
        <f>IF(B1832="","",MONTH(B1832))</f>
        <v/>
      </c>
      <c r="M1832" s="18">
        <f>IF(OR(B1832="",I1832=""),"",I1832-B1832)</f>
        <v/>
      </c>
      <c r="N1832" s="21">
        <f>IF(B1832="","",IF(I1832="",IF(H1832="","",IF(TODAY()&gt;H1832,"Atrasado (em aberto)","Em aberto")),IF(I1832&lt;=H1832,"No prazo","Fora do prazo")))</f>
        <v/>
      </c>
    </row>
    <row r="1833">
      <c r="B1833" s="22" t="n"/>
      <c r="E1833" s="23" t="n"/>
      <c r="F1833" s="24" t="n"/>
      <c r="H1833" s="22" t="n"/>
      <c r="I1833" s="22" t="n"/>
      <c r="J1833" s="21">
        <f>IF(C1833="","",IFERROR(INDEX(Clientes!$B:$B,MATCH(C1833,Clientes!$A:$A,0)),"Cód. não cadastrado"))</f>
        <v/>
      </c>
      <c r="K1833" s="18">
        <f>IF(B1833="","",YEAR(B1833))</f>
        <v/>
      </c>
      <c r="L1833" s="18">
        <f>IF(B1833="","",MONTH(B1833))</f>
        <v/>
      </c>
      <c r="M1833" s="18">
        <f>IF(OR(B1833="",I1833=""),"",I1833-B1833)</f>
        <v/>
      </c>
      <c r="N1833" s="21">
        <f>IF(B1833="","",IF(I1833="",IF(H1833="","",IF(TODAY()&gt;H1833,"Atrasado (em aberto)","Em aberto")),IF(I1833&lt;=H1833,"No prazo","Fora do prazo")))</f>
        <v/>
      </c>
    </row>
    <row r="1834">
      <c r="B1834" s="22" t="n"/>
      <c r="E1834" s="23" t="n"/>
      <c r="F1834" s="24" t="n"/>
      <c r="H1834" s="22" t="n"/>
      <c r="I1834" s="22" t="n"/>
      <c r="J1834" s="21">
        <f>IF(C1834="","",IFERROR(INDEX(Clientes!$B:$B,MATCH(C1834,Clientes!$A:$A,0)),"Cód. não cadastrado"))</f>
        <v/>
      </c>
      <c r="K1834" s="18">
        <f>IF(B1834="","",YEAR(B1834))</f>
        <v/>
      </c>
      <c r="L1834" s="18">
        <f>IF(B1834="","",MONTH(B1834))</f>
        <v/>
      </c>
      <c r="M1834" s="18">
        <f>IF(OR(B1834="",I1834=""),"",I1834-B1834)</f>
        <v/>
      </c>
      <c r="N1834" s="21">
        <f>IF(B1834="","",IF(I1834="",IF(H1834="","",IF(TODAY()&gt;H1834,"Atrasado (em aberto)","Em aberto")),IF(I1834&lt;=H1834,"No prazo","Fora do prazo")))</f>
        <v/>
      </c>
    </row>
    <row r="1835">
      <c r="B1835" s="22" t="n"/>
      <c r="E1835" s="23" t="n"/>
      <c r="F1835" s="24" t="n"/>
      <c r="H1835" s="22" t="n"/>
      <c r="I1835" s="22" t="n"/>
      <c r="J1835" s="21">
        <f>IF(C1835="","",IFERROR(INDEX(Clientes!$B:$B,MATCH(C1835,Clientes!$A:$A,0)),"Cód. não cadastrado"))</f>
        <v/>
      </c>
      <c r="K1835" s="18">
        <f>IF(B1835="","",YEAR(B1835))</f>
        <v/>
      </c>
      <c r="L1835" s="18">
        <f>IF(B1835="","",MONTH(B1835))</f>
        <v/>
      </c>
      <c r="M1835" s="18">
        <f>IF(OR(B1835="",I1835=""),"",I1835-B1835)</f>
        <v/>
      </c>
      <c r="N1835" s="21">
        <f>IF(B1835="","",IF(I1835="",IF(H1835="","",IF(TODAY()&gt;H1835,"Atrasado (em aberto)","Em aberto")),IF(I1835&lt;=H1835,"No prazo","Fora do prazo")))</f>
        <v/>
      </c>
    </row>
    <row r="1836">
      <c r="B1836" s="22" t="n"/>
      <c r="E1836" s="23" t="n"/>
      <c r="F1836" s="24" t="n"/>
      <c r="H1836" s="22" t="n"/>
      <c r="I1836" s="22" t="n"/>
      <c r="J1836" s="21">
        <f>IF(C1836="","",IFERROR(INDEX(Clientes!$B:$B,MATCH(C1836,Clientes!$A:$A,0)),"Cód. não cadastrado"))</f>
        <v/>
      </c>
      <c r="K1836" s="18">
        <f>IF(B1836="","",YEAR(B1836))</f>
        <v/>
      </c>
      <c r="L1836" s="18">
        <f>IF(B1836="","",MONTH(B1836))</f>
        <v/>
      </c>
      <c r="M1836" s="18">
        <f>IF(OR(B1836="",I1836=""),"",I1836-B1836)</f>
        <v/>
      </c>
      <c r="N1836" s="21">
        <f>IF(B1836="","",IF(I1836="",IF(H1836="","",IF(TODAY()&gt;H1836,"Atrasado (em aberto)","Em aberto")),IF(I1836&lt;=H1836,"No prazo","Fora do prazo")))</f>
        <v/>
      </c>
    </row>
    <row r="1837">
      <c r="B1837" s="22" t="n"/>
      <c r="E1837" s="23" t="n"/>
      <c r="F1837" s="24" t="n"/>
      <c r="H1837" s="22" t="n"/>
      <c r="I1837" s="22" t="n"/>
      <c r="J1837" s="21">
        <f>IF(C1837="","",IFERROR(INDEX(Clientes!$B:$B,MATCH(C1837,Clientes!$A:$A,0)),"Cód. não cadastrado"))</f>
        <v/>
      </c>
      <c r="K1837" s="18">
        <f>IF(B1837="","",YEAR(B1837))</f>
        <v/>
      </c>
      <c r="L1837" s="18">
        <f>IF(B1837="","",MONTH(B1837))</f>
        <v/>
      </c>
      <c r="M1837" s="18">
        <f>IF(OR(B1837="",I1837=""),"",I1837-B1837)</f>
        <v/>
      </c>
      <c r="N1837" s="21">
        <f>IF(B1837="","",IF(I1837="",IF(H1837="","",IF(TODAY()&gt;H1837,"Atrasado (em aberto)","Em aberto")),IF(I1837&lt;=H1837,"No prazo","Fora do prazo")))</f>
        <v/>
      </c>
    </row>
    <row r="1838">
      <c r="B1838" s="22" t="n"/>
      <c r="E1838" s="23" t="n"/>
      <c r="F1838" s="24" t="n"/>
      <c r="H1838" s="22" t="n"/>
      <c r="I1838" s="22" t="n"/>
      <c r="J1838" s="21">
        <f>IF(C1838="","",IFERROR(INDEX(Clientes!$B:$B,MATCH(C1838,Clientes!$A:$A,0)),"Cód. não cadastrado"))</f>
        <v/>
      </c>
      <c r="K1838" s="18">
        <f>IF(B1838="","",YEAR(B1838))</f>
        <v/>
      </c>
      <c r="L1838" s="18">
        <f>IF(B1838="","",MONTH(B1838))</f>
        <v/>
      </c>
      <c r="M1838" s="18">
        <f>IF(OR(B1838="",I1838=""),"",I1838-B1838)</f>
        <v/>
      </c>
      <c r="N1838" s="21">
        <f>IF(B1838="","",IF(I1838="",IF(H1838="","",IF(TODAY()&gt;H1838,"Atrasado (em aberto)","Em aberto")),IF(I1838&lt;=H1838,"No prazo","Fora do prazo")))</f>
        <v/>
      </c>
    </row>
    <row r="1839">
      <c r="B1839" s="22" t="n"/>
      <c r="E1839" s="23" t="n"/>
      <c r="F1839" s="24" t="n"/>
      <c r="H1839" s="22" t="n"/>
      <c r="I1839" s="22" t="n"/>
      <c r="J1839" s="21">
        <f>IF(C1839="","",IFERROR(INDEX(Clientes!$B:$B,MATCH(C1839,Clientes!$A:$A,0)),"Cód. não cadastrado"))</f>
        <v/>
      </c>
      <c r="K1839" s="18">
        <f>IF(B1839="","",YEAR(B1839))</f>
        <v/>
      </c>
      <c r="L1839" s="18">
        <f>IF(B1839="","",MONTH(B1839))</f>
        <v/>
      </c>
      <c r="M1839" s="18">
        <f>IF(OR(B1839="",I1839=""),"",I1839-B1839)</f>
        <v/>
      </c>
      <c r="N1839" s="21">
        <f>IF(B1839="","",IF(I1839="",IF(H1839="","",IF(TODAY()&gt;H1839,"Atrasado (em aberto)","Em aberto")),IF(I1839&lt;=H1839,"No prazo","Fora do prazo")))</f>
        <v/>
      </c>
    </row>
    <row r="1840">
      <c r="B1840" s="22" t="n"/>
      <c r="E1840" s="23" t="n"/>
      <c r="F1840" s="24" t="n"/>
      <c r="H1840" s="22" t="n"/>
      <c r="I1840" s="22" t="n"/>
      <c r="J1840" s="21">
        <f>IF(C1840="","",IFERROR(INDEX(Clientes!$B:$B,MATCH(C1840,Clientes!$A:$A,0)),"Cód. não cadastrado"))</f>
        <v/>
      </c>
      <c r="K1840" s="18">
        <f>IF(B1840="","",YEAR(B1840))</f>
        <v/>
      </c>
      <c r="L1840" s="18">
        <f>IF(B1840="","",MONTH(B1840))</f>
        <v/>
      </c>
      <c r="M1840" s="18">
        <f>IF(OR(B1840="",I1840=""),"",I1840-B1840)</f>
        <v/>
      </c>
      <c r="N1840" s="21">
        <f>IF(B1840="","",IF(I1840="",IF(H1840="","",IF(TODAY()&gt;H1840,"Atrasado (em aberto)","Em aberto")),IF(I1840&lt;=H1840,"No prazo","Fora do prazo")))</f>
        <v/>
      </c>
    </row>
    <row r="1841">
      <c r="B1841" s="22" t="n"/>
      <c r="E1841" s="23" t="n"/>
      <c r="F1841" s="24" t="n"/>
      <c r="H1841" s="22" t="n"/>
      <c r="I1841" s="22" t="n"/>
      <c r="J1841" s="21">
        <f>IF(C1841="","",IFERROR(INDEX(Clientes!$B:$B,MATCH(C1841,Clientes!$A:$A,0)),"Cód. não cadastrado"))</f>
        <v/>
      </c>
      <c r="K1841" s="18">
        <f>IF(B1841="","",YEAR(B1841))</f>
        <v/>
      </c>
      <c r="L1841" s="18">
        <f>IF(B1841="","",MONTH(B1841))</f>
        <v/>
      </c>
      <c r="M1841" s="18">
        <f>IF(OR(B1841="",I1841=""),"",I1841-B1841)</f>
        <v/>
      </c>
      <c r="N1841" s="21">
        <f>IF(B1841="","",IF(I1841="",IF(H1841="","",IF(TODAY()&gt;H1841,"Atrasado (em aberto)","Em aberto")),IF(I1841&lt;=H1841,"No prazo","Fora do prazo")))</f>
        <v/>
      </c>
    </row>
    <row r="1842">
      <c r="B1842" s="22" t="n"/>
      <c r="E1842" s="23" t="n"/>
      <c r="F1842" s="24" t="n"/>
      <c r="H1842" s="22" t="n"/>
      <c r="I1842" s="22" t="n"/>
      <c r="J1842" s="21">
        <f>IF(C1842="","",IFERROR(INDEX(Clientes!$B:$B,MATCH(C1842,Clientes!$A:$A,0)),"Cód. não cadastrado"))</f>
        <v/>
      </c>
      <c r="K1842" s="18">
        <f>IF(B1842="","",YEAR(B1842))</f>
        <v/>
      </c>
      <c r="L1842" s="18">
        <f>IF(B1842="","",MONTH(B1842))</f>
        <v/>
      </c>
      <c r="M1842" s="18">
        <f>IF(OR(B1842="",I1842=""),"",I1842-B1842)</f>
        <v/>
      </c>
      <c r="N1842" s="21">
        <f>IF(B1842="","",IF(I1842="",IF(H1842="","",IF(TODAY()&gt;H1842,"Atrasado (em aberto)","Em aberto")),IF(I1842&lt;=H1842,"No prazo","Fora do prazo")))</f>
        <v/>
      </c>
    </row>
    <row r="1843">
      <c r="B1843" s="22" t="n"/>
      <c r="E1843" s="23" t="n"/>
      <c r="F1843" s="24" t="n"/>
      <c r="H1843" s="22" t="n"/>
      <c r="I1843" s="22" t="n"/>
      <c r="J1843" s="21">
        <f>IF(C1843="","",IFERROR(INDEX(Clientes!$B:$B,MATCH(C1843,Clientes!$A:$A,0)),"Cód. não cadastrado"))</f>
        <v/>
      </c>
      <c r="K1843" s="18">
        <f>IF(B1843="","",YEAR(B1843))</f>
        <v/>
      </c>
      <c r="L1843" s="18">
        <f>IF(B1843="","",MONTH(B1843))</f>
        <v/>
      </c>
      <c r="M1843" s="18">
        <f>IF(OR(B1843="",I1843=""),"",I1843-B1843)</f>
        <v/>
      </c>
      <c r="N1843" s="21">
        <f>IF(B1843="","",IF(I1843="",IF(H1843="","",IF(TODAY()&gt;H1843,"Atrasado (em aberto)","Em aberto")),IF(I1843&lt;=H1843,"No prazo","Fora do prazo")))</f>
        <v/>
      </c>
    </row>
    <row r="1844">
      <c r="B1844" s="22" t="n"/>
      <c r="E1844" s="23" t="n"/>
      <c r="F1844" s="24" t="n"/>
      <c r="H1844" s="22" t="n"/>
      <c r="I1844" s="22" t="n"/>
      <c r="J1844" s="21">
        <f>IF(C1844="","",IFERROR(INDEX(Clientes!$B:$B,MATCH(C1844,Clientes!$A:$A,0)),"Cód. não cadastrado"))</f>
        <v/>
      </c>
      <c r="K1844" s="18">
        <f>IF(B1844="","",YEAR(B1844))</f>
        <v/>
      </c>
      <c r="L1844" s="18">
        <f>IF(B1844="","",MONTH(B1844))</f>
        <v/>
      </c>
      <c r="M1844" s="18">
        <f>IF(OR(B1844="",I1844=""),"",I1844-B1844)</f>
        <v/>
      </c>
      <c r="N1844" s="21">
        <f>IF(B1844="","",IF(I1844="",IF(H1844="","",IF(TODAY()&gt;H1844,"Atrasado (em aberto)","Em aberto")),IF(I1844&lt;=H1844,"No prazo","Fora do prazo")))</f>
        <v/>
      </c>
    </row>
    <row r="1845">
      <c r="B1845" s="22" t="n"/>
      <c r="E1845" s="23" t="n"/>
      <c r="F1845" s="24" t="n"/>
      <c r="H1845" s="22" t="n"/>
      <c r="I1845" s="22" t="n"/>
      <c r="J1845" s="21">
        <f>IF(C1845="","",IFERROR(INDEX(Clientes!$B:$B,MATCH(C1845,Clientes!$A:$A,0)),"Cód. não cadastrado"))</f>
        <v/>
      </c>
      <c r="K1845" s="18">
        <f>IF(B1845="","",YEAR(B1845))</f>
        <v/>
      </c>
      <c r="L1845" s="18">
        <f>IF(B1845="","",MONTH(B1845))</f>
        <v/>
      </c>
      <c r="M1845" s="18">
        <f>IF(OR(B1845="",I1845=""),"",I1845-B1845)</f>
        <v/>
      </c>
      <c r="N1845" s="21">
        <f>IF(B1845="","",IF(I1845="",IF(H1845="","",IF(TODAY()&gt;H1845,"Atrasado (em aberto)","Em aberto")),IF(I1845&lt;=H1845,"No prazo","Fora do prazo")))</f>
        <v/>
      </c>
    </row>
    <row r="1846">
      <c r="B1846" s="22" t="n"/>
      <c r="E1846" s="23" t="n"/>
      <c r="F1846" s="24" t="n"/>
      <c r="H1846" s="22" t="n"/>
      <c r="I1846" s="22" t="n"/>
      <c r="J1846" s="21">
        <f>IF(C1846="","",IFERROR(INDEX(Clientes!$B:$B,MATCH(C1846,Clientes!$A:$A,0)),"Cód. não cadastrado"))</f>
        <v/>
      </c>
      <c r="K1846" s="18">
        <f>IF(B1846="","",YEAR(B1846))</f>
        <v/>
      </c>
      <c r="L1846" s="18">
        <f>IF(B1846="","",MONTH(B1846))</f>
        <v/>
      </c>
      <c r="M1846" s="18">
        <f>IF(OR(B1846="",I1846=""),"",I1846-B1846)</f>
        <v/>
      </c>
      <c r="N1846" s="21">
        <f>IF(B1846="","",IF(I1846="",IF(H1846="","",IF(TODAY()&gt;H1846,"Atrasado (em aberto)","Em aberto")),IF(I1846&lt;=H1846,"No prazo","Fora do prazo")))</f>
        <v/>
      </c>
    </row>
    <row r="1847">
      <c r="B1847" s="22" t="n"/>
      <c r="E1847" s="23" t="n"/>
      <c r="F1847" s="24" t="n"/>
      <c r="H1847" s="22" t="n"/>
      <c r="I1847" s="22" t="n"/>
      <c r="J1847" s="21">
        <f>IF(C1847="","",IFERROR(INDEX(Clientes!$B:$B,MATCH(C1847,Clientes!$A:$A,0)),"Cód. não cadastrado"))</f>
        <v/>
      </c>
      <c r="K1847" s="18">
        <f>IF(B1847="","",YEAR(B1847))</f>
        <v/>
      </c>
      <c r="L1847" s="18">
        <f>IF(B1847="","",MONTH(B1847))</f>
        <v/>
      </c>
      <c r="M1847" s="18">
        <f>IF(OR(B1847="",I1847=""),"",I1847-B1847)</f>
        <v/>
      </c>
      <c r="N1847" s="21">
        <f>IF(B1847="","",IF(I1847="",IF(H1847="","",IF(TODAY()&gt;H1847,"Atrasado (em aberto)","Em aberto")),IF(I1847&lt;=H1847,"No prazo","Fora do prazo")))</f>
        <v/>
      </c>
    </row>
    <row r="1848">
      <c r="B1848" s="22" t="n"/>
      <c r="E1848" s="23" t="n"/>
      <c r="F1848" s="24" t="n"/>
      <c r="H1848" s="22" t="n"/>
      <c r="I1848" s="22" t="n"/>
      <c r="J1848" s="21">
        <f>IF(C1848="","",IFERROR(INDEX(Clientes!$B:$B,MATCH(C1848,Clientes!$A:$A,0)),"Cód. não cadastrado"))</f>
        <v/>
      </c>
      <c r="K1848" s="18">
        <f>IF(B1848="","",YEAR(B1848))</f>
        <v/>
      </c>
      <c r="L1848" s="18">
        <f>IF(B1848="","",MONTH(B1848))</f>
        <v/>
      </c>
      <c r="M1848" s="18">
        <f>IF(OR(B1848="",I1848=""),"",I1848-B1848)</f>
        <v/>
      </c>
      <c r="N1848" s="21">
        <f>IF(B1848="","",IF(I1848="",IF(H1848="","",IF(TODAY()&gt;H1848,"Atrasado (em aberto)","Em aberto")),IF(I1848&lt;=H1848,"No prazo","Fora do prazo")))</f>
        <v/>
      </c>
    </row>
    <row r="1849">
      <c r="B1849" s="22" t="n"/>
      <c r="E1849" s="23" t="n"/>
      <c r="F1849" s="24" t="n"/>
      <c r="H1849" s="22" t="n"/>
      <c r="I1849" s="22" t="n"/>
      <c r="J1849" s="21">
        <f>IF(C1849="","",IFERROR(INDEX(Clientes!$B:$B,MATCH(C1849,Clientes!$A:$A,0)),"Cód. não cadastrado"))</f>
        <v/>
      </c>
      <c r="K1849" s="18">
        <f>IF(B1849="","",YEAR(B1849))</f>
        <v/>
      </c>
      <c r="L1849" s="18">
        <f>IF(B1849="","",MONTH(B1849))</f>
        <v/>
      </c>
      <c r="M1849" s="18">
        <f>IF(OR(B1849="",I1849=""),"",I1849-B1849)</f>
        <v/>
      </c>
      <c r="N1849" s="21">
        <f>IF(B1849="","",IF(I1849="",IF(H1849="","",IF(TODAY()&gt;H1849,"Atrasado (em aberto)","Em aberto")),IF(I1849&lt;=H1849,"No prazo","Fora do prazo")))</f>
        <v/>
      </c>
    </row>
    <row r="1850">
      <c r="B1850" s="22" t="n"/>
      <c r="E1850" s="23" t="n"/>
      <c r="F1850" s="24" t="n"/>
      <c r="H1850" s="22" t="n"/>
      <c r="I1850" s="22" t="n"/>
      <c r="J1850" s="21">
        <f>IF(C1850="","",IFERROR(INDEX(Clientes!$B:$B,MATCH(C1850,Clientes!$A:$A,0)),"Cód. não cadastrado"))</f>
        <v/>
      </c>
      <c r="K1850" s="18">
        <f>IF(B1850="","",YEAR(B1850))</f>
        <v/>
      </c>
      <c r="L1850" s="18">
        <f>IF(B1850="","",MONTH(B1850))</f>
        <v/>
      </c>
      <c r="M1850" s="18">
        <f>IF(OR(B1850="",I1850=""),"",I1850-B1850)</f>
        <v/>
      </c>
      <c r="N1850" s="21">
        <f>IF(B1850="","",IF(I1850="",IF(H1850="","",IF(TODAY()&gt;H1850,"Atrasado (em aberto)","Em aberto")),IF(I1850&lt;=H1850,"No prazo","Fora do prazo")))</f>
        <v/>
      </c>
    </row>
    <row r="1851">
      <c r="B1851" s="22" t="n"/>
      <c r="E1851" s="23" t="n"/>
      <c r="F1851" s="24" t="n"/>
      <c r="H1851" s="22" t="n"/>
      <c r="I1851" s="22" t="n"/>
      <c r="J1851" s="21">
        <f>IF(C1851="","",IFERROR(INDEX(Clientes!$B:$B,MATCH(C1851,Clientes!$A:$A,0)),"Cód. não cadastrado"))</f>
        <v/>
      </c>
      <c r="K1851" s="18">
        <f>IF(B1851="","",YEAR(B1851))</f>
        <v/>
      </c>
      <c r="L1851" s="18">
        <f>IF(B1851="","",MONTH(B1851))</f>
        <v/>
      </c>
      <c r="M1851" s="18">
        <f>IF(OR(B1851="",I1851=""),"",I1851-B1851)</f>
        <v/>
      </c>
      <c r="N1851" s="21">
        <f>IF(B1851="","",IF(I1851="",IF(H1851="","",IF(TODAY()&gt;H1851,"Atrasado (em aberto)","Em aberto")),IF(I1851&lt;=H1851,"No prazo","Fora do prazo")))</f>
        <v/>
      </c>
    </row>
    <row r="1852">
      <c r="B1852" s="22" t="n"/>
      <c r="E1852" s="23" t="n"/>
      <c r="F1852" s="24" t="n"/>
      <c r="H1852" s="22" t="n"/>
      <c r="I1852" s="22" t="n"/>
      <c r="J1852" s="21">
        <f>IF(C1852="","",IFERROR(INDEX(Clientes!$B:$B,MATCH(C1852,Clientes!$A:$A,0)),"Cód. não cadastrado"))</f>
        <v/>
      </c>
      <c r="K1852" s="18">
        <f>IF(B1852="","",YEAR(B1852))</f>
        <v/>
      </c>
      <c r="L1852" s="18">
        <f>IF(B1852="","",MONTH(B1852))</f>
        <v/>
      </c>
      <c r="M1852" s="18">
        <f>IF(OR(B1852="",I1852=""),"",I1852-B1852)</f>
        <v/>
      </c>
      <c r="N1852" s="21">
        <f>IF(B1852="","",IF(I1852="",IF(H1852="","",IF(TODAY()&gt;H1852,"Atrasado (em aberto)","Em aberto")),IF(I1852&lt;=H1852,"No prazo","Fora do prazo")))</f>
        <v/>
      </c>
    </row>
    <row r="1853">
      <c r="B1853" s="22" t="n"/>
      <c r="E1853" s="23" t="n"/>
      <c r="F1853" s="24" t="n"/>
      <c r="H1853" s="22" t="n"/>
      <c r="I1853" s="22" t="n"/>
      <c r="J1853" s="21">
        <f>IF(C1853="","",IFERROR(INDEX(Clientes!$B:$B,MATCH(C1853,Clientes!$A:$A,0)),"Cód. não cadastrado"))</f>
        <v/>
      </c>
      <c r="K1853" s="18">
        <f>IF(B1853="","",YEAR(B1853))</f>
        <v/>
      </c>
      <c r="L1853" s="18">
        <f>IF(B1853="","",MONTH(B1853))</f>
        <v/>
      </c>
      <c r="M1853" s="18">
        <f>IF(OR(B1853="",I1853=""),"",I1853-B1853)</f>
        <v/>
      </c>
      <c r="N1853" s="21">
        <f>IF(B1853="","",IF(I1853="",IF(H1853="","",IF(TODAY()&gt;H1853,"Atrasado (em aberto)","Em aberto")),IF(I1853&lt;=H1853,"No prazo","Fora do prazo")))</f>
        <v/>
      </c>
    </row>
    <row r="1854">
      <c r="B1854" s="22" t="n"/>
      <c r="E1854" s="23" t="n"/>
      <c r="F1854" s="24" t="n"/>
      <c r="H1854" s="22" t="n"/>
      <c r="I1854" s="22" t="n"/>
      <c r="J1854" s="21">
        <f>IF(C1854="","",IFERROR(INDEX(Clientes!$B:$B,MATCH(C1854,Clientes!$A:$A,0)),"Cód. não cadastrado"))</f>
        <v/>
      </c>
      <c r="K1854" s="18">
        <f>IF(B1854="","",YEAR(B1854))</f>
        <v/>
      </c>
      <c r="L1854" s="18">
        <f>IF(B1854="","",MONTH(B1854))</f>
        <v/>
      </c>
      <c r="M1854" s="18">
        <f>IF(OR(B1854="",I1854=""),"",I1854-B1854)</f>
        <v/>
      </c>
      <c r="N1854" s="21">
        <f>IF(B1854="","",IF(I1854="",IF(H1854="","",IF(TODAY()&gt;H1854,"Atrasado (em aberto)","Em aberto")),IF(I1854&lt;=H1854,"No prazo","Fora do prazo")))</f>
        <v/>
      </c>
    </row>
    <row r="1855">
      <c r="B1855" s="22" t="n"/>
      <c r="E1855" s="23" t="n"/>
      <c r="F1855" s="24" t="n"/>
      <c r="H1855" s="22" t="n"/>
      <c r="I1855" s="22" t="n"/>
      <c r="J1855" s="21">
        <f>IF(C1855="","",IFERROR(INDEX(Clientes!$B:$B,MATCH(C1855,Clientes!$A:$A,0)),"Cód. não cadastrado"))</f>
        <v/>
      </c>
      <c r="K1855" s="18">
        <f>IF(B1855="","",YEAR(B1855))</f>
        <v/>
      </c>
      <c r="L1855" s="18">
        <f>IF(B1855="","",MONTH(B1855))</f>
        <v/>
      </c>
      <c r="M1855" s="18">
        <f>IF(OR(B1855="",I1855=""),"",I1855-B1855)</f>
        <v/>
      </c>
      <c r="N1855" s="21">
        <f>IF(B1855="","",IF(I1855="",IF(H1855="","",IF(TODAY()&gt;H1855,"Atrasado (em aberto)","Em aberto")),IF(I1855&lt;=H1855,"No prazo","Fora do prazo")))</f>
        <v/>
      </c>
    </row>
    <row r="1856">
      <c r="B1856" s="22" t="n"/>
      <c r="E1856" s="23" t="n"/>
      <c r="F1856" s="24" t="n"/>
      <c r="H1856" s="22" t="n"/>
      <c r="I1856" s="22" t="n"/>
      <c r="J1856" s="21">
        <f>IF(C1856="","",IFERROR(INDEX(Clientes!$B:$B,MATCH(C1856,Clientes!$A:$A,0)),"Cód. não cadastrado"))</f>
        <v/>
      </c>
      <c r="K1856" s="18">
        <f>IF(B1856="","",YEAR(B1856))</f>
        <v/>
      </c>
      <c r="L1856" s="18">
        <f>IF(B1856="","",MONTH(B1856))</f>
        <v/>
      </c>
      <c r="M1856" s="18">
        <f>IF(OR(B1856="",I1856=""),"",I1856-B1856)</f>
        <v/>
      </c>
      <c r="N1856" s="21">
        <f>IF(B1856="","",IF(I1856="",IF(H1856="","",IF(TODAY()&gt;H1856,"Atrasado (em aberto)","Em aberto")),IF(I1856&lt;=H1856,"No prazo","Fora do prazo")))</f>
        <v/>
      </c>
    </row>
    <row r="1857">
      <c r="B1857" s="22" t="n"/>
      <c r="E1857" s="23" t="n"/>
      <c r="F1857" s="24" t="n"/>
      <c r="H1857" s="22" t="n"/>
      <c r="I1857" s="22" t="n"/>
      <c r="J1857" s="21">
        <f>IF(C1857="","",IFERROR(INDEX(Clientes!$B:$B,MATCH(C1857,Clientes!$A:$A,0)),"Cód. não cadastrado"))</f>
        <v/>
      </c>
      <c r="K1857" s="18">
        <f>IF(B1857="","",YEAR(B1857))</f>
        <v/>
      </c>
      <c r="L1857" s="18">
        <f>IF(B1857="","",MONTH(B1857))</f>
        <v/>
      </c>
      <c r="M1857" s="18">
        <f>IF(OR(B1857="",I1857=""),"",I1857-B1857)</f>
        <v/>
      </c>
      <c r="N1857" s="21">
        <f>IF(B1857="","",IF(I1857="",IF(H1857="","",IF(TODAY()&gt;H1857,"Atrasado (em aberto)","Em aberto")),IF(I1857&lt;=H1857,"No prazo","Fora do prazo")))</f>
        <v/>
      </c>
    </row>
    <row r="1858">
      <c r="B1858" s="22" t="n"/>
      <c r="E1858" s="23" t="n"/>
      <c r="F1858" s="24" t="n"/>
      <c r="H1858" s="22" t="n"/>
      <c r="I1858" s="22" t="n"/>
      <c r="J1858" s="21">
        <f>IF(C1858="","",IFERROR(INDEX(Clientes!$B:$B,MATCH(C1858,Clientes!$A:$A,0)),"Cód. não cadastrado"))</f>
        <v/>
      </c>
      <c r="K1858" s="18">
        <f>IF(B1858="","",YEAR(B1858))</f>
        <v/>
      </c>
      <c r="L1858" s="18">
        <f>IF(B1858="","",MONTH(B1858))</f>
        <v/>
      </c>
      <c r="M1858" s="18">
        <f>IF(OR(B1858="",I1858=""),"",I1858-B1858)</f>
        <v/>
      </c>
      <c r="N1858" s="21">
        <f>IF(B1858="","",IF(I1858="",IF(H1858="","",IF(TODAY()&gt;H1858,"Atrasado (em aberto)","Em aberto")),IF(I1858&lt;=H1858,"No prazo","Fora do prazo")))</f>
        <v/>
      </c>
    </row>
    <row r="1859">
      <c r="B1859" s="22" t="n"/>
      <c r="E1859" s="23" t="n"/>
      <c r="F1859" s="24" t="n"/>
      <c r="H1859" s="22" t="n"/>
      <c r="I1859" s="22" t="n"/>
      <c r="J1859" s="21">
        <f>IF(C1859="","",IFERROR(INDEX(Clientes!$B:$B,MATCH(C1859,Clientes!$A:$A,0)),"Cód. não cadastrado"))</f>
        <v/>
      </c>
      <c r="K1859" s="18">
        <f>IF(B1859="","",YEAR(B1859))</f>
        <v/>
      </c>
      <c r="L1859" s="18">
        <f>IF(B1859="","",MONTH(B1859))</f>
        <v/>
      </c>
      <c r="M1859" s="18">
        <f>IF(OR(B1859="",I1859=""),"",I1859-B1859)</f>
        <v/>
      </c>
      <c r="N1859" s="21">
        <f>IF(B1859="","",IF(I1859="",IF(H1859="","",IF(TODAY()&gt;H1859,"Atrasado (em aberto)","Em aberto")),IF(I1859&lt;=H1859,"No prazo","Fora do prazo")))</f>
        <v/>
      </c>
    </row>
    <row r="1860">
      <c r="B1860" s="22" t="n"/>
      <c r="E1860" s="23" t="n"/>
      <c r="F1860" s="24" t="n"/>
      <c r="H1860" s="22" t="n"/>
      <c r="I1860" s="22" t="n"/>
      <c r="J1860" s="21">
        <f>IF(C1860="","",IFERROR(INDEX(Clientes!$B:$B,MATCH(C1860,Clientes!$A:$A,0)),"Cód. não cadastrado"))</f>
        <v/>
      </c>
      <c r="K1860" s="18">
        <f>IF(B1860="","",YEAR(B1860))</f>
        <v/>
      </c>
      <c r="L1860" s="18">
        <f>IF(B1860="","",MONTH(B1860))</f>
        <v/>
      </c>
      <c r="M1860" s="18">
        <f>IF(OR(B1860="",I1860=""),"",I1860-B1860)</f>
        <v/>
      </c>
      <c r="N1860" s="21">
        <f>IF(B1860="","",IF(I1860="",IF(H1860="","",IF(TODAY()&gt;H1860,"Atrasado (em aberto)","Em aberto")),IF(I1860&lt;=H1860,"No prazo","Fora do prazo")))</f>
        <v/>
      </c>
    </row>
    <row r="1861">
      <c r="B1861" s="22" t="n"/>
      <c r="E1861" s="23" t="n"/>
      <c r="F1861" s="24" t="n"/>
      <c r="H1861" s="22" t="n"/>
      <c r="I1861" s="22" t="n"/>
      <c r="J1861" s="21">
        <f>IF(C1861="","",IFERROR(INDEX(Clientes!$B:$B,MATCH(C1861,Clientes!$A:$A,0)),"Cód. não cadastrado"))</f>
        <v/>
      </c>
      <c r="K1861" s="18">
        <f>IF(B1861="","",YEAR(B1861))</f>
        <v/>
      </c>
      <c r="L1861" s="18">
        <f>IF(B1861="","",MONTH(B1861))</f>
        <v/>
      </c>
      <c r="M1861" s="18">
        <f>IF(OR(B1861="",I1861=""),"",I1861-B1861)</f>
        <v/>
      </c>
      <c r="N1861" s="21">
        <f>IF(B1861="","",IF(I1861="",IF(H1861="","",IF(TODAY()&gt;H1861,"Atrasado (em aberto)","Em aberto")),IF(I1861&lt;=H1861,"No prazo","Fora do prazo")))</f>
        <v/>
      </c>
    </row>
    <row r="1862">
      <c r="B1862" s="22" t="n"/>
      <c r="E1862" s="23" t="n"/>
      <c r="F1862" s="24" t="n"/>
      <c r="H1862" s="22" t="n"/>
      <c r="I1862" s="22" t="n"/>
      <c r="J1862" s="21">
        <f>IF(C1862="","",IFERROR(INDEX(Clientes!$B:$B,MATCH(C1862,Clientes!$A:$A,0)),"Cód. não cadastrado"))</f>
        <v/>
      </c>
      <c r="K1862" s="18">
        <f>IF(B1862="","",YEAR(B1862))</f>
        <v/>
      </c>
      <c r="L1862" s="18">
        <f>IF(B1862="","",MONTH(B1862))</f>
        <v/>
      </c>
      <c r="M1862" s="18">
        <f>IF(OR(B1862="",I1862=""),"",I1862-B1862)</f>
        <v/>
      </c>
      <c r="N1862" s="21">
        <f>IF(B1862="","",IF(I1862="",IF(H1862="","",IF(TODAY()&gt;H1862,"Atrasado (em aberto)","Em aberto")),IF(I1862&lt;=H1862,"No prazo","Fora do prazo")))</f>
        <v/>
      </c>
    </row>
    <row r="1863">
      <c r="B1863" s="22" t="n"/>
      <c r="E1863" s="23" t="n"/>
      <c r="F1863" s="24" t="n"/>
      <c r="H1863" s="22" t="n"/>
      <c r="I1863" s="22" t="n"/>
      <c r="J1863" s="21">
        <f>IF(C1863="","",IFERROR(INDEX(Clientes!$B:$B,MATCH(C1863,Clientes!$A:$A,0)),"Cód. não cadastrado"))</f>
        <v/>
      </c>
      <c r="K1863" s="18">
        <f>IF(B1863="","",YEAR(B1863))</f>
        <v/>
      </c>
      <c r="L1863" s="18">
        <f>IF(B1863="","",MONTH(B1863))</f>
        <v/>
      </c>
      <c r="M1863" s="18">
        <f>IF(OR(B1863="",I1863=""),"",I1863-B1863)</f>
        <v/>
      </c>
      <c r="N1863" s="21">
        <f>IF(B1863="","",IF(I1863="",IF(H1863="","",IF(TODAY()&gt;H1863,"Atrasado (em aberto)","Em aberto")),IF(I1863&lt;=H1863,"No prazo","Fora do prazo")))</f>
        <v/>
      </c>
    </row>
    <row r="1864">
      <c r="B1864" s="22" t="n"/>
      <c r="E1864" s="23" t="n"/>
      <c r="F1864" s="24" t="n"/>
      <c r="H1864" s="22" t="n"/>
      <c r="I1864" s="22" t="n"/>
      <c r="J1864" s="21">
        <f>IF(C1864="","",IFERROR(INDEX(Clientes!$B:$B,MATCH(C1864,Clientes!$A:$A,0)),"Cód. não cadastrado"))</f>
        <v/>
      </c>
      <c r="K1864" s="18">
        <f>IF(B1864="","",YEAR(B1864))</f>
        <v/>
      </c>
      <c r="L1864" s="18">
        <f>IF(B1864="","",MONTH(B1864))</f>
        <v/>
      </c>
      <c r="M1864" s="18">
        <f>IF(OR(B1864="",I1864=""),"",I1864-B1864)</f>
        <v/>
      </c>
      <c r="N1864" s="21">
        <f>IF(B1864="","",IF(I1864="",IF(H1864="","",IF(TODAY()&gt;H1864,"Atrasado (em aberto)","Em aberto")),IF(I1864&lt;=H1864,"No prazo","Fora do prazo")))</f>
        <v/>
      </c>
    </row>
    <row r="1865">
      <c r="B1865" s="22" t="n"/>
      <c r="E1865" s="23" t="n"/>
      <c r="F1865" s="24" t="n"/>
      <c r="H1865" s="22" t="n"/>
      <c r="I1865" s="22" t="n"/>
      <c r="J1865" s="21">
        <f>IF(C1865="","",IFERROR(INDEX(Clientes!$B:$B,MATCH(C1865,Clientes!$A:$A,0)),"Cód. não cadastrado"))</f>
        <v/>
      </c>
      <c r="K1865" s="18">
        <f>IF(B1865="","",YEAR(B1865))</f>
        <v/>
      </c>
      <c r="L1865" s="18">
        <f>IF(B1865="","",MONTH(B1865))</f>
        <v/>
      </c>
      <c r="M1865" s="18">
        <f>IF(OR(B1865="",I1865=""),"",I1865-B1865)</f>
        <v/>
      </c>
      <c r="N1865" s="21">
        <f>IF(B1865="","",IF(I1865="",IF(H1865="","",IF(TODAY()&gt;H1865,"Atrasado (em aberto)","Em aberto")),IF(I1865&lt;=H1865,"No prazo","Fora do prazo")))</f>
        <v/>
      </c>
    </row>
    <row r="1866">
      <c r="B1866" s="22" t="n"/>
      <c r="E1866" s="23" t="n"/>
      <c r="F1866" s="24" t="n"/>
      <c r="H1866" s="22" t="n"/>
      <c r="I1866" s="22" t="n"/>
      <c r="J1866" s="21">
        <f>IF(C1866="","",IFERROR(INDEX(Clientes!$B:$B,MATCH(C1866,Clientes!$A:$A,0)),"Cód. não cadastrado"))</f>
        <v/>
      </c>
      <c r="K1866" s="18">
        <f>IF(B1866="","",YEAR(B1866))</f>
        <v/>
      </c>
      <c r="L1866" s="18">
        <f>IF(B1866="","",MONTH(B1866))</f>
        <v/>
      </c>
      <c r="M1866" s="18">
        <f>IF(OR(B1866="",I1866=""),"",I1866-B1866)</f>
        <v/>
      </c>
      <c r="N1866" s="21">
        <f>IF(B1866="","",IF(I1866="",IF(H1866="","",IF(TODAY()&gt;H1866,"Atrasado (em aberto)","Em aberto")),IF(I1866&lt;=H1866,"No prazo","Fora do prazo")))</f>
        <v/>
      </c>
    </row>
    <row r="1867">
      <c r="B1867" s="22" t="n"/>
      <c r="E1867" s="23" t="n"/>
      <c r="F1867" s="24" t="n"/>
      <c r="H1867" s="22" t="n"/>
      <c r="I1867" s="22" t="n"/>
      <c r="J1867" s="21">
        <f>IF(C1867="","",IFERROR(INDEX(Clientes!$B:$B,MATCH(C1867,Clientes!$A:$A,0)),"Cód. não cadastrado"))</f>
        <v/>
      </c>
      <c r="K1867" s="18">
        <f>IF(B1867="","",YEAR(B1867))</f>
        <v/>
      </c>
      <c r="L1867" s="18">
        <f>IF(B1867="","",MONTH(B1867))</f>
        <v/>
      </c>
      <c r="M1867" s="18">
        <f>IF(OR(B1867="",I1867=""),"",I1867-B1867)</f>
        <v/>
      </c>
      <c r="N1867" s="21">
        <f>IF(B1867="","",IF(I1867="",IF(H1867="","",IF(TODAY()&gt;H1867,"Atrasado (em aberto)","Em aberto")),IF(I1867&lt;=H1867,"No prazo","Fora do prazo")))</f>
        <v/>
      </c>
    </row>
    <row r="1868">
      <c r="B1868" s="22" t="n"/>
      <c r="E1868" s="23" t="n"/>
      <c r="F1868" s="24" t="n"/>
      <c r="H1868" s="22" t="n"/>
      <c r="I1868" s="22" t="n"/>
      <c r="J1868" s="21">
        <f>IF(C1868="","",IFERROR(INDEX(Clientes!$B:$B,MATCH(C1868,Clientes!$A:$A,0)),"Cód. não cadastrado"))</f>
        <v/>
      </c>
      <c r="K1868" s="18">
        <f>IF(B1868="","",YEAR(B1868))</f>
        <v/>
      </c>
      <c r="L1868" s="18">
        <f>IF(B1868="","",MONTH(B1868))</f>
        <v/>
      </c>
      <c r="M1868" s="18">
        <f>IF(OR(B1868="",I1868=""),"",I1868-B1868)</f>
        <v/>
      </c>
      <c r="N1868" s="21">
        <f>IF(B1868="","",IF(I1868="",IF(H1868="","",IF(TODAY()&gt;H1868,"Atrasado (em aberto)","Em aberto")),IF(I1868&lt;=H1868,"No prazo","Fora do prazo")))</f>
        <v/>
      </c>
    </row>
    <row r="1869">
      <c r="B1869" s="22" t="n"/>
      <c r="E1869" s="23" t="n"/>
      <c r="F1869" s="24" t="n"/>
      <c r="H1869" s="22" t="n"/>
      <c r="I1869" s="22" t="n"/>
      <c r="J1869" s="21">
        <f>IF(C1869="","",IFERROR(INDEX(Clientes!$B:$B,MATCH(C1869,Clientes!$A:$A,0)),"Cód. não cadastrado"))</f>
        <v/>
      </c>
      <c r="K1869" s="18">
        <f>IF(B1869="","",YEAR(B1869))</f>
        <v/>
      </c>
      <c r="L1869" s="18">
        <f>IF(B1869="","",MONTH(B1869))</f>
        <v/>
      </c>
      <c r="M1869" s="18">
        <f>IF(OR(B1869="",I1869=""),"",I1869-B1869)</f>
        <v/>
      </c>
      <c r="N1869" s="21">
        <f>IF(B1869="","",IF(I1869="",IF(H1869="","",IF(TODAY()&gt;H1869,"Atrasado (em aberto)","Em aberto")),IF(I1869&lt;=H1869,"No prazo","Fora do prazo")))</f>
        <v/>
      </c>
    </row>
    <row r="1870">
      <c r="B1870" s="22" t="n"/>
      <c r="E1870" s="23" t="n"/>
      <c r="F1870" s="24" t="n"/>
      <c r="H1870" s="22" t="n"/>
      <c r="I1870" s="22" t="n"/>
      <c r="J1870" s="21">
        <f>IF(C1870="","",IFERROR(INDEX(Clientes!$B:$B,MATCH(C1870,Clientes!$A:$A,0)),"Cód. não cadastrado"))</f>
        <v/>
      </c>
      <c r="K1870" s="18">
        <f>IF(B1870="","",YEAR(B1870))</f>
        <v/>
      </c>
      <c r="L1870" s="18">
        <f>IF(B1870="","",MONTH(B1870))</f>
        <v/>
      </c>
      <c r="M1870" s="18">
        <f>IF(OR(B1870="",I1870=""),"",I1870-B1870)</f>
        <v/>
      </c>
      <c r="N1870" s="21">
        <f>IF(B1870="","",IF(I1870="",IF(H1870="","",IF(TODAY()&gt;H1870,"Atrasado (em aberto)","Em aberto")),IF(I1870&lt;=H1870,"No prazo","Fora do prazo")))</f>
        <v/>
      </c>
    </row>
    <row r="1871">
      <c r="B1871" s="22" t="n"/>
      <c r="E1871" s="23" t="n"/>
      <c r="F1871" s="24" t="n"/>
      <c r="H1871" s="22" t="n"/>
      <c r="I1871" s="22" t="n"/>
      <c r="J1871" s="21">
        <f>IF(C1871="","",IFERROR(INDEX(Clientes!$B:$B,MATCH(C1871,Clientes!$A:$A,0)),"Cód. não cadastrado"))</f>
        <v/>
      </c>
      <c r="K1871" s="18">
        <f>IF(B1871="","",YEAR(B1871))</f>
        <v/>
      </c>
      <c r="L1871" s="18">
        <f>IF(B1871="","",MONTH(B1871))</f>
        <v/>
      </c>
      <c r="M1871" s="18">
        <f>IF(OR(B1871="",I1871=""),"",I1871-B1871)</f>
        <v/>
      </c>
      <c r="N1871" s="21">
        <f>IF(B1871="","",IF(I1871="",IF(H1871="","",IF(TODAY()&gt;H1871,"Atrasado (em aberto)","Em aberto")),IF(I1871&lt;=H1871,"No prazo","Fora do prazo")))</f>
        <v/>
      </c>
    </row>
    <row r="1872">
      <c r="B1872" s="22" t="n"/>
      <c r="E1872" s="23" t="n"/>
      <c r="F1872" s="24" t="n"/>
      <c r="H1872" s="22" t="n"/>
      <c r="I1872" s="22" t="n"/>
      <c r="J1872" s="21">
        <f>IF(C1872="","",IFERROR(INDEX(Clientes!$B:$B,MATCH(C1872,Clientes!$A:$A,0)),"Cód. não cadastrado"))</f>
        <v/>
      </c>
      <c r="K1872" s="18">
        <f>IF(B1872="","",YEAR(B1872))</f>
        <v/>
      </c>
      <c r="L1872" s="18">
        <f>IF(B1872="","",MONTH(B1872))</f>
        <v/>
      </c>
      <c r="M1872" s="18">
        <f>IF(OR(B1872="",I1872=""),"",I1872-B1872)</f>
        <v/>
      </c>
      <c r="N1872" s="21">
        <f>IF(B1872="","",IF(I1872="",IF(H1872="","",IF(TODAY()&gt;H1872,"Atrasado (em aberto)","Em aberto")),IF(I1872&lt;=H1872,"No prazo","Fora do prazo")))</f>
        <v/>
      </c>
    </row>
    <row r="1873">
      <c r="B1873" s="22" t="n"/>
      <c r="E1873" s="23" t="n"/>
      <c r="F1873" s="24" t="n"/>
      <c r="H1873" s="22" t="n"/>
      <c r="I1873" s="22" t="n"/>
      <c r="J1873" s="21">
        <f>IF(C1873="","",IFERROR(INDEX(Clientes!$B:$B,MATCH(C1873,Clientes!$A:$A,0)),"Cód. não cadastrado"))</f>
        <v/>
      </c>
      <c r="K1873" s="18">
        <f>IF(B1873="","",YEAR(B1873))</f>
        <v/>
      </c>
      <c r="L1873" s="18">
        <f>IF(B1873="","",MONTH(B1873))</f>
        <v/>
      </c>
      <c r="M1873" s="18">
        <f>IF(OR(B1873="",I1873=""),"",I1873-B1873)</f>
        <v/>
      </c>
      <c r="N1873" s="21">
        <f>IF(B1873="","",IF(I1873="",IF(H1873="","",IF(TODAY()&gt;H1873,"Atrasado (em aberto)","Em aberto")),IF(I1873&lt;=H1873,"No prazo","Fora do prazo")))</f>
        <v/>
      </c>
    </row>
    <row r="1874">
      <c r="B1874" s="22" t="n"/>
      <c r="E1874" s="23" t="n"/>
      <c r="F1874" s="24" t="n"/>
      <c r="H1874" s="22" t="n"/>
      <c r="I1874" s="22" t="n"/>
      <c r="J1874" s="21">
        <f>IF(C1874="","",IFERROR(INDEX(Clientes!$B:$B,MATCH(C1874,Clientes!$A:$A,0)),"Cód. não cadastrado"))</f>
        <v/>
      </c>
      <c r="K1874" s="18">
        <f>IF(B1874="","",YEAR(B1874))</f>
        <v/>
      </c>
      <c r="L1874" s="18">
        <f>IF(B1874="","",MONTH(B1874))</f>
        <v/>
      </c>
      <c r="M1874" s="18">
        <f>IF(OR(B1874="",I1874=""),"",I1874-B1874)</f>
        <v/>
      </c>
      <c r="N1874" s="21">
        <f>IF(B1874="","",IF(I1874="",IF(H1874="","",IF(TODAY()&gt;H1874,"Atrasado (em aberto)","Em aberto")),IF(I1874&lt;=H1874,"No prazo","Fora do prazo")))</f>
        <v/>
      </c>
    </row>
    <row r="1875">
      <c r="B1875" s="22" t="n"/>
      <c r="E1875" s="23" t="n"/>
      <c r="F1875" s="24" t="n"/>
      <c r="H1875" s="22" t="n"/>
      <c r="I1875" s="22" t="n"/>
      <c r="J1875" s="21">
        <f>IF(C1875="","",IFERROR(INDEX(Clientes!$B:$B,MATCH(C1875,Clientes!$A:$A,0)),"Cód. não cadastrado"))</f>
        <v/>
      </c>
      <c r="K1875" s="18">
        <f>IF(B1875="","",YEAR(B1875))</f>
        <v/>
      </c>
      <c r="L1875" s="18">
        <f>IF(B1875="","",MONTH(B1875))</f>
        <v/>
      </c>
      <c r="M1875" s="18">
        <f>IF(OR(B1875="",I1875=""),"",I1875-B1875)</f>
        <v/>
      </c>
      <c r="N1875" s="21">
        <f>IF(B1875="","",IF(I1875="",IF(H1875="","",IF(TODAY()&gt;H1875,"Atrasado (em aberto)","Em aberto")),IF(I1875&lt;=H1875,"No prazo","Fora do prazo")))</f>
        <v/>
      </c>
    </row>
    <row r="1876">
      <c r="B1876" s="22" t="n"/>
      <c r="E1876" s="23" t="n"/>
      <c r="F1876" s="24" t="n"/>
      <c r="H1876" s="22" t="n"/>
      <c r="I1876" s="22" t="n"/>
      <c r="J1876" s="21">
        <f>IF(C1876="","",IFERROR(INDEX(Clientes!$B:$B,MATCH(C1876,Clientes!$A:$A,0)),"Cód. não cadastrado"))</f>
        <v/>
      </c>
      <c r="K1876" s="18">
        <f>IF(B1876="","",YEAR(B1876))</f>
        <v/>
      </c>
      <c r="L1876" s="18">
        <f>IF(B1876="","",MONTH(B1876))</f>
        <v/>
      </c>
      <c r="M1876" s="18">
        <f>IF(OR(B1876="",I1876=""),"",I1876-B1876)</f>
        <v/>
      </c>
      <c r="N1876" s="21">
        <f>IF(B1876="","",IF(I1876="",IF(H1876="","",IF(TODAY()&gt;H1876,"Atrasado (em aberto)","Em aberto")),IF(I1876&lt;=H1876,"No prazo","Fora do prazo")))</f>
        <v/>
      </c>
    </row>
    <row r="1877">
      <c r="B1877" s="22" t="n"/>
      <c r="E1877" s="23" t="n"/>
      <c r="F1877" s="24" t="n"/>
      <c r="H1877" s="22" t="n"/>
      <c r="I1877" s="22" t="n"/>
      <c r="J1877" s="21">
        <f>IF(C1877="","",IFERROR(INDEX(Clientes!$B:$B,MATCH(C1877,Clientes!$A:$A,0)),"Cód. não cadastrado"))</f>
        <v/>
      </c>
      <c r="K1877" s="18">
        <f>IF(B1877="","",YEAR(B1877))</f>
        <v/>
      </c>
      <c r="L1877" s="18">
        <f>IF(B1877="","",MONTH(B1877))</f>
        <v/>
      </c>
      <c r="M1877" s="18">
        <f>IF(OR(B1877="",I1877=""),"",I1877-B1877)</f>
        <v/>
      </c>
      <c r="N1877" s="21">
        <f>IF(B1877="","",IF(I1877="",IF(H1877="","",IF(TODAY()&gt;H1877,"Atrasado (em aberto)","Em aberto")),IF(I1877&lt;=H1877,"No prazo","Fora do prazo")))</f>
        <v/>
      </c>
    </row>
    <row r="1878">
      <c r="B1878" s="22" t="n"/>
      <c r="E1878" s="23" t="n"/>
      <c r="F1878" s="24" t="n"/>
      <c r="H1878" s="22" t="n"/>
      <c r="I1878" s="22" t="n"/>
      <c r="J1878" s="21">
        <f>IF(C1878="","",IFERROR(INDEX(Clientes!$B:$B,MATCH(C1878,Clientes!$A:$A,0)),"Cód. não cadastrado"))</f>
        <v/>
      </c>
      <c r="K1878" s="18">
        <f>IF(B1878="","",YEAR(B1878))</f>
        <v/>
      </c>
      <c r="L1878" s="18">
        <f>IF(B1878="","",MONTH(B1878))</f>
        <v/>
      </c>
      <c r="M1878" s="18">
        <f>IF(OR(B1878="",I1878=""),"",I1878-B1878)</f>
        <v/>
      </c>
      <c r="N1878" s="21">
        <f>IF(B1878="","",IF(I1878="",IF(H1878="","",IF(TODAY()&gt;H1878,"Atrasado (em aberto)","Em aberto")),IF(I1878&lt;=H1878,"No prazo","Fora do prazo")))</f>
        <v/>
      </c>
    </row>
    <row r="1879">
      <c r="B1879" s="22" t="n"/>
      <c r="E1879" s="23" t="n"/>
      <c r="F1879" s="24" t="n"/>
      <c r="H1879" s="22" t="n"/>
      <c r="I1879" s="22" t="n"/>
      <c r="J1879" s="21">
        <f>IF(C1879="","",IFERROR(INDEX(Clientes!$B:$B,MATCH(C1879,Clientes!$A:$A,0)),"Cód. não cadastrado"))</f>
        <v/>
      </c>
      <c r="K1879" s="18">
        <f>IF(B1879="","",YEAR(B1879))</f>
        <v/>
      </c>
      <c r="L1879" s="18">
        <f>IF(B1879="","",MONTH(B1879))</f>
        <v/>
      </c>
      <c r="M1879" s="18">
        <f>IF(OR(B1879="",I1879=""),"",I1879-B1879)</f>
        <v/>
      </c>
      <c r="N1879" s="21">
        <f>IF(B1879="","",IF(I1879="",IF(H1879="","",IF(TODAY()&gt;H1879,"Atrasado (em aberto)","Em aberto")),IF(I1879&lt;=H1879,"No prazo","Fora do prazo")))</f>
        <v/>
      </c>
    </row>
    <row r="1880">
      <c r="B1880" s="22" t="n"/>
      <c r="E1880" s="23" t="n"/>
      <c r="F1880" s="24" t="n"/>
      <c r="H1880" s="22" t="n"/>
      <c r="I1880" s="22" t="n"/>
      <c r="J1880" s="21">
        <f>IF(C1880="","",IFERROR(INDEX(Clientes!$B:$B,MATCH(C1880,Clientes!$A:$A,0)),"Cód. não cadastrado"))</f>
        <v/>
      </c>
      <c r="K1880" s="18">
        <f>IF(B1880="","",YEAR(B1880))</f>
        <v/>
      </c>
      <c r="L1880" s="18">
        <f>IF(B1880="","",MONTH(B1880))</f>
        <v/>
      </c>
      <c r="M1880" s="18">
        <f>IF(OR(B1880="",I1880=""),"",I1880-B1880)</f>
        <v/>
      </c>
      <c r="N1880" s="21">
        <f>IF(B1880="","",IF(I1880="",IF(H1880="","",IF(TODAY()&gt;H1880,"Atrasado (em aberto)","Em aberto")),IF(I1880&lt;=H1880,"No prazo","Fora do prazo")))</f>
        <v/>
      </c>
    </row>
    <row r="1881">
      <c r="B1881" s="22" t="n"/>
      <c r="E1881" s="23" t="n"/>
      <c r="F1881" s="24" t="n"/>
      <c r="H1881" s="22" t="n"/>
      <c r="I1881" s="22" t="n"/>
      <c r="J1881" s="21">
        <f>IF(C1881="","",IFERROR(INDEX(Clientes!$B:$B,MATCH(C1881,Clientes!$A:$A,0)),"Cód. não cadastrado"))</f>
        <v/>
      </c>
      <c r="K1881" s="18">
        <f>IF(B1881="","",YEAR(B1881))</f>
        <v/>
      </c>
      <c r="L1881" s="18">
        <f>IF(B1881="","",MONTH(B1881))</f>
        <v/>
      </c>
      <c r="M1881" s="18">
        <f>IF(OR(B1881="",I1881=""),"",I1881-B1881)</f>
        <v/>
      </c>
      <c r="N1881" s="21">
        <f>IF(B1881="","",IF(I1881="",IF(H1881="","",IF(TODAY()&gt;H1881,"Atrasado (em aberto)","Em aberto")),IF(I1881&lt;=H1881,"No prazo","Fora do prazo")))</f>
        <v/>
      </c>
    </row>
    <row r="1882">
      <c r="B1882" s="22" t="n"/>
      <c r="E1882" s="23" t="n"/>
      <c r="F1882" s="24" t="n"/>
      <c r="H1882" s="22" t="n"/>
      <c r="I1882" s="22" t="n"/>
      <c r="J1882" s="21">
        <f>IF(C1882="","",IFERROR(INDEX(Clientes!$B:$B,MATCH(C1882,Clientes!$A:$A,0)),"Cód. não cadastrado"))</f>
        <v/>
      </c>
      <c r="K1882" s="18">
        <f>IF(B1882="","",YEAR(B1882))</f>
        <v/>
      </c>
      <c r="L1882" s="18">
        <f>IF(B1882="","",MONTH(B1882))</f>
        <v/>
      </c>
      <c r="M1882" s="18">
        <f>IF(OR(B1882="",I1882=""),"",I1882-B1882)</f>
        <v/>
      </c>
      <c r="N1882" s="21">
        <f>IF(B1882="","",IF(I1882="",IF(H1882="","",IF(TODAY()&gt;H1882,"Atrasado (em aberto)","Em aberto")),IF(I1882&lt;=H1882,"No prazo","Fora do prazo")))</f>
        <v/>
      </c>
    </row>
    <row r="1883">
      <c r="B1883" s="22" t="n"/>
      <c r="E1883" s="23" t="n"/>
      <c r="F1883" s="24" t="n"/>
      <c r="H1883" s="22" t="n"/>
      <c r="I1883" s="22" t="n"/>
      <c r="J1883" s="21">
        <f>IF(C1883="","",IFERROR(INDEX(Clientes!$B:$B,MATCH(C1883,Clientes!$A:$A,0)),"Cód. não cadastrado"))</f>
        <v/>
      </c>
      <c r="K1883" s="18">
        <f>IF(B1883="","",YEAR(B1883))</f>
        <v/>
      </c>
      <c r="L1883" s="18">
        <f>IF(B1883="","",MONTH(B1883))</f>
        <v/>
      </c>
      <c r="M1883" s="18">
        <f>IF(OR(B1883="",I1883=""),"",I1883-B1883)</f>
        <v/>
      </c>
      <c r="N1883" s="21">
        <f>IF(B1883="","",IF(I1883="",IF(H1883="","",IF(TODAY()&gt;H1883,"Atrasado (em aberto)","Em aberto")),IF(I1883&lt;=H1883,"No prazo","Fora do prazo")))</f>
        <v/>
      </c>
    </row>
    <row r="1884">
      <c r="B1884" s="22" t="n"/>
      <c r="E1884" s="23" t="n"/>
      <c r="F1884" s="24" t="n"/>
      <c r="H1884" s="22" t="n"/>
      <c r="I1884" s="22" t="n"/>
      <c r="J1884" s="21">
        <f>IF(C1884="","",IFERROR(INDEX(Clientes!$B:$B,MATCH(C1884,Clientes!$A:$A,0)),"Cód. não cadastrado"))</f>
        <v/>
      </c>
      <c r="K1884" s="18">
        <f>IF(B1884="","",YEAR(B1884))</f>
        <v/>
      </c>
      <c r="L1884" s="18">
        <f>IF(B1884="","",MONTH(B1884))</f>
        <v/>
      </c>
      <c r="M1884" s="18">
        <f>IF(OR(B1884="",I1884=""),"",I1884-B1884)</f>
        <v/>
      </c>
      <c r="N1884" s="21">
        <f>IF(B1884="","",IF(I1884="",IF(H1884="","",IF(TODAY()&gt;H1884,"Atrasado (em aberto)","Em aberto")),IF(I1884&lt;=H1884,"No prazo","Fora do prazo")))</f>
        <v/>
      </c>
    </row>
    <row r="1885">
      <c r="B1885" s="22" t="n"/>
      <c r="E1885" s="23" t="n"/>
      <c r="F1885" s="24" t="n"/>
      <c r="H1885" s="22" t="n"/>
      <c r="I1885" s="22" t="n"/>
      <c r="J1885" s="21">
        <f>IF(C1885="","",IFERROR(INDEX(Clientes!$B:$B,MATCH(C1885,Clientes!$A:$A,0)),"Cód. não cadastrado"))</f>
        <v/>
      </c>
      <c r="K1885" s="18">
        <f>IF(B1885="","",YEAR(B1885))</f>
        <v/>
      </c>
      <c r="L1885" s="18">
        <f>IF(B1885="","",MONTH(B1885))</f>
        <v/>
      </c>
      <c r="M1885" s="18">
        <f>IF(OR(B1885="",I1885=""),"",I1885-B1885)</f>
        <v/>
      </c>
      <c r="N1885" s="21">
        <f>IF(B1885="","",IF(I1885="",IF(H1885="","",IF(TODAY()&gt;H1885,"Atrasado (em aberto)","Em aberto")),IF(I1885&lt;=H1885,"No prazo","Fora do prazo")))</f>
        <v/>
      </c>
    </row>
    <row r="1886">
      <c r="B1886" s="22" t="n"/>
      <c r="E1886" s="23" t="n"/>
      <c r="F1886" s="24" t="n"/>
      <c r="H1886" s="22" t="n"/>
      <c r="I1886" s="22" t="n"/>
      <c r="J1886" s="21">
        <f>IF(C1886="","",IFERROR(INDEX(Clientes!$B:$B,MATCH(C1886,Clientes!$A:$A,0)),"Cód. não cadastrado"))</f>
        <v/>
      </c>
      <c r="K1886" s="18">
        <f>IF(B1886="","",YEAR(B1886))</f>
        <v/>
      </c>
      <c r="L1886" s="18">
        <f>IF(B1886="","",MONTH(B1886))</f>
        <v/>
      </c>
      <c r="M1886" s="18">
        <f>IF(OR(B1886="",I1886=""),"",I1886-B1886)</f>
        <v/>
      </c>
      <c r="N1886" s="21">
        <f>IF(B1886="","",IF(I1886="",IF(H1886="","",IF(TODAY()&gt;H1886,"Atrasado (em aberto)","Em aberto")),IF(I1886&lt;=H1886,"No prazo","Fora do prazo")))</f>
        <v/>
      </c>
    </row>
    <row r="1887">
      <c r="B1887" s="22" t="n"/>
      <c r="E1887" s="23" t="n"/>
      <c r="F1887" s="24" t="n"/>
      <c r="H1887" s="22" t="n"/>
      <c r="I1887" s="22" t="n"/>
      <c r="J1887" s="21">
        <f>IF(C1887="","",IFERROR(INDEX(Clientes!$B:$B,MATCH(C1887,Clientes!$A:$A,0)),"Cód. não cadastrado"))</f>
        <v/>
      </c>
      <c r="K1887" s="18">
        <f>IF(B1887="","",YEAR(B1887))</f>
        <v/>
      </c>
      <c r="L1887" s="18">
        <f>IF(B1887="","",MONTH(B1887))</f>
        <v/>
      </c>
      <c r="M1887" s="18">
        <f>IF(OR(B1887="",I1887=""),"",I1887-B1887)</f>
        <v/>
      </c>
      <c r="N1887" s="21">
        <f>IF(B1887="","",IF(I1887="",IF(H1887="","",IF(TODAY()&gt;H1887,"Atrasado (em aberto)","Em aberto")),IF(I1887&lt;=H1887,"No prazo","Fora do prazo")))</f>
        <v/>
      </c>
    </row>
    <row r="1888">
      <c r="B1888" s="22" t="n"/>
      <c r="E1888" s="23" t="n"/>
      <c r="F1888" s="24" t="n"/>
      <c r="H1888" s="22" t="n"/>
      <c r="I1888" s="22" t="n"/>
      <c r="J1888" s="21">
        <f>IF(C1888="","",IFERROR(INDEX(Clientes!$B:$B,MATCH(C1888,Clientes!$A:$A,0)),"Cód. não cadastrado"))</f>
        <v/>
      </c>
      <c r="K1888" s="18">
        <f>IF(B1888="","",YEAR(B1888))</f>
        <v/>
      </c>
      <c r="L1888" s="18">
        <f>IF(B1888="","",MONTH(B1888))</f>
        <v/>
      </c>
      <c r="M1888" s="18">
        <f>IF(OR(B1888="",I1888=""),"",I1888-B1888)</f>
        <v/>
      </c>
      <c r="N1888" s="21">
        <f>IF(B1888="","",IF(I1888="",IF(H1888="","",IF(TODAY()&gt;H1888,"Atrasado (em aberto)","Em aberto")),IF(I1888&lt;=H1888,"No prazo","Fora do prazo")))</f>
        <v/>
      </c>
    </row>
    <row r="1889">
      <c r="B1889" s="22" t="n"/>
      <c r="E1889" s="23" t="n"/>
      <c r="F1889" s="24" t="n"/>
      <c r="H1889" s="22" t="n"/>
      <c r="I1889" s="22" t="n"/>
      <c r="J1889" s="21">
        <f>IF(C1889="","",IFERROR(INDEX(Clientes!$B:$B,MATCH(C1889,Clientes!$A:$A,0)),"Cód. não cadastrado"))</f>
        <v/>
      </c>
      <c r="K1889" s="18">
        <f>IF(B1889="","",YEAR(B1889))</f>
        <v/>
      </c>
      <c r="L1889" s="18">
        <f>IF(B1889="","",MONTH(B1889))</f>
        <v/>
      </c>
      <c r="M1889" s="18">
        <f>IF(OR(B1889="",I1889=""),"",I1889-B1889)</f>
        <v/>
      </c>
      <c r="N1889" s="21">
        <f>IF(B1889="","",IF(I1889="",IF(H1889="","",IF(TODAY()&gt;H1889,"Atrasado (em aberto)","Em aberto")),IF(I1889&lt;=H1889,"No prazo","Fora do prazo")))</f>
        <v/>
      </c>
    </row>
    <row r="1890">
      <c r="B1890" s="22" t="n"/>
      <c r="E1890" s="23" t="n"/>
      <c r="F1890" s="24" t="n"/>
      <c r="H1890" s="22" t="n"/>
      <c r="I1890" s="22" t="n"/>
      <c r="J1890" s="21">
        <f>IF(C1890="","",IFERROR(INDEX(Clientes!$B:$B,MATCH(C1890,Clientes!$A:$A,0)),"Cód. não cadastrado"))</f>
        <v/>
      </c>
      <c r="K1890" s="18">
        <f>IF(B1890="","",YEAR(B1890))</f>
        <v/>
      </c>
      <c r="L1890" s="18">
        <f>IF(B1890="","",MONTH(B1890))</f>
        <v/>
      </c>
      <c r="M1890" s="18">
        <f>IF(OR(B1890="",I1890=""),"",I1890-B1890)</f>
        <v/>
      </c>
      <c r="N1890" s="21">
        <f>IF(B1890="","",IF(I1890="",IF(H1890="","",IF(TODAY()&gt;H1890,"Atrasado (em aberto)","Em aberto")),IF(I1890&lt;=H1890,"No prazo","Fora do prazo")))</f>
        <v/>
      </c>
    </row>
    <row r="1891">
      <c r="B1891" s="22" t="n"/>
      <c r="E1891" s="23" t="n"/>
      <c r="F1891" s="24" t="n"/>
      <c r="H1891" s="22" t="n"/>
      <c r="I1891" s="22" t="n"/>
      <c r="J1891" s="21">
        <f>IF(C1891="","",IFERROR(INDEX(Clientes!$B:$B,MATCH(C1891,Clientes!$A:$A,0)),"Cód. não cadastrado"))</f>
        <v/>
      </c>
      <c r="K1891" s="18">
        <f>IF(B1891="","",YEAR(B1891))</f>
        <v/>
      </c>
      <c r="L1891" s="18">
        <f>IF(B1891="","",MONTH(B1891))</f>
        <v/>
      </c>
      <c r="M1891" s="18">
        <f>IF(OR(B1891="",I1891=""),"",I1891-B1891)</f>
        <v/>
      </c>
      <c r="N1891" s="21">
        <f>IF(B1891="","",IF(I1891="",IF(H1891="","",IF(TODAY()&gt;H1891,"Atrasado (em aberto)","Em aberto")),IF(I1891&lt;=H1891,"No prazo","Fora do prazo")))</f>
        <v/>
      </c>
    </row>
    <row r="1892">
      <c r="B1892" s="22" t="n"/>
      <c r="E1892" s="23" t="n"/>
      <c r="F1892" s="24" t="n"/>
      <c r="H1892" s="22" t="n"/>
      <c r="I1892" s="22" t="n"/>
      <c r="J1892" s="21">
        <f>IF(C1892="","",IFERROR(INDEX(Clientes!$B:$B,MATCH(C1892,Clientes!$A:$A,0)),"Cód. não cadastrado"))</f>
        <v/>
      </c>
      <c r="K1892" s="18">
        <f>IF(B1892="","",YEAR(B1892))</f>
        <v/>
      </c>
      <c r="L1892" s="18">
        <f>IF(B1892="","",MONTH(B1892))</f>
        <v/>
      </c>
      <c r="M1892" s="18">
        <f>IF(OR(B1892="",I1892=""),"",I1892-B1892)</f>
        <v/>
      </c>
      <c r="N1892" s="21">
        <f>IF(B1892="","",IF(I1892="",IF(H1892="","",IF(TODAY()&gt;H1892,"Atrasado (em aberto)","Em aberto")),IF(I1892&lt;=H1892,"No prazo","Fora do prazo")))</f>
        <v/>
      </c>
    </row>
    <row r="1893">
      <c r="B1893" s="22" t="n"/>
      <c r="E1893" s="23" t="n"/>
      <c r="F1893" s="24" t="n"/>
      <c r="H1893" s="22" t="n"/>
      <c r="I1893" s="22" t="n"/>
      <c r="J1893" s="21">
        <f>IF(C1893="","",IFERROR(INDEX(Clientes!$B:$B,MATCH(C1893,Clientes!$A:$A,0)),"Cód. não cadastrado"))</f>
        <v/>
      </c>
      <c r="K1893" s="18">
        <f>IF(B1893="","",YEAR(B1893))</f>
        <v/>
      </c>
      <c r="L1893" s="18">
        <f>IF(B1893="","",MONTH(B1893))</f>
        <v/>
      </c>
      <c r="M1893" s="18">
        <f>IF(OR(B1893="",I1893=""),"",I1893-B1893)</f>
        <v/>
      </c>
      <c r="N1893" s="21">
        <f>IF(B1893="","",IF(I1893="",IF(H1893="","",IF(TODAY()&gt;H1893,"Atrasado (em aberto)","Em aberto")),IF(I1893&lt;=H1893,"No prazo","Fora do prazo")))</f>
        <v/>
      </c>
    </row>
    <row r="1894">
      <c r="B1894" s="22" t="n"/>
      <c r="E1894" s="23" t="n"/>
      <c r="F1894" s="24" t="n"/>
      <c r="H1894" s="22" t="n"/>
      <c r="I1894" s="22" t="n"/>
      <c r="J1894" s="21">
        <f>IF(C1894="","",IFERROR(INDEX(Clientes!$B:$B,MATCH(C1894,Clientes!$A:$A,0)),"Cód. não cadastrado"))</f>
        <v/>
      </c>
      <c r="K1894" s="18">
        <f>IF(B1894="","",YEAR(B1894))</f>
        <v/>
      </c>
      <c r="L1894" s="18">
        <f>IF(B1894="","",MONTH(B1894))</f>
        <v/>
      </c>
      <c r="M1894" s="18">
        <f>IF(OR(B1894="",I1894=""),"",I1894-B1894)</f>
        <v/>
      </c>
      <c r="N1894" s="21">
        <f>IF(B1894="","",IF(I1894="",IF(H1894="","",IF(TODAY()&gt;H1894,"Atrasado (em aberto)","Em aberto")),IF(I1894&lt;=H1894,"No prazo","Fora do prazo")))</f>
        <v/>
      </c>
    </row>
    <row r="1895">
      <c r="B1895" s="22" t="n"/>
      <c r="E1895" s="23" t="n"/>
      <c r="F1895" s="24" t="n"/>
      <c r="H1895" s="22" t="n"/>
      <c r="I1895" s="22" t="n"/>
      <c r="J1895" s="21">
        <f>IF(C1895="","",IFERROR(INDEX(Clientes!$B:$B,MATCH(C1895,Clientes!$A:$A,0)),"Cód. não cadastrado"))</f>
        <v/>
      </c>
      <c r="K1895" s="18">
        <f>IF(B1895="","",YEAR(B1895))</f>
        <v/>
      </c>
      <c r="L1895" s="18">
        <f>IF(B1895="","",MONTH(B1895))</f>
        <v/>
      </c>
      <c r="M1895" s="18">
        <f>IF(OR(B1895="",I1895=""),"",I1895-B1895)</f>
        <v/>
      </c>
      <c r="N1895" s="21">
        <f>IF(B1895="","",IF(I1895="",IF(H1895="","",IF(TODAY()&gt;H1895,"Atrasado (em aberto)","Em aberto")),IF(I1895&lt;=H1895,"No prazo","Fora do prazo")))</f>
        <v/>
      </c>
    </row>
    <row r="1896">
      <c r="B1896" s="22" t="n"/>
      <c r="E1896" s="23" t="n"/>
      <c r="F1896" s="24" t="n"/>
      <c r="H1896" s="22" t="n"/>
      <c r="I1896" s="22" t="n"/>
      <c r="J1896" s="21">
        <f>IF(C1896="","",IFERROR(INDEX(Clientes!$B:$B,MATCH(C1896,Clientes!$A:$A,0)),"Cód. não cadastrado"))</f>
        <v/>
      </c>
      <c r="K1896" s="18">
        <f>IF(B1896="","",YEAR(B1896))</f>
        <v/>
      </c>
      <c r="L1896" s="18">
        <f>IF(B1896="","",MONTH(B1896))</f>
        <v/>
      </c>
      <c r="M1896" s="18">
        <f>IF(OR(B1896="",I1896=""),"",I1896-B1896)</f>
        <v/>
      </c>
      <c r="N1896" s="21">
        <f>IF(B1896="","",IF(I1896="",IF(H1896="","",IF(TODAY()&gt;H1896,"Atrasado (em aberto)","Em aberto")),IF(I1896&lt;=H1896,"No prazo","Fora do prazo")))</f>
        <v/>
      </c>
    </row>
    <row r="1897">
      <c r="B1897" s="22" t="n"/>
      <c r="E1897" s="23" t="n"/>
      <c r="F1897" s="24" t="n"/>
      <c r="H1897" s="22" t="n"/>
      <c r="I1897" s="22" t="n"/>
      <c r="J1897" s="21">
        <f>IF(C1897="","",IFERROR(INDEX(Clientes!$B:$B,MATCH(C1897,Clientes!$A:$A,0)),"Cód. não cadastrado"))</f>
        <v/>
      </c>
      <c r="K1897" s="18">
        <f>IF(B1897="","",YEAR(B1897))</f>
        <v/>
      </c>
      <c r="L1897" s="18">
        <f>IF(B1897="","",MONTH(B1897))</f>
        <v/>
      </c>
      <c r="M1897" s="18">
        <f>IF(OR(B1897="",I1897=""),"",I1897-B1897)</f>
        <v/>
      </c>
      <c r="N1897" s="21">
        <f>IF(B1897="","",IF(I1897="",IF(H1897="","",IF(TODAY()&gt;H1897,"Atrasado (em aberto)","Em aberto")),IF(I1897&lt;=H1897,"No prazo","Fora do prazo")))</f>
        <v/>
      </c>
    </row>
    <row r="1898">
      <c r="B1898" s="22" t="n"/>
      <c r="E1898" s="23" t="n"/>
      <c r="F1898" s="24" t="n"/>
      <c r="H1898" s="22" t="n"/>
      <c r="I1898" s="22" t="n"/>
      <c r="J1898" s="21">
        <f>IF(C1898="","",IFERROR(INDEX(Clientes!$B:$B,MATCH(C1898,Clientes!$A:$A,0)),"Cód. não cadastrado"))</f>
        <v/>
      </c>
      <c r="K1898" s="18">
        <f>IF(B1898="","",YEAR(B1898))</f>
        <v/>
      </c>
      <c r="L1898" s="18">
        <f>IF(B1898="","",MONTH(B1898))</f>
        <v/>
      </c>
      <c r="M1898" s="18">
        <f>IF(OR(B1898="",I1898=""),"",I1898-B1898)</f>
        <v/>
      </c>
      <c r="N1898" s="21">
        <f>IF(B1898="","",IF(I1898="",IF(H1898="","",IF(TODAY()&gt;H1898,"Atrasado (em aberto)","Em aberto")),IF(I1898&lt;=H1898,"No prazo","Fora do prazo")))</f>
        <v/>
      </c>
    </row>
    <row r="1899">
      <c r="B1899" s="22" t="n"/>
      <c r="E1899" s="23" t="n"/>
      <c r="F1899" s="24" t="n"/>
      <c r="H1899" s="22" t="n"/>
      <c r="I1899" s="22" t="n"/>
      <c r="J1899" s="21">
        <f>IF(C1899="","",IFERROR(INDEX(Clientes!$B:$B,MATCH(C1899,Clientes!$A:$A,0)),"Cód. não cadastrado"))</f>
        <v/>
      </c>
      <c r="K1899" s="18">
        <f>IF(B1899="","",YEAR(B1899))</f>
        <v/>
      </c>
      <c r="L1899" s="18">
        <f>IF(B1899="","",MONTH(B1899))</f>
        <v/>
      </c>
      <c r="M1899" s="18">
        <f>IF(OR(B1899="",I1899=""),"",I1899-B1899)</f>
        <v/>
      </c>
      <c r="N1899" s="21">
        <f>IF(B1899="","",IF(I1899="",IF(H1899="","",IF(TODAY()&gt;H1899,"Atrasado (em aberto)","Em aberto")),IF(I1899&lt;=H1899,"No prazo","Fora do prazo")))</f>
        <v/>
      </c>
    </row>
    <row r="1900">
      <c r="B1900" s="22" t="n"/>
      <c r="E1900" s="23" t="n"/>
      <c r="F1900" s="24" t="n"/>
      <c r="H1900" s="22" t="n"/>
      <c r="I1900" s="22" t="n"/>
      <c r="J1900" s="21">
        <f>IF(C1900="","",IFERROR(INDEX(Clientes!$B:$B,MATCH(C1900,Clientes!$A:$A,0)),"Cód. não cadastrado"))</f>
        <v/>
      </c>
      <c r="K1900" s="18">
        <f>IF(B1900="","",YEAR(B1900))</f>
        <v/>
      </c>
      <c r="L1900" s="18">
        <f>IF(B1900="","",MONTH(B1900))</f>
        <v/>
      </c>
      <c r="M1900" s="18">
        <f>IF(OR(B1900="",I1900=""),"",I1900-B1900)</f>
        <v/>
      </c>
      <c r="N1900" s="21">
        <f>IF(B1900="","",IF(I1900="",IF(H1900="","",IF(TODAY()&gt;H1900,"Atrasado (em aberto)","Em aberto")),IF(I1900&lt;=H1900,"No prazo","Fora do prazo")))</f>
        <v/>
      </c>
    </row>
    <row r="1901">
      <c r="B1901" s="22" t="n"/>
      <c r="E1901" s="23" t="n"/>
      <c r="F1901" s="24" t="n"/>
      <c r="H1901" s="22" t="n"/>
      <c r="I1901" s="22" t="n"/>
      <c r="J1901" s="21">
        <f>IF(C1901="","",IFERROR(INDEX(Clientes!$B:$B,MATCH(C1901,Clientes!$A:$A,0)),"Cód. não cadastrado"))</f>
        <v/>
      </c>
      <c r="K1901" s="18">
        <f>IF(B1901="","",YEAR(B1901))</f>
        <v/>
      </c>
      <c r="L1901" s="18">
        <f>IF(B1901="","",MONTH(B1901))</f>
        <v/>
      </c>
      <c r="M1901" s="18">
        <f>IF(OR(B1901="",I1901=""),"",I1901-B1901)</f>
        <v/>
      </c>
      <c r="N1901" s="21">
        <f>IF(B1901="","",IF(I1901="",IF(H1901="","",IF(TODAY()&gt;H1901,"Atrasado (em aberto)","Em aberto")),IF(I1901&lt;=H1901,"No prazo","Fora do prazo")))</f>
        <v/>
      </c>
    </row>
    <row r="1902">
      <c r="B1902" s="22" t="n"/>
      <c r="E1902" s="23" t="n"/>
      <c r="F1902" s="24" t="n"/>
      <c r="H1902" s="22" t="n"/>
      <c r="I1902" s="22" t="n"/>
      <c r="J1902" s="21">
        <f>IF(C1902="","",IFERROR(INDEX(Clientes!$B:$B,MATCH(C1902,Clientes!$A:$A,0)),"Cód. não cadastrado"))</f>
        <v/>
      </c>
      <c r="K1902" s="18">
        <f>IF(B1902="","",YEAR(B1902))</f>
        <v/>
      </c>
      <c r="L1902" s="18">
        <f>IF(B1902="","",MONTH(B1902))</f>
        <v/>
      </c>
      <c r="M1902" s="18">
        <f>IF(OR(B1902="",I1902=""),"",I1902-B1902)</f>
        <v/>
      </c>
      <c r="N1902" s="21">
        <f>IF(B1902="","",IF(I1902="",IF(H1902="","",IF(TODAY()&gt;H1902,"Atrasado (em aberto)","Em aberto")),IF(I1902&lt;=H1902,"No prazo","Fora do prazo")))</f>
        <v/>
      </c>
    </row>
    <row r="1903">
      <c r="B1903" s="22" t="n"/>
      <c r="E1903" s="23" t="n"/>
      <c r="F1903" s="24" t="n"/>
      <c r="H1903" s="22" t="n"/>
      <c r="I1903" s="22" t="n"/>
      <c r="J1903" s="21">
        <f>IF(C1903="","",IFERROR(INDEX(Clientes!$B:$B,MATCH(C1903,Clientes!$A:$A,0)),"Cód. não cadastrado"))</f>
        <v/>
      </c>
      <c r="K1903" s="18">
        <f>IF(B1903="","",YEAR(B1903))</f>
        <v/>
      </c>
      <c r="L1903" s="18">
        <f>IF(B1903="","",MONTH(B1903))</f>
        <v/>
      </c>
      <c r="M1903" s="18">
        <f>IF(OR(B1903="",I1903=""),"",I1903-B1903)</f>
        <v/>
      </c>
      <c r="N1903" s="21">
        <f>IF(B1903="","",IF(I1903="",IF(H1903="","",IF(TODAY()&gt;H1903,"Atrasado (em aberto)","Em aberto")),IF(I1903&lt;=H1903,"No prazo","Fora do prazo")))</f>
        <v/>
      </c>
    </row>
    <row r="1904">
      <c r="B1904" s="22" t="n"/>
      <c r="E1904" s="23" t="n"/>
      <c r="F1904" s="24" t="n"/>
      <c r="H1904" s="22" t="n"/>
      <c r="I1904" s="22" t="n"/>
      <c r="J1904" s="21">
        <f>IF(C1904="","",IFERROR(INDEX(Clientes!$B:$B,MATCH(C1904,Clientes!$A:$A,0)),"Cód. não cadastrado"))</f>
        <v/>
      </c>
      <c r="K1904" s="18">
        <f>IF(B1904="","",YEAR(B1904))</f>
        <v/>
      </c>
      <c r="L1904" s="18">
        <f>IF(B1904="","",MONTH(B1904))</f>
        <v/>
      </c>
      <c r="M1904" s="18">
        <f>IF(OR(B1904="",I1904=""),"",I1904-B1904)</f>
        <v/>
      </c>
      <c r="N1904" s="21">
        <f>IF(B1904="","",IF(I1904="",IF(H1904="","",IF(TODAY()&gt;H1904,"Atrasado (em aberto)","Em aberto")),IF(I1904&lt;=H1904,"No prazo","Fora do prazo")))</f>
        <v/>
      </c>
    </row>
    <row r="1905">
      <c r="B1905" s="22" t="n"/>
      <c r="E1905" s="23" t="n"/>
      <c r="F1905" s="24" t="n"/>
      <c r="H1905" s="22" t="n"/>
      <c r="I1905" s="22" t="n"/>
      <c r="J1905" s="21">
        <f>IF(C1905="","",IFERROR(INDEX(Clientes!$B:$B,MATCH(C1905,Clientes!$A:$A,0)),"Cód. não cadastrado"))</f>
        <v/>
      </c>
      <c r="K1905" s="18">
        <f>IF(B1905="","",YEAR(B1905))</f>
        <v/>
      </c>
      <c r="L1905" s="18">
        <f>IF(B1905="","",MONTH(B1905))</f>
        <v/>
      </c>
      <c r="M1905" s="18">
        <f>IF(OR(B1905="",I1905=""),"",I1905-B1905)</f>
        <v/>
      </c>
      <c r="N1905" s="21">
        <f>IF(B1905="","",IF(I1905="",IF(H1905="","",IF(TODAY()&gt;H1905,"Atrasado (em aberto)","Em aberto")),IF(I1905&lt;=H1905,"No prazo","Fora do prazo")))</f>
        <v/>
      </c>
    </row>
    <row r="1906">
      <c r="B1906" s="22" t="n"/>
      <c r="E1906" s="23" t="n"/>
      <c r="F1906" s="24" t="n"/>
      <c r="H1906" s="22" t="n"/>
      <c r="I1906" s="22" t="n"/>
      <c r="J1906" s="21">
        <f>IF(C1906="","",IFERROR(INDEX(Clientes!$B:$B,MATCH(C1906,Clientes!$A:$A,0)),"Cód. não cadastrado"))</f>
        <v/>
      </c>
      <c r="K1906" s="18">
        <f>IF(B1906="","",YEAR(B1906))</f>
        <v/>
      </c>
      <c r="L1906" s="18">
        <f>IF(B1906="","",MONTH(B1906))</f>
        <v/>
      </c>
      <c r="M1906" s="18">
        <f>IF(OR(B1906="",I1906=""),"",I1906-B1906)</f>
        <v/>
      </c>
      <c r="N1906" s="21">
        <f>IF(B1906="","",IF(I1906="",IF(H1906="","",IF(TODAY()&gt;H1906,"Atrasado (em aberto)","Em aberto")),IF(I1906&lt;=H1906,"No prazo","Fora do prazo")))</f>
        <v/>
      </c>
    </row>
    <row r="1907">
      <c r="B1907" s="22" t="n"/>
      <c r="E1907" s="23" t="n"/>
      <c r="F1907" s="24" t="n"/>
      <c r="H1907" s="22" t="n"/>
      <c r="I1907" s="22" t="n"/>
      <c r="J1907" s="21">
        <f>IF(C1907="","",IFERROR(INDEX(Clientes!$B:$B,MATCH(C1907,Clientes!$A:$A,0)),"Cód. não cadastrado"))</f>
        <v/>
      </c>
      <c r="K1907" s="18">
        <f>IF(B1907="","",YEAR(B1907))</f>
        <v/>
      </c>
      <c r="L1907" s="18">
        <f>IF(B1907="","",MONTH(B1907))</f>
        <v/>
      </c>
      <c r="M1907" s="18">
        <f>IF(OR(B1907="",I1907=""),"",I1907-B1907)</f>
        <v/>
      </c>
      <c r="N1907" s="21">
        <f>IF(B1907="","",IF(I1907="",IF(H1907="","",IF(TODAY()&gt;H1907,"Atrasado (em aberto)","Em aberto")),IF(I1907&lt;=H1907,"No prazo","Fora do prazo")))</f>
        <v/>
      </c>
    </row>
    <row r="1908">
      <c r="B1908" s="22" t="n"/>
      <c r="E1908" s="23" t="n"/>
      <c r="F1908" s="24" t="n"/>
      <c r="H1908" s="22" t="n"/>
      <c r="I1908" s="22" t="n"/>
      <c r="J1908" s="21">
        <f>IF(C1908="","",IFERROR(INDEX(Clientes!$B:$B,MATCH(C1908,Clientes!$A:$A,0)),"Cód. não cadastrado"))</f>
        <v/>
      </c>
      <c r="K1908" s="18">
        <f>IF(B1908="","",YEAR(B1908))</f>
        <v/>
      </c>
      <c r="L1908" s="18">
        <f>IF(B1908="","",MONTH(B1908))</f>
        <v/>
      </c>
      <c r="M1908" s="18">
        <f>IF(OR(B1908="",I1908=""),"",I1908-B1908)</f>
        <v/>
      </c>
      <c r="N1908" s="21">
        <f>IF(B1908="","",IF(I1908="",IF(H1908="","",IF(TODAY()&gt;H1908,"Atrasado (em aberto)","Em aberto")),IF(I1908&lt;=H1908,"No prazo","Fora do prazo")))</f>
        <v/>
      </c>
    </row>
    <row r="1909">
      <c r="B1909" s="22" t="n"/>
      <c r="E1909" s="23" t="n"/>
      <c r="F1909" s="24" t="n"/>
      <c r="H1909" s="22" t="n"/>
      <c r="I1909" s="22" t="n"/>
      <c r="J1909" s="21">
        <f>IF(C1909="","",IFERROR(INDEX(Clientes!$B:$B,MATCH(C1909,Clientes!$A:$A,0)),"Cód. não cadastrado"))</f>
        <v/>
      </c>
      <c r="K1909" s="18">
        <f>IF(B1909="","",YEAR(B1909))</f>
        <v/>
      </c>
      <c r="L1909" s="18">
        <f>IF(B1909="","",MONTH(B1909))</f>
        <v/>
      </c>
      <c r="M1909" s="18">
        <f>IF(OR(B1909="",I1909=""),"",I1909-B1909)</f>
        <v/>
      </c>
      <c r="N1909" s="21">
        <f>IF(B1909="","",IF(I1909="",IF(H1909="","",IF(TODAY()&gt;H1909,"Atrasado (em aberto)","Em aberto")),IF(I1909&lt;=H1909,"No prazo","Fora do prazo")))</f>
        <v/>
      </c>
    </row>
    <row r="1910">
      <c r="B1910" s="22" t="n"/>
      <c r="E1910" s="23" t="n"/>
      <c r="F1910" s="24" t="n"/>
      <c r="H1910" s="22" t="n"/>
      <c r="I1910" s="22" t="n"/>
      <c r="J1910" s="21">
        <f>IF(C1910="","",IFERROR(INDEX(Clientes!$B:$B,MATCH(C1910,Clientes!$A:$A,0)),"Cód. não cadastrado"))</f>
        <v/>
      </c>
      <c r="K1910" s="18">
        <f>IF(B1910="","",YEAR(B1910))</f>
        <v/>
      </c>
      <c r="L1910" s="18">
        <f>IF(B1910="","",MONTH(B1910))</f>
        <v/>
      </c>
      <c r="M1910" s="18">
        <f>IF(OR(B1910="",I1910=""),"",I1910-B1910)</f>
        <v/>
      </c>
      <c r="N1910" s="21">
        <f>IF(B1910="","",IF(I1910="",IF(H1910="","",IF(TODAY()&gt;H1910,"Atrasado (em aberto)","Em aberto")),IF(I1910&lt;=H1910,"No prazo","Fora do prazo")))</f>
        <v/>
      </c>
    </row>
    <row r="1911">
      <c r="B1911" s="22" t="n"/>
      <c r="E1911" s="23" t="n"/>
      <c r="F1911" s="24" t="n"/>
      <c r="H1911" s="22" t="n"/>
      <c r="I1911" s="22" t="n"/>
      <c r="J1911" s="21">
        <f>IF(C1911="","",IFERROR(INDEX(Clientes!$B:$B,MATCH(C1911,Clientes!$A:$A,0)),"Cód. não cadastrado"))</f>
        <v/>
      </c>
      <c r="K1911" s="18">
        <f>IF(B1911="","",YEAR(B1911))</f>
        <v/>
      </c>
      <c r="L1911" s="18">
        <f>IF(B1911="","",MONTH(B1911))</f>
        <v/>
      </c>
      <c r="M1911" s="18">
        <f>IF(OR(B1911="",I1911=""),"",I1911-B1911)</f>
        <v/>
      </c>
      <c r="N1911" s="21">
        <f>IF(B1911="","",IF(I1911="",IF(H1911="","",IF(TODAY()&gt;H1911,"Atrasado (em aberto)","Em aberto")),IF(I1911&lt;=H1911,"No prazo","Fora do prazo")))</f>
        <v/>
      </c>
    </row>
    <row r="1912">
      <c r="B1912" s="22" t="n"/>
      <c r="E1912" s="23" t="n"/>
      <c r="F1912" s="24" t="n"/>
      <c r="H1912" s="22" t="n"/>
      <c r="I1912" s="22" t="n"/>
      <c r="J1912" s="21">
        <f>IF(C1912="","",IFERROR(INDEX(Clientes!$B:$B,MATCH(C1912,Clientes!$A:$A,0)),"Cód. não cadastrado"))</f>
        <v/>
      </c>
      <c r="K1912" s="18">
        <f>IF(B1912="","",YEAR(B1912))</f>
        <v/>
      </c>
      <c r="L1912" s="18">
        <f>IF(B1912="","",MONTH(B1912))</f>
        <v/>
      </c>
      <c r="M1912" s="18">
        <f>IF(OR(B1912="",I1912=""),"",I1912-B1912)</f>
        <v/>
      </c>
      <c r="N1912" s="21">
        <f>IF(B1912="","",IF(I1912="",IF(H1912="","",IF(TODAY()&gt;H1912,"Atrasado (em aberto)","Em aberto")),IF(I1912&lt;=H1912,"No prazo","Fora do prazo")))</f>
        <v/>
      </c>
    </row>
    <row r="1913">
      <c r="B1913" s="22" t="n"/>
      <c r="E1913" s="23" t="n"/>
      <c r="F1913" s="24" t="n"/>
      <c r="H1913" s="22" t="n"/>
      <c r="I1913" s="22" t="n"/>
      <c r="J1913" s="21">
        <f>IF(C1913="","",IFERROR(INDEX(Clientes!$B:$B,MATCH(C1913,Clientes!$A:$A,0)),"Cód. não cadastrado"))</f>
        <v/>
      </c>
      <c r="K1913" s="18">
        <f>IF(B1913="","",YEAR(B1913))</f>
        <v/>
      </c>
      <c r="L1913" s="18">
        <f>IF(B1913="","",MONTH(B1913))</f>
        <v/>
      </c>
      <c r="M1913" s="18">
        <f>IF(OR(B1913="",I1913=""),"",I1913-B1913)</f>
        <v/>
      </c>
      <c r="N1913" s="21">
        <f>IF(B1913="","",IF(I1913="",IF(H1913="","",IF(TODAY()&gt;H1913,"Atrasado (em aberto)","Em aberto")),IF(I1913&lt;=H1913,"No prazo","Fora do prazo")))</f>
        <v/>
      </c>
    </row>
    <row r="1914">
      <c r="B1914" s="22" t="n"/>
      <c r="E1914" s="23" t="n"/>
      <c r="F1914" s="24" t="n"/>
      <c r="H1914" s="22" t="n"/>
      <c r="I1914" s="22" t="n"/>
      <c r="J1914" s="21">
        <f>IF(C1914="","",IFERROR(INDEX(Clientes!$B:$B,MATCH(C1914,Clientes!$A:$A,0)),"Cód. não cadastrado"))</f>
        <v/>
      </c>
      <c r="K1914" s="18">
        <f>IF(B1914="","",YEAR(B1914))</f>
        <v/>
      </c>
      <c r="L1914" s="18">
        <f>IF(B1914="","",MONTH(B1914))</f>
        <v/>
      </c>
      <c r="M1914" s="18">
        <f>IF(OR(B1914="",I1914=""),"",I1914-B1914)</f>
        <v/>
      </c>
      <c r="N1914" s="21">
        <f>IF(B1914="","",IF(I1914="",IF(H1914="","",IF(TODAY()&gt;H1914,"Atrasado (em aberto)","Em aberto")),IF(I1914&lt;=H1914,"No prazo","Fora do prazo")))</f>
        <v/>
      </c>
    </row>
    <row r="1915">
      <c r="B1915" s="22" t="n"/>
      <c r="E1915" s="23" t="n"/>
      <c r="F1915" s="24" t="n"/>
      <c r="H1915" s="22" t="n"/>
      <c r="I1915" s="22" t="n"/>
      <c r="J1915" s="21">
        <f>IF(C1915="","",IFERROR(INDEX(Clientes!$B:$B,MATCH(C1915,Clientes!$A:$A,0)),"Cód. não cadastrado"))</f>
        <v/>
      </c>
      <c r="K1915" s="18">
        <f>IF(B1915="","",YEAR(B1915))</f>
        <v/>
      </c>
      <c r="L1915" s="18">
        <f>IF(B1915="","",MONTH(B1915))</f>
        <v/>
      </c>
      <c r="M1915" s="18">
        <f>IF(OR(B1915="",I1915=""),"",I1915-B1915)</f>
        <v/>
      </c>
      <c r="N1915" s="21">
        <f>IF(B1915="","",IF(I1915="",IF(H1915="","",IF(TODAY()&gt;H1915,"Atrasado (em aberto)","Em aberto")),IF(I1915&lt;=H1915,"No prazo","Fora do prazo")))</f>
        <v/>
      </c>
    </row>
    <row r="1916">
      <c r="B1916" s="22" t="n"/>
      <c r="E1916" s="23" t="n"/>
      <c r="F1916" s="24" t="n"/>
      <c r="H1916" s="22" t="n"/>
      <c r="I1916" s="22" t="n"/>
      <c r="J1916" s="21">
        <f>IF(C1916="","",IFERROR(INDEX(Clientes!$B:$B,MATCH(C1916,Clientes!$A:$A,0)),"Cód. não cadastrado"))</f>
        <v/>
      </c>
      <c r="K1916" s="18">
        <f>IF(B1916="","",YEAR(B1916))</f>
        <v/>
      </c>
      <c r="L1916" s="18">
        <f>IF(B1916="","",MONTH(B1916))</f>
        <v/>
      </c>
      <c r="M1916" s="18">
        <f>IF(OR(B1916="",I1916=""),"",I1916-B1916)</f>
        <v/>
      </c>
      <c r="N1916" s="21">
        <f>IF(B1916="","",IF(I1916="",IF(H1916="","",IF(TODAY()&gt;H1916,"Atrasado (em aberto)","Em aberto")),IF(I1916&lt;=H1916,"No prazo","Fora do prazo")))</f>
        <v/>
      </c>
    </row>
    <row r="1917">
      <c r="B1917" s="22" t="n"/>
      <c r="E1917" s="23" t="n"/>
      <c r="F1917" s="24" t="n"/>
      <c r="H1917" s="22" t="n"/>
      <c r="I1917" s="22" t="n"/>
      <c r="J1917" s="21">
        <f>IF(C1917="","",IFERROR(INDEX(Clientes!$B:$B,MATCH(C1917,Clientes!$A:$A,0)),"Cód. não cadastrado"))</f>
        <v/>
      </c>
      <c r="K1917" s="18">
        <f>IF(B1917="","",YEAR(B1917))</f>
        <v/>
      </c>
      <c r="L1917" s="18">
        <f>IF(B1917="","",MONTH(B1917))</f>
        <v/>
      </c>
      <c r="M1917" s="18">
        <f>IF(OR(B1917="",I1917=""),"",I1917-B1917)</f>
        <v/>
      </c>
      <c r="N1917" s="21">
        <f>IF(B1917="","",IF(I1917="",IF(H1917="","",IF(TODAY()&gt;H1917,"Atrasado (em aberto)","Em aberto")),IF(I1917&lt;=H1917,"No prazo","Fora do prazo")))</f>
        <v/>
      </c>
    </row>
    <row r="1918">
      <c r="B1918" s="22" t="n"/>
      <c r="E1918" s="23" t="n"/>
      <c r="F1918" s="24" t="n"/>
      <c r="H1918" s="22" t="n"/>
      <c r="I1918" s="22" t="n"/>
      <c r="J1918" s="21">
        <f>IF(C1918="","",IFERROR(INDEX(Clientes!$B:$B,MATCH(C1918,Clientes!$A:$A,0)),"Cód. não cadastrado"))</f>
        <v/>
      </c>
      <c r="K1918" s="18">
        <f>IF(B1918="","",YEAR(B1918))</f>
        <v/>
      </c>
      <c r="L1918" s="18">
        <f>IF(B1918="","",MONTH(B1918))</f>
        <v/>
      </c>
      <c r="M1918" s="18">
        <f>IF(OR(B1918="",I1918=""),"",I1918-B1918)</f>
        <v/>
      </c>
      <c r="N1918" s="21">
        <f>IF(B1918="","",IF(I1918="",IF(H1918="","",IF(TODAY()&gt;H1918,"Atrasado (em aberto)","Em aberto")),IF(I1918&lt;=H1918,"No prazo","Fora do prazo")))</f>
        <v/>
      </c>
    </row>
    <row r="1919">
      <c r="B1919" s="22" t="n"/>
      <c r="E1919" s="23" t="n"/>
      <c r="F1919" s="24" t="n"/>
      <c r="H1919" s="22" t="n"/>
      <c r="I1919" s="22" t="n"/>
      <c r="J1919" s="21">
        <f>IF(C1919="","",IFERROR(INDEX(Clientes!$B:$B,MATCH(C1919,Clientes!$A:$A,0)),"Cód. não cadastrado"))</f>
        <v/>
      </c>
      <c r="K1919" s="18">
        <f>IF(B1919="","",YEAR(B1919))</f>
        <v/>
      </c>
      <c r="L1919" s="18">
        <f>IF(B1919="","",MONTH(B1919))</f>
        <v/>
      </c>
      <c r="M1919" s="18">
        <f>IF(OR(B1919="",I1919=""),"",I1919-B1919)</f>
        <v/>
      </c>
      <c r="N1919" s="21">
        <f>IF(B1919="","",IF(I1919="",IF(H1919="","",IF(TODAY()&gt;H1919,"Atrasado (em aberto)","Em aberto")),IF(I1919&lt;=H1919,"No prazo","Fora do prazo")))</f>
        <v/>
      </c>
    </row>
    <row r="1920">
      <c r="B1920" s="22" t="n"/>
      <c r="E1920" s="23" t="n"/>
      <c r="F1920" s="24" t="n"/>
      <c r="H1920" s="22" t="n"/>
      <c r="I1920" s="22" t="n"/>
      <c r="J1920" s="21">
        <f>IF(C1920="","",IFERROR(INDEX(Clientes!$B:$B,MATCH(C1920,Clientes!$A:$A,0)),"Cód. não cadastrado"))</f>
        <v/>
      </c>
      <c r="K1920" s="18">
        <f>IF(B1920="","",YEAR(B1920))</f>
        <v/>
      </c>
      <c r="L1920" s="18">
        <f>IF(B1920="","",MONTH(B1920))</f>
        <v/>
      </c>
      <c r="M1920" s="18">
        <f>IF(OR(B1920="",I1920=""),"",I1920-B1920)</f>
        <v/>
      </c>
      <c r="N1920" s="21">
        <f>IF(B1920="","",IF(I1920="",IF(H1920="","",IF(TODAY()&gt;H1920,"Atrasado (em aberto)","Em aberto")),IF(I1920&lt;=H1920,"No prazo","Fora do prazo")))</f>
        <v/>
      </c>
    </row>
    <row r="1921">
      <c r="B1921" s="22" t="n"/>
      <c r="E1921" s="23" t="n"/>
      <c r="F1921" s="24" t="n"/>
      <c r="H1921" s="22" t="n"/>
      <c r="I1921" s="22" t="n"/>
      <c r="J1921" s="21">
        <f>IF(C1921="","",IFERROR(INDEX(Clientes!$B:$B,MATCH(C1921,Clientes!$A:$A,0)),"Cód. não cadastrado"))</f>
        <v/>
      </c>
      <c r="K1921" s="18">
        <f>IF(B1921="","",YEAR(B1921))</f>
        <v/>
      </c>
      <c r="L1921" s="18">
        <f>IF(B1921="","",MONTH(B1921))</f>
        <v/>
      </c>
      <c r="M1921" s="18">
        <f>IF(OR(B1921="",I1921=""),"",I1921-B1921)</f>
        <v/>
      </c>
      <c r="N1921" s="21">
        <f>IF(B1921="","",IF(I1921="",IF(H1921="","",IF(TODAY()&gt;H1921,"Atrasado (em aberto)","Em aberto")),IF(I1921&lt;=H1921,"No prazo","Fora do prazo")))</f>
        <v/>
      </c>
    </row>
    <row r="1922">
      <c r="B1922" s="22" t="n"/>
      <c r="E1922" s="23" t="n"/>
      <c r="F1922" s="24" t="n"/>
      <c r="H1922" s="22" t="n"/>
      <c r="I1922" s="22" t="n"/>
      <c r="J1922" s="21">
        <f>IF(C1922="","",IFERROR(INDEX(Clientes!$B:$B,MATCH(C1922,Clientes!$A:$A,0)),"Cód. não cadastrado"))</f>
        <v/>
      </c>
      <c r="K1922" s="18">
        <f>IF(B1922="","",YEAR(B1922))</f>
        <v/>
      </c>
      <c r="L1922" s="18">
        <f>IF(B1922="","",MONTH(B1922))</f>
        <v/>
      </c>
      <c r="M1922" s="18">
        <f>IF(OR(B1922="",I1922=""),"",I1922-B1922)</f>
        <v/>
      </c>
      <c r="N1922" s="21">
        <f>IF(B1922="","",IF(I1922="",IF(H1922="","",IF(TODAY()&gt;H1922,"Atrasado (em aberto)","Em aberto")),IF(I1922&lt;=H1922,"No prazo","Fora do prazo")))</f>
        <v/>
      </c>
    </row>
    <row r="1923">
      <c r="B1923" s="22" t="n"/>
      <c r="E1923" s="23" t="n"/>
      <c r="F1923" s="24" t="n"/>
      <c r="H1923" s="22" t="n"/>
      <c r="I1923" s="22" t="n"/>
      <c r="J1923" s="21">
        <f>IF(C1923="","",IFERROR(INDEX(Clientes!$B:$B,MATCH(C1923,Clientes!$A:$A,0)),"Cód. não cadastrado"))</f>
        <v/>
      </c>
      <c r="K1923" s="18">
        <f>IF(B1923="","",YEAR(B1923))</f>
        <v/>
      </c>
      <c r="L1923" s="18">
        <f>IF(B1923="","",MONTH(B1923))</f>
        <v/>
      </c>
      <c r="M1923" s="18">
        <f>IF(OR(B1923="",I1923=""),"",I1923-B1923)</f>
        <v/>
      </c>
      <c r="N1923" s="21">
        <f>IF(B1923="","",IF(I1923="",IF(H1923="","",IF(TODAY()&gt;H1923,"Atrasado (em aberto)","Em aberto")),IF(I1923&lt;=H1923,"No prazo","Fora do prazo")))</f>
        <v/>
      </c>
    </row>
    <row r="1924">
      <c r="B1924" s="22" t="n"/>
      <c r="E1924" s="23" t="n"/>
      <c r="F1924" s="24" t="n"/>
      <c r="H1924" s="22" t="n"/>
      <c r="I1924" s="22" t="n"/>
      <c r="J1924" s="21">
        <f>IF(C1924="","",IFERROR(INDEX(Clientes!$B:$B,MATCH(C1924,Clientes!$A:$A,0)),"Cód. não cadastrado"))</f>
        <v/>
      </c>
      <c r="K1924" s="18">
        <f>IF(B1924="","",YEAR(B1924))</f>
        <v/>
      </c>
      <c r="L1924" s="18">
        <f>IF(B1924="","",MONTH(B1924))</f>
        <v/>
      </c>
      <c r="M1924" s="18">
        <f>IF(OR(B1924="",I1924=""),"",I1924-B1924)</f>
        <v/>
      </c>
      <c r="N1924" s="21">
        <f>IF(B1924="","",IF(I1924="",IF(H1924="","",IF(TODAY()&gt;H1924,"Atrasado (em aberto)","Em aberto")),IF(I1924&lt;=H1924,"No prazo","Fora do prazo")))</f>
        <v/>
      </c>
    </row>
    <row r="1925">
      <c r="B1925" s="22" t="n"/>
      <c r="E1925" s="23" t="n"/>
      <c r="F1925" s="24" t="n"/>
      <c r="H1925" s="22" t="n"/>
      <c r="I1925" s="22" t="n"/>
      <c r="J1925" s="21">
        <f>IF(C1925="","",IFERROR(INDEX(Clientes!$B:$B,MATCH(C1925,Clientes!$A:$A,0)),"Cód. não cadastrado"))</f>
        <v/>
      </c>
      <c r="K1925" s="18">
        <f>IF(B1925="","",YEAR(B1925))</f>
        <v/>
      </c>
      <c r="L1925" s="18">
        <f>IF(B1925="","",MONTH(B1925))</f>
        <v/>
      </c>
      <c r="M1925" s="18">
        <f>IF(OR(B1925="",I1925=""),"",I1925-B1925)</f>
        <v/>
      </c>
      <c r="N1925" s="21">
        <f>IF(B1925="","",IF(I1925="",IF(H1925="","",IF(TODAY()&gt;H1925,"Atrasado (em aberto)","Em aberto")),IF(I1925&lt;=H1925,"No prazo","Fora do prazo")))</f>
        <v/>
      </c>
    </row>
    <row r="1926">
      <c r="B1926" s="22" t="n"/>
      <c r="E1926" s="23" t="n"/>
      <c r="F1926" s="24" t="n"/>
      <c r="H1926" s="22" t="n"/>
      <c r="I1926" s="22" t="n"/>
      <c r="J1926" s="21">
        <f>IF(C1926="","",IFERROR(INDEX(Clientes!$B:$B,MATCH(C1926,Clientes!$A:$A,0)),"Cód. não cadastrado"))</f>
        <v/>
      </c>
      <c r="K1926" s="18">
        <f>IF(B1926="","",YEAR(B1926))</f>
        <v/>
      </c>
      <c r="L1926" s="18">
        <f>IF(B1926="","",MONTH(B1926))</f>
        <v/>
      </c>
      <c r="M1926" s="18">
        <f>IF(OR(B1926="",I1926=""),"",I1926-B1926)</f>
        <v/>
      </c>
      <c r="N1926" s="21">
        <f>IF(B1926="","",IF(I1926="",IF(H1926="","",IF(TODAY()&gt;H1926,"Atrasado (em aberto)","Em aberto")),IF(I1926&lt;=H1926,"No prazo","Fora do prazo")))</f>
        <v/>
      </c>
    </row>
    <row r="1927">
      <c r="B1927" s="22" t="n"/>
      <c r="E1927" s="23" t="n"/>
      <c r="F1927" s="24" t="n"/>
      <c r="H1927" s="22" t="n"/>
      <c r="I1927" s="22" t="n"/>
      <c r="J1927" s="21">
        <f>IF(C1927="","",IFERROR(INDEX(Clientes!$B:$B,MATCH(C1927,Clientes!$A:$A,0)),"Cód. não cadastrado"))</f>
        <v/>
      </c>
      <c r="K1927" s="18">
        <f>IF(B1927="","",YEAR(B1927))</f>
        <v/>
      </c>
      <c r="L1927" s="18">
        <f>IF(B1927="","",MONTH(B1927))</f>
        <v/>
      </c>
      <c r="M1927" s="18">
        <f>IF(OR(B1927="",I1927=""),"",I1927-B1927)</f>
        <v/>
      </c>
      <c r="N1927" s="21">
        <f>IF(B1927="","",IF(I1927="",IF(H1927="","",IF(TODAY()&gt;H1927,"Atrasado (em aberto)","Em aberto")),IF(I1927&lt;=H1927,"No prazo","Fora do prazo")))</f>
        <v/>
      </c>
    </row>
    <row r="1928">
      <c r="B1928" s="22" t="n"/>
      <c r="E1928" s="23" t="n"/>
      <c r="F1928" s="24" t="n"/>
      <c r="H1928" s="22" t="n"/>
      <c r="I1928" s="22" t="n"/>
      <c r="J1928" s="21">
        <f>IF(C1928="","",IFERROR(INDEX(Clientes!$B:$B,MATCH(C1928,Clientes!$A:$A,0)),"Cód. não cadastrado"))</f>
        <v/>
      </c>
      <c r="K1928" s="18">
        <f>IF(B1928="","",YEAR(B1928))</f>
        <v/>
      </c>
      <c r="L1928" s="18">
        <f>IF(B1928="","",MONTH(B1928))</f>
        <v/>
      </c>
      <c r="M1928" s="18">
        <f>IF(OR(B1928="",I1928=""),"",I1928-B1928)</f>
        <v/>
      </c>
      <c r="N1928" s="21">
        <f>IF(B1928="","",IF(I1928="",IF(H1928="","",IF(TODAY()&gt;H1928,"Atrasado (em aberto)","Em aberto")),IF(I1928&lt;=H1928,"No prazo","Fora do prazo")))</f>
        <v/>
      </c>
    </row>
    <row r="1929">
      <c r="B1929" s="22" t="n"/>
      <c r="E1929" s="23" t="n"/>
      <c r="F1929" s="24" t="n"/>
      <c r="H1929" s="22" t="n"/>
      <c r="I1929" s="22" t="n"/>
      <c r="J1929" s="21">
        <f>IF(C1929="","",IFERROR(INDEX(Clientes!$B:$B,MATCH(C1929,Clientes!$A:$A,0)),"Cód. não cadastrado"))</f>
        <v/>
      </c>
      <c r="K1929" s="18">
        <f>IF(B1929="","",YEAR(B1929))</f>
        <v/>
      </c>
      <c r="L1929" s="18">
        <f>IF(B1929="","",MONTH(B1929))</f>
        <v/>
      </c>
      <c r="M1929" s="18">
        <f>IF(OR(B1929="",I1929=""),"",I1929-B1929)</f>
        <v/>
      </c>
      <c r="N1929" s="21">
        <f>IF(B1929="","",IF(I1929="",IF(H1929="","",IF(TODAY()&gt;H1929,"Atrasado (em aberto)","Em aberto")),IF(I1929&lt;=H1929,"No prazo","Fora do prazo")))</f>
        <v/>
      </c>
    </row>
    <row r="1930">
      <c r="B1930" s="22" t="n"/>
      <c r="E1930" s="23" t="n"/>
      <c r="F1930" s="24" t="n"/>
      <c r="H1930" s="22" t="n"/>
      <c r="I1930" s="22" t="n"/>
      <c r="J1930" s="21">
        <f>IF(C1930="","",IFERROR(INDEX(Clientes!$B:$B,MATCH(C1930,Clientes!$A:$A,0)),"Cód. não cadastrado"))</f>
        <v/>
      </c>
      <c r="K1930" s="18">
        <f>IF(B1930="","",YEAR(B1930))</f>
        <v/>
      </c>
      <c r="L1930" s="18">
        <f>IF(B1930="","",MONTH(B1930))</f>
        <v/>
      </c>
      <c r="M1930" s="18">
        <f>IF(OR(B1930="",I1930=""),"",I1930-B1930)</f>
        <v/>
      </c>
      <c r="N1930" s="21">
        <f>IF(B1930="","",IF(I1930="",IF(H1930="","",IF(TODAY()&gt;H1930,"Atrasado (em aberto)","Em aberto")),IF(I1930&lt;=H1930,"No prazo","Fora do prazo")))</f>
        <v/>
      </c>
    </row>
    <row r="1931">
      <c r="B1931" s="22" t="n"/>
      <c r="E1931" s="23" t="n"/>
      <c r="F1931" s="24" t="n"/>
      <c r="H1931" s="22" t="n"/>
      <c r="I1931" s="22" t="n"/>
      <c r="J1931" s="21">
        <f>IF(C1931="","",IFERROR(INDEX(Clientes!$B:$B,MATCH(C1931,Clientes!$A:$A,0)),"Cód. não cadastrado"))</f>
        <v/>
      </c>
      <c r="K1931" s="18">
        <f>IF(B1931="","",YEAR(B1931))</f>
        <v/>
      </c>
      <c r="L1931" s="18">
        <f>IF(B1931="","",MONTH(B1931))</f>
        <v/>
      </c>
      <c r="M1931" s="18">
        <f>IF(OR(B1931="",I1931=""),"",I1931-B1931)</f>
        <v/>
      </c>
      <c r="N1931" s="21">
        <f>IF(B1931="","",IF(I1931="",IF(H1931="","",IF(TODAY()&gt;H1931,"Atrasado (em aberto)","Em aberto")),IF(I1931&lt;=H1931,"No prazo","Fora do prazo")))</f>
        <v/>
      </c>
    </row>
    <row r="1932">
      <c r="B1932" s="22" t="n"/>
      <c r="E1932" s="23" t="n"/>
      <c r="F1932" s="24" t="n"/>
      <c r="H1932" s="22" t="n"/>
      <c r="I1932" s="22" t="n"/>
      <c r="J1932" s="21">
        <f>IF(C1932="","",IFERROR(INDEX(Clientes!$B:$B,MATCH(C1932,Clientes!$A:$A,0)),"Cód. não cadastrado"))</f>
        <v/>
      </c>
      <c r="K1932" s="18">
        <f>IF(B1932="","",YEAR(B1932))</f>
        <v/>
      </c>
      <c r="L1932" s="18">
        <f>IF(B1932="","",MONTH(B1932))</f>
        <v/>
      </c>
      <c r="M1932" s="18">
        <f>IF(OR(B1932="",I1932=""),"",I1932-B1932)</f>
        <v/>
      </c>
      <c r="N1932" s="21">
        <f>IF(B1932="","",IF(I1932="",IF(H1932="","",IF(TODAY()&gt;H1932,"Atrasado (em aberto)","Em aberto")),IF(I1932&lt;=H1932,"No prazo","Fora do prazo")))</f>
        <v/>
      </c>
    </row>
    <row r="1933">
      <c r="B1933" s="22" t="n"/>
      <c r="E1933" s="23" t="n"/>
      <c r="F1933" s="24" t="n"/>
      <c r="H1933" s="22" t="n"/>
      <c r="I1933" s="22" t="n"/>
      <c r="J1933" s="21">
        <f>IF(C1933="","",IFERROR(INDEX(Clientes!$B:$B,MATCH(C1933,Clientes!$A:$A,0)),"Cód. não cadastrado"))</f>
        <v/>
      </c>
      <c r="K1933" s="18">
        <f>IF(B1933="","",YEAR(B1933))</f>
        <v/>
      </c>
      <c r="L1933" s="18">
        <f>IF(B1933="","",MONTH(B1933))</f>
        <v/>
      </c>
      <c r="M1933" s="18">
        <f>IF(OR(B1933="",I1933=""),"",I1933-B1933)</f>
        <v/>
      </c>
      <c r="N1933" s="21">
        <f>IF(B1933="","",IF(I1933="",IF(H1933="","",IF(TODAY()&gt;H1933,"Atrasado (em aberto)","Em aberto")),IF(I1933&lt;=H1933,"No prazo","Fora do prazo")))</f>
        <v/>
      </c>
    </row>
    <row r="1934">
      <c r="B1934" s="22" t="n"/>
      <c r="E1934" s="23" t="n"/>
      <c r="F1934" s="24" t="n"/>
      <c r="H1934" s="22" t="n"/>
      <c r="I1934" s="22" t="n"/>
      <c r="J1934" s="21">
        <f>IF(C1934="","",IFERROR(INDEX(Clientes!$B:$B,MATCH(C1934,Clientes!$A:$A,0)),"Cód. não cadastrado"))</f>
        <v/>
      </c>
      <c r="K1934" s="18">
        <f>IF(B1934="","",YEAR(B1934))</f>
        <v/>
      </c>
      <c r="L1934" s="18">
        <f>IF(B1934="","",MONTH(B1934))</f>
        <v/>
      </c>
      <c r="M1934" s="18">
        <f>IF(OR(B1934="",I1934=""),"",I1934-B1934)</f>
        <v/>
      </c>
      <c r="N1934" s="21">
        <f>IF(B1934="","",IF(I1934="",IF(H1934="","",IF(TODAY()&gt;H1934,"Atrasado (em aberto)","Em aberto")),IF(I1934&lt;=H1934,"No prazo","Fora do prazo")))</f>
        <v/>
      </c>
    </row>
    <row r="1935">
      <c r="B1935" s="22" t="n"/>
      <c r="E1935" s="23" t="n"/>
      <c r="F1935" s="24" t="n"/>
      <c r="H1935" s="22" t="n"/>
      <c r="I1935" s="22" t="n"/>
      <c r="J1935" s="21">
        <f>IF(C1935="","",IFERROR(INDEX(Clientes!$B:$B,MATCH(C1935,Clientes!$A:$A,0)),"Cód. não cadastrado"))</f>
        <v/>
      </c>
      <c r="K1935" s="18">
        <f>IF(B1935="","",YEAR(B1935))</f>
        <v/>
      </c>
      <c r="L1935" s="18">
        <f>IF(B1935="","",MONTH(B1935))</f>
        <v/>
      </c>
      <c r="M1935" s="18">
        <f>IF(OR(B1935="",I1935=""),"",I1935-B1935)</f>
        <v/>
      </c>
      <c r="N1935" s="21">
        <f>IF(B1935="","",IF(I1935="",IF(H1935="","",IF(TODAY()&gt;H1935,"Atrasado (em aberto)","Em aberto")),IF(I1935&lt;=H1935,"No prazo","Fora do prazo")))</f>
        <v/>
      </c>
    </row>
    <row r="1936">
      <c r="B1936" s="22" t="n"/>
      <c r="E1936" s="23" t="n"/>
      <c r="F1936" s="24" t="n"/>
      <c r="H1936" s="22" t="n"/>
      <c r="I1936" s="22" t="n"/>
      <c r="J1936" s="21">
        <f>IF(C1936="","",IFERROR(INDEX(Clientes!$B:$B,MATCH(C1936,Clientes!$A:$A,0)),"Cód. não cadastrado"))</f>
        <v/>
      </c>
      <c r="K1936" s="18">
        <f>IF(B1936="","",YEAR(B1936))</f>
        <v/>
      </c>
      <c r="L1936" s="18">
        <f>IF(B1936="","",MONTH(B1936))</f>
        <v/>
      </c>
      <c r="M1936" s="18">
        <f>IF(OR(B1936="",I1936=""),"",I1936-B1936)</f>
        <v/>
      </c>
      <c r="N1936" s="21">
        <f>IF(B1936="","",IF(I1936="",IF(H1936="","",IF(TODAY()&gt;H1936,"Atrasado (em aberto)","Em aberto")),IF(I1936&lt;=H1936,"No prazo","Fora do prazo")))</f>
        <v/>
      </c>
    </row>
    <row r="1937">
      <c r="B1937" s="22" t="n"/>
      <c r="E1937" s="23" t="n"/>
      <c r="F1937" s="24" t="n"/>
      <c r="H1937" s="22" t="n"/>
      <c r="I1937" s="22" t="n"/>
      <c r="J1937" s="21">
        <f>IF(C1937="","",IFERROR(INDEX(Clientes!$B:$B,MATCH(C1937,Clientes!$A:$A,0)),"Cód. não cadastrado"))</f>
        <v/>
      </c>
      <c r="K1937" s="18">
        <f>IF(B1937="","",YEAR(B1937))</f>
        <v/>
      </c>
      <c r="L1937" s="18">
        <f>IF(B1937="","",MONTH(B1937))</f>
        <v/>
      </c>
      <c r="M1937" s="18">
        <f>IF(OR(B1937="",I1937=""),"",I1937-B1937)</f>
        <v/>
      </c>
      <c r="N1937" s="21">
        <f>IF(B1937="","",IF(I1937="",IF(H1937="","",IF(TODAY()&gt;H1937,"Atrasado (em aberto)","Em aberto")),IF(I1937&lt;=H1937,"No prazo","Fora do prazo")))</f>
        <v/>
      </c>
    </row>
    <row r="1938">
      <c r="B1938" s="22" t="n"/>
      <c r="E1938" s="23" t="n"/>
      <c r="F1938" s="24" t="n"/>
      <c r="H1938" s="22" t="n"/>
      <c r="I1938" s="22" t="n"/>
      <c r="J1938" s="21">
        <f>IF(C1938="","",IFERROR(INDEX(Clientes!$B:$B,MATCH(C1938,Clientes!$A:$A,0)),"Cód. não cadastrado"))</f>
        <v/>
      </c>
      <c r="K1938" s="18">
        <f>IF(B1938="","",YEAR(B1938))</f>
        <v/>
      </c>
      <c r="L1938" s="18">
        <f>IF(B1938="","",MONTH(B1938))</f>
        <v/>
      </c>
      <c r="M1938" s="18">
        <f>IF(OR(B1938="",I1938=""),"",I1938-B1938)</f>
        <v/>
      </c>
      <c r="N1938" s="21">
        <f>IF(B1938="","",IF(I1938="",IF(H1938="","",IF(TODAY()&gt;H1938,"Atrasado (em aberto)","Em aberto")),IF(I1938&lt;=H1938,"No prazo","Fora do prazo")))</f>
        <v/>
      </c>
    </row>
    <row r="1939">
      <c r="B1939" s="22" t="n"/>
      <c r="E1939" s="23" t="n"/>
      <c r="F1939" s="24" t="n"/>
      <c r="H1939" s="22" t="n"/>
      <c r="I1939" s="22" t="n"/>
      <c r="J1939" s="21">
        <f>IF(C1939="","",IFERROR(INDEX(Clientes!$B:$B,MATCH(C1939,Clientes!$A:$A,0)),"Cód. não cadastrado"))</f>
        <v/>
      </c>
      <c r="K1939" s="18">
        <f>IF(B1939="","",YEAR(B1939))</f>
        <v/>
      </c>
      <c r="L1939" s="18">
        <f>IF(B1939="","",MONTH(B1939))</f>
        <v/>
      </c>
      <c r="M1939" s="18">
        <f>IF(OR(B1939="",I1939=""),"",I1939-B1939)</f>
        <v/>
      </c>
      <c r="N1939" s="21">
        <f>IF(B1939="","",IF(I1939="",IF(H1939="","",IF(TODAY()&gt;H1939,"Atrasado (em aberto)","Em aberto")),IF(I1939&lt;=H1939,"No prazo","Fora do prazo")))</f>
        <v/>
      </c>
    </row>
    <row r="1940">
      <c r="B1940" s="22" t="n"/>
      <c r="E1940" s="23" t="n"/>
      <c r="F1940" s="24" t="n"/>
      <c r="H1940" s="22" t="n"/>
      <c r="I1940" s="22" t="n"/>
      <c r="J1940" s="21">
        <f>IF(C1940="","",IFERROR(INDEX(Clientes!$B:$B,MATCH(C1940,Clientes!$A:$A,0)),"Cód. não cadastrado"))</f>
        <v/>
      </c>
      <c r="K1940" s="18">
        <f>IF(B1940="","",YEAR(B1940))</f>
        <v/>
      </c>
      <c r="L1940" s="18">
        <f>IF(B1940="","",MONTH(B1940))</f>
        <v/>
      </c>
      <c r="M1940" s="18">
        <f>IF(OR(B1940="",I1940=""),"",I1940-B1940)</f>
        <v/>
      </c>
      <c r="N1940" s="21">
        <f>IF(B1940="","",IF(I1940="",IF(H1940="","",IF(TODAY()&gt;H1940,"Atrasado (em aberto)","Em aberto")),IF(I1940&lt;=H1940,"No prazo","Fora do prazo")))</f>
        <v/>
      </c>
    </row>
    <row r="1941">
      <c r="B1941" s="22" t="n"/>
      <c r="E1941" s="23" t="n"/>
      <c r="F1941" s="24" t="n"/>
      <c r="H1941" s="22" t="n"/>
      <c r="I1941" s="22" t="n"/>
      <c r="J1941" s="21">
        <f>IF(C1941="","",IFERROR(INDEX(Clientes!$B:$B,MATCH(C1941,Clientes!$A:$A,0)),"Cód. não cadastrado"))</f>
        <v/>
      </c>
      <c r="K1941" s="18">
        <f>IF(B1941="","",YEAR(B1941))</f>
        <v/>
      </c>
      <c r="L1941" s="18">
        <f>IF(B1941="","",MONTH(B1941))</f>
        <v/>
      </c>
      <c r="M1941" s="18">
        <f>IF(OR(B1941="",I1941=""),"",I1941-B1941)</f>
        <v/>
      </c>
      <c r="N1941" s="21">
        <f>IF(B1941="","",IF(I1941="",IF(H1941="","",IF(TODAY()&gt;H1941,"Atrasado (em aberto)","Em aberto")),IF(I1941&lt;=H1941,"No prazo","Fora do prazo")))</f>
        <v/>
      </c>
    </row>
    <row r="1942">
      <c r="B1942" s="22" t="n"/>
      <c r="E1942" s="23" t="n"/>
      <c r="F1942" s="24" t="n"/>
      <c r="H1942" s="22" t="n"/>
      <c r="I1942" s="22" t="n"/>
      <c r="J1942" s="21">
        <f>IF(C1942="","",IFERROR(INDEX(Clientes!$B:$B,MATCH(C1942,Clientes!$A:$A,0)),"Cód. não cadastrado"))</f>
        <v/>
      </c>
      <c r="K1942" s="18">
        <f>IF(B1942="","",YEAR(B1942))</f>
        <v/>
      </c>
      <c r="L1942" s="18">
        <f>IF(B1942="","",MONTH(B1942))</f>
        <v/>
      </c>
      <c r="M1942" s="18">
        <f>IF(OR(B1942="",I1942=""),"",I1942-B1942)</f>
        <v/>
      </c>
      <c r="N1942" s="21">
        <f>IF(B1942="","",IF(I1942="",IF(H1942="","",IF(TODAY()&gt;H1942,"Atrasado (em aberto)","Em aberto")),IF(I1942&lt;=H1942,"No prazo","Fora do prazo")))</f>
        <v/>
      </c>
    </row>
    <row r="1943">
      <c r="B1943" s="22" t="n"/>
      <c r="E1943" s="23" t="n"/>
      <c r="F1943" s="24" t="n"/>
      <c r="H1943" s="22" t="n"/>
      <c r="I1943" s="22" t="n"/>
      <c r="J1943" s="21">
        <f>IF(C1943="","",IFERROR(INDEX(Clientes!$B:$B,MATCH(C1943,Clientes!$A:$A,0)),"Cód. não cadastrado"))</f>
        <v/>
      </c>
      <c r="K1943" s="18">
        <f>IF(B1943="","",YEAR(B1943))</f>
        <v/>
      </c>
      <c r="L1943" s="18">
        <f>IF(B1943="","",MONTH(B1943))</f>
        <v/>
      </c>
      <c r="M1943" s="18">
        <f>IF(OR(B1943="",I1943=""),"",I1943-B1943)</f>
        <v/>
      </c>
      <c r="N1943" s="21">
        <f>IF(B1943="","",IF(I1943="",IF(H1943="","",IF(TODAY()&gt;H1943,"Atrasado (em aberto)","Em aberto")),IF(I1943&lt;=H1943,"No prazo","Fora do prazo")))</f>
        <v/>
      </c>
    </row>
    <row r="1944">
      <c r="B1944" s="22" t="n"/>
      <c r="E1944" s="23" t="n"/>
      <c r="F1944" s="24" t="n"/>
      <c r="H1944" s="22" t="n"/>
      <c r="I1944" s="22" t="n"/>
      <c r="J1944" s="21">
        <f>IF(C1944="","",IFERROR(INDEX(Clientes!$B:$B,MATCH(C1944,Clientes!$A:$A,0)),"Cód. não cadastrado"))</f>
        <v/>
      </c>
      <c r="K1944" s="18">
        <f>IF(B1944="","",YEAR(B1944))</f>
        <v/>
      </c>
      <c r="L1944" s="18">
        <f>IF(B1944="","",MONTH(B1944))</f>
        <v/>
      </c>
      <c r="M1944" s="18">
        <f>IF(OR(B1944="",I1944=""),"",I1944-B1944)</f>
        <v/>
      </c>
      <c r="N1944" s="21">
        <f>IF(B1944="","",IF(I1944="",IF(H1944="","",IF(TODAY()&gt;H1944,"Atrasado (em aberto)","Em aberto")),IF(I1944&lt;=H1944,"No prazo","Fora do prazo")))</f>
        <v/>
      </c>
    </row>
    <row r="1945">
      <c r="B1945" s="22" t="n"/>
      <c r="E1945" s="23" t="n"/>
      <c r="F1945" s="24" t="n"/>
      <c r="H1945" s="22" t="n"/>
      <c r="I1945" s="22" t="n"/>
      <c r="J1945" s="21">
        <f>IF(C1945="","",IFERROR(INDEX(Clientes!$B:$B,MATCH(C1945,Clientes!$A:$A,0)),"Cód. não cadastrado"))</f>
        <v/>
      </c>
      <c r="K1945" s="18">
        <f>IF(B1945="","",YEAR(B1945))</f>
        <v/>
      </c>
      <c r="L1945" s="18">
        <f>IF(B1945="","",MONTH(B1945))</f>
        <v/>
      </c>
      <c r="M1945" s="18">
        <f>IF(OR(B1945="",I1945=""),"",I1945-B1945)</f>
        <v/>
      </c>
      <c r="N1945" s="21">
        <f>IF(B1945="","",IF(I1945="",IF(H1945="","",IF(TODAY()&gt;H1945,"Atrasado (em aberto)","Em aberto")),IF(I1945&lt;=H1945,"No prazo","Fora do prazo")))</f>
        <v/>
      </c>
    </row>
    <row r="1946">
      <c r="B1946" s="22" t="n"/>
      <c r="E1946" s="23" t="n"/>
      <c r="F1946" s="24" t="n"/>
      <c r="H1946" s="22" t="n"/>
      <c r="I1946" s="22" t="n"/>
      <c r="J1946" s="21">
        <f>IF(C1946="","",IFERROR(INDEX(Clientes!$B:$B,MATCH(C1946,Clientes!$A:$A,0)),"Cód. não cadastrado"))</f>
        <v/>
      </c>
      <c r="K1946" s="18">
        <f>IF(B1946="","",YEAR(B1946))</f>
        <v/>
      </c>
      <c r="L1946" s="18">
        <f>IF(B1946="","",MONTH(B1946))</f>
        <v/>
      </c>
      <c r="M1946" s="18">
        <f>IF(OR(B1946="",I1946=""),"",I1946-B1946)</f>
        <v/>
      </c>
      <c r="N1946" s="21">
        <f>IF(B1946="","",IF(I1946="",IF(H1946="","",IF(TODAY()&gt;H1946,"Atrasado (em aberto)","Em aberto")),IF(I1946&lt;=H1946,"No prazo","Fora do prazo")))</f>
        <v/>
      </c>
    </row>
    <row r="1947">
      <c r="B1947" s="22" t="n"/>
      <c r="E1947" s="23" t="n"/>
      <c r="F1947" s="24" t="n"/>
      <c r="H1947" s="22" t="n"/>
      <c r="I1947" s="22" t="n"/>
      <c r="J1947" s="21">
        <f>IF(C1947="","",IFERROR(INDEX(Clientes!$B:$B,MATCH(C1947,Clientes!$A:$A,0)),"Cód. não cadastrado"))</f>
        <v/>
      </c>
      <c r="K1947" s="18">
        <f>IF(B1947="","",YEAR(B1947))</f>
        <v/>
      </c>
      <c r="L1947" s="18">
        <f>IF(B1947="","",MONTH(B1947))</f>
        <v/>
      </c>
      <c r="M1947" s="18">
        <f>IF(OR(B1947="",I1947=""),"",I1947-B1947)</f>
        <v/>
      </c>
      <c r="N1947" s="21">
        <f>IF(B1947="","",IF(I1947="",IF(H1947="","",IF(TODAY()&gt;H1947,"Atrasado (em aberto)","Em aberto")),IF(I1947&lt;=H1947,"No prazo","Fora do prazo")))</f>
        <v/>
      </c>
    </row>
    <row r="1948">
      <c r="B1948" s="22" t="n"/>
      <c r="E1948" s="23" t="n"/>
      <c r="F1948" s="24" t="n"/>
      <c r="H1948" s="22" t="n"/>
      <c r="I1948" s="22" t="n"/>
      <c r="J1948" s="21">
        <f>IF(C1948="","",IFERROR(INDEX(Clientes!$B:$B,MATCH(C1948,Clientes!$A:$A,0)),"Cód. não cadastrado"))</f>
        <v/>
      </c>
      <c r="K1948" s="18">
        <f>IF(B1948="","",YEAR(B1948))</f>
        <v/>
      </c>
      <c r="L1948" s="18">
        <f>IF(B1948="","",MONTH(B1948))</f>
        <v/>
      </c>
      <c r="M1948" s="18">
        <f>IF(OR(B1948="",I1948=""),"",I1948-B1948)</f>
        <v/>
      </c>
      <c r="N1948" s="21">
        <f>IF(B1948="","",IF(I1948="",IF(H1948="","",IF(TODAY()&gt;H1948,"Atrasado (em aberto)","Em aberto")),IF(I1948&lt;=H1948,"No prazo","Fora do prazo")))</f>
        <v/>
      </c>
    </row>
    <row r="1949">
      <c r="B1949" s="22" t="n"/>
      <c r="E1949" s="23" t="n"/>
      <c r="F1949" s="24" t="n"/>
      <c r="H1949" s="22" t="n"/>
      <c r="I1949" s="22" t="n"/>
      <c r="J1949" s="21">
        <f>IF(C1949="","",IFERROR(INDEX(Clientes!$B:$B,MATCH(C1949,Clientes!$A:$A,0)),"Cód. não cadastrado"))</f>
        <v/>
      </c>
      <c r="K1949" s="18">
        <f>IF(B1949="","",YEAR(B1949))</f>
        <v/>
      </c>
      <c r="L1949" s="18">
        <f>IF(B1949="","",MONTH(B1949))</f>
        <v/>
      </c>
      <c r="M1949" s="18">
        <f>IF(OR(B1949="",I1949=""),"",I1949-B1949)</f>
        <v/>
      </c>
      <c r="N1949" s="21">
        <f>IF(B1949="","",IF(I1949="",IF(H1949="","",IF(TODAY()&gt;H1949,"Atrasado (em aberto)","Em aberto")),IF(I1949&lt;=H1949,"No prazo","Fora do prazo")))</f>
        <v/>
      </c>
    </row>
    <row r="1950">
      <c r="B1950" s="22" t="n"/>
      <c r="E1950" s="23" t="n"/>
      <c r="F1950" s="24" t="n"/>
      <c r="H1950" s="22" t="n"/>
      <c r="I1950" s="22" t="n"/>
      <c r="J1950" s="21">
        <f>IF(C1950="","",IFERROR(INDEX(Clientes!$B:$B,MATCH(C1950,Clientes!$A:$A,0)),"Cód. não cadastrado"))</f>
        <v/>
      </c>
      <c r="K1950" s="18">
        <f>IF(B1950="","",YEAR(B1950))</f>
        <v/>
      </c>
      <c r="L1950" s="18">
        <f>IF(B1950="","",MONTH(B1950))</f>
        <v/>
      </c>
      <c r="M1950" s="18">
        <f>IF(OR(B1950="",I1950=""),"",I1950-B1950)</f>
        <v/>
      </c>
      <c r="N1950" s="21">
        <f>IF(B1950="","",IF(I1950="",IF(H1950="","",IF(TODAY()&gt;H1950,"Atrasado (em aberto)","Em aberto")),IF(I1950&lt;=H1950,"No prazo","Fora do prazo")))</f>
        <v/>
      </c>
    </row>
    <row r="1951">
      <c r="B1951" s="22" t="n"/>
      <c r="E1951" s="23" t="n"/>
      <c r="F1951" s="24" t="n"/>
      <c r="H1951" s="22" t="n"/>
      <c r="I1951" s="22" t="n"/>
      <c r="J1951" s="21">
        <f>IF(C1951="","",IFERROR(INDEX(Clientes!$B:$B,MATCH(C1951,Clientes!$A:$A,0)),"Cód. não cadastrado"))</f>
        <v/>
      </c>
      <c r="K1951" s="18">
        <f>IF(B1951="","",YEAR(B1951))</f>
        <v/>
      </c>
      <c r="L1951" s="18">
        <f>IF(B1951="","",MONTH(B1951))</f>
        <v/>
      </c>
      <c r="M1951" s="18">
        <f>IF(OR(B1951="",I1951=""),"",I1951-B1951)</f>
        <v/>
      </c>
      <c r="N1951" s="21">
        <f>IF(B1951="","",IF(I1951="",IF(H1951="","",IF(TODAY()&gt;H1951,"Atrasado (em aberto)","Em aberto")),IF(I1951&lt;=H1951,"No prazo","Fora do prazo")))</f>
        <v/>
      </c>
    </row>
    <row r="1952">
      <c r="B1952" s="22" t="n"/>
      <c r="E1952" s="23" t="n"/>
      <c r="F1952" s="24" t="n"/>
      <c r="H1952" s="22" t="n"/>
      <c r="I1952" s="22" t="n"/>
      <c r="J1952" s="21">
        <f>IF(C1952="","",IFERROR(INDEX(Clientes!$B:$B,MATCH(C1952,Clientes!$A:$A,0)),"Cód. não cadastrado"))</f>
        <v/>
      </c>
      <c r="K1952" s="18">
        <f>IF(B1952="","",YEAR(B1952))</f>
        <v/>
      </c>
      <c r="L1952" s="18">
        <f>IF(B1952="","",MONTH(B1952))</f>
        <v/>
      </c>
      <c r="M1952" s="18">
        <f>IF(OR(B1952="",I1952=""),"",I1952-B1952)</f>
        <v/>
      </c>
      <c r="N1952" s="21">
        <f>IF(B1952="","",IF(I1952="",IF(H1952="","",IF(TODAY()&gt;H1952,"Atrasado (em aberto)","Em aberto")),IF(I1952&lt;=H1952,"No prazo","Fora do prazo")))</f>
        <v/>
      </c>
    </row>
    <row r="1953">
      <c r="B1953" s="22" t="n"/>
      <c r="E1953" s="23" t="n"/>
      <c r="F1953" s="24" t="n"/>
      <c r="H1953" s="22" t="n"/>
      <c r="I1953" s="22" t="n"/>
      <c r="J1953" s="21">
        <f>IF(C1953="","",IFERROR(INDEX(Clientes!$B:$B,MATCH(C1953,Clientes!$A:$A,0)),"Cód. não cadastrado"))</f>
        <v/>
      </c>
      <c r="K1953" s="18">
        <f>IF(B1953="","",YEAR(B1953))</f>
        <v/>
      </c>
      <c r="L1953" s="18">
        <f>IF(B1953="","",MONTH(B1953))</f>
        <v/>
      </c>
      <c r="M1953" s="18">
        <f>IF(OR(B1953="",I1953=""),"",I1953-B1953)</f>
        <v/>
      </c>
      <c r="N1953" s="21">
        <f>IF(B1953="","",IF(I1953="",IF(H1953="","",IF(TODAY()&gt;H1953,"Atrasado (em aberto)","Em aberto")),IF(I1953&lt;=H1953,"No prazo","Fora do prazo")))</f>
        <v/>
      </c>
    </row>
    <row r="1954">
      <c r="B1954" s="22" t="n"/>
      <c r="E1954" s="23" t="n"/>
      <c r="F1954" s="24" t="n"/>
      <c r="H1954" s="22" t="n"/>
      <c r="I1954" s="22" t="n"/>
      <c r="J1954" s="21">
        <f>IF(C1954="","",IFERROR(INDEX(Clientes!$B:$B,MATCH(C1954,Clientes!$A:$A,0)),"Cód. não cadastrado"))</f>
        <v/>
      </c>
      <c r="K1954" s="18">
        <f>IF(B1954="","",YEAR(B1954))</f>
        <v/>
      </c>
      <c r="L1954" s="18">
        <f>IF(B1954="","",MONTH(B1954))</f>
        <v/>
      </c>
      <c r="M1954" s="18">
        <f>IF(OR(B1954="",I1954=""),"",I1954-B1954)</f>
        <v/>
      </c>
      <c r="N1954" s="21">
        <f>IF(B1954="","",IF(I1954="",IF(H1954="","",IF(TODAY()&gt;H1954,"Atrasado (em aberto)","Em aberto")),IF(I1954&lt;=H1954,"No prazo","Fora do prazo")))</f>
        <v/>
      </c>
    </row>
    <row r="1955">
      <c r="B1955" s="22" t="n"/>
      <c r="E1955" s="23" t="n"/>
      <c r="F1955" s="24" t="n"/>
      <c r="H1955" s="22" t="n"/>
      <c r="I1955" s="22" t="n"/>
      <c r="J1955" s="21">
        <f>IF(C1955="","",IFERROR(INDEX(Clientes!$B:$B,MATCH(C1955,Clientes!$A:$A,0)),"Cód. não cadastrado"))</f>
        <v/>
      </c>
      <c r="K1955" s="18">
        <f>IF(B1955="","",YEAR(B1955))</f>
        <v/>
      </c>
      <c r="L1955" s="18">
        <f>IF(B1955="","",MONTH(B1955))</f>
        <v/>
      </c>
      <c r="M1955" s="18">
        <f>IF(OR(B1955="",I1955=""),"",I1955-B1955)</f>
        <v/>
      </c>
      <c r="N1955" s="21">
        <f>IF(B1955="","",IF(I1955="",IF(H1955="","",IF(TODAY()&gt;H1955,"Atrasado (em aberto)","Em aberto")),IF(I1955&lt;=H1955,"No prazo","Fora do prazo")))</f>
        <v/>
      </c>
    </row>
    <row r="1956">
      <c r="B1956" s="22" t="n"/>
      <c r="E1956" s="23" t="n"/>
      <c r="F1956" s="24" t="n"/>
      <c r="H1956" s="22" t="n"/>
      <c r="I1956" s="22" t="n"/>
      <c r="J1956" s="21">
        <f>IF(C1956="","",IFERROR(INDEX(Clientes!$B:$B,MATCH(C1956,Clientes!$A:$A,0)),"Cód. não cadastrado"))</f>
        <v/>
      </c>
      <c r="K1956" s="18">
        <f>IF(B1956="","",YEAR(B1956))</f>
        <v/>
      </c>
      <c r="L1956" s="18">
        <f>IF(B1956="","",MONTH(B1956))</f>
        <v/>
      </c>
      <c r="M1956" s="18">
        <f>IF(OR(B1956="",I1956=""),"",I1956-B1956)</f>
        <v/>
      </c>
      <c r="N1956" s="21">
        <f>IF(B1956="","",IF(I1956="",IF(H1956="","",IF(TODAY()&gt;H1956,"Atrasado (em aberto)","Em aberto")),IF(I1956&lt;=H1956,"No prazo","Fora do prazo")))</f>
        <v/>
      </c>
    </row>
    <row r="1957">
      <c r="B1957" s="22" t="n"/>
      <c r="E1957" s="23" t="n"/>
      <c r="F1957" s="24" t="n"/>
      <c r="H1957" s="22" t="n"/>
      <c r="I1957" s="22" t="n"/>
      <c r="J1957" s="21">
        <f>IF(C1957="","",IFERROR(INDEX(Clientes!$B:$B,MATCH(C1957,Clientes!$A:$A,0)),"Cód. não cadastrado"))</f>
        <v/>
      </c>
      <c r="K1957" s="18">
        <f>IF(B1957="","",YEAR(B1957))</f>
        <v/>
      </c>
      <c r="L1957" s="18">
        <f>IF(B1957="","",MONTH(B1957))</f>
        <v/>
      </c>
      <c r="M1957" s="18">
        <f>IF(OR(B1957="",I1957=""),"",I1957-B1957)</f>
        <v/>
      </c>
      <c r="N1957" s="21">
        <f>IF(B1957="","",IF(I1957="",IF(H1957="","",IF(TODAY()&gt;H1957,"Atrasado (em aberto)","Em aberto")),IF(I1957&lt;=H1957,"No prazo","Fora do prazo")))</f>
        <v/>
      </c>
    </row>
    <row r="1958">
      <c r="B1958" s="22" t="n"/>
      <c r="E1958" s="23" t="n"/>
      <c r="F1958" s="24" t="n"/>
      <c r="H1958" s="22" t="n"/>
      <c r="I1958" s="22" t="n"/>
      <c r="J1958" s="21">
        <f>IF(C1958="","",IFERROR(INDEX(Clientes!$B:$B,MATCH(C1958,Clientes!$A:$A,0)),"Cód. não cadastrado"))</f>
        <v/>
      </c>
      <c r="K1958" s="18">
        <f>IF(B1958="","",YEAR(B1958))</f>
        <v/>
      </c>
      <c r="L1958" s="18">
        <f>IF(B1958="","",MONTH(B1958))</f>
        <v/>
      </c>
      <c r="M1958" s="18">
        <f>IF(OR(B1958="",I1958=""),"",I1958-B1958)</f>
        <v/>
      </c>
      <c r="N1958" s="21">
        <f>IF(B1958="","",IF(I1958="",IF(H1958="","",IF(TODAY()&gt;H1958,"Atrasado (em aberto)","Em aberto")),IF(I1958&lt;=H1958,"No prazo","Fora do prazo")))</f>
        <v/>
      </c>
    </row>
    <row r="1959">
      <c r="B1959" s="22" t="n"/>
      <c r="E1959" s="23" t="n"/>
      <c r="F1959" s="24" t="n"/>
      <c r="H1959" s="22" t="n"/>
      <c r="I1959" s="22" t="n"/>
      <c r="J1959" s="21">
        <f>IF(C1959="","",IFERROR(INDEX(Clientes!$B:$B,MATCH(C1959,Clientes!$A:$A,0)),"Cód. não cadastrado"))</f>
        <v/>
      </c>
      <c r="K1959" s="18">
        <f>IF(B1959="","",YEAR(B1959))</f>
        <v/>
      </c>
      <c r="L1959" s="18">
        <f>IF(B1959="","",MONTH(B1959))</f>
        <v/>
      </c>
      <c r="M1959" s="18">
        <f>IF(OR(B1959="",I1959=""),"",I1959-B1959)</f>
        <v/>
      </c>
      <c r="N1959" s="21">
        <f>IF(B1959="","",IF(I1959="",IF(H1959="","",IF(TODAY()&gt;H1959,"Atrasado (em aberto)","Em aberto")),IF(I1959&lt;=H1959,"No prazo","Fora do prazo")))</f>
        <v/>
      </c>
    </row>
    <row r="1960">
      <c r="B1960" s="22" t="n"/>
      <c r="E1960" s="23" t="n"/>
      <c r="F1960" s="24" t="n"/>
      <c r="H1960" s="22" t="n"/>
      <c r="I1960" s="22" t="n"/>
      <c r="J1960" s="21">
        <f>IF(C1960="","",IFERROR(INDEX(Clientes!$B:$B,MATCH(C1960,Clientes!$A:$A,0)),"Cód. não cadastrado"))</f>
        <v/>
      </c>
      <c r="K1960" s="18">
        <f>IF(B1960="","",YEAR(B1960))</f>
        <v/>
      </c>
      <c r="L1960" s="18">
        <f>IF(B1960="","",MONTH(B1960))</f>
        <v/>
      </c>
      <c r="M1960" s="18">
        <f>IF(OR(B1960="",I1960=""),"",I1960-B1960)</f>
        <v/>
      </c>
      <c r="N1960" s="21">
        <f>IF(B1960="","",IF(I1960="",IF(H1960="","",IF(TODAY()&gt;H1960,"Atrasado (em aberto)","Em aberto")),IF(I1960&lt;=H1960,"No prazo","Fora do prazo")))</f>
        <v/>
      </c>
    </row>
    <row r="1961">
      <c r="B1961" s="22" t="n"/>
      <c r="E1961" s="23" t="n"/>
      <c r="F1961" s="24" t="n"/>
      <c r="H1961" s="22" t="n"/>
      <c r="I1961" s="22" t="n"/>
      <c r="J1961" s="21">
        <f>IF(C1961="","",IFERROR(INDEX(Clientes!$B:$B,MATCH(C1961,Clientes!$A:$A,0)),"Cód. não cadastrado"))</f>
        <v/>
      </c>
      <c r="K1961" s="18">
        <f>IF(B1961="","",YEAR(B1961))</f>
        <v/>
      </c>
      <c r="L1961" s="18">
        <f>IF(B1961="","",MONTH(B1961))</f>
        <v/>
      </c>
      <c r="M1961" s="18">
        <f>IF(OR(B1961="",I1961=""),"",I1961-B1961)</f>
        <v/>
      </c>
      <c r="N1961" s="21">
        <f>IF(B1961="","",IF(I1961="",IF(H1961="","",IF(TODAY()&gt;H1961,"Atrasado (em aberto)","Em aberto")),IF(I1961&lt;=H1961,"No prazo","Fora do prazo")))</f>
        <v/>
      </c>
    </row>
    <row r="1962">
      <c r="B1962" s="22" t="n"/>
      <c r="E1962" s="23" t="n"/>
      <c r="F1962" s="24" t="n"/>
      <c r="H1962" s="22" t="n"/>
      <c r="I1962" s="22" t="n"/>
      <c r="J1962" s="21">
        <f>IF(C1962="","",IFERROR(INDEX(Clientes!$B:$B,MATCH(C1962,Clientes!$A:$A,0)),"Cód. não cadastrado"))</f>
        <v/>
      </c>
      <c r="K1962" s="18">
        <f>IF(B1962="","",YEAR(B1962))</f>
        <v/>
      </c>
      <c r="L1962" s="18">
        <f>IF(B1962="","",MONTH(B1962))</f>
        <v/>
      </c>
      <c r="M1962" s="18">
        <f>IF(OR(B1962="",I1962=""),"",I1962-B1962)</f>
        <v/>
      </c>
      <c r="N1962" s="21">
        <f>IF(B1962="","",IF(I1962="",IF(H1962="","",IF(TODAY()&gt;H1962,"Atrasado (em aberto)","Em aberto")),IF(I1962&lt;=H1962,"No prazo","Fora do prazo")))</f>
        <v/>
      </c>
    </row>
    <row r="1963">
      <c r="B1963" s="22" t="n"/>
      <c r="E1963" s="23" t="n"/>
      <c r="F1963" s="24" t="n"/>
      <c r="H1963" s="22" t="n"/>
      <c r="I1963" s="22" t="n"/>
      <c r="J1963" s="21">
        <f>IF(C1963="","",IFERROR(INDEX(Clientes!$B:$B,MATCH(C1963,Clientes!$A:$A,0)),"Cód. não cadastrado"))</f>
        <v/>
      </c>
      <c r="K1963" s="18">
        <f>IF(B1963="","",YEAR(B1963))</f>
        <v/>
      </c>
      <c r="L1963" s="18">
        <f>IF(B1963="","",MONTH(B1963))</f>
        <v/>
      </c>
      <c r="M1963" s="18">
        <f>IF(OR(B1963="",I1963=""),"",I1963-B1963)</f>
        <v/>
      </c>
      <c r="N1963" s="21">
        <f>IF(B1963="","",IF(I1963="",IF(H1963="","",IF(TODAY()&gt;H1963,"Atrasado (em aberto)","Em aberto")),IF(I1963&lt;=H1963,"No prazo","Fora do prazo")))</f>
        <v/>
      </c>
    </row>
    <row r="1964">
      <c r="B1964" s="22" t="n"/>
      <c r="E1964" s="23" t="n"/>
      <c r="F1964" s="24" t="n"/>
      <c r="H1964" s="22" t="n"/>
      <c r="I1964" s="22" t="n"/>
      <c r="J1964" s="21">
        <f>IF(C1964="","",IFERROR(INDEX(Clientes!$B:$B,MATCH(C1964,Clientes!$A:$A,0)),"Cód. não cadastrado"))</f>
        <v/>
      </c>
      <c r="K1964" s="18">
        <f>IF(B1964="","",YEAR(B1964))</f>
        <v/>
      </c>
      <c r="L1964" s="18">
        <f>IF(B1964="","",MONTH(B1964))</f>
        <v/>
      </c>
      <c r="M1964" s="18">
        <f>IF(OR(B1964="",I1964=""),"",I1964-B1964)</f>
        <v/>
      </c>
      <c r="N1964" s="21">
        <f>IF(B1964="","",IF(I1964="",IF(H1964="","",IF(TODAY()&gt;H1964,"Atrasado (em aberto)","Em aberto")),IF(I1964&lt;=H1964,"No prazo","Fora do prazo")))</f>
        <v/>
      </c>
    </row>
    <row r="1965">
      <c r="B1965" s="22" t="n"/>
      <c r="E1965" s="23" t="n"/>
      <c r="F1965" s="24" t="n"/>
      <c r="H1965" s="22" t="n"/>
      <c r="I1965" s="22" t="n"/>
      <c r="J1965" s="21">
        <f>IF(C1965="","",IFERROR(INDEX(Clientes!$B:$B,MATCH(C1965,Clientes!$A:$A,0)),"Cód. não cadastrado"))</f>
        <v/>
      </c>
      <c r="K1965" s="18">
        <f>IF(B1965="","",YEAR(B1965))</f>
        <v/>
      </c>
      <c r="L1965" s="18">
        <f>IF(B1965="","",MONTH(B1965))</f>
        <v/>
      </c>
      <c r="M1965" s="18">
        <f>IF(OR(B1965="",I1965=""),"",I1965-B1965)</f>
        <v/>
      </c>
      <c r="N1965" s="21">
        <f>IF(B1965="","",IF(I1965="",IF(H1965="","",IF(TODAY()&gt;H1965,"Atrasado (em aberto)","Em aberto")),IF(I1965&lt;=H1965,"No prazo","Fora do prazo")))</f>
        <v/>
      </c>
    </row>
    <row r="1966">
      <c r="B1966" s="22" t="n"/>
      <c r="E1966" s="23" t="n"/>
      <c r="F1966" s="24" t="n"/>
      <c r="H1966" s="22" t="n"/>
      <c r="I1966" s="22" t="n"/>
      <c r="J1966" s="21">
        <f>IF(C1966="","",IFERROR(INDEX(Clientes!$B:$B,MATCH(C1966,Clientes!$A:$A,0)),"Cód. não cadastrado"))</f>
        <v/>
      </c>
      <c r="K1966" s="18">
        <f>IF(B1966="","",YEAR(B1966))</f>
        <v/>
      </c>
      <c r="L1966" s="18">
        <f>IF(B1966="","",MONTH(B1966))</f>
        <v/>
      </c>
      <c r="M1966" s="18">
        <f>IF(OR(B1966="",I1966=""),"",I1966-B1966)</f>
        <v/>
      </c>
      <c r="N1966" s="21">
        <f>IF(B1966="","",IF(I1966="",IF(H1966="","",IF(TODAY()&gt;H1966,"Atrasado (em aberto)","Em aberto")),IF(I1966&lt;=H1966,"No prazo","Fora do prazo")))</f>
        <v/>
      </c>
    </row>
    <row r="1967">
      <c r="B1967" s="22" t="n"/>
      <c r="E1967" s="23" t="n"/>
      <c r="F1967" s="24" t="n"/>
      <c r="H1967" s="22" t="n"/>
      <c r="I1967" s="22" t="n"/>
      <c r="J1967" s="21">
        <f>IF(C1967="","",IFERROR(INDEX(Clientes!$B:$B,MATCH(C1967,Clientes!$A:$A,0)),"Cód. não cadastrado"))</f>
        <v/>
      </c>
      <c r="K1967" s="18">
        <f>IF(B1967="","",YEAR(B1967))</f>
        <v/>
      </c>
      <c r="L1967" s="18">
        <f>IF(B1967="","",MONTH(B1967))</f>
        <v/>
      </c>
      <c r="M1967" s="18">
        <f>IF(OR(B1967="",I1967=""),"",I1967-B1967)</f>
        <v/>
      </c>
      <c r="N1967" s="21">
        <f>IF(B1967="","",IF(I1967="",IF(H1967="","",IF(TODAY()&gt;H1967,"Atrasado (em aberto)","Em aberto")),IF(I1967&lt;=H1967,"No prazo","Fora do prazo")))</f>
        <v/>
      </c>
    </row>
    <row r="1968">
      <c r="B1968" s="22" t="n"/>
      <c r="E1968" s="23" t="n"/>
      <c r="F1968" s="24" t="n"/>
      <c r="H1968" s="22" t="n"/>
      <c r="I1968" s="22" t="n"/>
      <c r="J1968" s="21">
        <f>IF(C1968="","",IFERROR(INDEX(Clientes!$B:$B,MATCH(C1968,Clientes!$A:$A,0)),"Cód. não cadastrado"))</f>
        <v/>
      </c>
      <c r="K1968" s="18">
        <f>IF(B1968="","",YEAR(B1968))</f>
        <v/>
      </c>
      <c r="L1968" s="18">
        <f>IF(B1968="","",MONTH(B1968))</f>
        <v/>
      </c>
      <c r="M1968" s="18">
        <f>IF(OR(B1968="",I1968=""),"",I1968-B1968)</f>
        <v/>
      </c>
      <c r="N1968" s="21">
        <f>IF(B1968="","",IF(I1968="",IF(H1968="","",IF(TODAY()&gt;H1968,"Atrasado (em aberto)","Em aberto")),IF(I1968&lt;=H1968,"No prazo","Fora do prazo")))</f>
        <v/>
      </c>
    </row>
    <row r="1969">
      <c r="B1969" s="22" t="n"/>
      <c r="E1969" s="23" t="n"/>
      <c r="F1969" s="24" t="n"/>
      <c r="H1969" s="22" t="n"/>
      <c r="I1969" s="22" t="n"/>
      <c r="J1969" s="21">
        <f>IF(C1969="","",IFERROR(INDEX(Clientes!$B:$B,MATCH(C1969,Clientes!$A:$A,0)),"Cód. não cadastrado"))</f>
        <v/>
      </c>
      <c r="K1969" s="18">
        <f>IF(B1969="","",YEAR(B1969))</f>
        <v/>
      </c>
      <c r="L1969" s="18">
        <f>IF(B1969="","",MONTH(B1969))</f>
        <v/>
      </c>
      <c r="M1969" s="18">
        <f>IF(OR(B1969="",I1969=""),"",I1969-B1969)</f>
        <v/>
      </c>
      <c r="N1969" s="21">
        <f>IF(B1969="","",IF(I1969="",IF(H1969="","",IF(TODAY()&gt;H1969,"Atrasado (em aberto)","Em aberto")),IF(I1969&lt;=H1969,"No prazo","Fora do prazo")))</f>
        <v/>
      </c>
    </row>
    <row r="1970">
      <c r="B1970" s="22" t="n"/>
      <c r="E1970" s="23" t="n"/>
      <c r="F1970" s="24" t="n"/>
      <c r="H1970" s="22" t="n"/>
      <c r="I1970" s="22" t="n"/>
      <c r="J1970" s="21">
        <f>IF(C1970="","",IFERROR(INDEX(Clientes!$B:$B,MATCH(C1970,Clientes!$A:$A,0)),"Cód. não cadastrado"))</f>
        <v/>
      </c>
      <c r="K1970" s="18">
        <f>IF(B1970="","",YEAR(B1970))</f>
        <v/>
      </c>
      <c r="L1970" s="18">
        <f>IF(B1970="","",MONTH(B1970))</f>
        <v/>
      </c>
      <c r="M1970" s="18">
        <f>IF(OR(B1970="",I1970=""),"",I1970-B1970)</f>
        <v/>
      </c>
      <c r="N1970" s="21">
        <f>IF(B1970="","",IF(I1970="",IF(H1970="","",IF(TODAY()&gt;H1970,"Atrasado (em aberto)","Em aberto")),IF(I1970&lt;=H1970,"No prazo","Fora do prazo")))</f>
        <v/>
      </c>
    </row>
    <row r="1971">
      <c r="B1971" s="22" t="n"/>
      <c r="E1971" s="23" t="n"/>
      <c r="F1971" s="24" t="n"/>
      <c r="H1971" s="22" t="n"/>
      <c r="I1971" s="22" t="n"/>
      <c r="J1971" s="21">
        <f>IF(C1971="","",IFERROR(INDEX(Clientes!$B:$B,MATCH(C1971,Clientes!$A:$A,0)),"Cód. não cadastrado"))</f>
        <v/>
      </c>
      <c r="K1971" s="18">
        <f>IF(B1971="","",YEAR(B1971))</f>
        <v/>
      </c>
      <c r="L1971" s="18">
        <f>IF(B1971="","",MONTH(B1971))</f>
        <v/>
      </c>
      <c r="M1971" s="18">
        <f>IF(OR(B1971="",I1971=""),"",I1971-B1971)</f>
        <v/>
      </c>
      <c r="N1971" s="21">
        <f>IF(B1971="","",IF(I1971="",IF(H1971="","",IF(TODAY()&gt;H1971,"Atrasado (em aberto)","Em aberto")),IF(I1971&lt;=H1971,"No prazo","Fora do prazo")))</f>
        <v/>
      </c>
    </row>
    <row r="1972">
      <c r="B1972" s="22" t="n"/>
      <c r="E1972" s="23" t="n"/>
      <c r="F1972" s="24" t="n"/>
      <c r="H1972" s="22" t="n"/>
      <c r="I1972" s="22" t="n"/>
      <c r="J1972" s="21">
        <f>IF(C1972="","",IFERROR(INDEX(Clientes!$B:$B,MATCH(C1972,Clientes!$A:$A,0)),"Cód. não cadastrado"))</f>
        <v/>
      </c>
      <c r="K1972" s="18">
        <f>IF(B1972="","",YEAR(B1972))</f>
        <v/>
      </c>
      <c r="L1972" s="18">
        <f>IF(B1972="","",MONTH(B1972))</f>
        <v/>
      </c>
      <c r="M1972" s="18">
        <f>IF(OR(B1972="",I1972=""),"",I1972-B1972)</f>
        <v/>
      </c>
      <c r="N1972" s="21">
        <f>IF(B1972="","",IF(I1972="",IF(H1972="","",IF(TODAY()&gt;H1972,"Atrasado (em aberto)","Em aberto")),IF(I1972&lt;=H1972,"No prazo","Fora do prazo")))</f>
        <v/>
      </c>
    </row>
    <row r="1973">
      <c r="B1973" s="22" t="n"/>
      <c r="E1973" s="23" t="n"/>
      <c r="F1973" s="24" t="n"/>
      <c r="H1973" s="22" t="n"/>
      <c r="I1973" s="22" t="n"/>
      <c r="J1973" s="21">
        <f>IF(C1973="","",IFERROR(INDEX(Clientes!$B:$B,MATCH(C1973,Clientes!$A:$A,0)),"Cód. não cadastrado"))</f>
        <v/>
      </c>
      <c r="K1973" s="18">
        <f>IF(B1973="","",YEAR(B1973))</f>
        <v/>
      </c>
      <c r="L1973" s="18">
        <f>IF(B1973="","",MONTH(B1973))</f>
        <v/>
      </c>
      <c r="M1973" s="18">
        <f>IF(OR(B1973="",I1973=""),"",I1973-B1973)</f>
        <v/>
      </c>
      <c r="N1973" s="21">
        <f>IF(B1973="","",IF(I1973="",IF(H1973="","",IF(TODAY()&gt;H1973,"Atrasado (em aberto)","Em aberto")),IF(I1973&lt;=H1973,"No prazo","Fora do prazo")))</f>
        <v/>
      </c>
    </row>
    <row r="1974">
      <c r="B1974" s="22" t="n"/>
      <c r="E1974" s="23" t="n"/>
      <c r="F1974" s="24" t="n"/>
      <c r="H1974" s="22" t="n"/>
      <c r="I1974" s="22" t="n"/>
      <c r="J1974" s="21">
        <f>IF(C1974="","",IFERROR(INDEX(Clientes!$B:$B,MATCH(C1974,Clientes!$A:$A,0)),"Cód. não cadastrado"))</f>
        <v/>
      </c>
      <c r="K1974" s="18">
        <f>IF(B1974="","",YEAR(B1974))</f>
        <v/>
      </c>
      <c r="L1974" s="18">
        <f>IF(B1974="","",MONTH(B1974))</f>
        <v/>
      </c>
      <c r="M1974" s="18">
        <f>IF(OR(B1974="",I1974=""),"",I1974-B1974)</f>
        <v/>
      </c>
      <c r="N1974" s="21">
        <f>IF(B1974="","",IF(I1974="",IF(H1974="","",IF(TODAY()&gt;H1974,"Atrasado (em aberto)","Em aberto")),IF(I1974&lt;=H1974,"No prazo","Fora do prazo")))</f>
        <v/>
      </c>
    </row>
    <row r="1975">
      <c r="B1975" s="22" t="n"/>
      <c r="E1975" s="23" t="n"/>
      <c r="F1975" s="24" t="n"/>
      <c r="H1975" s="22" t="n"/>
      <c r="I1975" s="22" t="n"/>
      <c r="J1975" s="21">
        <f>IF(C1975="","",IFERROR(INDEX(Clientes!$B:$B,MATCH(C1975,Clientes!$A:$A,0)),"Cód. não cadastrado"))</f>
        <v/>
      </c>
      <c r="K1975" s="18">
        <f>IF(B1975="","",YEAR(B1975))</f>
        <v/>
      </c>
      <c r="L1975" s="18">
        <f>IF(B1975="","",MONTH(B1975))</f>
        <v/>
      </c>
      <c r="M1975" s="18">
        <f>IF(OR(B1975="",I1975=""),"",I1975-B1975)</f>
        <v/>
      </c>
      <c r="N1975" s="21">
        <f>IF(B1975="","",IF(I1975="",IF(H1975="","",IF(TODAY()&gt;H1975,"Atrasado (em aberto)","Em aberto")),IF(I1975&lt;=H1975,"No prazo","Fora do prazo")))</f>
        <v/>
      </c>
    </row>
    <row r="1976">
      <c r="B1976" s="22" t="n"/>
      <c r="E1976" s="23" t="n"/>
      <c r="F1976" s="24" t="n"/>
      <c r="H1976" s="22" t="n"/>
      <c r="I1976" s="22" t="n"/>
      <c r="J1976" s="21">
        <f>IF(C1976="","",IFERROR(INDEX(Clientes!$B:$B,MATCH(C1976,Clientes!$A:$A,0)),"Cód. não cadastrado"))</f>
        <v/>
      </c>
      <c r="K1976" s="18">
        <f>IF(B1976="","",YEAR(B1976))</f>
        <v/>
      </c>
      <c r="L1976" s="18">
        <f>IF(B1976="","",MONTH(B1976))</f>
        <v/>
      </c>
      <c r="M1976" s="18">
        <f>IF(OR(B1976="",I1976=""),"",I1976-B1976)</f>
        <v/>
      </c>
      <c r="N1976" s="21">
        <f>IF(B1976="","",IF(I1976="",IF(H1976="","",IF(TODAY()&gt;H1976,"Atrasado (em aberto)","Em aberto")),IF(I1976&lt;=H1976,"No prazo","Fora do prazo")))</f>
        <v/>
      </c>
    </row>
    <row r="1977">
      <c r="B1977" s="22" t="n"/>
      <c r="E1977" s="23" t="n"/>
      <c r="F1977" s="24" t="n"/>
      <c r="H1977" s="22" t="n"/>
      <c r="I1977" s="22" t="n"/>
      <c r="J1977" s="21">
        <f>IF(C1977="","",IFERROR(INDEX(Clientes!$B:$B,MATCH(C1977,Clientes!$A:$A,0)),"Cód. não cadastrado"))</f>
        <v/>
      </c>
      <c r="K1977" s="18">
        <f>IF(B1977="","",YEAR(B1977))</f>
        <v/>
      </c>
      <c r="L1977" s="18">
        <f>IF(B1977="","",MONTH(B1977))</f>
        <v/>
      </c>
      <c r="M1977" s="18">
        <f>IF(OR(B1977="",I1977=""),"",I1977-B1977)</f>
        <v/>
      </c>
      <c r="N1977" s="21">
        <f>IF(B1977="","",IF(I1977="",IF(H1977="","",IF(TODAY()&gt;H1977,"Atrasado (em aberto)","Em aberto")),IF(I1977&lt;=H1977,"No prazo","Fora do prazo")))</f>
        <v/>
      </c>
    </row>
    <row r="1978">
      <c r="B1978" s="22" t="n"/>
      <c r="E1978" s="23" t="n"/>
      <c r="F1978" s="24" t="n"/>
      <c r="H1978" s="22" t="n"/>
      <c r="I1978" s="22" t="n"/>
      <c r="J1978" s="21">
        <f>IF(C1978="","",IFERROR(INDEX(Clientes!$B:$B,MATCH(C1978,Clientes!$A:$A,0)),"Cód. não cadastrado"))</f>
        <v/>
      </c>
      <c r="K1978" s="18">
        <f>IF(B1978="","",YEAR(B1978))</f>
        <v/>
      </c>
      <c r="L1978" s="18">
        <f>IF(B1978="","",MONTH(B1978))</f>
        <v/>
      </c>
      <c r="M1978" s="18">
        <f>IF(OR(B1978="",I1978=""),"",I1978-B1978)</f>
        <v/>
      </c>
      <c r="N1978" s="21">
        <f>IF(B1978="","",IF(I1978="",IF(H1978="","",IF(TODAY()&gt;H1978,"Atrasado (em aberto)","Em aberto")),IF(I1978&lt;=H1978,"No prazo","Fora do prazo")))</f>
        <v/>
      </c>
    </row>
    <row r="1979">
      <c r="B1979" s="22" t="n"/>
      <c r="E1979" s="23" t="n"/>
      <c r="F1979" s="24" t="n"/>
      <c r="H1979" s="22" t="n"/>
      <c r="I1979" s="22" t="n"/>
      <c r="J1979" s="21">
        <f>IF(C1979="","",IFERROR(INDEX(Clientes!$B:$B,MATCH(C1979,Clientes!$A:$A,0)),"Cód. não cadastrado"))</f>
        <v/>
      </c>
      <c r="K1979" s="18">
        <f>IF(B1979="","",YEAR(B1979))</f>
        <v/>
      </c>
      <c r="L1979" s="18">
        <f>IF(B1979="","",MONTH(B1979))</f>
        <v/>
      </c>
      <c r="M1979" s="18">
        <f>IF(OR(B1979="",I1979=""),"",I1979-B1979)</f>
        <v/>
      </c>
      <c r="N1979" s="21">
        <f>IF(B1979="","",IF(I1979="",IF(H1979="","",IF(TODAY()&gt;H1979,"Atrasado (em aberto)","Em aberto")),IF(I1979&lt;=H1979,"No prazo","Fora do prazo")))</f>
        <v/>
      </c>
    </row>
    <row r="1980">
      <c r="B1980" s="22" t="n"/>
      <c r="E1980" s="23" t="n"/>
      <c r="F1980" s="24" t="n"/>
      <c r="H1980" s="22" t="n"/>
      <c r="I1980" s="22" t="n"/>
      <c r="J1980" s="21">
        <f>IF(C1980="","",IFERROR(INDEX(Clientes!$B:$B,MATCH(C1980,Clientes!$A:$A,0)),"Cód. não cadastrado"))</f>
        <v/>
      </c>
      <c r="K1980" s="18">
        <f>IF(B1980="","",YEAR(B1980))</f>
        <v/>
      </c>
      <c r="L1980" s="18">
        <f>IF(B1980="","",MONTH(B1980))</f>
        <v/>
      </c>
      <c r="M1980" s="18">
        <f>IF(OR(B1980="",I1980=""),"",I1980-B1980)</f>
        <v/>
      </c>
      <c r="N1980" s="21">
        <f>IF(B1980="","",IF(I1980="",IF(H1980="","",IF(TODAY()&gt;H1980,"Atrasado (em aberto)","Em aberto")),IF(I1980&lt;=H1980,"No prazo","Fora do prazo")))</f>
        <v/>
      </c>
    </row>
    <row r="1981">
      <c r="B1981" s="22" t="n"/>
      <c r="E1981" s="23" t="n"/>
      <c r="F1981" s="24" t="n"/>
      <c r="H1981" s="22" t="n"/>
      <c r="I1981" s="22" t="n"/>
      <c r="J1981" s="21">
        <f>IF(C1981="","",IFERROR(INDEX(Clientes!$B:$B,MATCH(C1981,Clientes!$A:$A,0)),"Cód. não cadastrado"))</f>
        <v/>
      </c>
      <c r="K1981" s="18">
        <f>IF(B1981="","",YEAR(B1981))</f>
        <v/>
      </c>
      <c r="L1981" s="18">
        <f>IF(B1981="","",MONTH(B1981))</f>
        <v/>
      </c>
      <c r="M1981" s="18">
        <f>IF(OR(B1981="",I1981=""),"",I1981-B1981)</f>
        <v/>
      </c>
      <c r="N1981" s="21">
        <f>IF(B1981="","",IF(I1981="",IF(H1981="","",IF(TODAY()&gt;H1981,"Atrasado (em aberto)","Em aberto")),IF(I1981&lt;=H1981,"No prazo","Fora do prazo")))</f>
        <v/>
      </c>
    </row>
    <row r="1982">
      <c r="B1982" s="22" t="n"/>
      <c r="E1982" s="23" t="n"/>
      <c r="F1982" s="24" t="n"/>
      <c r="H1982" s="22" t="n"/>
      <c r="I1982" s="22" t="n"/>
      <c r="J1982" s="21">
        <f>IF(C1982="","",IFERROR(INDEX(Clientes!$B:$B,MATCH(C1982,Clientes!$A:$A,0)),"Cód. não cadastrado"))</f>
        <v/>
      </c>
      <c r="K1982" s="18">
        <f>IF(B1982="","",YEAR(B1982))</f>
        <v/>
      </c>
      <c r="L1982" s="18">
        <f>IF(B1982="","",MONTH(B1982))</f>
        <v/>
      </c>
      <c r="M1982" s="18">
        <f>IF(OR(B1982="",I1982=""),"",I1982-B1982)</f>
        <v/>
      </c>
      <c r="N1982" s="21">
        <f>IF(B1982="","",IF(I1982="",IF(H1982="","",IF(TODAY()&gt;H1982,"Atrasado (em aberto)","Em aberto")),IF(I1982&lt;=H1982,"No prazo","Fora do prazo")))</f>
        <v/>
      </c>
    </row>
    <row r="1983">
      <c r="B1983" s="22" t="n"/>
      <c r="E1983" s="23" t="n"/>
      <c r="F1983" s="24" t="n"/>
      <c r="H1983" s="22" t="n"/>
      <c r="I1983" s="22" t="n"/>
      <c r="J1983" s="21">
        <f>IF(C1983="","",IFERROR(INDEX(Clientes!$B:$B,MATCH(C1983,Clientes!$A:$A,0)),"Cód. não cadastrado"))</f>
        <v/>
      </c>
      <c r="K1983" s="18">
        <f>IF(B1983="","",YEAR(B1983))</f>
        <v/>
      </c>
      <c r="L1983" s="18">
        <f>IF(B1983="","",MONTH(B1983))</f>
        <v/>
      </c>
      <c r="M1983" s="18">
        <f>IF(OR(B1983="",I1983=""),"",I1983-B1983)</f>
        <v/>
      </c>
      <c r="N1983" s="21">
        <f>IF(B1983="","",IF(I1983="",IF(H1983="","",IF(TODAY()&gt;H1983,"Atrasado (em aberto)","Em aberto")),IF(I1983&lt;=H1983,"No prazo","Fora do prazo")))</f>
        <v/>
      </c>
    </row>
    <row r="1984">
      <c r="B1984" s="22" t="n"/>
      <c r="E1984" s="23" t="n"/>
      <c r="F1984" s="24" t="n"/>
      <c r="H1984" s="22" t="n"/>
      <c r="I1984" s="22" t="n"/>
      <c r="J1984" s="21">
        <f>IF(C1984="","",IFERROR(INDEX(Clientes!$B:$B,MATCH(C1984,Clientes!$A:$A,0)),"Cód. não cadastrado"))</f>
        <v/>
      </c>
      <c r="K1984" s="18">
        <f>IF(B1984="","",YEAR(B1984))</f>
        <v/>
      </c>
      <c r="L1984" s="18">
        <f>IF(B1984="","",MONTH(B1984))</f>
        <v/>
      </c>
      <c r="M1984" s="18">
        <f>IF(OR(B1984="",I1984=""),"",I1984-B1984)</f>
        <v/>
      </c>
      <c r="N1984" s="21">
        <f>IF(B1984="","",IF(I1984="",IF(H1984="","",IF(TODAY()&gt;H1984,"Atrasado (em aberto)","Em aberto")),IF(I1984&lt;=H1984,"No prazo","Fora do prazo")))</f>
        <v/>
      </c>
    </row>
    <row r="1985">
      <c r="B1985" s="22" t="n"/>
      <c r="E1985" s="23" t="n"/>
      <c r="F1985" s="24" t="n"/>
      <c r="H1985" s="22" t="n"/>
      <c r="I1985" s="22" t="n"/>
      <c r="J1985" s="21">
        <f>IF(C1985="","",IFERROR(INDEX(Clientes!$B:$B,MATCH(C1985,Clientes!$A:$A,0)),"Cód. não cadastrado"))</f>
        <v/>
      </c>
      <c r="K1985" s="18">
        <f>IF(B1985="","",YEAR(B1985))</f>
        <v/>
      </c>
      <c r="L1985" s="18">
        <f>IF(B1985="","",MONTH(B1985))</f>
        <v/>
      </c>
      <c r="M1985" s="18">
        <f>IF(OR(B1985="",I1985=""),"",I1985-B1985)</f>
        <v/>
      </c>
      <c r="N1985" s="21">
        <f>IF(B1985="","",IF(I1985="",IF(H1985="","",IF(TODAY()&gt;H1985,"Atrasado (em aberto)","Em aberto")),IF(I1985&lt;=H1985,"No prazo","Fora do prazo")))</f>
        <v/>
      </c>
    </row>
    <row r="1986">
      <c r="B1986" s="22" t="n"/>
      <c r="E1986" s="23" t="n"/>
      <c r="F1986" s="24" t="n"/>
      <c r="H1986" s="22" t="n"/>
      <c r="I1986" s="22" t="n"/>
      <c r="J1986" s="21">
        <f>IF(C1986="","",IFERROR(INDEX(Clientes!$B:$B,MATCH(C1986,Clientes!$A:$A,0)),"Cód. não cadastrado"))</f>
        <v/>
      </c>
      <c r="K1986" s="18">
        <f>IF(B1986="","",YEAR(B1986))</f>
        <v/>
      </c>
      <c r="L1986" s="18">
        <f>IF(B1986="","",MONTH(B1986))</f>
        <v/>
      </c>
      <c r="M1986" s="18">
        <f>IF(OR(B1986="",I1986=""),"",I1986-B1986)</f>
        <v/>
      </c>
      <c r="N1986" s="21">
        <f>IF(B1986="","",IF(I1986="",IF(H1986="","",IF(TODAY()&gt;H1986,"Atrasado (em aberto)","Em aberto")),IF(I1986&lt;=H1986,"No prazo","Fora do prazo")))</f>
        <v/>
      </c>
    </row>
    <row r="1987">
      <c r="B1987" s="22" t="n"/>
      <c r="E1987" s="23" t="n"/>
      <c r="F1987" s="24" t="n"/>
      <c r="H1987" s="22" t="n"/>
      <c r="I1987" s="22" t="n"/>
      <c r="J1987" s="21">
        <f>IF(C1987="","",IFERROR(INDEX(Clientes!$B:$B,MATCH(C1987,Clientes!$A:$A,0)),"Cód. não cadastrado"))</f>
        <v/>
      </c>
      <c r="K1987" s="18">
        <f>IF(B1987="","",YEAR(B1987))</f>
        <v/>
      </c>
      <c r="L1987" s="18">
        <f>IF(B1987="","",MONTH(B1987))</f>
        <v/>
      </c>
      <c r="M1987" s="18">
        <f>IF(OR(B1987="",I1987=""),"",I1987-B1987)</f>
        <v/>
      </c>
      <c r="N1987" s="21">
        <f>IF(B1987="","",IF(I1987="",IF(H1987="","",IF(TODAY()&gt;H1987,"Atrasado (em aberto)","Em aberto")),IF(I1987&lt;=H1987,"No prazo","Fora do prazo")))</f>
        <v/>
      </c>
    </row>
    <row r="1988">
      <c r="B1988" s="22" t="n"/>
      <c r="E1988" s="23" t="n"/>
      <c r="F1988" s="24" t="n"/>
      <c r="H1988" s="22" t="n"/>
      <c r="I1988" s="22" t="n"/>
      <c r="J1988" s="21">
        <f>IF(C1988="","",IFERROR(INDEX(Clientes!$B:$B,MATCH(C1988,Clientes!$A:$A,0)),"Cód. não cadastrado"))</f>
        <v/>
      </c>
      <c r="K1988" s="18">
        <f>IF(B1988="","",YEAR(B1988))</f>
        <v/>
      </c>
      <c r="L1988" s="18">
        <f>IF(B1988="","",MONTH(B1988))</f>
        <v/>
      </c>
      <c r="M1988" s="18">
        <f>IF(OR(B1988="",I1988=""),"",I1988-B1988)</f>
        <v/>
      </c>
      <c r="N1988" s="21">
        <f>IF(B1988="","",IF(I1988="",IF(H1988="","",IF(TODAY()&gt;H1988,"Atrasado (em aberto)","Em aberto")),IF(I1988&lt;=H1988,"No prazo","Fora do prazo")))</f>
        <v/>
      </c>
    </row>
    <row r="1989">
      <c r="B1989" s="22" t="n"/>
      <c r="E1989" s="23" t="n"/>
      <c r="F1989" s="24" t="n"/>
      <c r="H1989" s="22" t="n"/>
      <c r="I1989" s="22" t="n"/>
      <c r="J1989" s="21">
        <f>IF(C1989="","",IFERROR(INDEX(Clientes!$B:$B,MATCH(C1989,Clientes!$A:$A,0)),"Cód. não cadastrado"))</f>
        <v/>
      </c>
      <c r="K1989" s="18">
        <f>IF(B1989="","",YEAR(B1989))</f>
        <v/>
      </c>
      <c r="L1989" s="18">
        <f>IF(B1989="","",MONTH(B1989))</f>
        <v/>
      </c>
      <c r="M1989" s="18">
        <f>IF(OR(B1989="",I1989=""),"",I1989-B1989)</f>
        <v/>
      </c>
      <c r="N1989" s="21">
        <f>IF(B1989="","",IF(I1989="",IF(H1989="","",IF(TODAY()&gt;H1989,"Atrasado (em aberto)","Em aberto")),IF(I1989&lt;=H1989,"No prazo","Fora do prazo")))</f>
        <v/>
      </c>
    </row>
    <row r="1990">
      <c r="B1990" s="22" t="n"/>
      <c r="E1990" s="23" t="n"/>
      <c r="F1990" s="24" t="n"/>
      <c r="H1990" s="22" t="n"/>
      <c r="I1990" s="22" t="n"/>
      <c r="J1990" s="21">
        <f>IF(C1990="","",IFERROR(INDEX(Clientes!$B:$B,MATCH(C1990,Clientes!$A:$A,0)),"Cód. não cadastrado"))</f>
        <v/>
      </c>
      <c r="K1990" s="18">
        <f>IF(B1990="","",YEAR(B1990))</f>
        <v/>
      </c>
      <c r="L1990" s="18">
        <f>IF(B1990="","",MONTH(B1990))</f>
        <v/>
      </c>
      <c r="M1990" s="18">
        <f>IF(OR(B1990="",I1990=""),"",I1990-B1990)</f>
        <v/>
      </c>
      <c r="N1990" s="21">
        <f>IF(B1990="","",IF(I1990="",IF(H1990="","",IF(TODAY()&gt;H1990,"Atrasado (em aberto)","Em aberto")),IF(I1990&lt;=H1990,"No prazo","Fora do prazo")))</f>
        <v/>
      </c>
    </row>
    <row r="1991">
      <c r="B1991" s="22" t="n"/>
      <c r="E1991" s="23" t="n"/>
      <c r="F1991" s="24" t="n"/>
      <c r="H1991" s="22" t="n"/>
      <c r="I1991" s="22" t="n"/>
      <c r="J1991" s="21">
        <f>IF(C1991="","",IFERROR(INDEX(Clientes!$B:$B,MATCH(C1991,Clientes!$A:$A,0)),"Cód. não cadastrado"))</f>
        <v/>
      </c>
      <c r="K1991" s="18">
        <f>IF(B1991="","",YEAR(B1991))</f>
        <v/>
      </c>
      <c r="L1991" s="18">
        <f>IF(B1991="","",MONTH(B1991))</f>
        <v/>
      </c>
      <c r="M1991" s="18">
        <f>IF(OR(B1991="",I1991=""),"",I1991-B1991)</f>
        <v/>
      </c>
      <c r="N1991" s="21">
        <f>IF(B1991="","",IF(I1991="",IF(H1991="","",IF(TODAY()&gt;H1991,"Atrasado (em aberto)","Em aberto")),IF(I1991&lt;=H1991,"No prazo","Fora do prazo")))</f>
        <v/>
      </c>
    </row>
    <row r="1992">
      <c r="B1992" s="22" t="n"/>
      <c r="E1992" s="23" t="n"/>
      <c r="F1992" s="24" t="n"/>
      <c r="H1992" s="22" t="n"/>
      <c r="I1992" s="22" t="n"/>
      <c r="J1992" s="21">
        <f>IF(C1992="","",IFERROR(INDEX(Clientes!$B:$B,MATCH(C1992,Clientes!$A:$A,0)),"Cód. não cadastrado"))</f>
        <v/>
      </c>
      <c r="K1992" s="18">
        <f>IF(B1992="","",YEAR(B1992))</f>
        <v/>
      </c>
      <c r="L1992" s="18">
        <f>IF(B1992="","",MONTH(B1992))</f>
        <v/>
      </c>
      <c r="M1992" s="18">
        <f>IF(OR(B1992="",I1992=""),"",I1992-B1992)</f>
        <v/>
      </c>
      <c r="N1992" s="21">
        <f>IF(B1992="","",IF(I1992="",IF(H1992="","",IF(TODAY()&gt;H1992,"Atrasado (em aberto)","Em aberto")),IF(I1992&lt;=H1992,"No prazo","Fora do prazo")))</f>
        <v/>
      </c>
    </row>
    <row r="1993">
      <c r="B1993" s="22" t="n"/>
      <c r="E1993" s="23" t="n"/>
      <c r="F1993" s="24" t="n"/>
      <c r="H1993" s="22" t="n"/>
      <c r="I1993" s="22" t="n"/>
      <c r="J1993" s="21">
        <f>IF(C1993="","",IFERROR(INDEX(Clientes!$B:$B,MATCH(C1993,Clientes!$A:$A,0)),"Cód. não cadastrado"))</f>
        <v/>
      </c>
      <c r="K1993" s="18">
        <f>IF(B1993="","",YEAR(B1993))</f>
        <v/>
      </c>
      <c r="L1993" s="18">
        <f>IF(B1993="","",MONTH(B1993))</f>
        <v/>
      </c>
      <c r="M1993" s="18">
        <f>IF(OR(B1993="",I1993=""),"",I1993-B1993)</f>
        <v/>
      </c>
      <c r="N1993" s="21">
        <f>IF(B1993="","",IF(I1993="",IF(H1993="","",IF(TODAY()&gt;H1993,"Atrasado (em aberto)","Em aberto")),IF(I1993&lt;=H1993,"No prazo","Fora do prazo")))</f>
        <v/>
      </c>
    </row>
    <row r="1994">
      <c r="B1994" s="22" t="n"/>
      <c r="E1994" s="23" t="n"/>
      <c r="F1994" s="24" t="n"/>
      <c r="H1994" s="22" t="n"/>
      <c r="I1994" s="22" t="n"/>
      <c r="J1994" s="21">
        <f>IF(C1994="","",IFERROR(INDEX(Clientes!$B:$B,MATCH(C1994,Clientes!$A:$A,0)),"Cód. não cadastrado"))</f>
        <v/>
      </c>
      <c r="K1994" s="18">
        <f>IF(B1994="","",YEAR(B1994))</f>
        <v/>
      </c>
      <c r="L1994" s="18">
        <f>IF(B1994="","",MONTH(B1994))</f>
        <v/>
      </c>
      <c r="M1994" s="18">
        <f>IF(OR(B1994="",I1994=""),"",I1994-B1994)</f>
        <v/>
      </c>
      <c r="N1994" s="21">
        <f>IF(B1994="","",IF(I1994="",IF(H1994="","",IF(TODAY()&gt;H1994,"Atrasado (em aberto)","Em aberto")),IF(I1994&lt;=H1994,"No prazo","Fora do prazo")))</f>
        <v/>
      </c>
    </row>
    <row r="1995">
      <c r="B1995" s="22" t="n"/>
      <c r="E1995" s="23" t="n"/>
      <c r="F1995" s="24" t="n"/>
      <c r="H1995" s="22" t="n"/>
      <c r="I1995" s="22" t="n"/>
      <c r="J1995" s="21">
        <f>IF(C1995="","",IFERROR(INDEX(Clientes!$B:$B,MATCH(C1995,Clientes!$A:$A,0)),"Cód. não cadastrado"))</f>
        <v/>
      </c>
      <c r="K1995" s="18">
        <f>IF(B1995="","",YEAR(B1995))</f>
        <v/>
      </c>
      <c r="L1995" s="18">
        <f>IF(B1995="","",MONTH(B1995))</f>
        <v/>
      </c>
      <c r="M1995" s="18">
        <f>IF(OR(B1995="",I1995=""),"",I1995-B1995)</f>
        <v/>
      </c>
      <c r="N1995" s="21">
        <f>IF(B1995="","",IF(I1995="",IF(H1995="","",IF(TODAY()&gt;H1995,"Atrasado (em aberto)","Em aberto")),IF(I1995&lt;=H1995,"No prazo","Fora do prazo")))</f>
        <v/>
      </c>
    </row>
    <row r="1996">
      <c r="B1996" s="22" t="n"/>
      <c r="E1996" s="23" t="n"/>
      <c r="F1996" s="24" t="n"/>
      <c r="H1996" s="22" t="n"/>
      <c r="I1996" s="22" t="n"/>
      <c r="J1996" s="21">
        <f>IF(C1996="","",IFERROR(INDEX(Clientes!$B:$B,MATCH(C1996,Clientes!$A:$A,0)),"Cód. não cadastrado"))</f>
        <v/>
      </c>
      <c r="K1996" s="18">
        <f>IF(B1996="","",YEAR(B1996))</f>
        <v/>
      </c>
      <c r="L1996" s="18">
        <f>IF(B1996="","",MONTH(B1996))</f>
        <v/>
      </c>
      <c r="M1996" s="18">
        <f>IF(OR(B1996="",I1996=""),"",I1996-B1996)</f>
        <v/>
      </c>
      <c r="N1996" s="21">
        <f>IF(B1996="","",IF(I1996="",IF(H1996="","",IF(TODAY()&gt;H1996,"Atrasado (em aberto)","Em aberto")),IF(I1996&lt;=H1996,"No prazo","Fora do prazo")))</f>
        <v/>
      </c>
    </row>
    <row r="1997">
      <c r="B1997" s="22" t="n"/>
      <c r="E1997" s="23" t="n"/>
      <c r="F1997" s="24" t="n"/>
      <c r="H1997" s="22" t="n"/>
      <c r="I1997" s="22" t="n"/>
      <c r="J1997" s="21">
        <f>IF(C1997="","",IFERROR(INDEX(Clientes!$B:$B,MATCH(C1997,Clientes!$A:$A,0)),"Cód. não cadastrado"))</f>
        <v/>
      </c>
      <c r="K1997" s="18">
        <f>IF(B1997="","",YEAR(B1997))</f>
        <v/>
      </c>
      <c r="L1997" s="18">
        <f>IF(B1997="","",MONTH(B1997))</f>
        <v/>
      </c>
      <c r="M1997" s="18">
        <f>IF(OR(B1997="",I1997=""),"",I1997-B1997)</f>
        <v/>
      </c>
      <c r="N1997" s="21">
        <f>IF(B1997="","",IF(I1997="",IF(H1997="","",IF(TODAY()&gt;H1997,"Atrasado (em aberto)","Em aberto")),IF(I1997&lt;=H1997,"No prazo","Fora do prazo")))</f>
        <v/>
      </c>
    </row>
    <row r="1998">
      <c r="B1998" s="22" t="n"/>
      <c r="E1998" s="23" t="n"/>
      <c r="F1998" s="24" t="n"/>
      <c r="H1998" s="22" t="n"/>
      <c r="I1998" s="22" t="n"/>
      <c r="J1998" s="21">
        <f>IF(C1998="","",IFERROR(INDEX(Clientes!$B:$B,MATCH(C1998,Clientes!$A:$A,0)),"Cód. não cadastrado"))</f>
        <v/>
      </c>
      <c r="K1998" s="18">
        <f>IF(B1998="","",YEAR(B1998))</f>
        <v/>
      </c>
      <c r="L1998" s="18">
        <f>IF(B1998="","",MONTH(B1998))</f>
        <v/>
      </c>
      <c r="M1998" s="18">
        <f>IF(OR(B1998="",I1998=""),"",I1998-B1998)</f>
        <v/>
      </c>
      <c r="N1998" s="21">
        <f>IF(B1998="","",IF(I1998="",IF(H1998="","",IF(TODAY()&gt;H1998,"Atrasado (em aberto)","Em aberto")),IF(I1998&lt;=H1998,"No prazo","Fora do prazo")))</f>
        <v/>
      </c>
    </row>
    <row r="1999">
      <c r="B1999" s="22" t="n"/>
      <c r="E1999" s="23" t="n"/>
      <c r="F1999" s="24" t="n"/>
      <c r="H1999" s="22" t="n"/>
      <c r="I1999" s="22" t="n"/>
      <c r="J1999" s="21">
        <f>IF(C1999="","",IFERROR(INDEX(Clientes!$B:$B,MATCH(C1999,Clientes!$A:$A,0)),"Cód. não cadastrado"))</f>
        <v/>
      </c>
      <c r="K1999" s="18">
        <f>IF(B1999="","",YEAR(B1999))</f>
        <v/>
      </c>
      <c r="L1999" s="18">
        <f>IF(B1999="","",MONTH(B1999))</f>
        <v/>
      </c>
      <c r="M1999" s="18">
        <f>IF(OR(B1999="",I1999=""),"",I1999-B1999)</f>
        <v/>
      </c>
      <c r="N1999" s="21">
        <f>IF(B1999="","",IF(I1999="",IF(H1999="","",IF(TODAY()&gt;H1999,"Atrasado (em aberto)","Em aberto")),IF(I1999&lt;=H1999,"No prazo","Fora do prazo")))</f>
        <v/>
      </c>
    </row>
    <row r="2000">
      <c r="B2000" s="22" t="n"/>
      <c r="E2000" s="23" t="n"/>
      <c r="F2000" s="24" t="n"/>
      <c r="H2000" s="22" t="n"/>
      <c r="I2000" s="22" t="n"/>
      <c r="J2000" s="21">
        <f>IF(C2000="","",IFERROR(INDEX(Clientes!$B:$B,MATCH(C2000,Clientes!$A:$A,0)),"Cód. não cadastrado"))</f>
        <v/>
      </c>
      <c r="K2000" s="18">
        <f>IF(B2000="","",YEAR(B2000))</f>
        <v/>
      </c>
      <c r="L2000" s="18">
        <f>IF(B2000="","",MONTH(B2000))</f>
        <v/>
      </c>
      <c r="M2000" s="18">
        <f>IF(OR(B2000="",I2000=""),"",I2000-B2000)</f>
        <v/>
      </c>
      <c r="N2000" s="21">
        <f>IF(B2000="","",IF(I2000="",IF(H2000="","",IF(TODAY()&gt;H2000,"Atrasado (em aberto)","Em aberto")),IF(I2000&lt;=H2000,"No prazo","Fora do prazo")))</f>
        <v/>
      </c>
    </row>
    <row r="2001">
      <c r="B2001" s="22" t="n"/>
      <c r="E2001" s="23" t="n"/>
      <c r="F2001" s="24" t="n"/>
      <c r="H2001" s="22" t="n"/>
      <c r="I2001" s="22" t="n"/>
      <c r="J2001" s="21">
        <f>IF(C2001="","",IFERROR(INDEX(Clientes!$B:$B,MATCH(C2001,Clientes!$A:$A,0)),"Cód. não cadastrado"))</f>
        <v/>
      </c>
      <c r="K2001" s="18">
        <f>IF(B2001="","",YEAR(B2001))</f>
        <v/>
      </c>
      <c r="L2001" s="18">
        <f>IF(B2001="","",MONTH(B2001))</f>
        <v/>
      </c>
      <c r="M2001" s="18">
        <f>IF(OR(B2001="",I2001=""),"",I2001-B2001)</f>
        <v/>
      </c>
      <c r="N2001" s="21">
        <f>IF(B2001="","",IF(I2001="",IF(H2001="","",IF(TODAY()&gt;H2001,"Atrasado (em aberto)","Em aberto")),IF(I2001&lt;=H2001,"No prazo","Fora do prazo")))</f>
        <v/>
      </c>
    </row>
    <row r="2002">
      <c r="B2002" s="22" t="n"/>
      <c r="E2002" s="23" t="n"/>
      <c r="F2002" s="24" t="n"/>
      <c r="H2002" s="22" t="n"/>
      <c r="I2002" s="22" t="n"/>
      <c r="J2002" s="21">
        <f>IF(C2002="","",IFERROR(INDEX(Clientes!$B:$B,MATCH(C2002,Clientes!$A:$A,0)),"Cód. não cadastrado"))</f>
        <v/>
      </c>
      <c r="K2002" s="18">
        <f>IF(B2002="","",YEAR(B2002))</f>
        <v/>
      </c>
      <c r="L2002" s="18">
        <f>IF(B2002="","",MONTH(B2002))</f>
        <v/>
      </c>
      <c r="M2002" s="18">
        <f>IF(OR(B2002="",I2002=""),"",I2002-B2002)</f>
        <v/>
      </c>
      <c r="N2002" s="21">
        <f>IF(B2002="","",IF(I2002="",IF(H2002="","",IF(TODAY()&gt;H2002,"Atrasado (em aberto)","Em aberto")),IF(I2002&lt;=H2002,"No prazo","Fora do prazo")))</f>
        <v/>
      </c>
    </row>
    <row r="2003">
      <c r="B2003" s="22" t="n"/>
      <c r="E2003" s="23" t="n"/>
      <c r="F2003" s="24" t="n"/>
      <c r="H2003" s="22" t="n"/>
      <c r="I2003" s="22" t="n"/>
      <c r="J2003" s="21">
        <f>IF(C2003="","",IFERROR(INDEX(Clientes!$B:$B,MATCH(C2003,Clientes!$A:$A,0)),"Cód. não cadastrado"))</f>
        <v/>
      </c>
      <c r="K2003" s="18">
        <f>IF(B2003="","",YEAR(B2003))</f>
        <v/>
      </c>
      <c r="L2003" s="18">
        <f>IF(B2003="","",MONTH(B2003))</f>
        <v/>
      </c>
      <c r="M2003" s="18">
        <f>IF(OR(B2003="",I2003=""),"",I2003-B2003)</f>
        <v/>
      </c>
      <c r="N2003" s="21">
        <f>IF(B2003="","",IF(I2003="",IF(H2003="","",IF(TODAY()&gt;H2003,"Atrasado (em aberto)","Em aberto")),IF(I2003&lt;=H2003,"No prazo","Fora do prazo")))</f>
        <v/>
      </c>
    </row>
    <row r="2004">
      <c r="B2004" s="22" t="n"/>
      <c r="E2004" s="23" t="n"/>
      <c r="F2004" s="24" t="n"/>
      <c r="H2004" s="22" t="n"/>
      <c r="I2004" s="22" t="n"/>
      <c r="J2004" s="21">
        <f>IF(C2004="","",IFERROR(INDEX(Clientes!$B:$B,MATCH(C2004,Clientes!$A:$A,0)),"Cód. não cadastrado"))</f>
        <v/>
      </c>
      <c r="K2004" s="18">
        <f>IF(B2004="","",YEAR(B2004))</f>
        <v/>
      </c>
      <c r="L2004" s="18">
        <f>IF(B2004="","",MONTH(B2004))</f>
        <v/>
      </c>
      <c r="M2004" s="18">
        <f>IF(OR(B2004="",I2004=""),"",I2004-B2004)</f>
        <v/>
      </c>
      <c r="N2004" s="21">
        <f>IF(B2004="","",IF(I2004="",IF(H2004="","",IF(TODAY()&gt;H2004,"Atrasado (em aberto)","Em aberto")),IF(I2004&lt;=H2004,"No prazo","Fora do prazo")))</f>
        <v/>
      </c>
    </row>
    <row r="2005">
      <c r="B2005" s="22" t="n"/>
      <c r="E2005" s="23" t="n"/>
      <c r="F2005" s="24" t="n"/>
      <c r="H2005" s="22" t="n"/>
      <c r="I2005" s="22" t="n"/>
      <c r="J2005" s="21">
        <f>IF(C2005="","",IFERROR(INDEX(Clientes!$B:$B,MATCH(C2005,Clientes!$A:$A,0)),"Cód. não cadastrado"))</f>
        <v/>
      </c>
      <c r="K2005" s="18">
        <f>IF(B2005="","",YEAR(B2005))</f>
        <v/>
      </c>
      <c r="L2005" s="18">
        <f>IF(B2005="","",MONTH(B2005))</f>
        <v/>
      </c>
      <c r="M2005" s="18">
        <f>IF(OR(B2005="",I2005=""),"",I2005-B2005)</f>
        <v/>
      </c>
      <c r="N2005" s="21">
        <f>IF(B2005="","",IF(I2005="",IF(H2005="","",IF(TODAY()&gt;H2005,"Atrasado (em aberto)","Em aberto")),IF(I2005&lt;=H2005,"No prazo","Fora do prazo")))</f>
        <v/>
      </c>
    </row>
    <row r="2006">
      <c r="B2006" s="22" t="n"/>
      <c r="E2006" s="23" t="n"/>
      <c r="F2006" s="24" t="n"/>
      <c r="H2006" s="22" t="n"/>
      <c r="I2006" s="22" t="n"/>
      <c r="J2006" s="21">
        <f>IF(C2006="","",IFERROR(INDEX(Clientes!$B:$B,MATCH(C2006,Clientes!$A:$A,0)),"Cód. não cadastrado"))</f>
        <v/>
      </c>
      <c r="K2006" s="18">
        <f>IF(B2006="","",YEAR(B2006))</f>
        <v/>
      </c>
      <c r="L2006" s="18">
        <f>IF(B2006="","",MONTH(B2006))</f>
        <v/>
      </c>
      <c r="M2006" s="18">
        <f>IF(OR(B2006="",I2006=""),"",I2006-B2006)</f>
        <v/>
      </c>
      <c r="N2006" s="21">
        <f>IF(B2006="","",IF(I2006="",IF(H2006="","",IF(TODAY()&gt;H2006,"Atrasado (em aberto)","Em aberto")),IF(I2006&lt;=H2006,"No prazo","Fora do prazo")))</f>
        <v/>
      </c>
    </row>
    <row r="2007">
      <c r="B2007" s="22" t="n"/>
      <c r="E2007" s="23" t="n"/>
      <c r="F2007" s="24" t="n"/>
      <c r="H2007" s="22" t="n"/>
      <c r="I2007" s="22" t="n"/>
      <c r="J2007" s="21">
        <f>IF(C2007="","",IFERROR(INDEX(Clientes!$B:$B,MATCH(C2007,Clientes!$A:$A,0)),"Cód. não cadastrado"))</f>
        <v/>
      </c>
      <c r="K2007" s="18">
        <f>IF(B2007="","",YEAR(B2007))</f>
        <v/>
      </c>
      <c r="L2007" s="18">
        <f>IF(B2007="","",MONTH(B2007))</f>
        <v/>
      </c>
      <c r="M2007" s="18">
        <f>IF(OR(B2007="",I2007=""),"",I2007-B2007)</f>
        <v/>
      </c>
      <c r="N2007" s="21">
        <f>IF(B2007="","",IF(I2007="",IF(H2007="","",IF(TODAY()&gt;H2007,"Atrasado (em aberto)","Em aberto")),IF(I2007&lt;=H2007,"No prazo","Fora do prazo")))</f>
        <v/>
      </c>
    </row>
    <row r="2008">
      <c r="B2008" s="22" t="n"/>
      <c r="E2008" s="23" t="n"/>
      <c r="F2008" s="24" t="n"/>
      <c r="H2008" s="22" t="n"/>
      <c r="I2008" s="22" t="n"/>
      <c r="J2008" s="21">
        <f>IF(C2008="","",IFERROR(INDEX(Clientes!$B:$B,MATCH(C2008,Clientes!$A:$A,0)),"Cód. não cadastrado"))</f>
        <v/>
      </c>
      <c r="K2008" s="18">
        <f>IF(B2008="","",YEAR(B2008))</f>
        <v/>
      </c>
      <c r="L2008" s="18">
        <f>IF(B2008="","",MONTH(B2008))</f>
        <v/>
      </c>
      <c r="M2008" s="18">
        <f>IF(OR(B2008="",I2008=""),"",I2008-B2008)</f>
        <v/>
      </c>
      <c r="N2008" s="21">
        <f>IF(B2008="","",IF(I2008="",IF(H2008="","",IF(TODAY()&gt;H2008,"Atrasado (em aberto)","Em aberto")),IF(I2008&lt;=H2008,"No prazo","Fora do prazo")))</f>
        <v/>
      </c>
    </row>
    <row r="2009">
      <c r="B2009" s="22" t="n"/>
      <c r="E2009" s="23" t="n"/>
      <c r="F2009" s="24" t="n"/>
      <c r="H2009" s="22" t="n"/>
      <c r="I2009" s="22" t="n"/>
      <c r="J2009" s="21">
        <f>IF(C2009="","",IFERROR(INDEX(Clientes!$B:$B,MATCH(C2009,Clientes!$A:$A,0)),"Cód. não cadastrado"))</f>
        <v/>
      </c>
      <c r="K2009" s="18">
        <f>IF(B2009="","",YEAR(B2009))</f>
        <v/>
      </c>
      <c r="L2009" s="18">
        <f>IF(B2009="","",MONTH(B2009))</f>
        <v/>
      </c>
      <c r="M2009" s="18">
        <f>IF(OR(B2009="",I2009=""),"",I2009-B2009)</f>
        <v/>
      </c>
      <c r="N2009" s="21">
        <f>IF(B2009="","",IF(I2009="",IF(H2009="","",IF(TODAY()&gt;H2009,"Atrasado (em aberto)","Em aberto")),IF(I2009&lt;=H2009,"No prazo","Fora do prazo")))</f>
        <v/>
      </c>
    </row>
    <row r="2010">
      <c r="B2010" s="22" t="n"/>
      <c r="E2010" s="23" t="n"/>
      <c r="F2010" s="24" t="n"/>
      <c r="H2010" s="22" t="n"/>
      <c r="I2010" s="22" t="n"/>
      <c r="J2010" s="21">
        <f>IF(C2010="","",IFERROR(INDEX(Clientes!$B:$B,MATCH(C2010,Clientes!$A:$A,0)),"Cód. não cadastrado"))</f>
        <v/>
      </c>
      <c r="K2010" s="18">
        <f>IF(B2010="","",YEAR(B2010))</f>
        <v/>
      </c>
      <c r="L2010" s="18">
        <f>IF(B2010="","",MONTH(B2010))</f>
        <v/>
      </c>
      <c r="M2010" s="18">
        <f>IF(OR(B2010="",I2010=""),"",I2010-B2010)</f>
        <v/>
      </c>
      <c r="N2010" s="21">
        <f>IF(B2010="","",IF(I2010="",IF(H2010="","",IF(TODAY()&gt;H2010,"Atrasado (em aberto)","Em aberto")),IF(I2010&lt;=H2010,"No prazo","Fora do prazo")))</f>
        <v/>
      </c>
    </row>
    <row r="2011">
      <c r="B2011" s="22" t="n"/>
      <c r="E2011" s="23" t="n"/>
      <c r="F2011" s="24" t="n"/>
      <c r="H2011" s="22" t="n"/>
      <c r="I2011" s="22" t="n"/>
      <c r="J2011" s="21">
        <f>IF(C2011="","",IFERROR(INDEX(Clientes!$B:$B,MATCH(C2011,Clientes!$A:$A,0)),"Cód. não cadastrado"))</f>
        <v/>
      </c>
      <c r="K2011" s="18">
        <f>IF(B2011="","",YEAR(B2011))</f>
        <v/>
      </c>
      <c r="L2011" s="18">
        <f>IF(B2011="","",MONTH(B2011))</f>
        <v/>
      </c>
      <c r="M2011" s="18">
        <f>IF(OR(B2011="",I2011=""),"",I2011-B2011)</f>
        <v/>
      </c>
      <c r="N2011" s="21">
        <f>IF(B2011="","",IF(I2011="",IF(H2011="","",IF(TODAY()&gt;H2011,"Atrasado (em aberto)","Em aberto")),IF(I2011&lt;=H2011,"No prazo","Fora do prazo")))</f>
        <v/>
      </c>
    </row>
    <row r="2012">
      <c r="B2012" s="22" t="n"/>
      <c r="E2012" s="23" t="n"/>
      <c r="F2012" s="24" t="n"/>
      <c r="H2012" s="22" t="n"/>
      <c r="I2012" s="22" t="n"/>
      <c r="J2012" s="21">
        <f>IF(C2012="","",IFERROR(INDEX(Clientes!$B:$B,MATCH(C2012,Clientes!$A:$A,0)),"Cód. não cadastrado"))</f>
        <v/>
      </c>
      <c r="K2012" s="18">
        <f>IF(B2012="","",YEAR(B2012))</f>
        <v/>
      </c>
      <c r="L2012" s="18">
        <f>IF(B2012="","",MONTH(B2012))</f>
        <v/>
      </c>
      <c r="M2012" s="18">
        <f>IF(OR(B2012="",I2012=""),"",I2012-B2012)</f>
        <v/>
      </c>
      <c r="N2012" s="21">
        <f>IF(B2012="","",IF(I2012="",IF(H2012="","",IF(TODAY()&gt;H2012,"Atrasado (em aberto)","Em aberto")),IF(I2012&lt;=H2012,"No prazo","Fora do prazo")))</f>
        <v/>
      </c>
    </row>
    <row r="2013">
      <c r="B2013" s="22" t="n"/>
      <c r="E2013" s="23" t="n"/>
      <c r="F2013" s="24" t="n"/>
      <c r="H2013" s="22" t="n"/>
      <c r="I2013" s="22" t="n"/>
      <c r="J2013" s="21">
        <f>IF(C2013="","",IFERROR(INDEX(Clientes!$B:$B,MATCH(C2013,Clientes!$A:$A,0)),"Cód. não cadastrado"))</f>
        <v/>
      </c>
      <c r="K2013" s="18">
        <f>IF(B2013="","",YEAR(B2013))</f>
        <v/>
      </c>
      <c r="L2013" s="18">
        <f>IF(B2013="","",MONTH(B2013))</f>
        <v/>
      </c>
      <c r="M2013" s="18">
        <f>IF(OR(B2013="",I2013=""),"",I2013-B2013)</f>
        <v/>
      </c>
      <c r="N2013" s="21">
        <f>IF(B2013="","",IF(I2013="",IF(H2013="","",IF(TODAY()&gt;H2013,"Atrasado (em aberto)","Em aberto")),IF(I2013&lt;=H2013,"No prazo","Fora do prazo")))</f>
        <v/>
      </c>
    </row>
    <row r="2014">
      <c r="B2014" s="22" t="n"/>
      <c r="E2014" s="23" t="n"/>
      <c r="F2014" s="24" t="n"/>
      <c r="H2014" s="22" t="n"/>
      <c r="I2014" s="22" t="n"/>
      <c r="J2014" s="21">
        <f>IF(C2014="","",IFERROR(INDEX(Clientes!$B:$B,MATCH(C2014,Clientes!$A:$A,0)),"Cód. não cadastrado"))</f>
        <v/>
      </c>
      <c r="K2014" s="18">
        <f>IF(B2014="","",YEAR(B2014))</f>
        <v/>
      </c>
      <c r="L2014" s="18">
        <f>IF(B2014="","",MONTH(B2014))</f>
        <v/>
      </c>
      <c r="M2014" s="18">
        <f>IF(OR(B2014="",I2014=""),"",I2014-B2014)</f>
        <v/>
      </c>
      <c r="N2014" s="21">
        <f>IF(B2014="","",IF(I2014="",IF(H2014="","",IF(TODAY()&gt;H2014,"Atrasado (em aberto)","Em aberto")),IF(I2014&lt;=H2014,"No prazo","Fora do prazo")))</f>
        <v/>
      </c>
    </row>
    <row r="2015">
      <c r="B2015" s="22" t="n"/>
      <c r="E2015" s="23" t="n"/>
      <c r="F2015" s="24" t="n"/>
      <c r="H2015" s="22" t="n"/>
      <c r="I2015" s="22" t="n"/>
      <c r="J2015" s="21">
        <f>IF(C2015="","",IFERROR(INDEX(Clientes!$B:$B,MATCH(C2015,Clientes!$A:$A,0)),"Cód. não cadastrado"))</f>
        <v/>
      </c>
      <c r="K2015" s="18">
        <f>IF(B2015="","",YEAR(B2015))</f>
        <v/>
      </c>
      <c r="L2015" s="18">
        <f>IF(B2015="","",MONTH(B2015))</f>
        <v/>
      </c>
      <c r="M2015" s="18">
        <f>IF(OR(B2015="",I2015=""),"",I2015-B2015)</f>
        <v/>
      </c>
      <c r="N2015" s="21">
        <f>IF(B2015="","",IF(I2015="",IF(H2015="","",IF(TODAY()&gt;H2015,"Atrasado (em aberto)","Em aberto")),IF(I2015&lt;=H2015,"No prazo","Fora do prazo")))</f>
        <v/>
      </c>
    </row>
    <row r="2016">
      <c r="B2016" s="22" t="n"/>
      <c r="E2016" s="23" t="n"/>
      <c r="F2016" s="24" t="n"/>
      <c r="H2016" s="22" t="n"/>
      <c r="I2016" s="22" t="n"/>
      <c r="J2016" s="21">
        <f>IF(C2016="","",IFERROR(INDEX(Clientes!$B:$B,MATCH(C2016,Clientes!$A:$A,0)),"Cód. não cadastrado"))</f>
        <v/>
      </c>
      <c r="K2016" s="18">
        <f>IF(B2016="","",YEAR(B2016))</f>
        <v/>
      </c>
      <c r="L2016" s="18">
        <f>IF(B2016="","",MONTH(B2016))</f>
        <v/>
      </c>
      <c r="M2016" s="18">
        <f>IF(OR(B2016="",I2016=""),"",I2016-B2016)</f>
        <v/>
      </c>
      <c r="N2016" s="21">
        <f>IF(B2016="","",IF(I2016="",IF(H2016="","",IF(TODAY()&gt;H2016,"Atrasado (em aberto)","Em aberto")),IF(I2016&lt;=H2016,"No prazo","Fora do prazo")))</f>
        <v/>
      </c>
    </row>
    <row r="2017">
      <c r="B2017" s="22" t="n"/>
      <c r="E2017" s="23" t="n"/>
      <c r="F2017" s="24" t="n"/>
      <c r="H2017" s="22" t="n"/>
      <c r="I2017" s="22" t="n"/>
      <c r="J2017" s="21">
        <f>IF(C2017="","",IFERROR(INDEX(Clientes!$B:$B,MATCH(C2017,Clientes!$A:$A,0)),"Cód. não cadastrado"))</f>
        <v/>
      </c>
      <c r="K2017" s="18">
        <f>IF(B2017="","",YEAR(B2017))</f>
        <v/>
      </c>
      <c r="L2017" s="18">
        <f>IF(B2017="","",MONTH(B2017))</f>
        <v/>
      </c>
      <c r="M2017" s="18">
        <f>IF(OR(B2017="",I2017=""),"",I2017-B2017)</f>
        <v/>
      </c>
      <c r="N2017" s="21">
        <f>IF(B2017="","",IF(I2017="",IF(H2017="","",IF(TODAY()&gt;H2017,"Atrasado (em aberto)","Em aberto")),IF(I2017&lt;=H2017,"No prazo","Fora do prazo")))</f>
        <v/>
      </c>
    </row>
    <row r="2018">
      <c r="B2018" s="22" t="n"/>
      <c r="E2018" s="23" t="n"/>
      <c r="F2018" s="24" t="n"/>
      <c r="H2018" s="22" t="n"/>
      <c r="I2018" s="22" t="n"/>
      <c r="J2018" s="21">
        <f>IF(C2018="","",IFERROR(INDEX(Clientes!$B:$B,MATCH(C2018,Clientes!$A:$A,0)),"Cód. não cadastrado"))</f>
        <v/>
      </c>
      <c r="K2018" s="18">
        <f>IF(B2018="","",YEAR(B2018))</f>
        <v/>
      </c>
      <c r="L2018" s="18">
        <f>IF(B2018="","",MONTH(B2018))</f>
        <v/>
      </c>
      <c r="M2018" s="18">
        <f>IF(OR(B2018="",I2018=""),"",I2018-B2018)</f>
        <v/>
      </c>
      <c r="N2018" s="21">
        <f>IF(B2018="","",IF(I2018="",IF(H2018="","",IF(TODAY()&gt;H2018,"Atrasado (em aberto)","Em aberto")),IF(I2018&lt;=H2018,"No prazo","Fora do prazo")))</f>
        <v/>
      </c>
    </row>
    <row r="2019">
      <c r="B2019" s="22" t="n"/>
      <c r="E2019" s="23" t="n"/>
      <c r="F2019" s="24" t="n"/>
      <c r="H2019" s="22" t="n"/>
      <c r="I2019" s="22" t="n"/>
      <c r="J2019" s="21">
        <f>IF(C2019="","",IFERROR(INDEX(Clientes!$B:$B,MATCH(C2019,Clientes!$A:$A,0)),"Cód. não cadastrado"))</f>
        <v/>
      </c>
      <c r="K2019" s="18">
        <f>IF(B2019="","",YEAR(B2019))</f>
        <v/>
      </c>
      <c r="L2019" s="18">
        <f>IF(B2019="","",MONTH(B2019))</f>
        <v/>
      </c>
      <c r="M2019" s="18">
        <f>IF(OR(B2019="",I2019=""),"",I2019-B2019)</f>
        <v/>
      </c>
      <c r="N2019" s="21">
        <f>IF(B2019="","",IF(I2019="",IF(H2019="","",IF(TODAY()&gt;H2019,"Atrasado (em aberto)","Em aberto")),IF(I2019&lt;=H2019,"No prazo","Fora do prazo")))</f>
        <v/>
      </c>
    </row>
    <row r="2020">
      <c r="B2020" s="22" t="n"/>
      <c r="E2020" s="23" t="n"/>
      <c r="F2020" s="24" t="n"/>
      <c r="H2020" s="22" t="n"/>
      <c r="I2020" s="22" t="n"/>
      <c r="J2020" s="21">
        <f>IF(C2020="","",IFERROR(INDEX(Clientes!$B:$B,MATCH(C2020,Clientes!$A:$A,0)),"Cód. não cadastrado"))</f>
        <v/>
      </c>
      <c r="K2020" s="18">
        <f>IF(B2020="","",YEAR(B2020))</f>
        <v/>
      </c>
      <c r="L2020" s="18">
        <f>IF(B2020="","",MONTH(B2020))</f>
        <v/>
      </c>
      <c r="M2020" s="18">
        <f>IF(OR(B2020="",I2020=""),"",I2020-B2020)</f>
        <v/>
      </c>
      <c r="N2020" s="21">
        <f>IF(B2020="","",IF(I2020="",IF(H2020="","",IF(TODAY()&gt;H2020,"Atrasado (em aberto)","Em aberto")),IF(I2020&lt;=H2020,"No prazo","Fora do prazo")))</f>
        <v/>
      </c>
    </row>
    <row r="2021">
      <c r="B2021" s="22" t="n"/>
      <c r="E2021" s="23" t="n"/>
      <c r="F2021" s="24" t="n"/>
      <c r="H2021" s="22" t="n"/>
      <c r="I2021" s="22" t="n"/>
      <c r="J2021" s="21">
        <f>IF(C2021="","",IFERROR(INDEX(Clientes!$B:$B,MATCH(C2021,Clientes!$A:$A,0)),"Cód. não cadastrado"))</f>
        <v/>
      </c>
      <c r="K2021" s="18">
        <f>IF(B2021="","",YEAR(B2021))</f>
        <v/>
      </c>
      <c r="L2021" s="18">
        <f>IF(B2021="","",MONTH(B2021))</f>
        <v/>
      </c>
      <c r="M2021" s="18">
        <f>IF(OR(B2021="",I2021=""),"",I2021-B2021)</f>
        <v/>
      </c>
      <c r="N2021" s="21">
        <f>IF(B2021="","",IF(I2021="",IF(H2021="","",IF(TODAY()&gt;H2021,"Atrasado (em aberto)","Em aberto")),IF(I2021&lt;=H2021,"No prazo","Fora do prazo")))</f>
        <v/>
      </c>
    </row>
    <row r="2022">
      <c r="B2022" s="22" t="n"/>
      <c r="E2022" s="23" t="n"/>
      <c r="F2022" s="24" t="n"/>
      <c r="H2022" s="22" t="n"/>
      <c r="I2022" s="22" t="n"/>
      <c r="J2022" s="21">
        <f>IF(C2022="","",IFERROR(INDEX(Clientes!$B:$B,MATCH(C2022,Clientes!$A:$A,0)),"Cód. não cadastrado"))</f>
        <v/>
      </c>
      <c r="K2022" s="18">
        <f>IF(B2022="","",YEAR(B2022))</f>
        <v/>
      </c>
      <c r="L2022" s="18">
        <f>IF(B2022="","",MONTH(B2022))</f>
        <v/>
      </c>
      <c r="M2022" s="18">
        <f>IF(OR(B2022="",I2022=""),"",I2022-B2022)</f>
        <v/>
      </c>
      <c r="N2022" s="21">
        <f>IF(B2022="","",IF(I2022="",IF(H2022="","",IF(TODAY()&gt;H2022,"Atrasado (em aberto)","Em aberto")),IF(I2022&lt;=H2022,"No prazo","Fora do prazo")))</f>
        <v/>
      </c>
    </row>
    <row r="2023">
      <c r="B2023" s="22" t="n"/>
      <c r="E2023" s="23" t="n"/>
      <c r="F2023" s="24" t="n"/>
      <c r="H2023" s="22" t="n"/>
      <c r="I2023" s="22" t="n"/>
      <c r="J2023" s="21">
        <f>IF(C2023="","",IFERROR(INDEX(Clientes!$B:$B,MATCH(C2023,Clientes!$A:$A,0)),"Cód. não cadastrado"))</f>
        <v/>
      </c>
      <c r="K2023" s="18">
        <f>IF(B2023="","",YEAR(B2023))</f>
        <v/>
      </c>
      <c r="L2023" s="18">
        <f>IF(B2023="","",MONTH(B2023))</f>
        <v/>
      </c>
      <c r="M2023" s="18">
        <f>IF(OR(B2023="",I2023=""),"",I2023-B2023)</f>
        <v/>
      </c>
      <c r="N2023" s="21">
        <f>IF(B2023="","",IF(I2023="",IF(H2023="","",IF(TODAY()&gt;H2023,"Atrasado (em aberto)","Em aberto")),IF(I2023&lt;=H2023,"No prazo","Fora do prazo")))</f>
        <v/>
      </c>
    </row>
    <row r="2024">
      <c r="B2024" s="22" t="n"/>
      <c r="E2024" s="23" t="n"/>
      <c r="F2024" s="24" t="n"/>
      <c r="H2024" s="22" t="n"/>
      <c r="I2024" s="22" t="n"/>
      <c r="J2024" s="21">
        <f>IF(C2024="","",IFERROR(INDEX(Clientes!$B:$B,MATCH(C2024,Clientes!$A:$A,0)),"Cód. não cadastrado"))</f>
        <v/>
      </c>
      <c r="K2024" s="18">
        <f>IF(B2024="","",YEAR(B2024))</f>
        <v/>
      </c>
      <c r="L2024" s="18">
        <f>IF(B2024="","",MONTH(B2024))</f>
        <v/>
      </c>
      <c r="M2024" s="18">
        <f>IF(OR(B2024="",I2024=""),"",I2024-B2024)</f>
        <v/>
      </c>
      <c r="N2024" s="21">
        <f>IF(B2024="","",IF(I2024="",IF(H2024="","",IF(TODAY()&gt;H2024,"Atrasado (em aberto)","Em aberto")),IF(I2024&lt;=H2024,"No prazo","Fora do prazo")))</f>
        <v/>
      </c>
    </row>
    <row r="2025">
      <c r="B2025" s="22" t="n"/>
      <c r="E2025" s="23" t="n"/>
      <c r="F2025" s="24" t="n"/>
      <c r="H2025" s="22" t="n"/>
      <c r="I2025" s="22" t="n"/>
      <c r="J2025" s="21">
        <f>IF(C2025="","",IFERROR(INDEX(Clientes!$B:$B,MATCH(C2025,Clientes!$A:$A,0)),"Cód. não cadastrado"))</f>
        <v/>
      </c>
      <c r="K2025" s="18">
        <f>IF(B2025="","",YEAR(B2025))</f>
        <v/>
      </c>
      <c r="L2025" s="18">
        <f>IF(B2025="","",MONTH(B2025))</f>
        <v/>
      </c>
      <c r="M2025" s="18">
        <f>IF(OR(B2025="",I2025=""),"",I2025-B2025)</f>
        <v/>
      </c>
      <c r="N2025" s="21">
        <f>IF(B2025="","",IF(I2025="",IF(H2025="","",IF(TODAY()&gt;H2025,"Atrasado (em aberto)","Em aberto")),IF(I2025&lt;=H2025,"No prazo","Fora do prazo")))</f>
        <v/>
      </c>
    </row>
    <row r="2026">
      <c r="B2026" s="22" t="n"/>
      <c r="E2026" s="23" t="n"/>
      <c r="F2026" s="24" t="n"/>
      <c r="H2026" s="22" t="n"/>
      <c r="I2026" s="22" t="n"/>
      <c r="J2026" s="21">
        <f>IF(C2026="","",IFERROR(INDEX(Clientes!$B:$B,MATCH(C2026,Clientes!$A:$A,0)),"Cód. não cadastrado"))</f>
        <v/>
      </c>
      <c r="K2026" s="18">
        <f>IF(B2026="","",YEAR(B2026))</f>
        <v/>
      </c>
      <c r="L2026" s="18">
        <f>IF(B2026="","",MONTH(B2026))</f>
        <v/>
      </c>
      <c r="M2026" s="18">
        <f>IF(OR(B2026="",I2026=""),"",I2026-B2026)</f>
        <v/>
      </c>
      <c r="N2026" s="21">
        <f>IF(B2026="","",IF(I2026="",IF(H2026="","",IF(TODAY()&gt;H2026,"Atrasado (em aberto)","Em aberto")),IF(I2026&lt;=H2026,"No prazo","Fora do prazo")))</f>
        <v/>
      </c>
    </row>
    <row r="2027">
      <c r="B2027" s="22" t="n"/>
      <c r="E2027" s="23" t="n"/>
      <c r="F2027" s="24" t="n"/>
      <c r="H2027" s="22" t="n"/>
      <c r="I2027" s="22" t="n"/>
      <c r="J2027" s="21">
        <f>IF(C2027="","",IFERROR(INDEX(Clientes!$B:$B,MATCH(C2027,Clientes!$A:$A,0)),"Cód. não cadastrado"))</f>
        <v/>
      </c>
      <c r="K2027" s="18">
        <f>IF(B2027="","",YEAR(B2027))</f>
        <v/>
      </c>
      <c r="L2027" s="18">
        <f>IF(B2027="","",MONTH(B2027))</f>
        <v/>
      </c>
      <c r="M2027" s="18">
        <f>IF(OR(B2027="",I2027=""),"",I2027-B2027)</f>
        <v/>
      </c>
      <c r="N2027" s="21">
        <f>IF(B2027="","",IF(I2027="",IF(H2027="","",IF(TODAY()&gt;H2027,"Atrasado (em aberto)","Em aberto")),IF(I2027&lt;=H2027,"No prazo","Fora do prazo")))</f>
        <v/>
      </c>
    </row>
    <row r="2028">
      <c r="B2028" s="22" t="n"/>
      <c r="E2028" s="23" t="n"/>
      <c r="F2028" s="24" t="n"/>
      <c r="H2028" s="22" t="n"/>
      <c r="I2028" s="22" t="n"/>
      <c r="J2028" s="21">
        <f>IF(C2028="","",IFERROR(INDEX(Clientes!$B:$B,MATCH(C2028,Clientes!$A:$A,0)),"Cód. não cadastrado"))</f>
        <v/>
      </c>
      <c r="K2028" s="18">
        <f>IF(B2028="","",YEAR(B2028))</f>
        <v/>
      </c>
      <c r="L2028" s="18">
        <f>IF(B2028="","",MONTH(B2028))</f>
        <v/>
      </c>
      <c r="M2028" s="18">
        <f>IF(OR(B2028="",I2028=""),"",I2028-B2028)</f>
        <v/>
      </c>
      <c r="N2028" s="21">
        <f>IF(B2028="","",IF(I2028="",IF(H2028="","",IF(TODAY()&gt;H2028,"Atrasado (em aberto)","Em aberto")),IF(I2028&lt;=H2028,"No prazo","Fora do prazo")))</f>
        <v/>
      </c>
    </row>
    <row r="2029">
      <c r="B2029" s="22" t="n"/>
      <c r="E2029" s="23" t="n"/>
      <c r="F2029" s="24" t="n"/>
      <c r="H2029" s="22" t="n"/>
      <c r="I2029" s="22" t="n"/>
      <c r="J2029" s="21">
        <f>IF(C2029="","",IFERROR(INDEX(Clientes!$B:$B,MATCH(C2029,Clientes!$A:$A,0)),"Cód. não cadastrado"))</f>
        <v/>
      </c>
      <c r="K2029" s="18">
        <f>IF(B2029="","",YEAR(B2029))</f>
        <v/>
      </c>
      <c r="L2029" s="18">
        <f>IF(B2029="","",MONTH(B2029))</f>
        <v/>
      </c>
      <c r="M2029" s="18">
        <f>IF(OR(B2029="",I2029=""),"",I2029-B2029)</f>
        <v/>
      </c>
      <c r="N2029" s="21">
        <f>IF(B2029="","",IF(I2029="",IF(H2029="","",IF(TODAY()&gt;H2029,"Atrasado (em aberto)","Em aberto")),IF(I2029&lt;=H2029,"No prazo","Fora do prazo")))</f>
        <v/>
      </c>
    </row>
    <row r="2030">
      <c r="B2030" s="22" t="n"/>
      <c r="E2030" s="23" t="n"/>
      <c r="F2030" s="24" t="n"/>
      <c r="H2030" s="22" t="n"/>
      <c r="I2030" s="22" t="n"/>
      <c r="J2030" s="21">
        <f>IF(C2030="","",IFERROR(INDEX(Clientes!$B:$B,MATCH(C2030,Clientes!$A:$A,0)),"Cód. não cadastrado"))</f>
        <v/>
      </c>
      <c r="K2030" s="18">
        <f>IF(B2030="","",YEAR(B2030))</f>
        <v/>
      </c>
      <c r="L2030" s="18">
        <f>IF(B2030="","",MONTH(B2030))</f>
        <v/>
      </c>
      <c r="M2030" s="18">
        <f>IF(OR(B2030="",I2030=""),"",I2030-B2030)</f>
        <v/>
      </c>
      <c r="N2030" s="21">
        <f>IF(B2030="","",IF(I2030="",IF(H2030="","",IF(TODAY()&gt;H2030,"Atrasado (em aberto)","Em aberto")),IF(I2030&lt;=H2030,"No prazo","Fora do prazo")))</f>
        <v/>
      </c>
    </row>
    <row r="2031">
      <c r="B2031" s="22" t="n"/>
      <c r="E2031" s="23" t="n"/>
      <c r="F2031" s="24" t="n"/>
      <c r="H2031" s="22" t="n"/>
      <c r="I2031" s="22" t="n"/>
      <c r="J2031" s="21">
        <f>IF(C2031="","",IFERROR(INDEX(Clientes!$B:$B,MATCH(C2031,Clientes!$A:$A,0)),"Cód. não cadastrado"))</f>
        <v/>
      </c>
      <c r="K2031" s="18">
        <f>IF(B2031="","",YEAR(B2031))</f>
        <v/>
      </c>
      <c r="L2031" s="18">
        <f>IF(B2031="","",MONTH(B2031))</f>
        <v/>
      </c>
      <c r="M2031" s="18">
        <f>IF(OR(B2031="",I2031=""),"",I2031-B2031)</f>
        <v/>
      </c>
      <c r="N2031" s="21">
        <f>IF(B2031="","",IF(I2031="",IF(H2031="","",IF(TODAY()&gt;H2031,"Atrasado (em aberto)","Em aberto")),IF(I2031&lt;=H2031,"No prazo","Fora do prazo")))</f>
        <v/>
      </c>
    </row>
    <row r="2032">
      <c r="B2032" s="22" t="n"/>
      <c r="E2032" s="23" t="n"/>
      <c r="F2032" s="24" t="n"/>
      <c r="H2032" s="22" t="n"/>
      <c r="I2032" s="22" t="n"/>
      <c r="J2032" s="21">
        <f>IF(C2032="","",IFERROR(INDEX(Clientes!$B:$B,MATCH(C2032,Clientes!$A:$A,0)),"Cód. não cadastrado"))</f>
        <v/>
      </c>
      <c r="K2032" s="18">
        <f>IF(B2032="","",YEAR(B2032))</f>
        <v/>
      </c>
      <c r="L2032" s="18">
        <f>IF(B2032="","",MONTH(B2032))</f>
        <v/>
      </c>
      <c r="M2032" s="18">
        <f>IF(OR(B2032="",I2032=""),"",I2032-B2032)</f>
        <v/>
      </c>
      <c r="N2032" s="21">
        <f>IF(B2032="","",IF(I2032="",IF(H2032="","",IF(TODAY()&gt;H2032,"Atrasado (em aberto)","Em aberto")),IF(I2032&lt;=H2032,"No prazo","Fora do prazo")))</f>
        <v/>
      </c>
    </row>
    <row r="2033">
      <c r="B2033" s="22" t="n"/>
      <c r="E2033" s="23" t="n"/>
      <c r="F2033" s="24" t="n"/>
      <c r="H2033" s="22" t="n"/>
      <c r="I2033" s="22" t="n"/>
      <c r="J2033" s="21">
        <f>IF(C2033="","",IFERROR(INDEX(Clientes!$B:$B,MATCH(C2033,Clientes!$A:$A,0)),"Cód. não cadastrado"))</f>
        <v/>
      </c>
      <c r="K2033" s="18">
        <f>IF(B2033="","",YEAR(B2033))</f>
        <v/>
      </c>
      <c r="L2033" s="18">
        <f>IF(B2033="","",MONTH(B2033))</f>
        <v/>
      </c>
      <c r="M2033" s="18">
        <f>IF(OR(B2033="",I2033=""),"",I2033-B2033)</f>
        <v/>
      </c>
      <c r="N2033" s="21">
        <f>IF(B2033="","",IF(I2033="",IF(H2033="","",IF(TODAY()&gt;H2033,"Atrasado (em aberto)","Em aberto")),IF(I2033&lt;=H2033,"No prazo","Fora do prazo")))</f>
        <v/>
      </c>
    </row>
    <row r="2034">
      <c r="B2034" s="22" t="n"/>
      <c r="E2034" s="23" t="n"/>
      <c r="F2034" s="24" t="n"/>
      <c r="H2034" s="22" t="n"/>
      <c r="I2034" s="22" t="n"/>
      <c r="J2034" s="21">
        <f>IF(C2034="","",IFERROR(INDEX(Clientes!$B:$B,MATCH(C2034,Clientes!$A:$A,0)),"Cód. não cadastrado"))</f>
        <v/>
      </c>
      <c r="K2034" s="18">
        <f>IF(B2034="","",YEAR(B2034))</f>
        <v/>
      </c>
      <c r="L2034" s="18">
        <f>IF(B2034="","",MONTH(B2034))</f>
        <v/>
      </c>
      <c r="M2034" s="18">
        <f>IF(OR(B2034="",I2034=""),"",I2034-B2034)</f>
        <v/>
      </c>
      <c r="N2034" s="21">
        <f>IF(B2034="","",IF(I2034="",IF(H2034="","",IF(TODAY()&gt;H2034,"Atrasado (em aberto)","Em aberto")),IF(I2034&lt;=H2034,"No prazo","Fora do prazo")))</f>
        <v/>
      </c>
    </row>
    <row r="2035">
      <c r="B2035" s="22" t="n"/>
      <c r="E2035" s="23" t="n"/>
      <c r="F2035" s="24" t="n"/>
      <c r="H2035" s="22" t="n"/>
      <c r="I2035" s="22" t="n"/>
      <c r="J2035" s="21">
        <f>IF(C2035="","",IFERROR(INDEX(Clientes!$B:$B,MATCH(C2035,Clientes!$A:$A,0)),"Cód. não cadastrado"))</f>
        <v/>
      </c>
      <c r="K2035" s="18">
        <f>IF(B2035="","",YEAR(B2035))</f>
        <v/>
      </c>
      <c r="L2035" s="18">
        <f>IF(B2035="","",MONTH(B2035))</f>
        <v/>
      </c>
      <c r="M2035" s="18">
        <f>IF(OR(B2035="",I2035=""),"",I2035-B2035)</f>
        <v/>
      </c>
      <c r="N2035" s="21">
        <f>IF(B2035="","",IF(I2035="",IF(H2035="","",IF(TODAY()&gt;H2035,"Atrasado (em aberto)","Em aberto")),IF(I2035&lt;=H2035,"No prazo","Fora do prazo")))</f>
        <v/>
      </c>
    </row>
    <row r="2036">
      <c r="B2036" s="22" t="n"/>
      <c r="E2036" s="23" t="n"/>
      <c r="F2036" s="24" t="n"/>
      <c r="H2036" s="22" t="n"/>
      <c r="I2036" s="22" t="n"/>
      <c r="J2036" s="21">
        <f>IF(C2036="","",IFERROR(INDEX(Clientes!$B:$B,MATCH(C2036,Clientes!$A:$A,0)),"Cód. não cadastrado"))</f>
        <v/>
      </c>
      <c r="K2036" s="18">
        <f>IF(B2036="","",YEAR(B2036))</f>
        <v/>
      </c>
      <c r="L2036" s="18">
        <f>IF(B2036="","",MONTH(B2036))</f>
        <v/>
      </c>
      <c r="M2036" s="18">
        <f>IF(OR(B2036="",I2036=""),"",I2036-B2036)</f>
        <v/>
      </c>
      <c r="N2036" s="21">
        <f>IF(B2036="","",IF(I2036="",IF(H2036="","",IF(TODAY()&gt;H2036,"Atrasado (em aberto)","Em aberto")),IF(I2036&lt;=H2036,"No prazo","Fora do prazo")))</f>
        <v/>
      </c>
    </row>
    <row r="2037">
      <c r="B2037" s="22" t="n"/>
      <c r="E2037" s="23" t="n"/>
      <c r="F2037" s="24" t="n"/>
      <c r="H2037" s="22" t="n"/>
      <c r="I2037" s="22" t="n"/>
      <c r="J2037" s="21">
        <f>IF(C2037="","",IFERROR(INDEX(Clientes!$B:$B,MATCH(C2037,Clientes!$A:$A,0)),"Cód. não cadastrado"))</f>
        <v/>
      </c>
      <c r="K2037" s="18">
        <f>IF(B2037="","",YEAR(B2037))</f>
        <v/>
      </c>
      <c r="L2037" s="18">
        <f>IF(B2037="","",MONTH(B2037))</f>
        <v/>
      </c>
      <c r="M2037" s="18">
        <f>IF(OR(B2037="",I2037=""),"",I2037-B2037)</f>
        <v/>
      </c>
      <c r="N2037" s="21">
        <f>IF(B2037="","",IF(I2037="",IF(H2037="","",IF(TODAY()&gt;H2037,"Atrasado (em aberto)","Em aberto")),IF(I2037&lt;=H2037,"No prazo","Fora do prazo")))</f>
        <v/>
      </c>
    </row>
    <row r="2038">
      <c r="B2038" s="22" t="n"/>
      <c r="E2038" s="23" t="n"/>
      <c r="F2038" s="24" t="n"/>
      <c r="H2038" s="22" t="n"/>
      <c r="I2038" s="22" t="n"/>
      <c r="J2038" s="21">
        <f>IF(C2038="","",IFERROR(INDEX(Clientes!$B:$B,MATCH(C2038,Clientes!$A:$A,0)),"Cód. não cadastrado"))</f>
        <v/>
      </c>
      <c r="K2038" s="18">
        <f>IF(B2038="","",YEAR(B2038))</f>
        <v/>
      </c>
      <c r="L2038" s="18">
        <f>IF(B2038="","",MONTH(B2038))</f>
        <v/>
      </c>
      <c r="M2038" s="18">
        <f>IF(OR(B2038="",I2038=""),"",I2038-B2038)</f>
        <v/>
      </c>
      <c r="N2038" s="21">
        <f>IF(B2038="","",IF(I2038="",IF(H2038="","",IF(TODAY()&gt;H2038,"Atrasado (em aberto)","Em aberto")),IF(I2038&lt;=H2038,"No prazo","Fora do prazo")))</f>
        <v/>
      </c>
    </row>
    <row r="2039">
      <c r="B2039" s="22" t="n"/>
      <c r="E2039" s="23" t="n"/>
      <c r="F2039" s="24" t="n"/>
      <c r="H2039" s="22" t="n"/>
      <c r="I2039" s="22" t="n"/>
      <c r="J2039" s="21">
        <f>IF(C2039="","",IFERROR(INDEX(Clientes!$B:$B,MATCH(C2039,Clientes!$A:$A,0)),"Cód. não cadastrado"))</f>
        <v/>
      </c>
      <c r="K2039" s="18">
        <f>IF(B2039="","",YEAR(B2039))</f>
        <v/>
      </c>
      <c r="L2039" s="18">
        <f>IF(B2039="","",MONTH(B2039))</f>
        <v/>
      </c>
      <c r="M2039" s="18">
        <f>IF(OR(B2039="",I2039=""),"",I2039-B2039)</f>
        <v/>
      </c>
      <c r="N2039" s="21">
        <f>IF(B2039="","",IF(I2039="",IF(H2039="","",IF(TODAY()&gt;H2039,"Atrasado (em aberto)","Em aberto")),IF(I2039&lt;=H2039,"No prazo","Fora do prazo")))</f>
        <v/>
      </c>
    </row>
    <row r="2040">
      <c r="B2040" s="22" t="n"/>
      <c r="E2040" s="23" t="n"/>
      <c r="F2040" s="24" t="n"/>
      <c r="H2040" s="22" t="n"/>
      <c r="I2040" s="22" t="n"/>
      <c r="J2040" s="21">
        <f>IF(C2040="","",IFERROR(INDEX(Clientes!$B:$B,MATCH(C2040,Clientes!$A:$A,0)),"Cód. não cadastrado"))</f>
        <v/>
      </c>
      <c r="K2040" s="18">
        <f>IF(B2040="","",YEAR(B2040))</f>
        <v/>
      </c>
      <c r="L2040" s="18">
        <f>IF(B2040="","",MONTH(B2040))</f>
        <v/>
      </c>
      <c r="M2040" s="18">
        <f>IF(OR(B2040="",I2040=""),"",I2040-B2040)</f>
        <v/>
      </c>
      <c r="N2040" s="21">
        <f>IF(B2040="","",IF(I2040="",IF(H2040="","",IF(TODAY()&gt;H2040,"Atrasado (em aberto)","Em aberto")),IF(I2040&lt;=H2040,"No prazo","Fora do prazo")))</f>
        <v/>
      </c>
    </row>
    <row r="2041">
      <c r="B2041" s="22" t="n"/>
      <c r="E2041" s="23" t="n"/>
      <c r="F2041" s="24" t="n"/>
      <c r="H2041" s="22" t="n"/>
      <c r="I2041" s="22" t="n"/>
      <c r="J2041" s="21">
        <f>IF(C2041="","",IFERROR(INDEX(Clientes!$B:$B,MATCH(C2041,Clientes!$A:$A,0)),"Cód. não cadastrado"))</f>
        <v/>
      </c>
      <c r="K2041" s="18">
        <f>IF(B2041="","",YEAR(B2041))</f>
        <v/>
      </c>
      <c r="L2041" s="18">
        <f>IF(B2041="","",MONTH(B2041))</f>
        <v/>
      </c>
      <c r="M2041" s="18">
        <f>IF(OR(B2041="",I2041=""),"",I2041-B2041)</f>
        <v/>
      </c>
      <c r="N2041" s="21">
        <f>IF(B2041="","",IF(I2041="",IF(H2041="","",IF(TODAY()&gt;H2041,"Atrasado (em aberto)","Em aberto")),IF(I2041&lt;=H2041,"No prazo","Fora do prazo")))</f>
        <v/>
      </c>
    </row>
    <row r="2042">
      <c r="B2042" s="22" t="n"/>
      <c r="E2042" s="23" t="n"/>
      <c r="F2042" s="24" t="n"/>
      <c r="H2042" s="22" t="n"/>
      <c r="I2042" s="22" t="n"/>
      <c r="J2042" s="21">
        <f>IF(C2042="","",IFERROR(INDEX(Clientes!$B:$B,MATCH(C2042,Clientes!$A:$A,0)),"Cód. não cadastrado"))</f>
        <v/>
      </c>
      <c r="K2042" s="18">
        <f>IF(B2042="","",YEAR(B2042))</f>
        <v/>
      </c>
      <c r="L2042" s="18">
        <f>IF(B2042="","",MONTH(B2042))</f>
        <v/>
      </c>
      <c r="M2042" s="18">
        <f>IF(OR(B2042="",I2042=""),"",I2042-B2042)</f>
        <v/>
      </c>
      <c r="N2042" s="21">
        <f>IF(B2042="","",IF(I2042="",IF(H2042="","",IF(TODAY()&gt;H2042,"Atrasado (em aberto)","Em aberto")),IF(I2042&lt;=H2042,"No prazo","Fora do prazo")))</f>
        <v/>
      </c>
    </row>
    <row r="2043">
      <c r="B2043" s="22" t="n"/>
      <c r="E2043" s="23" t="n"/>
      <c r="F2043" s="24" t="n"/>
      <c r="H2043" s="22" t="n"/>
      <c r="I2043" s="22" t="n"/>
      <c r="J2043" s="21">
        <f>IF(C2043="","",IFERROR(INDEX(Clientes!$B:$B,MATCH(C2043,Clientes!$A:$A,0)),"Cód. não cadastrado"))</f>
        <v/>
      </c>
      <c r="K2043" s="18">
        <f>IF(B2043="","",YEAR(B2043))</f>
        <v/>
      </c>
      <c r="L2043" s="18">
        <f>IF(B2043="","",MONTH(B2043))</f>
        <v/>
      </c>
      <c r="M2043" s="18">
        <f>IF(OR(B2043="",I2043=""),"",I2043-B2043)</f>
        <v/>
      </c>
      <c r="N2043" s="21">
        <f>IF(B2043="","",IF(I2043="",IF(H2043="","",IF(TODAY()&gt;H2043,"Atrasado (em aberto)","Em aberto")),IF(I2043&lt;=H2043,"No prazo","Fora do prazo")))</f>
        <v/>
      </c>
    </row>
    <row r="2044">
      <c r="B2044" s="22" t="n"/>
      <c r="E2044" s="23" t="n"/>
      <c r="F2044" s="24" t="n"/>
      <c r="H2044" s="22" t="n"/>
      <c r="I2044" s="22" t="n"/>
      <c r="J2044" s="21">
        <f>IF(C2044="","",IFERROR(INDEX(Clientes!$B:$B,MATCH(C2044,Clientes!$A:$A,0)),"Cód. não cadastrado"))</f>
        <v/>
      </c>
      <c r="K2044" s="18">
        <f>IF(B2044="","",YEAR(B2044))</f>
        <v/>
      </c>
      <c r="L2044" s="18">
        <f>IF(B2044="","",MONTH(B2044))</f>
        <v/>
      </c>
      <c r="M2044" s="18">
        <f>IF(OR(B2044="",I2044=""),"",I2044-B2044)</f>
        <v/>
      </c>
      <c r="N2044" s="21">
        <f>IF(B2044="","",IF(I2044="",IF(H2044="","",IF(TODAY()&gt;H2044,"Atrasado (em aberto)","Em aberto")),IF(I2044&lt;=H2044,"No prazo","Fora do prazo")))</f>
        <v/>
      </c>
    </row>
    <row r="2045">
      <c r="B2045" s="22" t="n"/>
      <c r="E2045" s="23" t="n"/>
      <c r="F2045" s="24" t="n"/>
      <c r="H2045" s="22" t="n"/>
      <c r="I2045" s="22" t="n"/>
      <c r="J2045" s="21">
        <f>IF(C2045="","",IFERROR(INDEX(Clientes!$B:$B,MATCH(C2045,Clientes!$A:$A,0)),"Cód. não cadastrado"))</f>
        <v/>
      </c>
      <c r="K2045" s="18">
        <f>IF(B2045="","",YEAR(B2045))</f>
        <v/>
      </c>
      <c r="L2045" s="18">
        <f>IF(B2045="","",MONTH(B2045))</f>
        <v/>
      </c>
      <c r="M2045" s="18">
        <f>IF(OR(B2045="",I2045=""),"",I2045-B2045)</f>
        <v/>
      </c>
      <c r="N2045" s="21">
        <f>IF(B2045="","",IF(I2045="",IF(H2045="","",IF(TODAY()&gt;H2045,"Atrasado (em aberto)","Em aberto")),IF(I2045&lt;=H2045,"No prazo","Fora do prazo")))</f>
        <v/>
      </c>
    </row>
    <row r="2046">
      <c r="B2046" s="22" t="n"/>
      <c r="E2046" s="23" t="n"/>
      <c r="F2046" s="24" t="n"/>
      <c r="H2046" s="22" t="n"/>
      <c r="I2046" s="22" t="n"/>
      <c r="J2046" s="21">
        <f>IF(C2046="","",IFERROR(INDEX(Clientes!$B:$B,MATCH(C2046,Clientes!$A:$A,0)),"Cód. não cadastrado"))</f>
        <v/>
      </c>
      <c r="K2046" s="18">
        <f>IF(B2046="","",YEAR(B2046))</f>
        <v/>
      </c>
      <c r="L2046" s="18">
        <f>IF(B2046="","",MONTH(B2046))</f>
        <v/>
      </c>
      <c r="M2046" s="18">
        <f>IF(OR(B2046="",I2046=""),"",I2046-B2046)</f>
        <v/>
      </c>
      <c r="N2046" s="21">
        <f>IF(B2046="","",IF(I2046="",IF(H2046="","",IF(TODAY()&gt;H2046,"Atrasado (em aberto)","Em aberto")),IF(I2046&lt;=H2046,"No prazo","Fora do prazo")))</f>
        <v/>
      </c>
    </row>
    <row r="2047">
      <c r="B2047" s="22" t="n"/>
      <c r="E2047" s="23" t="n"/>
      <c r="F2047" s="24" t="n"/>
      <c r="H2047" s="22" t="n"/>
      <c r="I2047" s="22" t="n"/>
      <c r="J2047" s="21">
        <f>IF(C2047="","",IFERROR(INDEX(Clientes!$B:$B,MATCH(C2047,Clientes!$A:$A,0)),"Cód. não cadastrado"))</f>
        <v/>
      </c>
      <c r="K2047" s="18">
        <f>IF(B2047="","",YEAR(B2047))</f>
        <v/>
      </c>
      <c r="L2047" s="18">
        <f>IF(B2047="","",MONTH(B2047))</f>
        <v/>
      </c>
      <c r="M2047" s="18">
        <f>IF(OR(B2047="",I2047=""),"",I2047-B2047)</f>
        <v/>
      </c>
      <c r="N2047" s="21">
        <f>IF(B2047="","",IF(I2047="",IF(H2047="","",IF(TODAY()&gt;H2047,"Atrasado (em aberto)","Em aberto")),IF(I2047&lt;=H2047,"No prazo","Fora do prazo")))</f>
        <v/>
      </c>
    </row>
    <row r="2048">
      <c r="B2048" s="22" t="n"/>
      <c r="E2048" s="23" t="n"/>
      <c r="F2048" s="24" t="n"/>
      <c r="H2048" s="22" t="n"/>
      <c r="I2048" s="22" t="n"/>
      <c r="J2048" s="21">
        <f>IF(C2048="","",IFERROR(INDEX(Clientes!$B:$B,MATCH(C2048,Clientes!$A:$A,0)),"Cód. não cadastrado"))</f>
        <v/>
      </c>
      <c r="K2048" s="18">
        <f>IF(B2048="","",YEAR(B2048))</f>
        <v/>
      </c>
      <c r="L2048" s="18">
        <f>IF(B2048="","",MONTH(B2048))</f>
        <v/>
      </c>
      <c r="M2048" s="18">
        <f>IF(OR(B2048="",I2048=""),"",I2048-B2048)</f>
        <v/>
      </c>
      <c r="N2048" s="21">
        <f>IF(B2048="","",IF(I2048="",IF(H2048="","",IF(TODAY()&gt;H2048,"Atrasado (em aberto)","Em aberto")),IF(I2048&lt;=H2048,"No prazo","Fora do prazo")))</f>
        <v/>
      </c>
    </row>
    <row r="2049">
      <c r="B2049" s="22" t="n"/>
      <c r="E2049" s="23" t="n"/>
      <c r="F2049" s="24" t="n"/>
      <c r="H2049" s="22" t="n"/>
      <c r="I2049" s="22" t="n"/>
      <c r="J2049" s="21">
        <f>IF(C2049="","",IFERROR(INDEX(Clientes!$B:$B,MATCH(C2049,Clientes!$A:$A,0)),"Cód. não cadastrado"))</f>
        <v/>
      </c>
      <c r="K2049" s="18">
        <f>IF(B2049="","",YEAR(B2049))</f>
        <v/>
      </c>
      <c r="L2049" s="18">
        <f>IF(B2049="","",MONTH(B2049))</f>
        <v/>
      </c>
      <c r="M2049" s="18">
        <f>IF(OR(B2049="",I2049=""),"",I2049-B2049)</f>
        <v/>
      </c>
      <c r="N2049" s="21">
        <f>IF(B2049="","",IF(I2049="",IF(H2049="","",IF(TODAY()&gt;H2049,"Atrasado (em aberto)","Em aberto")),IF(I2049&lt;=H2049,"No prazo","Fora do prazo")))</f>
        <v/>
      </c>
    </row>
    <row r="2050">
      <c r="B2050" s="22" t="n"/>
      <c r="E2050" s="23" t="n"/>
      <c r="F2050" s="24" t="n"/>
      <c r="H2050" s="22" t="n"/>
      <c r="I2050" s="22" t="n"/>
      <c r="J2050" s="21">
        <f>IF(C2050="","",IFERROR(INDEX(Clientes!$B:$B,MATCH(C2050,Clientes!$A:$A,0)),"Cód. não cadastrado"))</f>
        <v/>
      </c>
      <c r="K2050" s="18">
        <f>IF(B2050="","",YEAR(B2050))</f>
        <v/>
      </c>
      <c r="L2050" s="18">
        <f>IF(B2050="","",MONTH(B2050))</f>
        <v/>
      </c>
      <c r="M2050" s="18">
        <f>IF(OR(B2050="",I2050=""),"",I2050-B2050)</f>
        <v/>
      </c>
      <c r="N2050" s="21">
        <f>IF(B2050="","",IF(I2050="",IF(H2050="","",IF(TODAY()&gt;H2050,"Atrasado (em aberto)","Em aberto")),IF(I2050&lt;=H2050,"No prazo","Fora do prazo")))</f>
        <v/>
      </c>
    </row>
    <row r="2051">
      <c r="B2051" s="22" t="n"/>
      <c r="E2051" s="23" t="n"/>
      <c r="F2051" s="24" t="n"/>
      <c r="H2051" s="22" t="n"/>
      <c r="I2051" s="22" t="n"/>
      <c r="J2051" s="21">
        <f>IF(C2051="","",IFERROR(INDEX(Clientes!$B:$B,MATCH(C2051,Clientes!$A:$A,0)),"Cód. não cadastrado"))</f>
        <v/>
      </c>
      <c r="K2051" s="18">
        <f>IF(B2051="","",YEAR(B2051))</f>
        <v/>
      </c>
      <c r="L2051" s="18">
        <f>IF(B2051="","",MONTH(B2051))</f>
        <v/>
      </c>
      <c r="M2051" s="18">
        <f>IF(OR(B2051="",I2051=""),"",I2051-B2051)</f>
        <v/>
      </c>
      <c r="N2051" s="21">
        <f>IF(B2051="","",IF(I2051="",IF(H2051="","",IF(TODAY()&gt;H2051,"Atrasado (em aberto)","Em aberto")),IF(I2051&lt;=H2051,"No prazo","Fora do prazo")))</f>
        <v/>
      </c>
    </row>
    <row r="2052">
      <c r="B2052" s="22" t="n"/>
      <c r="E2052" s="23" t="n"/>
      <c r="F2052" s="24" t="n"/>
      <c r="H2052" s="22" t="n"/>
      <c r="I2052" s="22" t="n"/>
      <c r="J2052" s="21">
        <f>IF(C2052="","",IFERROR(INDEX(Clientes!$B:$B,MATCH(C2052,Clientes!$A:$A,0)),"Cód. não cadastrado"))</f>
        <v/>
      </c>
      <c r="K2052" s="18">
        <f>IF(B2052="","",YEAR(B2052))</f>
        <v/>
      </c>
      <c r="L2052" s="18">
        <f>IF(B2052="","",MONTH(B2052))</f>
        <v/>
      </c>
      <c r="M2052" s="18">
        <f>IF(OR(B2052="",I2052=""),"",I2052-B2052)</f>
        <v/>
      </c>
      <c r="N2052" s="21">
        <f>IF(B2052="","",IF(I2052="",IF(H2052="","",IF(TODAY()&gt;H2052,"Atrasado (em aberto)","Em aberto")),IF(I2052&lt;=H2052,"No prazo","Fora do prazo")))</f>
        <v/>
      </c>
    </row>
    <row r="2053">
      <c r="B2053" s="22" t="n"/>
      <c r="E2053" s="23" t="n"/>
      <c r="F2053" s="24" t="n"/>
      <c r="H2053" s="22" t="n"/>
      <c r="I2053" s="22" t="n"/>
      <c r="J2053" s="21">
        <f>IF(C2053="","",IFERROR(INDEX(Clientes!$B:$B,MATCH(C2053,Clientes!$A:$A,0)),"Cód. não cadastrado"))</f>
        <v/>
      </c>
      <c r="K2053" s="18">
        <f>IF(B2053="","",YEAR(B2053))</f>
        <v/>
      </c>
      <c r="L2053" s="18">
        <f>IF(B2053="","",MONTH(B2053))</f>
        <v/>
      </c>
      <c r="M2053" s="18">
        <f>IF(OR(B2053="",I2053=""),"",I2053-B2053)</f>
        <v/>
      </c>
      <c r="N2053" s="21">
        <f>IF(B2053="","",IF(I2053="",IF(H2053="","",IF(TODAY()&gt;H2053,"Atrasado (em aberto)","Em aberto")),IF(I2053&lt;=H2053,"No prazo","Fora do prazo")))</f>
        <v/>
      </c>
    </row>
    <row r="2054">
      <c r="B2054" s="22" t="n"/>
      <c r="E2054" s="23" t="n"/>
      <c r="F2054" s="24" t="n"/>
      <c r="H2054" s="22" t="n"/>
      <c r="I2054" s="22" t="n"/>
      <c r="J2054" s="21">
        <f>IF(C2054="","",IFERROR(INDEX(Clientes!$B:$B,MATCH(C2054,Clientes!$A:$A,0)),"Cód. não cadastrado"))</f>
        <v/>
      </c>
      <c r="K2054" s="18">
        <f>IF(B2054="","",YEAR(B2054))</f>
        <v/>
      </c>
      <c r="L2054" s="18">
        <f>IF(B2054="","",MONTH(B2054))</f>
        <v/>
      </c>
      <c r="M2054" s="18">
        <f>IF(OR(B2054="",I2054=""),"",I2054-B2054)</f>
        <v/>
      </c>
      <c r="N2054" s="21">
        <f>IF(B2054="","",IF(I2054="",IF(H2054="","",IF(TODAY()&gt;H2054,"Atrasado (em aberto)","Em aberto")),IF(I2054&lt;=H2054,"No prazo","Fora do prazo")))</f>
        <v/>
      </c>
    </row>
    <row r="2055">
      <c r="B2055" s="22" t="n"/>
      <c r="E2055" s="23" t="n"/>
      <c r="F2055" s="24" t="n"/>
      <c r="H2055" s="22" t="n"/>
      <c r="I2055" s="22" t="n"/>
      <c r="J2055" s="21">
        <f>IF(C2055="","",IFERROR(INDEX(Clientes!$B:$B,MATCH(C2055,Clientes!$A:$A,0)),"Cód. não cadastrado"))</f>
        <v/>
      </c>
      <c r="K2055" s="18">
        <f>IF(B2055="","",YEAR(B2055))</f>
        <v/>
      </c>
      <c r="L2055" s="18">
        <f>IF(B2055="","",MONTH(B2055))</f>
        <v/>
      </c>
      <c r="M2055" s="18">
        <f>IF(OR(B2055="",I2055=""),"",I2055-B2055)</f>
        <v/>
      </c>
      <c r="N2055" s="21">
        <f>IF(B2055="","",IF(I2055="",IF(H2055="","",IF(TODAY()&gt;H2055,"Atrasado (em aberto)","Em aberto")),IF(I2055&lt;=H2055,"No prazo","Fora do prazo")))</f>
        <v/>
      </c>
    </row>
    <row r="2056">
      <c r="B2056" s="22" t="n"/>
      <c r="E2056" s="23" t="n"/>
      <c r="F2056" s="24" t="n"/>
      <c r="H2056" s="22" t="n"/>
      <c r="I2056" s="22" t="n"/>
      <c r="J2056" s="21">
        <f>IF(C2056="","",IFERROR(INDEX(Clientes!$B:$B,MATCH(C2056,Clientes!$A:$A,0)),"Cód. não cadastrado"))</f>
        <v/>
      </c>
      <c r="K2056" s="18">
        <f>IF(B2056="","",YEAR(B2056))</f>
        <v/>
      </c>
      <c r="L2056" s="18">
        <f>IF(B2056="","",MONTH(B2056))</f>
        <v/>
      </c>
      <c r="M2056" s="18">
        <f>IF(OR(B2056="",I2056=""),"",I2056-B2056)</f>
        <v/>
      </c>
      <c r="N2056" s="21">
        <f>IF(B2056="","",IF(I2056="",IF(H2056="","",IF(TODAY()&gt;H2056,"Atrasado (em aberto)","Em aberto")),IF(I2056&lt;=H2056,"No prazo","Fora do prazo")))</f>
        <v/>
      </c>
    </row>
    <row r="2057">
      <c r="B2057" s="22" t="n"/>
      <c r="E2057" s="23" t="n"/>
      <c r="F2057" s="24" t="n"/>
      <c r="H2057" s="22" t="n"/>
      <c r="I2057" s="22" t="n"/>
      <c r="J2057" s="21">
        <f>IF(C2057="","",IFERROR(INDEX(Clientes!$B:$B,MATCH(C2057,Clientes!$A:$A,0)),"Cód. não cadastrado"))</f>
        <v/>
      </c>
      <c r="K2057" s="18">
        <f>IF(B2057="","",YEAR(B2057))</f>
        <v/>
      </c>
      <c r="L2057" s="18">
        <f>IF(B2057="","",MONTH(B2057))</f>
        <v/>
      </c>
      <c r="M2057" s="18">
        <f>IF(OR(B2057="",I2057=""),"",I2057-B2057)</f>
        <v/>
      </c>
      <c r="N2057" s="21">
        <f>IF(B2057="","",IF(I2057="",IF(H2057="","",IF(TODAY()&gt;H2057,"Atrasado (em aberto)","Em aberto")),IF(I2057&lt;=H2057,"No prazo","Fora do prazo")))</f>
        <v/>
      </c>
    </row>
    <row r="2058">
      <c r="B2058" s="22" t="n"/>
      <c r="E2058" s="23" t="n"/>
      <c r="F2058" s="24" t="n"/>
      <c r="H2058" s="22" t="n"/>
      <c r="I2058" s="22" t="n"/>
      <c r="J2058" s="21">
        <f>IF(C2058="","",IFERROR(INDEX(Clientes!$B:$B,MATCH(C2058,Clientes!$A:$A,0)),"Cód. não cadastrado"))</f>
        <v/>
      </c>
      <c r="K2058" s="18">
        <f>IF(B2058="","",YEAR(B2058))</f>
        <v/>
      </c>
      <c r="L2058" s="18">
        <f>IF(B2058="","",MONTH(B2058))</f>
        <v/>
      </c>
      <c r="M2058" s="18">
        <f>IF(OR(B2058="",I2058=""),"",I2058-B2058)</f>
        <v/>
      </c>
      <c r="N2058" s="21">
        <f>IF(B2058="","",IF(I2058="",IF(H2058="","",IF(TODAY()&gt;H2058,"Atrasado (em aberto)","Em aberto")),IF(I2058&lt;=H2058,"No prazo","Fora do prazo")))</f>
        <v/>
      </c>
    </row>
    <row r="2059">
      <c r="B2059" s="22" t="n"/>
      <c r="E2059" s="23" t="n"/>
      <c r="F2059" s="24" t="n"/>
      <c r="H2059" s="22" t="n"/>
      <c r="I2059" s="22" t="n"/>
      <c r="J2059" s="21">
        <f>IF(C2059="","",IFERROR(INDEX(Clientes!$B:$B,MATCH(C2059,Clientes!$A:$A,0)),"Cód. não cadastrado"))</f>
        <v/>
      </c>
      <c r="K2059" s="18">
        <f>IF(B2059="","",YEAR(B2059))</f>
        <v/>
      </c>
      <c r="L2059" s="18">
        <f>IF(B2059="","",MONTH(B2059))</f>
        <v/>
      </c>
      <c r="M2059" s="18">
        <f>IF(OR(B2059="",I2059=""),"",I2059-B2059)</f>
        <v/>
      </c>
      <c r="N2059" s="21">
        <f>IF(B2059="","",IF(I2059="",IF(H2059="","",IF(TODAY()&gt;H2059,"Atrasado (em aberto)","Em aberto")),IF(I2059&lt;=H2059,"No prazo","Fora do prazo")))</f>
        <v/>
      </c>
    </row>
    <row r="2060">
      <c r="B2060" s="22" t="n"/>
      <c r="E2060" s="23" t="n"/>
      <c r="F2060" s="24" t="n"/>
      <c r="H2060" s="22" t="n"/>
      <c r="I2060" s="22" t="n"/>
      <c r="J2060" s="21">
        <f>IF(C2060="","",IFERROR(INDEX(Clientes!$B:$B,MATCH(C2060,Clientes!$A:$A,0)),"Cód. não cadastrado"))</f>
        <v/>
      </c>
      <c r="K2060" s="18">
        <f>IF(B2060="","",YEAR(B2060))</f>
        <v/>
      </c>
      <c r="L2060" s="18">
        <f>IF(B2060="","",MONTH(B2060))</f>
        <v/>
      </c>
      <c r="M2060" s="18">
        <f>IF(OR(B2060="",I2060=""),"",I2060-B2060)</f>
        <v/>
      </c>
      <c r="N2060" s="21">
        <f>IF(B2060="","",IF(I2060="",IF(H2060="","",IF(TODAY()&gt;H2060,"Atrasado (em aberto)","Em aberto")),IF(I2060&lt;=H2060,"No prazo","Fora do prazo")))</f>
        <v/>
      </c>
    </row>
    <row r="2061">
      <c r="B2061" s="22" t="n"/>
      <c r="E2061" s="23" t="n"/>
      <c r="F2061" s="24" t="n"/>
      <c r="H2061" s="22" t="n"/>
      <c r="I2061" s="22" t="n"/>
      <c r="J2061" s="21">
        <f>IF(C2061="","",IFERROR(INDEX(Clientes!$B:$B,MATCH(C2061,Clientes!$A:$A,0)),"Cód. não cadastrado"))</f>
        <v/>
      </c>
      <c r="K2061" s="18">
        <f>IF(B2061="","",YEAR(B2061))</f>
        <v/>
      </c>
      <c r="L2061" s="18">
        <f>IF(B2061="","",MONTH(B2061))</f>
        <v/>
      </c>
      <c r="M2061" s="18">
        <f>IF(OR(B2061="",I2061=""),"",I2061-B2061)</f>
        <v/>
      </c>
      <c r="N2061" s="21">
        <f>IF(B2061="","",IF(I2061="",IF(H2061="","",IF(TODAY()&gt;H2061,"Atrasado (em aberto)","Em aberto")),IF(I2061&lt;=H2061,"No prazo","Fora do prazo")))</f>
        <v/>
      </c>
    </row>
    <row r="2062">
      <c r="B2062" s="22" t="n"/>
      <c r="E2062" s="23" t="n"/>
      <c r="F2062" s="24" t="n"/>
      <c r="H2062" s="22" t="n"/>
      <c r="I2062" s="22" t="n"/>
      <c r="J2062" s="21">
        <f>IF(C2062="","",IFERROR(INDEX(Clientes!$B:$B,MATCH(C2062,Clientes!$A:$A,0)),"Cód. não cadastrado"))</f>
        <v/>
      </c>
      <c r="K2062" s="18">
        <f>IF(B2062="","",YEAR(B2062))</f>
        <v/>
      </c>
      <c r="L2062" s="18">
        <f>IF(B2062="","",MONTH(B2062))</f>
        <v/>
      </c>
      <c r="M2062" s="18">
        <f>IF(OR(B2062="",I2062=""),"",I2062-B2062)</f>
        <v/>
      </c>
      <c r="N2062" s="21">
        <f>IF(B2062="","",IF(I2062="",IF(H2062="","",IF(TODAY()&gt;H2062,"Atrasado (em aberto)","Em aberto")),IF(I2062&lt;=H2062,"No prazo","Fora do prazo")))</f>
        <v/>
      </c>
    </row>
    <row r="2063">
      <c r="B2063" s="22" t="n"/>
      <c r="E2063" s="23" t="n"/>
      <c r="F2063" s="24" t="n"/>
      <c r="H2063" s="22" t="n"/>
      <c r="I2063" s="22" t="n"/>
      <c r="J2063" s="21">
        <f>IF(C2063="","",IFERROR(INDEX(Clientes!$B:$B,MATCH(C2063,Clientes!$A:$A,0)),"Cód. não cadastrado"))</f>
        <v/>
      </c>
      <c r="K2063" s="18">
        <f>IF(B2063="","",YEAR(B2063))</f>
        <v/>
      </c>
      <c r="L2063" s="18">
        <f>IF(B2063="","",MONTH(B2063))</f>
        <v/>
      </c>
      <c r="M2063" s="18">
        <f>IF(OR(B2063="",I2063=""),"",I2063-B2063)</f>
        <v/>
      </c>
      <c r="N2063" s="21">
        <f>IF(B2063="","",IF(I2063="",IF(H2063="","",IF(TODAY()&gt;H2063,"Atrasado (em aberto)","Em aberto")),IF(I2063&lt;=H2063,"No prazo","Fora do prazo")))</f>
        <v/>
      </c>
    </row>
    <row r="2064">
      <c r="B2064" s="22" t="n"/>
      <c r="E2064" s="23" t="n"/>
      <c r="F2064" s="24" t="n"/>
      <c r="H2064" s="22" t="n"/>
      <c r="I2064" s="22" t="n"/>
      <c r="J2064" s="21">
        <f>IF(C2064="","",IFERROR(INDEX(Clientes!$B:$B,MATCH(C2064,Clientes!$A:$A,0)),"Cód. não cadastrado"))</f>
        <v/>
      </c>
      <c r="K2064" s="18">
        <f>IF(B2064="","",YEAR(B2064))</f>
        <v/>
      </c>
      <c r="L2064" s="18">
        <f>IF(B2064="","",MONTH(B2064))</f>
        <v/>
      </c>
      <c r="M2064" s="18">
        <f>IF(OR(B2064="",I2064=""),"",I2064-B2064)</f>
        <v/>
      </c>
      <c r="N2064" s="21">
        <f>IF(B2064="","",IF(I2064="",IF(H2064="","",IF(TODAY()&gt;H2064,"Atrasado (em aberto)","Em aberto")),IF(I2064&lt;=H2064,"No prazo","Fora do prazo")))</f>
        <v/>
      </c>
    </row>
    <row r="2065">
      <c r="B2065" s="22" t="n"/>
      <c r="E2065" s="23" t="n"/>
      <c r="F2065" s="24" t="n"/>
      <c r="H2065" s="22" t="n"/>
      <c r="I2065" s="22" t="n"/>
      <c r="J2065" s="21">
        <f>IF(C2065="","",IFERROR(INDEX(Clientes!$B:$B,MATCH(C2065,Clientes!$A:$A,0)),"Cód. não cadastrado"))</f>
        <v/>
      </c>
      <c r="K2065" s="18">
        <f>IF(B2065="","",YEAR(B2065))</f>
        <v/>
      </c>
      <c r="L2065" s="18">
        <f>IF(B2065="","",MONTH(B2065))</f>
        <v/>
      </c>
      <c r="M2065" s="18">
        <f>IF(OR(B2065="",I2065=""),"",I2065-B2065)</f>
        <v/>
      </c>
      <c r="N2065" s="21">
        <f>IF(B2065="","",IF(I2065="",IF(H2065="","",IF(TODAY()&gt;H2065,"Atrasado (em aberto)","Em aberto")),IF(I2065&lt;=H2065,"No prazo","Fora do prazo")))</f>
        <v/>
      </c>
    </row>
    <row r="2066">
      <c r="B2066" s="22" t="n"/>
      <c r="E2066" s="23" t="n"/>
      <c r="F2066" s="24" t="n"/>
      <c r="H2066" s="22" t="n"/>
      <c r="I2066" s="22" t="n"/>
      <c r="J2066" s="21">
        <f>IF(C2066="","",IFERROR(INDEX(Clientes!$B:$B,MATCH(C2066,Clientes!$A:$A,0)),"Cód. não cadastrado"))</f>
        <v/>
      </c>
      <c r="K2066" s="18">
        <f>IF(B2066="","",YEAR(B2066))</f>
        <v/>
      </c>
      <c r="L2066" s="18">
        <f>IF(B2066="","",MONTH(B2066))</f>
        <v/>
      </c>
      <c r="M2066" s="18">
        <f>IF(OR(B2066="",I2066=""),"",I2066-B2066)</f>
        <v/>
      </c>
      <c r="N2066" s="21">
        <f>IF(B2066="","",IF(I2066="",IF(H2066="","",IF(TODAY()&gt;H2066,"Atrasado (em aberto)","Em aberto")),IF(I2066&lt;=H2066,"No prazo","Fora do prazo")))</f>
        <v/>
      </c>
    </row>
    <row r="2067">
      <c r="B2067" s="22" t="n"/>
      <c r="E2067" s="23" t="n"/>
      <c r="F2067" s="24" t="n"/>
      <c r="H2067" s="22" t="n"/>
      <c r="I2067" s="22" t="n"/>
      <c r="J2067" s="21">
        <f>IF(C2067="","",IFERROR(INDEX(Clientes!$B:$B,MATCH(C2067,Clientes!$A:$A,0)),"Cód. não cadastrado"))</f>
        <v/>
      </c>
      <c r="K2067" s="18">
        <f>IF(B2067="","",YEAR(B2067))</f>
        <v/>
      </c>
      <c r="L2067" s="18">
        <f>IF(B2067="","",MONTH(B2067))</f>
        <v/>
      </c>
      <c r="M2067" s="18">
        <f>IF(OR(B2067="",I2067=""),"",I2067-B2067)</f>
        <v/>
      </c>
      <c r="N2067" s="21">
        <f>IF(B2067="","",IF(I2067="",IF(H2067="","",IF(TODAY()&gt;H2067,"Atrasado (em aberto)","Em aberto")),IF(I2067&lt;=H2067,"No prazo","Fora do prazo")))</f>
        <v/>
      </c>
    </row>
    <row r="2068">
      <c r="B2068" s="22" t="n"/>
      <c r="E2068" s="23" t="n"/>
      <c r="F2068" s="24" t="n"/>
      <c r="H2068" s="22" t="n"/>
      <c r="I2068" s="22" t="n"/>
      <c r="J2068" s="21">
        <f>IF(C2068="","",IFERROR(INDEX(Clientes!$B:$B,MATCH(C2068,Clientes!$A:$A,0)),"Cód. não cadastrado"))</f>
        <v/>
      </c>
      <c r="K2068" s="18">
        <f>IF(B2068="","",YEAR(B2068))</f>
        <v/>
      </c>
      <c r="L2068" s="18">
        <f>IF(B2068="","",MONTH(B2068))</f>
        <v/>
      </c>
      <c r="M2068" s="18">
        <f>IF(OR(B2068="",I2068=""),"",I2068-B2068)</f>
        <v/>
      </c>
      <c r="N2068" s="21">
        <f>IF(B2068="","",IF(I2068="",IF(H2068="","",IF(TODAY()&gt;H2068,"Atrasado (em aberto)","Em aberto")),IF(I2068&lt;=H2068,"No prazo","Fora do prazo")))</f>
        <v/>
      </c>
    </row>
    <row r="2069">
      <c r="B2069" s="22" t="n"/>
      <c r="E2069" s="23" t="n"/>
      <c r="F2069" s="24" t="n"/>
      <c r="H2069" s="22" t="n"/>
      <c r="I2069" s="22" t="n"/>
      <c r="J2069" s="21">
        <f>IF(C2069="","",IFERROR(INDEX(Clientes!$B:$B,MATCH(C2069,Clientes!$A:$A,0)),"Cód. não cadastrado"))</f>
        <v/>
      </c>
      <c r="K2069" s="18">
        <f>IF(B2069="","",YEAR(B2069))</f>
        <v/>
      </c>
      <c r="L2069" s="18">
        <f>IF(B2069="","",MONTH(B2069))</f>
        <v/>
      </c>
      <c r="M2069" s="18">
        <f>IF(OR(B2069="",I2069=""),"",I2069-B2069)</f>
        <v/>
      </c>
      <c r="N2069" s="21">
        <f>IF(B2069="","",IF(I2069="",IF(H2069="","",IF(TODAY()&gt;H2069,"Atrasado (em aberto)","Em aberto")),IF(I2069&lt;=H2069,"No prazo","Fora do prazo")))</f>
        <v/>
      </c>
    </row>
    <row r="2070">
      <c r="B2070" s="22" t="n"/>
      <c r="E2070" s="23" t="n"/>
      <c r="F2070" s="24" t="n"/>
      <c r="H2070" s="22" t="n"/>
      <c r="I2070" s="22" t="n"/>
      <c r="J2070" s="21">
        <f>IF(C2070="","",IFERROR(INDEX(Clientes!$B:$B,MATCH(C2070,Clientes!$A:$A,0)),"Cód. não cadastrado"))</f>
        <v/>
      </c>
      <c r="K2070" s="18">
        <f>IF(B2070="","",YEAR(B2070))</f>
        <v/>
      </c>
      <c r="L2070" s="18">
        <f>IF(B2070="","",MONTH(B2070))</f>
        <v/>
      </c>
      <c r="M2070" s="18">
        <f>IF(OR(B2070="",I2070=""),"",I2070-B2070)</f>
        <v/>
      </c>
      <c r="N2070" s="21">
        <f>IF(B2070="","",IF(I2070="",IF(H2070="","",IF(TODAY()&gt;H2070,"Atrasado (em aberto)","Em aberto")),IF(I2070&lt;=H2070,"No prazo","Fora do prazo")))</f>
        <v/>
      </c>
    </row>
    <row r="2071">
      <c r="B2071" s="22" t="n"/>
      <c r="E2071" s="23" t="n"/>
      <c r="F2071" s="24" t="n"/>
      <c r="H2071" s="22" t="n"/>
      <c r="I2071" s="22" t="n"/>
      <c r="J2071" s="21">
        <f>IF(C2071="","",IFERROR(INDEX(Clientes!$B:$B,MATCH(C2071,Clientes!$A:$A,0)),"Cód. não cadastrado"))</f>
        <v/>
      </c>
      <c r="K2071" s="18">
        <f>IF(B2071="","",YEAR(B2071))</f>
        <v/>
      </c>
      <c r="L2071" s="18">
        <f>IF(B2071="","",MONTH(B2071))</f>
        <v/>
      </c>
      <c r="M2071" s="18">
        <f>IF(OR(B2071="",I2071=""),"",I2071-B2071)</f>
        <v/>
      </c>
      <c r="N2071" s="21">
        <f>IF(B2071="","",IF(I2071="",IF(H2071="","",IF(TODAY()&gt;H2071,"Atrasado (em aberto)","Em aberto")),IF(I2071&lt;=H2071,"No prazo","Fora do prazo")))</f>
        <v/>
      </c>
    </row>
    <row r="2072">
      <c r="B2072" s="22" t="n"/>
      <c r="E2072" s="23" t="n"/>
      <c r="F2072" s="24" t="n"/>
      <c r="H2072" s="22" t="n"/>
      <c r="I2072" s="22" t="n"/>
      <c r="J2072" s="21">
        <f>IF(C2072="","",IFERROR(INDEX(Clientes!$B:$B,MATCH(C2072,Clientes!$A:$A,0)),"Cód. não cadastrado"))</f>
        <v/>
      </c>
      <c r="K2072" s="18">
        <f>IF(B2072="","",YEAR(B2072))</f>
        <v/>
      </c>
      <c r="L2072" s="18">
        <f>IF(B2072="","",MONTH(B2072))</f>
        <v/>
      </c>
      <c r="M2072" s="18">
        <f>IF(OR(B2072="",I2072=""),"",I2072-B2072)</f>
        <v/>
      </c>
      <c r="N2072" s="21">
        <f>IF(B2072="","",IF(I2072="",IF(H2072="","",IF(TODAY()&gt;H2072,"Atrasado (em aberto)","Em aberto")),IF(I2072&lt;=H2072,"No prazo","Fora do prazo")))</f>
        <v/>
      </c>
    </row>
    <row r="2073">
      <c r="B2073" s="22" t="n"/>
      <c r="E2073" s="23" t="n"/>
      <c r="F2073" s="24" t="n"/>
      <c r="H2073" s="22" t="n"/>
      <c r="I2073" s="22" t="n"/>
      <c r="J2073" s="21">
        <f>IF(C2073="","",IFERROR(INDEX(Clientes!$B:$B,MATCH(C2073,Clientes!$A:$A,0)),"Cód. não cadastrado"))</f>
        <v/>
      </c>
      <c r="K2073" s="18">
        <f>IF(B2073="","",YEAR(B2073))</f>
        <v/>
      </c>
      <c r="L2073" s="18">
        <f>IF(B2073="","",MONTH(B2073))</f>
        <v/>
      </c>
      <c r="M2073" s="18">
        <f>IF(OR(B2073="",I2073=""),"",I2073-B2073)</f>
        <v/>
      </c>
      <c r="N2073" s="21">
        <f>IF(B2073="","",IF(I2073="",IF(H2073="","",IF(TODAY()&gt;H2073,"Atrasado (em aberto)","Em aberto")),IF(I2073&lt;=H2073,"No prazo","Fora do prazo")))</f>
        <v/>
      </c>
    </row>
    <row r="2074">
      <c r="B2074" s="22" t="n"/>
      <c r="E2074" s="23" t="n"/>
      <c r="F2074" s="24" t="n"/>
      <c r="H2074" s="22" t="n"/>
      <c r="I2074" s="22" t="n"/>
      <c r="J2074" s="21">
        <f>IF(C2074="","",IFERROR(INDEX(Clientes!$B:$B,MATCH(C2074,Clientes!$A:$A,0)),"Cód. não cadastrado"))</f>
        <v/>
      </c>
      <c r="K2074" s="18">
        <f>IF(B2074="","",YEAR(B2074))</f>
        <v/>
      </c>
      <c r="L2074" s="18">
        <f>IF(B2074="","",MONTH(B2074))</f>
        <v/>
      </c>
      <c r="M2074" s="18">
        <f>IF(OR(B2074="",I2074=""),"",I2074-B2074)</f>
        <v/>
      </c>
      <c r="N2074" s="21">
        <f>IF(B2074="","",IF(I2074="",IF(H2074="","",IF(TODAY()&gt;H2074,"Atrasado (em aberto)","Em aberto")),IF(I2074&lt;=H2074,"No prazo","Fora do prazo")))</f>
        <v/>
      </c>
    </row>
    <row r="2075">
      <c r="B2075" s="22" t="n"/>
      <c r="E2075" s="23" t="n"/>
      <c r="F2075" s="24" t="n"/>
      <c r="H2075" s="22" t="n"/>
      <c r="I2075" s="22" t="n"/>
      <c r="J2075" s="21">
        <f>IF(C2075="","",IFERROR(INDEX(Clientes!$B:$B,MATCH(C2075,Clientes!$A:$A,0)),"Cód. não cadastrado"))</f>
        <v/>
      </c>
      <c r="K2075" s="18">
        <f>IF(B2075="","",YEAR(B2075))</f>
        <v/>
      </c>
      <c r="L2075" s="18">
        <f>IF(B2075="","",MONTH(B2075))</f>
        <v/>
      </c>
      <c r="M2075" s="18">
        <f>IF(OR(B2075="",I2075=""),"",I2075-B2075)</f>
        <v/>
      </c>
      <c r="N2075" s="21">
        <f>IF(B2075="","",IF(I2075="",IF(H2075="","",IF(TODAY()&gt;H2075,"Atrasado (em aberto)","Em aberto")),IF(I2075&lt;=H2075,"No prazo","Fora do prazo")))</f>
        <v/>
      </c>
    </row>
    <row r="2076">
      <c r="B2076" s="22" t="n"/>
      <c r="E2076" s="23" t="n"/>
      <c r="F2076" s="24" t="n"/>
      <c r="H2076" s="22" t="n"/>
      <c r="I2076" s="22" t="n"/>
      <c r="J2076" s="21">
        <f>IF(C2076="","",IFERROR(INDEX(Clientes!$B:$B,MATCH(C2076,Clientes!$A:$A,0)),"Cód. não cadastrado"))</f>
        <v/>
      </c>
      <c r="K2076" s="18">
        <f>IF(B2076="","",YEAR(B2076))</f>
        <v/>
      </c>
      <c r="L2076" s="18">
        <f>IF(B2076="","",MONTH(B2076))</f>
        <v/>
      </c>
      <c r="M2076" s="18">
        <f>IF(OR(B2076="",I2076=""),"",I2076-B2076)</f>
        <v/>
      </c>
      <c r="N2076" s="21">
        <f>IF(B2076="","",IF(I2076="",IF(H2076="","",IF(TODAY()&gt;H2076,"Atrasado (em aberto)","Em aberto")),IF(I2076&lt;=H2076,"No prazo","Fora do prazo")))</f>
        <v/>
      </c>
    </row>
    <row r="2077">
      <c r="B2077" s="22" t="n"/>
      <c r="E2077" s="23" t="n"/>
      <c r="F2077" s="24" t="n"/>
      <c r="H2077" s="22" t="n"/>
      <c r="I2077" s="22" t="n"/>
      <c r="J2077" s="21">
        <f>IF(C2077="","",IFERROR(INDEX(Clientes!$B:$B,MATCH(C2077,Clientes!$A:$A,0)),"Cód. não cadastrado"))</f>
        <v/>
      </c>
      <c r="K2077" s="18">
        <f>IF(B2077="","",YEAR(B2077))</f>
        <v/>
      </c>
      <c r="L2077" s="18">
        <f>IF(B2077="","",MONTH(B2077))</f>
        <v/>
      </c>
      <c r="M2077" s="18">
        <f>IF(OR(B2077="",I2077=""),"",I2077-B2077)</f>
        <v/>
      </c>
      <c r="N2077" s="21">
        <f>IF(B2077="","",IF(I2077="",IF(H2077="","",IF(TODAY()&gt;H2077,"Atrasado (em aberto)","Em aberto")),IF(I2077&lt;=H2077,"No prazo","Fora do prazo")))</f>
        <v/>
      </c>
    </row>
    <row r="2078">
      <c r="B2078" s="22" t="n"/>
      <c r="E2078" s="23" t="n"/>
      <c r="F2078" s="24" t="n"/>
      <c r="H2078" s="22" t="n"/>
      <c r="I2078" s="22" t="n"/>
      <c r="J2078" s="21">
        <f>IF(C2078="","",IFERROR(INDEX(Clientes!$B:$B,MATCH(C2078,Clientes!$A:$A,0)),"Cód. não cadastrado"))</f>
        <v/>
      </c>
      <c r="K2078" s="18">
        <f>IF(B2078="","",YEAR(B2078))</f>
        <v/>
      </c>
      <c r="L2078" s="18">
        <f>IF(B2078="","",MONTH(B2078))</f>
        <v/>
      </c>
      <c r="M2078" s="18">
        <f>IF(OR(B2078="",I2078=""),"",I2078-B2078)</f>
        <v/>
      </c>
      <c r="N2078" s="21">
        <f>IF(B2078="","",IF(I2078="",IF(H2078="","",IF(TODAY()&gt;H2078,"Atrasado (em aberto)","Em aberto")),IF(I2078&lt;=H2078,"No prazo","Fora do prazo")))</f>
        <v/>
      </c>
    </row>
    <row r="2079">
      <c r="B2079" s="22" t="n"/>
      <c r="E2079" s="23" t="n"/>
      <c r="F2079" s="24" t="n"/>
      <c r="H2079" s="22" t="n"/>
      <c r="I2079" s="22" t="n"/>
      <c r="J2079" s="21">
        <f>IF(C2079="","",IFERROR(INDEX(Clientes!$B:$B,MATCH(C2079,Clientes!$A:$A,0)),"Cód. não cadastrado"))</f>
        <v/>
      </c>
      <c r="K2079" s="18">
        <f>IF(B2079="","",YEAR(B2079))</f>
        <v/>
      </c>
      <c r="L2079" s="18">
        <f>IF(B2079="","",MONTH(B2079))</f>
        <v/>
      </c>
      <c r="M2079" s="18">
        <f>IF(OR(B2079="",I2079=""),"",I2079-B2079)</f>
        <v/>
      </c>
      <c r="N2079" s="21">
        <f>IF(B2079="","",IF(I2079="",IF(H2079="","",IF(TODAY()&gt;H2079,"Atrasado (em aberto)","Em aberto")),IF(I2079&lt;=H2079,"No prazo","Fora do prazo")))</f>
        <v/>
      </c>
    </row>
    <row r="2080">
      <c r="B2080" s="22" t="n"/>
      <c r="E2080" s="23" t="n"/>
      <c r="F2080" s="24" t="n"/>
      <c r="H2080" s="22" t="n"/>
      <c r="I2080" s="22" t="n"/>
      <c r="J2080" s="21">
        <f>IF(C2080="","",IFERROR(INDEX(Clientes!$B:$B,MATCH(C2080,Clientes!$A:$A,0)),"Cód. não cadastrado"))</f>
        <v/>
      </c>
      <c r="K2080" s="18">
        <f>IF(B2080="","",YEAR(B2080))</f>
        <v/>
      </c>
      <c r="L2080" s="18">
        <f>IF(B2080="","",MONTH(B2080))</f>
        <v/>
      </c>
      <c r="M2080" s="18">
        <f>IF(OR(B2080="",I2080=""),"",I2080-B2080)</f>
        <v/>
      </c>
      <c r="N2080" s="21">
        <f>IF(B2080="","",IF(I2080="",IF(H2080="","",IF(TODAY()&gt;H2080,"Atrasado (em aberto)","Em aberto")),IF(I2080&lt;=H2080,"No prazo","Fora do prazo")))</f>
        <v/>
      </c>
    </row>
    <row r="2081">
      <c r="B2081" s="22" t="n"/>
      <c r="E2081" s="23" t="n"/>
      <c r="F2081" s="24" t="n"/>
      <c r="H2081" s="22" t="n"/>
      <c r="I2081" s="22" t="n"/>
      <c r="J2081" s="21">
        <f>IF(C2081="","",IFERROR(INDEX(Clientes!$B:$B,MATCH(C2081,Clientes!$A:$A,0)),"Cód. não cadastrado"))</f>
        <v/>
      </c>
      <c r="K2081" s="18">
        <f>IF(B2081="","",YEAR(B2081))</f>
        <v/>
      </c>
      <c r="L2081" s="18">
        <f>IF(B2081="","",MONTH(B2081))</f>
        <v/>
      </c>
      <c r="M2081" s="18">
        <f>IF(OR(B2081="",I2081=""),"",I2081-B2081)</f>
        <v/>
      </c>
      <c r="N2081" s="21">
        <f>IF(B2081="","",IF(I2081="",IF(H2081="","",IF(TODAY()&gt;H2081,"Atrasado (em aberto)","Em aberto")),IF(I2081&lt;=H2081,"No prazo","Fora do prazo")))</f>
        <v/>
      </c>
    </row>
    <row r="2082">
      <c r="B2082" s="22" t="n"/>
      <c r="E2082" s="23" t="n"/>
      <c r="F2082" s="24" t="n"/>
      <c r="H2082" s="22" t="n"/>
      <c r="I2082" s="22" t="n"/>
      <c r="J2082" s="21">
        <f>IF(C2082="","",IFERROR(INDEX(Clientes!$B:$B,MATCH(C2082,Clientes!$A:$A,0)),"Cód. não cadastrado"))</f>
        <v/>
      </c>
      <c r="K2082" s="18">
        <f>IF(B2082="","",YEAR(B2082))</f>
        <v/>
      </c>
      <c r="L2082" s="18">
        <f>IF(B2082="","",MONTH(B2082))</f>
        <v/>
      </c>
      <c r="M2082" s="18">
        <f>IF(OR(B2082="",I2082=""),"",I2082-B2082)</f>
        <v/>
      </c>
      <c r="N2082" s="21">
        <f>IF(B2082="","",IF(I2082="",IF(H2082="","",IF(TODAY()&gt;H2082,"Atrasado (em aberto)","Em aberto")),IF(I2082&lt;=H2082,"No prazo","Fora do prazo")))</f>
        <v/>
      </c>
    </row>
    <row r="2083">
      <c r="B2083" s="22" t="n"/>
      <c r="E2083" s="23" t="n"/>
      <c r="F2083" s="24" t="n"/>
      <c r="H2083" s="22" t="n"/>
      <c r="I2083" s="22" t="n"/>
      <c r="J2083" s="21">
        <f>IF(C2083="","",IFERROR(INDEX(Clientes!$B:$B,MATCH(C2083,Clientes!$A:$A,0)),"Cód. não cadastrado"))</f>
        <v/>
      </c>
      <c r="K2083" s="18">
        <f>IF(B2083="","",YEAR(B2083))</f>
        <v/>
      </c>
      <c r="L2083" s="18">
        <f>IF(B2083="","",MONTH(B2083))</f>
        <v/>
      </c>
      <c r="M2083" s="18">
        <f>IF(OR(B2083="",I2083=""),"",I2083-B2083)</f>
        <v/>
      </c>
      <c r="N2083" s="21">
        <f>IF(B2083="","",IF(I2083="",IF(H2083="","",IF(TODAY()&gt;H2083,"Atrasado (em aberto)","Em aberto")),IF(I2083&lt;=H2083,"No prazo","Fora do prazo")))</f>
        <v/>
      </c>
    </row>
    <row r="2084">
      <c r="B2084" s="22" t="n"/>
      <c r="E2084" s="23" t="n"/>
      <c r="F2084" s="24" t="n"/>
      <c r="H2084" s="22" t="n"/>
      <c r="I2084" s="22" t="n"/>
      <c r="J2084" s="21">
        <f>IF(C2084="","",IFERROR(INDEX(Clientes!$B:$B,MATCH(C2084,Clientes!$A:$A,0)),"Cód. não cadastrado"))</f>
        <v/>
      </c>
      <c r="K2084" s="18">
        <f>IF(B2084="","",YEAR(B2084))</f>
        <v/>
      </c>
      <c r="L2084" s="18">
        <f>IF(B2084="","",MONTH(B2084))</f>
        <v/>
      </c>
      <c r="M2084" s="18">
        <f>IF(OR(B2084="",I2084=""),"",I2084-B2084)</f>
        <v/>
      </c>
      <c r="N2084" s="21">
        <f>IF(B2084="","",IF(I2084="",IF(H2084="","",IF(TODAY()&gt;H2084,"Atrasado (em aberto)","Em aberto")),IF(I2084&lt;=H2084,"No prazo","Fora do prazo")))</f>
        <v/>
      </c>
    </row>
    <row r="2085">
      <c r="B2085" s="22" t="n"/>
      <c r="E2085" s="23" t="n"/>
      <c r="F2085" s="24" t="n"/>
      <c r="H2085" s="22" t="n"/>
      <c r="I2085" s="22" t="n"/>
      <c r="J2085" s="21">
        <f>IF(C2085="","",IFERROR(INDEX(Clientes!$B:$B,MATCH(C2085,Clientes!$A:$A,0)),"Cód. não cadastrado"))</f>
        <v/>
      </c>
      <c r="K2085" s="18">
        <f>IF(B2085="","",YEAR(B2085))</f>
        <v/>
      </c>
      <c r="L2085" s="18">
        <f>IF(B2085="","",MONTH(B2085))</f>
        <v/>
      </c>
      <c r="M2085" s="18">
        <f>IF(OR(B2085="",I2085=""),"",I2085-B2085)</f>
        <v/>
      </c>
      <c r="N2085" s="21">
        <f>IF(B2085="","",IF(I2085="",IF(H2085="","",IF(TODAY()&gt;H2085,"Atrasado (em aberto)","Em aberto")),IF(I2085&lt;=H2085,"No prazo","Fora do prazo")))</f>
        <v/>
      </c>
    </row>
    <row r="2086">
      <c r="B2086" s="22" t="n"/>
      <c r="E2086" s="23" t="n"/>
      <c r="F2086" s="24" t="n"/>
      <c r="H2086" s="22" t="n"/>
      <c r="I2086" s="22" t="n"/>
      <c r="J2086" s="21">
        <f>IF(C2086="","",IFERROR(INDEX(Clientes!$B:$B,MATCH(C2086,Clientes!$A:$A,0)),"Cód. não cadastrado"))</f>
        <v/>
      </c>
      <c r="K2086" s="18">
        <f>IF(B2086="","",YEAR(B2086))</f>
        <v/>
      </c>
      <c r="L2086" s="18">
        <f>IF(B2086="","",MONTH(B2086))</f>
        <v/>
      </c>
      <c r="M2086" s="18">
        <f>IF(OR(B2086="",I2086=""),"",I2086-B2086)</f>
        <v/>
      </c>
      <c r="N2086" s="21">
        <f>IF(B2086="","",IF(I2086="",IF(H2086="","",IF(TODAY()&gt;H2086,"Atrasado (em aberto)","Em aberto")),IF(I2086&lt;=H2086,"No prazo","Fora do prazo")))</f>
        <v/>
      </c>
    </row>
    <row r="2087">
      <c r="B2087" s="22" t="n"/>
      <c r="E2087" s="23" t="n"/>
      <c r="F2087" s="24" t="n"/>
      <c r="H2087" s="22" t="n"/>
      <c r="I2087" s="22" t="n"/>
      <c r="J2087" s="21">
        <f>IF(C2087="","",IFERROR(INDEX(Clientes!$B:$B,MATCH(C2087,Clientes!$A:$A,0)),"Cód. não cadastrado"))</f>
        <v/>
      </c>
      <c r="K2087" s="18">
        <f>IF(B2087="","",YEAR(B2087))</f>
        <v/>
      </c>
      <c r="L2087" s="18">
        <f>IF(B2087="","",MONTH(B2087))</f>
        <v/>
      </c>
      <c r="M2087" s="18">
        <f>IF(OR(B2087="",I2087=""),"",I2087-B2087)</f>
        <v/>
      </c>
      <c r="N2087" s="21">
        <f>IF(B2087="","",IF(I2087="",IF(H2087="","",IF(TODAY()&gt;H2087,"Atrasado (em aberto)","Em aberto")),IF(I2087&lt;=H2087,"No prazo","Fora do prazo")))</f>
        <v/>
      </c>
    </row>
    <row r="2088">
      <c r="B2088" s="22" t="n"/>
      <c r="E2088" s="23" t="n"/>
      <c r="F2088" s="24" t="n"/>
      <c r="H2088" s="22" t="n"/>
      <c r="I2088" s="22" t="n"/>
      <c r="J2088" s="21">
        <f>IF(C2088="","",IFERROR(INDEX(Clientes!$B:$B,MATCH(C2088,Clientes!$A:$A,0)),"Cód. não cadastrado"))</f>
        <v/>
      </c>
      <c r="K2088" s="18">
        <f>IF(B2088="","",YEAR(B2088))</f>
        <v/>
      </c>
      <c r="L2088" s="18">
        <f>IF(B2088="","",MONTH(B2088))</f>
        <v/>
      </c>
      <c r="M2088" s="18">
        <f>IF(OR(B2088="",I2088=""),"",I2088-B2088)</f>
        <v/>
      </c>
      <c r="N2088" s="21">
        <f>IF(B2088="","",IF(I2088="",IF(H2088="","",IF(TODAY()&gt;H2088,"Atrasado (em aberto)","Em aberto")),IF(I2088&lt;=H2088,"No prazo","Fora do prazo")))</f>
        <v/>
      </c>
    </row>
    <row r="2089">
      <c r="B2089" s="22" t="n"/>
      <c r="E2089" s="23" t="n"/>
      <c r="F2089" s="24" t="n"/>
      <c r="H2089" s="22" t="n"/>
      <c r="I2089" s="22" t="n"/>
      <c r="J2089" s="21">
        <f>IF(C2089="","",IFERROR(INDEX(Clientes!$B:$B,MATCH(C2089,Clientes!$A:$A,0)),"Cód. não cadastrado"))</f>
        <v/>
      </c>
      <c r="K2089" s="18">
        <f>IF(B2089="","",YEAR(B2089))</f>
        <v/>
      </c>
      <c r="L2089" s="18">
        <f>IF(B2089="","",MONTH(B2089))</f>
        <v/>
      </c>
      <c r="M2089" s="18">
        <f>IF(OR(B2089="",I2089=""),"",I2089-B2089)</f>
        <v/>
      </c>
      <c r="N2089" s="21">
        <f>IF(B2089="","",IF(I2089="",IF(H2089="","",IF(TODAY()&gt;H2089,"Atrasado (em aberto)","Em aberto")),IF(I2089&lt;=H2089,"No prazo","Fora do prazo")))</f>
        <v/>
      </c>
    </row>
    <row r="2090">
      <c r="B2090" s="22" t="n"/>
      <c r="E2090" s="23" t="n"/>
      <c r="F2090" s="24" t="n"/>
      <c r="H2090" s="22" t="n"/>
      <c r="I2090" s="22" t="n"/>
      <c r="J2090" s="21">
        <f>IF(C2090="","",IFERROR(INDEX(Clientes!$B:$B,MATCH(C2090,Clientes!$A:$A,0)),"Cód. não cadastrado"))</f>
        <v/>
      </c>
      <c r="K2090" s="18">
        <f>IF(B2090="","",YEAR(B2090))</f>
        <v/>
      </c>
      <c r="L2090" s="18">
        <f>IF(B2090="","",MONTH(B2090))</f>
        <v/>
      </c>
      <c r="M2090" s="18">
        <f>IF(OR(B2090="",I2090=""),"",I2090-B2090)</f>
        <v/>
      </c>
      <c r="N2090" s="21">
        <f>IF(B2090="","",IF(I2090="",IF(H2090="","",IF(TODAY()&gt;H2090,"Atrasado (em aberto)","Em aberto")),IF(I2090&lt;=H2090,"No prazo","Fora do prazo")))</f>
        <v/>
      </c>
    </row>
    <row r="2091">
      <c r="B2091" s="22" t="n"/>
      <c r="E2091" s="23" t="n"/>
      <c r="F2091" s="24" t="n"/>
      <c r="H2091" s="22" t="n"/>
      <c r="I2091" s="22" t="n"/>
      <c r="J2091" s="21">
        <f>IF(C2091="","",IFERROR(INDEX(Clientes!$B:$B,MATCH(C2091,Clientes!$A:$A,0)),"Cód. não cadastrado"))</f>
        <v/>
      </c>
      <c r="K2091" s="18">
        <f>IF(B2091="","",YEAR(B2091))</f>
        <v/>
      </c>
      <c r="L2091" s="18">
        <f>IF(B2091="","",MONTH(B2091))</f>
        <v/>
      </c>
      <c r="M2091" s="18">
        <f>IF(OR(B2091="",I2091=""),"",I2091-B2091)</f>
        <v/>
      </c>
      <c r="N2091" s="21">
        <f>IF(B2091="","",IF(I2091="",IF(H2091="","",IF(TODAY()&gt;H2091,"Atrasado (em aberto)","Em aberto")),IF(I2091&lt;=H2091,"No prazo","Fora do prazo")))</f>
        <v/>
      </c>
    </row>
    <row r="2092">
      <c r="B2092" s="22" t="n"/>
      <c r="E2092" s="23" t="n"/>
      <c r="F2092" s="24" t="n"/>
      <c r="H2092" s="22" t="n"/>
      <c r="I2092" s="22" t="n"/>
      <c r="J2092" s="21">
        <f>IF(C2092="","",IFERROR(INDEX(Clientes!$B:$B,MATCH(C2092,Clientes!$A:$A,0)),"Cód. não cadastrado"))</f>
        <v/>
      </c>
      <c r="K2092" s="18">
        <f>IF(B2092="","",YEAR(B2092))</f>
        <v/>
      </c>
      <c r="L2092" s="18">
        <f>IF(B2092="","",MONTH(B2092))</f>
        <v/>
      </c>
      <c r="M2092" s="18">
        <f>IF(OR(B2092="",I2092=""),"",I2092-B2092)</f>
        <v/>
      </c>
      <c r="N2092" s="21">
        <f>IF(B2092="","",IF(I2092="",IF(H2092="","",IF(TODAY()&gt;H2092,"Atrasado (em aberto)","Em aberto")),IF(I2092&lt;=H2092,"No prazo","Fora do prazo")))</f>
        <v/>
      </c>
    </row>
    <row r="2093">
      <c r="B2093" s="22" t="n"/>
      <c r="E2093" s="23" t="n"/>
      <c r="F2093" s="24" t="n"/>
      <c r="H2093" s="22" t="n"/>
      <c r="I2093" s="22" t="n"/>
      <c r="J2093" s="21">
        <f>IF(C2093="","",IFERROR(INDEX(Clientes!$B:$B,MATCH(C2093,Clientes!$A:$A,0)),"Cód. não cadastrado"))</f>
        <v/>
      </c>
      <c r="K2093" s="18">
        <f>IF(B2093="","",YEAR(B2093))</f>
        <v/>
      </c>
      <c r="L2093" s="18">
        <f>IF(B2093="","",MONTH(B2093))</f>
        <v/>
      </c>
      <c r="M2093" s="18">
        <f>IF(OR(B2093="",I2093=""),"",I2093-B2093)</f>
        <v/>
      </c>
      <c r="N2093" s="21">
        <f>IF(B2093="","",IF(I2093="",IF(H2093="","",IF(TODAY()&gt;H2093,"Atrasado (em aberto)","Em aberto")),IF(I2093&lt;=H2093,"No prazo","Fora do prazo")))</f>
        <v/>
      </c>
    </row>
    <row r="2094">
      <c r="B2094" s="22" t="n"/>
      <c r="E2094" s="23" t="n"/>
      <c r="F2094" s="24" t="n"/>
      <c r="H2094" s="22" t="n"/>
      <c r="I2094" s="22" t="n"/>
      <c r="J2094" s="21">
        <f>IF(C2094="","",IFERROR(INDEX(Clientes!$B:$B,MATCH(C2094,Clientes!$A:$A,0)),"Cód. não cadastrado"))</f>
        <v/>
      </c>
      <c r="K2094" s="18">
        <f>IF(B2094="","",YEAR(B2094))</f>
        <v/>
      </c>
      <c r="L2094" s="18">
        <f>IF(B2094="","",MONTH(B2094))</f>
        <v/>
      </c>
      <c r="M2094" s="18">
        <f>IF(OR(B2094="",I2094=""),"",I2094-B2094)</f>
        <v/>
      </c>
      <c r="N2094" s="21">
        <f>IF(B2094="","",IF(I2094="",IF(H2094="","",IF(TODAY()&gt;H2094,"Atrasado (em aberto)","Em aberto")),IF(I2094&lt;=H2094,"No prazo","Fora do prazo")))</f>
        <v/>
      </c>
    </row>
    <row r="2095">
      <c r="B2095" s="22" t="n"/>
      <c r="E2095" s="23" t="n"/>
      <c r="F2095" s="24" t="n"/>
      <c r="H2095" s="22" t="n"/>
      <c r="I2095" s="22" t="n"/>
      <c r="J2095" s="21">
        <f>IF(C2095="","",IFERROR(INDEX(Clientes!$B:$B,MATCH(C2095,Clientes!$A:$A,0)),"Cód. não cadastrado"))</f>
        <v/>
      </c>
      <c r="K2095" s="18">
        <f>IF(B2095="","",YEAR(B2095))</f>
        <v/>
      </c>
      <c r="L2095" s="18">
        <f>IF(B2095="","",MONTH(B2095))</f>
        <v/>
      </c>
      <c r="M2095" s="18">
        <f>IF(OR(B2095="",I2095=""),"",I2095-B2095)</f>
        <v/>
      </c>
      <c r="N2095" s="21">
        <f>IF(B2095="","",IF(I2095="",IF(H2095="","",IF(TODAY()&gt;H2095,"Atrasado (em aberto)","Em aberto")),IF(I2095&lt;=H2095,"No prazo","Fora do prazo")))</f>
        <v/>
      </c>
    </row>
    <row r="2096">
      <c r="B2096" s="22" t="n"/>
      <c r="E2096" s="23" t="n"/>
      <c r="F2096" s="24" t="n"/>
      <c r="H2096" s="22" t="n"/>
      <c r="I2096" s="22" t="n"/>
      <c r="J2096" s="21">
        <f>IF(C2096="","",IFERROR(INDEX(Clientes!$B:$B,MATCH(C2096,Clientes!$A:$A,0)),"Cód. não cadastrado"))</f>
        <v/>
      </c>
      <c r="K2096" s="18">
        <f>IF(B2096="","",YEAR(B2096))</f>
        <v/>
      </c>
      <c r="L2096" s="18">
        <f>IF(B2096="","",MONTH(B2096))</f>
        <v/>
      </c>
      <c r="M2096" s="18">
        <f>IF(OR(B2096="",I2096=""),"",I2096-B2096)</f>
        <v/>
      </c>
      <c r="N2096" s="21">
        <f>IF(B2096="","",IF(I2096="",IF(H2096="","",IF(TODAY()&gt;H2096,"Atrasado (em aberto)","Em aberto")),IF(I2096&lt;=H2096,"No prazo","Fora do prazo")))</f>
        <v/>
      </c>
    </row>
    <row r="2097">
      <c r="B2097" s="22" t="n"/>
      <c r="E2097" s="23" t="n"/>
      <c r="F2097" s="24" t="n"/>
      <c r="H2097" s="22" t="n"/>
      <c r="I2097" s="22" t="n"/>
      <c r="J2097" s="21">
        <f>IF(C2097="","",IFERROR(INDEX(Clientes!$B:$B,MATCH(C2097,Clientes!$A:$A,0)),"Cód. não cadastrado"))</f>
        <v/>
      </c>
      <c r="K2097" s="18">
        <f>IF(B2097="","",YEAR(B2097))</f>
        <v/>
      </c>
      <c r="L2097" s="18">
        <f>IF(B2097="","",MONTH(B2097))</f>
        <v/>
      </c>
      <c r="M2097" s="18">
        <f>IF(OR(B2097="",I2097=""),"",I2097-B2097)</f>
        <v/>
      </c>
      <c r="N2097" s="21">
        <f>IF(B2097="","",IF(I2097="",IF(H2097="","",IF(TODAY()&gt;H2097,"Atrasado (em aberto)","Em aberto")),IF(I2097&lt;=H2097,"No prazo","Fora do prazo")))</f>
        <v/>
      </c>
    </row>
    <row r="2098">
      <c r="B2098" s="22" t="n"/>
      <c r="E2098" s="23" t="n"/>
      <c r="F2098" s="24" t="n"/>
      <c r="H2098" s="22" t="n"/>
      <c r="I2098" s="22" t="n"/>
      <c r="J2098" s="21">
        <f>IF(C2098="","",IFERROR(INDEX(Clientes!$B:$B,MATCH(C2098,Clientes!$A:$A,0)),"Cód. não cadastrado"))</f>
        <v/>
      </c>
      <c r="K2098" s="18">
        <f>IF(B2098="","",YEAR(B2098))</f>
        <v/>
      </c>
      <c r="L2098" s="18">
        <f>IF(B2098="","",MONTH(B2098))</f>
        <v/>
      </c>
      <c r="M2098" s="18">
        <f>IF(OR(B2098="",I2098=""),"",I2098-B2098)</f>
        <v/>
      </c>
      <c r="N2098" s="21">
        <f>IF(B2098="","",IF(I2098="",IF(H2098="","",IF(TODAY()&gt;H2098,"Atrasado (em aberto)","Em aberto")),IF(I2098&lt;=H2098,"No prazo","Fora do prazo")))</f>
        <v/>
      </c>
    </row>
    <row r="2099">
      <c r="B2099" s="22" t="n"/>
      <c r="E2099" s="23" t="n"/>
      <c r="F2099" s="24" t="n"/>
      <c r="H2099" s="22" t="n"/>
      <c r="I2099" s="22" t="n"/>
      <c r="J2099" s="21">
        <f>IF(C2099="","",IFERROR(INDEX(Clientes!$B:$B,MATCH(C2099,Clientes!$A:$A,0)),"Cód. não cadastrado"))</f>
        <v/>
      </c>
      <c r="K2099" s="18">
        <f>IF(B2099="","",YEAR(B2099))</f>
        <v/>
      </c>
      <c r="L2099" s="18">
        <f>IF(B2099="","",MONTH(B2099))</f>
        <v/>
      </c>
      <c r="M2099" s="18">
        <f>IF(OR(B2099="",I2099=""),"",I2099-B2099)</f>
        <v/>
      </c>
      <c r="N2099" s="21">
        <f>IF(B2099="","",IF(I2099="",IF(H2099="","",IF(TODAY()&gt;H2099,"Atrasado (em aberto)","Em aberto")),IF(I2099&lt;=H2099,"No prazo","Fora do prazo")))</f>
        <v/>
      </c>
    </row>
    <row r="2100">
      <c r="B2100" s="22" t="n"/>
      <c r="E2100" s="23" t="n"/>
      <c r="F2100" s="24" t="n"/>
      <c r="H2100" s="22" t="n"/>
      <c r="I2100" s="22" t="n"/>
      <c r="J2100" s="21">
        <f>IF(C2100="","",IFERROR(INDEX(Clientes!$B:$B,MATCH(C2100,Clientes!$A:$A,0)),"Cód. não cadastrado"))</f>
        <v/>
      </c>
      <c r="K2100" s="18">
        <f>IF(B2100="","",YEAR(B2100))</f>
        <v/>
      </c>
      <c r="L2100" s="18">
        <f>IF(B2100="","",MONTH(B2100))</f>
        <v/>
      </c>
      <c r="M2100" s="18">
        <f>IF(OR(B2100="",I2100=""),"",I2100-B2100)</f>
        <v/>
      </c>
      <c r="N2100" s="21">
        <f>IF(B2100="","",IF(I2100="",IF(H2100="","",IF(TODAY()&gt;H2100,"Atrasado (em aberto)","Em aberto")),IF(I2100&lt;=H2100,"No prazo","Fora do prazo")))</f>
        <v/>
      </c>
    </row>
    <row r="2101">
      <c r="B2101" s="22" t="n"/>
      <c r="E2101" s="23" t="n"/>
      <c r="F2101" s="24" t="n"/>
      <c r="H2101" s="22" t="n"/>
      <c r="I2101" s="22" t="n"/>
      <c r="J2101" s="21">
        <f>IF(C2101="","",IFERROR(INDEX(Clientes!$B:$B,MATCH(C2101,Clientes!$A:$A,0)),"Cód. não cadastrado"))</f>
        <v/>
      </c>
      <c r="K2101" s="18">
        <f>IF(B2101="","",YEAR(B2101))</f>
        <v/>
      </c>
      <c r="L2101" s="18">
        <f>IF(B2101="","",MONTH(B2101))</f>
        <v/>
      </c>
      <c r="M2101" s="18">
        <f>IF(OR(B2101="",I2101=""),"",I2101-B2101)</f>
        <v/>
      </c>
      <c r="N2101" s="21">
        <f>IF(B2101="","",IF(I2101="",IF(H2101="","",IF(TODAY()&gt;H2101,"Atrasado (em aberto)","Em aberto")),IF(I2101&lt;=H2101,"No prazo","Fora do prazo")))</f>
        <v/>
      </c>
    </row>
    <row r="2102">
      <c r="B2102" s="22" t="n"/>
      <c r="E2102" s="23" t="n"/>
      <c r="F2102" s="24" t="n"/>
      <c r="H2102" s="22" t="n"/>
      <c r="I2102" s="22" t="n"/>
      <c r="J2102" s="21">
        <f>IF(C2102="","",IFERROR(INDEX(Clientes!$B:$B,MATCH(C2102,Clientes!$A:$A,0)),"Cód. não cadastrado"))</f>
        <v/>
      </c>
      <c r="K2102" s="18">
        <f>IF(B2102="","",YEAR(B2102))</f>
        <v/>
      </c>
      <c r="L2102" s="18">
        <f>IF(B2102="","",MONTH(B2102))</f>
        <v/>
      </c>
      <c r="M2102" s="18">
        <f>IF(OR(B2102="",I2102=""),"",I2102-B2102)</f>
        <v/>
      </c>
      <c r="N2102" s="21">
        <f>IF(B2102="","",IF(I2102="",IF(H2102="","",IF(TODAY()&gt;H2102,"Atrasado (em aberto)","Em aberto")),IF(I2102&lt;=H2102,"No prazo","Fora do prazo")))</f>
        <v/>
      </c>
    </row>
    <row r="2103">
      <c r="B2103" s="22" t="n"/>
      <c r="E2103" s="23" t="n"/>
      <c r="F2103" s="24" t="n"/>
      <c r="H2103" s="22" t="n"/>
      <c r="I2103" s="22" t="n"/>
      <c r="J2103" s="21">
        <f>IF(C2103="","",IFERROR(INDEX(Clientes!$B:$B,MATCH(C2103,Clientes!$A:$A,0)),"Cód. não cadastrado"))</f>
        <v/>
      </c>
      <c r="K2103" s="18">
        <f>IF(B2103="","",YEAR(B2103))</f>
        <v/>
      </c>
      <c r="L2103" s="18">
        <f>IF(B2103="","",MONTH(B2103))</f>
        <v/>
      </c>
      <c r="M2103" s="18">
        <f>IF(OR(B2103="",I2103=""),"",I2103-B2103)</f>
        <v/>
      </c>
      <c r="N2103" s="21">
        <f>IF(B2103="","",IF(I2103="",IF(H2103="","",IF(TODAY()&gt;H2103,"Atrasado (em aberto)","Em aberto")),IF(I2103&lt;=H2103,"No prazo","Fora do prazo")))</f>
        <v/>
      </c>
    </row>
    <row r="2104">
      <c r="B2104" s="22" t="n"/>
      <c r="E2104" s="23" t="n"/>
      <c r="F2104" s="24" t="n"/>
      <c r="H2104" s="22" t="n"/>
      <c r="I2104" s="22" t="n"/>
      <c r="J2104" s="21">
        <f>IF(C2104="","",IFERROR(INDEX(Clientes!$B:$B,MATCH(C2104,Clientes!$A:$A,0)),"Cód. não cadastrado"))</f>
        <v/>
      </c>
      <c r="K2104" s="18">
        <f>IF(B2104="","",YEAR(B2104))</f>
        <v/>
      </c>
      <c r="L2104" s="18">
        <f>IF(B2104="","",MONTH(B2104))</f>
        <v/>
      </c>
      <c r="M2104" s="18">
        <f>IF(OR(B2104="",I2104=""),"",I2104-B2104)</f>
        <v/>
      </c>
      <c r="N2104" s="21">
        <f>IF(B2104="","",IF(I2104="",IF(H2104="","",IF(TODAY()&gt;H2104,"Atrasado (em aberto)","Em aberto")),IF(I2104&lt;=H2104,"No prazo","Fora do prazo")))</f>
        <v/>
      </c>
    </row>
    <row r="2105">
      <c r="B2105" s="22" t="n"/>
      <c r="E2105" s="23" t="n"/>
      <c r="F2105" s="24" t="n"/>
      <c r="H2105" s="22" t="n"/>
      <c r="I2105" s="22" t="n"/>
      <c r="J2105" s="21">
        <f>IF(C2105="","",IFERROR(INDEX(Clientes!$B:$B,MATCH(C2105,Clientes!$A:$A,0)),"Cód. não cadastrado"))</f>
        <v/>
      </c>
      <c r="K2105" s="18">
        <f>IF(B2105="","",YEAR(B2105))</f>
        <v/>
      </c>
      <c r="L2105" s="18">
        <f>IF(B2105="","",MONTH(B2105))</f>
        <v/>
      </c>
      <c r="M2105" s="18">
        <f>IF(OR(B2105="",I2105=""),"",I2105-B2105)</f>
        <v/>
      </c>
      <c r="N2105" s="21">
        <f>IF(B2105="","",IF(I2105="",IF(H2105="","",IF(TODAY()&gt;H2105,"Atrasado (em aberto)","Em aberto")),IF(I2105&lt;=H2105,"No prazo","Fora do prazo")))</f>
        <v/>
      </c>
    </row>
    <row r="2106">
      <c r="B2106" s="22" t="n"/>
      <c r="E2106" s="23" t="n"/>
      <c r="F2106" s="24" t="n"/>
      <c r="H2106" s="22" t="n"/>
      <c r="I2106" s="22" t="n"/>
      <c r="J2106" s="21">
        <f>IF(C2106="","",IFERROR(INDEX(Clientes!$B:$B,MATCH(C2106,Clientes!$A:$A,0)),"Cód. não cadastrado"))</f>
        <v/>
      </c>
      <c r="K2106" s="18">
        <f>IF(B2106="","",YEAR(B2106))</f>
        <v/>
      </c>
      <c r="L2106" s="18">
        <f>IF(B2106="","",MONTH(B2106))</f>
        <v/>
      </c>
      <c r="M2106" s="18">
        <f>IF(OR(B2106="",I2106=""),"",I2106-B2106)</f>
        <v/>
      </c>
      <c r="N2106" s="21">
        <f>IF(B2106="","",IF(I2106="",IF(H2106="","",IF(TODAY()&gt;H2106,"Atrasado (em aberto)","Em aberto")),IF(I2106&lt;=H2106,"No prazo","Fora do prazo")))</f>
        <v/>
      </c>
    </row>
    <row r="2107">
      <c r="B2107" s="22" t="n"/>
      <c r="E2107" s="23" t="n"/>
      <c r="F2107" s="24" t="n"/>
      <c r="H2107" s="22" t="n"/>
      <c r="I2107" s="22" t="n"/>
      <c r="J2107" s="21">
        <f>IF(C2107="","",IFERROR(INDEX(Clientes!$B:$B,MATCH(C2107,Clientes!$A:$A,0)),"Cód. não cadastrado"))</f>
        <v/>
      </c>
      <c r="K2107" s="18">
        <f>IF(B2107="","",YEAR(B2107))</f>
        <v/>
      </c>
      <c r="L2107" s="18">
        <f>IF(B2107="","",MONTH(B2107))</f>
        <v/>
      </c>
      <c r="M2107" s="18">
        <f>IF(OR(B2107="",I2107=""),"",I2107-B2107)</f>
        <v/>
      </c>
      <c r="N2107" s="21">
        <f>IF(B2107="","",IF(I2107="",IF(H2107="","",IF(TODAY()&gt;H2107,"Atrasado (em aberto)","Em aberto")),IF(I2107&lt;=H2107,"No prazo","Fora do prazo")))</f>
        <v/>
      </c>
    </row>
    <row r="2108">
      <c r="B2108" s="22" t="n"/>
      <c r="E2108" s="23" t="n"/>
      <c r="F2108" s="24" t="n"/>
      <c r="H2108" s="22" t="n"/>
      <c r="I2108" s="22" t="n"/>
      <c r="J2108" s="21">
        <f>IF(C2108="","",IFERROR(INDEX(Clientes!$B:$B,MATCH(C2108,Clientes!$A:$A,0)),"Cód. não cadastrado"))</f>
        <v/>
      </c>
      <c r="K2108" s="18">
        <f>IF(B2108="","",YEAR(B2108))</f>
        <v/>
      </c>
      <c r="L2108" s="18">
        <f>IF(B2108="","",MONTH(B2108))</f>
        <v/>
      </c>
      <c r="M2108" s="18">
        <f>IF(OR(B2108="",I2108=""),"",I2108-B2108)</f>
        <v/>
      </c>
      <c r="N2108" s="21">
        <f>IF(B2108="","",IF(I2108="",IF(H2108="","",IF(TODAY()&gt;H2108,"Atrasado (em aberto)","Em aberto")),IF(I2108&lt;=H2108,"No prazo","Fora do prazo")))</f>
        <v/>
      </c>
    </row>
    <row r="2109">
      <c r="B2109" s="22" t="n"/>
      <c r="E2109" s="23" t="n"/>
      <c r="F2109" s="24" t="n"/>
      <c r="H2109" s="22" t="n"/>
      <c r="I2109" s="22" t="n"/>
      <c r="J2109" s="21">
        <f>IF(C2109="","",IFERROR(INDEX(Clientes!$B:$B,MATCH(C2109,Clientes!$A:$A,0)),"Cód. não cadastrado"))</f>
        <v/>
      </c>
      <c r="K2109" s="18">
        <f>IF(B2109="","",YEAR(B2109))</f>
        <v/>
      </c>
      <c r="L2109" s="18">
        <f>IF(B2109="","",MONTH(B2109))</f>
        <v/>
      </c>
      <c r="M2109" s="18">
        <f>IF(OR(B2109="",I2109=""),"",I2109-B2109)</f>
        <v/>
      </c>
      <c r="N2109" s="21">
        <f>IF(B2109="","",IF(I2109="",IF(H2109="","",IF(TODAY()&gt;H2109,"Atrasado (em aberto)","Em aberto")),IF(I2109&lt;=H2109,"No prazo","Fora do prazo")))</f>
        <v/>
      </c>
    </row>
    <row r="2110">
      <c r="B2110" s="22" t="n"/>
      <c r="E2110" s="23" t="n"/>
      <c r="F2110" s="24" t="n"/>
      <c r="H2110" s="22" t="n"/>
      <c r="I2110" s="22" t="n"/>
      <c r="J2110" s="21">
        <f>IF(C2110="","",IFERROR(INDEX(Clientes!$B:$B,MATCH(C2110,Clientes!$A:$A,0)),"Cód. não cadastrado"))</f>
        <v/>
      </c>
      <c r="K2110" s="18">
        <f>IF(B2110="","",YEAR(B2110))</f>
        <v/>
      </c>
      <c r="L2110" s="18">
        <f>IF(B2110="","",MONTH(B2110))</f>
        <v/>
      </c>
      <c r="M2110" s="18">
        <f>IF(OR(B2110="",I2110=""),"",I2110-B2110)</f>
        <v/>
      </c>
      <c r="N2110" s="21">
        <f>IF(B2110="","",IF(I2110="",IF(H2110="","",IF(TODAY()&gt;H2110,"Atrasado (em aberto)","Em aberto")),IF(I2110&lt;=H2110,"No prazo","Fora do prazo")))</f>
        <v/>
      </c>
    </row>
    <row r="2111">
      <c r="B2111" s="22" t="n"/>
      <c r="E2111" s="23" t="n"/>
      <c r="F2111" s="24" t="n"/>
      <c r="H2111" s="22" t="n"/>
      <c r="I2111" s="22" t="n"/>
      <c r="J2111" s="21">
        <f>IF(C2111="","",IFERROR(INDEX(Clientes!$B:$B,MATCH(C2111,Clientes!$A:$A,0)),"Cód. não cadastrado"))</f>
        <v/>
      </c>
      <c r="K2111" s="18">
        <f>IF(B2111="","",YEAR(B2111))</f>
        <v/>
      </c>
      <c r="L2111" s="18">
        <f>IF(B2111="","",MONTH(B2111))</f>
        <v/>
      </c>
      <c r="M2111" s="18">
        <f>IF(OR(B2111="",I2111=""),"",I2111-B2111)</f>
        <v/>
      </c>
      <c r="N2111" s="21">
        <f>IF(B2111="","",IF(I2111="",IF(H2111="","",IF(TODAY()&gt;H2111,"Atrasado (em aberto)","Em aberto")),IF(I2111&lt;=H2111,"No prazo","Fora do prazo")))</f>
        <v/>
      </c>
    </row>
    <row r="2112">
      <c r="B2112" s="22" t="n"/>
      <c r="E2112" s="23" t="n"/>
      <c r="F2112" s="24" t="n"/>
      <c r="H2112" s="22" t="n"/>
      <c r="I2112" s="22" t="n"/>
      <c r="J2112" s="21">
        <f>IF(C2112="","",IFERROR(INDEX(Clientes!$B:$B,MATCH(C2112,Clientes!$A:$A,0)),"Cód. não cadastrado"))</f>
        <v/>
      </c>
      <c r="K2112" s="18">
        <f>IF(B2112="","",YEAR(B2112))</f>
        <v/>
      </c>
      <c r="L2112" s="18">
        <f>IF(B2112="","",MONTH(B2112))</f>
        <v/>
      </c>
      <c r="M2112" s="18">
        <f>IF(OR(B2112="",I2112=""),"",I2112-B2112)</f>
        <v/>
      </c>
      <c r="N2112" s="21">
        <f>IF(B2112="","",IF(I2112="",IF(H2112="","",IF(TODAY()&gt;H2112,"Atrasado (em aberto)","Em aberto")),IF(I2112&lt;=H2112,"No prazo","Fora do prazo")))</f>
        <v/>
      </c>
    </row>
    <row r="2113">
      <c r="B2113" s="22" t="n"/>
      <c r="E2113" s="23" t="n"/>
      <c r="F2113" s="24" t="n"/>
      <c r="H2113" s="22" t="n"/>
      <c r="I2113" s="22" t="n"/>
      <c r="J2113" s="21">
        <f>IF(C2113="","",IFERROR(INDEX(Clientes!$B:$B,MATCH(C2113,Clientes!$A:$A,0)),"Cód. não cadastrado"))</f>
        <v/>
      </c>
      <c r="K2113" s="18">
        <f>IF(B2113="","",YEAR(B2113))</f>
        <v/>
      </c>
      <c r="L2113" s="18">
        <f>IF(B2113="","",MONTH(B2113))</f>
        <v/>
      </c>
      <c r="M2113" s="18">
        <f>IF(OR(B2113="",I2113=""),"",I2113-B2113)</f>
        <v/>
      </c>
      <c r="N2113" s="21">
        <f>IF(B2113="","",IF(I2113="",IF(H2113="","",IF(TODAY()&gt;H2113,"Atrasado (em aberto)","Em aberto")),IF(I2113&lt;=H2113,"No prazo","Fora do prazo")))</f>
        <v/>
      </c>
    </row>
    <row r="2114">
      <c r="B2114" s="22" t="n"/>
      <c r="E2114" s="23" t="n"/>
      <c r="F2114" s="24" t="n"/>
      <c r="H2114" s="22" t="n"/>
      <c r="I2114" s="22" t="n"/>
      <c r="J2114" s="21">
        <f>IF(C2114="","",IFERROR(INDEX(Clientes!$B:$B,MATCH(C2114,Clientes!$A:$A,0)),"Cód. não cadastrado"))</f>
        <v/>
      </c>
      <c r="K2114" s="18">
        <f>IF(B2114="","",YEAR(B2114))</f>
        <v/>
      </c>
      <c r="L2114" s="18">
        <f>IF(B2114="","",MONTH(B2114))</f>
        <v/>
      </c>
      <c r="M2114" s="18">
        <f>IF(OR(B2114="",I2114=""),"",I2114-B2114)</f>
        <v/>
      </c>
      <c r="N2114" s="21">
        <f>IF(B2114="","",IF(I2114="",IF(H2114="","",IF(TODAY()&gt;H2114,"Atrasado (em aberto)","Em aberto")),IF(I2114&lt;=H2114,"No prazo","Fora do prazo")))</f>
        <v/>
      </c>
    </row>
    <row r="2115">
      <c r="B2115" s="22" t="n"/>
      <c r="E2115" s="23" t="n"/>
      <c r="F2115" s="24" t="n"/>
      <c r="H2115" s="22" t="n"/>
      <c r="I2115" s="22" t="n"/>
      <c r="J2115" s="21">
        <f>IF(C2115="","",IFERROR(INDEX(Clientes!$B:$B,MATCH(C2115,Clientes!$A:$A,0)),"Cód. não cadastrado"))</f>
        <v/>
      </c>
      <c r="K2115" s="18">
        <f>IF(B2115="","",YEAR(B2115))</f>
        <v/>
      </c>
      <c r="L2115" s="18">
        <f>IF(B2115="","",MONTH(B2115))</f>
        <v/>
      </c>
      <c r="M2115" s="18">
        <f>IF(OR(B2115="",I2115=""),"",I2115-B2115)</f>
        <v/>
      </c>
      <c r="N2115" s="21">
        <f>IF(B2115="","",IF(I2115="",IF(H2115="","",IF(TODAY()&gt;H2115,"Atrasado (em aberto)","Em aberto")),IF(I2115&lt;=H2115,"No prazo","Fora do prazo")))</f>
        <v/>
      </c>
    </row>
    <row r="2116">
      <c r="B2116" s="22" t="n"/>
      <c r="E2116" s="23" t="n"/>
      <c r="F2116" s="24" t="n"/>
      <c r="H2116" s="22" t="n"/>
      <c r="I2116" s="22" t="n"/>
      <c r="J2116" s="21">
        <f>IF(C2116="","",IFERROR(INDEX(Clientes!$B:$B,MATCH(C2116,Clientes!$A:$A,0)),"Cód. não cadastrado"))</f>
        <v/>
      </c>
      <c r="K2116" s="18">
        <f>IF(B2116="","",YEAR(B2116))</f>
        <v/>
      </c>
      <c r="L2116" s="18">
        <f>IF(B2116="","",MONTH(B2116))</f>
        <v/>
      </c>
      <c r="M2116" s="18">
        <f>IF(OR(B2116="",I2116=""),"",I2116-B2116)</f>
        <v/>
      </c>
      <c r="N2116" s="21">
        <f>IF(B2116="","",IF(I2116="",IF(H2116="","",IF(TODAY()&gt;H2116,"Atrasado (em aberto)","Em aberto")),IF(I2116&lt;=H2116,"No prazo","Fora do prazo")))</f>
        <v/>
      </c>
    </row>
    <row r="2117">
      <c r="B2117" s="22" t="n"/>
      <c r="E2117" s="23" t="n"/>
      <c r="F2117" s="24" t="n"/>
      <c r="H2117" s="22" t="n"/>
      <c r="I2117" s="22" t="n"/>
      <c r="J2117" s="21">
        <f>IF(C2117="","",IFERROR(INDEX(Clientes!$B:$B,MATCH(C2117,Clientes!$A:$A,0)),"Cód. não cadastrado"))</f>
        <v/>
      </c>
      <c r="K2117" s="18">
        <f>IF(B2117="","",YEAR(B2117))</f>
        <v/>
      </c>
      <c r="L2117" s="18">
        <f>IF(B2117="","",MONTH(B2117))</f>
        <v/>
      </c>
      <c r="M2117" s="18">
        <f>IF(OR(B2117="",I2117=""),"",I2117-B2117)</f>
        <v/>
      </c>
      <c r="N2117" s="21">
        <f>IF(B2117="","",IF(I2117="",IF(H2117="","",IF(TODAY()&gt;H2117,"Atrasado (em aberto)","Em aberto")),IF(I2117&lt;=H2117,"No prazo","Fora do prazo")))</f>
        <v/>
      </c>
    </row>
    <row r="2118">
      <c r="B2118" s="22" t="n"/>
      <c r="E2118" s="23" t="n"/>
      <c r="F2118" s="24" t="n"/>
      <c r="H2118" s="22" t="n"/>
      <c r="I2118" s="22" t="n"/>
      <c r="J2118" s="21">
        <f>IF(C2118="","",IFERROR(INDEX(Clientes!$B:$B,MATCH(C2118,Clientes!$A:$A,0)),"Cód. não cadastrado"))</f>
        <v/>
      </c>
      <c r="K2118" s="18">
        <f>IF(B2118="","",YEAR(B2118))</f>
        <v/>
      </c>
      <c r="L2118" s="18">
        <f>IF(B2118="","",MONTH(B2118))</f>
        <v/>
      </c>
      <c r="M2118" s="18">
        <f>IF(OR(B2118="",I2118=""),"",I2118-B2118)</f>
        <v/>
      </c>
      <c r="N2118" s="21">
        <f>IF(B2118="","",IF(I2118="",IF(H2118="","",IF(TODAY()&gt;H2118,"Atrasado (em aberto)","Em aberto")),IF(I2118&lt;=H2118,"No prazo","Fora do prazo")))</f>
        <v/>
      </c>
    </row>
    <row r="2119">
      <c r="B2119" s="22" t="n"/>
      <c r="E2119" s="23" t="n"/>
      <c r="F2119" s="24" t="n"/>
      <c r="H2119" s="22" t="n"/>
      <c r="I2119" s="22" t="n"/>
      <c r="J2119" s="21">
        <f>IF(C2119="","",IFERROR(INDEX(Clientes!$B:$B,MATCH(C2119,Clientes!$A:$A,0)),"Cód. não cadastrado"))</f>
        <v/>
      </c>
      <c r="K2119" s="18">
        <f>IF(B2119="","",YEAR(B2119))</f>
        <v/>
      </c>
      <c r="L2119" s="18">
        <f>IF(B2119="","",MONTH(B2119))</f>
        <v/>
      </c>
      <c r="M2119" s="18">
        <f>IF(OR(B2119="",I2119=""),"",I2119-B2119)</f>
        <v/>
      </c>
      <c r="N2119" s="21">
        <f>IF(B2119="","",IF(I2119="",IF(H2119="","",IF(TODAY()&gt;H2119,"Atrasado (em aberto)","Em aberto")),IF(I2119&lt;=H2119,"No prazo","Fora do prazo")))</f>
        <v/>
      </c>
    </row>
    <row r="2120">
      <c r="B2120" s="22" t="n"/>
      <c r="E2120" s="23" t="n"/>
      <c r="F2120" s="24" t="n"/>
      <c r="H2120" s="22" t="n"/>
      <c r="I2120" s="22" t="n"/>
      <c r="J2120" s="21">
        <f>IF(C2120="","",IFERROR(INDEX(Clientes!$B:$B,MATCH(C2120,Clientes!$A:$A,0)),"Cód. não cadastrado"))</f>
        <v/>
      </c>
      <c r="K2120" s="18">
        <f>IF(B2120="","",YEAR(B2120))</f>
        <v/>
      </c>
      <c r="L2120" s="18">
        <f>IF(B2120="","",MONTH(B2120))</f>
        <v/>
      </c>
      <c r="M2120" s="18">
        <f>IF(OR(B2120="",I2120=""),"",I2120-B2120)</f>
        <v/>
      </c>
      <c r="N2120" s="21">
        <f>IF(B2120="","",IF(I2120="",IF(H2120="","",IF(TODAY()&gt;H2120,"Atrasado (em aberto)","Em aberto")),IF(I2120&lt;=H2120,"No prazo","Fora do prazo")))</f>
        <v/>
      </c>
    </row>
    <row r="2121">
      <c r="B2121" s="22" t="n"/>
      <c r="E2121" s="23" t="n"/>
      <c r="F2121" s="24" t="n"/>
      <c r="H2121" s="22" t="n"/>
      <c r="I2121" s="22" t="n"/>
      <c r="J2121" s="21">
        <f>IF(C2121="","",IFERROR(INDEX(Clientes!$B:$B,MATCH(C2121,Clientes!$A:$A,0)),"Cód. não cadastrado"))</f>
        <v/>
      </c>
      <c r="K2121" s="18">
        <f>IF(B2121="","",YEAR(B2121))</f>
        <v/>
      </c>
      <c r="L2121" s="18">
        <f>IF(B2121="","",MONTH(B2121))</f>
        <v/>
      </c>
      <c r="M2121" s="18">
        <f>IF(OR(B2121="",I2121=""),"",I2121-B2121)</f>
        <v/>
      </c>
      <c r="N2121" s="21">
        <f>IF(B2121="","",IF(I2121="",IF(H2121="","",IF(TODAY()&gt;H2121,"Atrasado (em aberto)","Em aberto")),IF(I2121&lt;=H2121,"No prazo","Fora do prazo")))</f>
        <v/>
      </c>
    </row>
    <row r="2122">
      <c r="B2122" s="22" t="n"/>
      <c r="E2122" s="23" t="n"/>
      <c r="F2122" s="24" t="n"/>
      <c r="H2122" s="22" t="n"/>
      <c r="I2122" s="22" t="n"/>
      <c r="J2122" s="21">
        <f>IF(C2122="","",IFERROR(INDEX(Clientes!$B:$B,MATCH(C2122,Clientes!$A:$A,0)),"Cód. não cadastrado"))</f>
        <v/>
      </c>
      <c r="K2122" s="18">
        <f>IF(B2122="","",YEAR(B2122))</f>
        <v/>
      </c>
      <c r="L2122" s="18">
        <f>IF(B2122="","",MONTH(B2122))</f>
        <v/>
      </c>
      <c r="M2122" s="18">
        <f>IF(OR(B2122="",I2122=""),"",I2122-B2122)</f>
        <v/>
      </c>
      <c r="N2122" s="21">
        <f>IF(B2122="","",IF(I2122="",IF(H2122="","",IF(TODAY()&gt;H2122,"Atrasado (em aberto)","Em aberto")),IF(I2122&lt;=H2122,"No prazo","Fora do prazo")))</f>
        <v/>
      </c>
    </row>
    <row r="2123">
      <c r="B2123" s="22" t="n"/>
      <c r="E2123" s="23" t="n"/>
      <c r="F2123" s="24" t="n"/>
      <c r="H2123" s="22" t="n"/>
      <c r="I2123" s="22" t="n"/>
      <c r="J2123" s="21">
        <f>IF(C2123="","",IFERROR(INDEX(Clientes!$B:$B,MATCH(C2123,Clientes!$A:$A,0)),"Cód. não cadastrado"))</f>
        <v/>
      </c>
      <c r="K2123" s="18">
        <f>IF(B2123="","",YEAR(B2123))</f>
        <v/>
      </c>
      <c r="L2123" s="18">
        <f>IF(B2123="","",MONTH(B2123))</f>
        <v/>
      </c>
      <c r="M2123" s="18">
        <f>IF(OR(B2123="",I2123=""),"",I2123-B2123)</f>
        <v/>
      </c>
      <c r="N2123" s="21">
        <f>IF(B2123="","",IF(I2123="",IF(H2123="","",IF(TODAY()&gt;H2123,"Atrasado (em aberto)","Em aberto")),IF(I2123&lt;=H2123,"No prazo","Fora do prazo")))</f>
        <v/>
      </c>
    </row>
    <row r="2124">
      <c r="B2124" s="22" t="n"/>
      <c r="E2124" s="23" t="n"/>
      <c r="F2124" s="24" t="n"/>
      <c r="H2124" s="22" t="n"/>
      <c r="I2124" s="22" t="n"/>
      <c r="J2124" s="21">
        <f>IF(C2124="","",IFERROR(INDEX(Clientes!$B:$B,MATCH(C2124,Clientes!$A:$A,0)),"Cód. não cadastrado"))</f>
        <v/>
      </c>
      <c r="K2124" s="18">
        <f>IF(B2124="","",YEAR(B2124))</f>
        <v/>
      </c>
      <c r="L2124" s="18">
        <f>IF(B2124="","",MONTH(B2124))</f>
        <v/>
      </c>
      <c r="M2124" s="18">
        <f>IF(OR(B2124="",I2124=""),"",I2124-B2124)</f>
        <v/>
      </c>
      <c r="N2124" s="21">
        <f>IF(B2124="","",IF(I2124="",IF(H2124="","",IF(TODAY()&gt;H2124,"Atrasado (em aberto)","Em aberto")),IF(I2124&lt;=H2124,"No prazo","Fora do prazo")))</f>
        <v/>
      </c>
    </row>
    <row r="2125">
      <c r="B2125" s="22" t="n"/>
      <c r="E2125" s="23" t="n"/>
      <c r="F2125" s="24" t="n"/>
      <c r="H2125" s="22" t="n"/>
      <c r="I2125" s="22" t="n"/>
      <c r="J2125" s="21">
        <f>IF(C2125="","",IFERROR(INDEX(Clientes!$B:$B,MATCH(C2125,Clientes!$A:$A,0)),"Cód. não cadastrado"))</f>
        <v/>
      </c>
      <c r="K2125" s="18">
        <f>IF(B2125="","",YEAR(B2125))</f>
        <v/>
      </c>
      <c r="L2125" s="18">
        <f>IF(B2125="","",MONTH(B2125))</f>
        <v/>
      </c>
      <c r="M2125" s="18">
        <f>IF(OR(B2125="",I2125=""),"",I2125-B2125)</f>
        <v/>
      </c>
      <c r="N2125" s="21">
        <f>IF(B2125="","",IF(I2125="",IF(H2125="","",IF(TODAY()&gt;H2125,"Atrasado (em aberto)","Em aberto")),IF(I2125&lt;=H2125,"No prazo","Fora do prazo")))</f>
        <v/>
      </c>
    </row>
    <row r="2126">
      <c r="B2126" s="22" t="n"/>
      <c r="E2126" s="23" t="n"/>
      <c r="F2126" s="24" t="n"/>
      <c r="H2126" s="22" t="n"/>
      <c r="I2126" s="22" t="n"/>
      <c r="J2126" s="21">
        <f>IF(C2126="","",IFERROR(INDEX(Clientes!$B:$B,MATCH(C2126,Clientes!$A:$A,0)),"Cód. não cadastrado"))</f>
        <v/>
      </c>
      <c r="K2126" s="18">
        <f>IF(B2126="","",YEAR(B2126))</f>
        <v/>
      </c>
      <c r="L2126" s="18">
        <f>IF(B2126="","",MONTH(B2126))</f>
        <v/>
      </c>
      <c r="M2126" s="18">
        <f>IF(OR(B2126="",I2126=""),"",I2126-B2126)</f>
        <v/>
      </c>
      <c r="N2126" s="21">
        <f>IF(B2126="","",IF(I2126="",IF(H2126="","",IF(TODAY()&gt;H2126,"Atrasado (em aberto)","Em aberto")),IF(I2126&lt;=H2126,"No prazo","Fora do prazo")))</f>
        <v/>
      </c>
    </row>
    <row r="2127">
      <c r="B2127" s="22" t="n"/>
      <c r="E2127" s="23" t="n"/>
      <c r="F2127" s="24" t="n"/>
      <c r="H2127" s="22" t="n"/>
      <c r="I2127" s="22" t="n"/>
      <c r="J2127" s="21">
        <f>IF(C2127="","",IFERROR(INDEX(Clientes!$B:$B,MATCH(C2127,Clientes!$A:$A,0)),"Cód. não cadastrado"))</f>
        <v/>
      </c>
      <c r="K2127" s="18">
        <f>IF(B2127="","",YEAR(B2127))</f>
        <v/>
      </c>
      <c r="L2127" s="18">
        <f>IF(B2127="","",MONTH(B2127))</f>
        <v/>
      </c>
      <c r="M2127" s="18">
        <f>IF(OR(B2127="",I2127=""),"",I2127-B2127)</f>
        <v/>
      </c>
      <c r="N2127" s="21">
        <f>IF(B2127="","",IF(I2127="",IF(H2127="","",IF(TODAY()&gt;H2127,"Atrasado (em aberto)","Em aberto")),IF(I2127&lt;=H2127,"No prazo","Fora do prazo")))</f>
        <v/>
      </c>
    </row>
    <row r="2128">
      <c r="B2128" s="22" t="n"/>
      <c r="E2128" s="23" t="n"/>
      <c r="F2128" s="24" t="n"/>
      <c r="H2128" s="22" t="n"/>
      <c r="I2128" s="22" t="n"/>
      <c r="J2128" s="21">
        <f>IF(C2128="","",IFERROR(INDEX(Clientes!$B:$B,MATCH(C2128,Clientes!$A:$A,0)),"Cód. não cadastrado"))</f>
        <v/>
      </c>
      <c r="K2128" s="18">
        <f>IF(B2128="","",YEAR(B2128))</f>
        <v/>
      </c>
      <c r="L2128" s="18">
        <f>IF(B2128="","",MONTH(B2128))</f>
        <v/>
      </c>
      <c r="M2128" s="18">
        <f>IF(OR(B2128="",I2128=""),"",I2128-B2128)</f>
        <v/>
      </c>
      <c r="N2128" s="21">
        <f>IF(B2128="","",IF(I2128="",IF(H2128="","",IF(TODAY()&gt;H2128,"Atrasado (em aberto)","Em aberto")),IF(I2128&lt;=H2128,"No prazo","Fora do prazo")))</f>
        <v/>
      </c>
    </row>
    <row r="2129">
      <c r="B2129" s="22" t="n"/>
      <c r="E2129" s="23" t="n"/>
      <c r="F2129" s="24" t="n"/>
      <c r="H2129" s="22" t="n"/>
      <c r="I2129" s="22" t="n"/>
      <c r="J2129" s="21">
        <f>IF(C2129="","",IFERROR(INDEX(Clientes!$B:$B,MATCH(C2129,Clientes!$A:$A,0)),"Cód. não cadastrado"))</f>
        <v/>
      </c>
      <c r="K2129" s="18">
        <f>IF(B2129="","",YEAR(B2129))</f>
        <v/>
      </c>
      <c r="L2129" s="18">
        <f>IF(B2129="","",MONTH(B2129))</f>
        <v/>
      </c>
      <c r="M2129" s="18">
        <f>IF(OR(B2129="",I2129=""),"",I2129-B2129)</f>
        <v/>
      </c>
      <c r="N2129" s="21">
        <f>IF(B2129="","",IF(I2129="",IF(H2129="","",IF(TODAY()&gt;H2129,"Atrasado (em aberto)","Em aberto")),IF(I2129&lt;=H2129,"No prazo","Fora do prazo")))</f>
        <v/>
      </c>
    </row>
    <row r="2130">
      <c r="B2130" s="22" t="n"/>
      <c r="E2130" s="23" t="n"/>
      <c r="F2130" s="24" t="n"/>
      <c r="H2130" s="22" t="n"/>
      <c r="I2130" s="22" t="n"/>
      <c r="J2130" s="21">
        <f>IF(C2130="","",IFERROR(INDEX(Clientes!$B:$B,MATCH(C2130,Clientes!$A:$A,0)),"Cód. não cadastrado"))</f>
        <v/>
      </c>
      <c r="K2130" s="18">
        <f>IF(B2130="","",YEAR(B2130))</f>
        <v/>
      </c>
      <c r="L2130" s="18">
        <f>IF(B2130="","",MONTH(B2130))</f>
        <v/>
      </c>
      <c r="M2130" s="18">
        <f>IF(OR(B2130="",I2130=""),"",I2130-B2130)</f>
        <v/>
      </c>
      <c r="N2130" s="21">
        <f>IF(B2130="","",IF(I2130="",IF(H2130="","",IF(TODAY()&gt;H2130,"Atrasado (em aberto)","Em aberto")),IF(I2130&lt;=H2130,"No prazo","Fora do prazo")))</f>
        <v/>
      </c>
    </row>
    <row r="2131">
      <c r="B2131" s="22" t="n"/>
      <c r="E2131" s="23" t="n"/>
      <c r="F2131" s="24" t="n"/>
      <c r="H2131" s="22" t="n"/>
      <c r="I2131" s="22" t="n"/>
      <c r="J2131" s="21">
        <f>IF(C2131="","",IFERROR(INDEX(Clientes!$B:$B,MATCH(C2131,Clientes!$A:$A,0)),"Cód. não cadastrado"))</f>
        <v/>
      </c>
      <c r="K2131" s="18">
        <f>IF(B2131="","",YEAR(B2131))</f>
        <v/>
      </c>
      <c r="L2131" s="18">
        <f>IF(B2131="","",MONTH(B2131))</f>
        <v/>
      </c>
      <c r="M2131" s="18">
        <f>IF(OR(B2131="",I2131=""),"",I2131-B2131)</f>
        <v/>
      </c>
      <c r="N2131" s="21">
        <f>IF(B2131="","",IF(I2131="",IF(H2131="","",IF(TODAY()&gt;H2131,"Atrasado (em aberto)","Em aberto")),IF(I2131&lt;=H2131,"No prazo","Fora do prazo")))</f>
        <v/>
      </c>
    </row>
    <row r="2132">
      <c r="B2132" s="22" t="n"/>
      <c r="E2132" s="23" t="n"/>
      <c r="F2132" s="24" t="n"/>
      <c r="H2132" s="22" t="n"/>
      <c r="I2132" s="22" t="n"/>
      <c r="J2132" s="21">
        <f>IF(C2132="","",IFERROR(INDEX(Clientes!$B:$B,MATCH(C2132,Clientes!$A:$A,0)),"Cód. não cadastrado"))</f>
        <v/>
      </c>
      <c r="K2132" s="18">
        <f>IF(B2132="","",YEAR(B2132))</f>
        <v/>
      </c>
      <c r="L2132" s="18">
        <f>IF(B2132="","",MONTH(B2132))</f>
        <v/>
      </c>
      <c r="M2132" s="18">
        <f>IF(OR(B2132="",I2132=""),"",I2132-B2132)</f>
        <v/>
      </c>
      <c r="N2132" s="21">
        <f>IF(B2132="","",IF(I2132="",IF(H2132="","",IF(TODAY()&gt;H2132,"Atrasado (em aberto)","Em aberto")),IF(I2132&lt;=H2132,"No prazo","Fora do prazo")))</f>
        <v/>
      </c>
    </row>
    <row r="2133">
      <c r="B2133" s="22" t="n"/>
      <c r="E2133" s="23" t="n"/>
      <c r="F2133" s="24" t="n"/>
      <c r="H2133" s="22" t="n"/>
      <c r="I2133" s="22" t="n"/>
      <c r="J2133" s="21">
        <f>IF(C2133="","",IFERROR(INDEX(Clientes!$B:$B,MATCH(C2133,Clientes!$A:$A,0)),"Cód. não cadastrado"))</f>
        <v/>
      </c>
      <c r="K2133" s="18">
        <f>IF(B2133="","",YEAR(B2133))</f>
        <v/>
      </c>
      <c r="L2133" s="18">
        <f>IF(B2133="","",MONTH(B2133))</f>
        <v/>
      </c>
      <c r="M2133" s="18">
        <f>IF(OR(B2133="",I2133=""),"",I2133-B2133)</f>
        <v/>
      </c>
      <c r="N2133" s="21">
        <f>IF(B2133="","",IF(I2133="",IF(H2133="","",IF(TODAY()&gt;H2133,"Atrasado (em aberto)","Em aberto")),IF(I2133&lt;=H2133,"No prazo","Fora do prazo")))</f>
        <v/>
      </c>
    </row>
    <row r="2134">
      <c r="B2134" s="22" t="n"/>
      <c r="E2134" s="23" t="n"/>
      <c r="F2134" s="24" t="n"/>
      <c r="H2134" s="22" t="n"/>
      <c r="I2134" s="22" t="n"/>
      <c r="J2134" s="21">
        <f>IF(C2134="","",IFERROR(INDEX(Clientes!$B:$B,MATCH(C2134,Clientes!$A:$A,0)),"Cód. não cadastrado"))</f>
        <v/>
      </c>
      <c r="K2134" s="18">
        <f>IF(B2134="","",YEAR(B2134))</f>
        <v/>
      </c>
      <c r="L2134" s="18">
        <f>IF(B2134="","",MONTH(B2134))</f>
        <v/>
      </c>
      <c r="M2134" s="18">
        <f>IF(OR(B2134="",I2134=""),"",I2134-B2134)</f>
        <v/>
      </c>
      <c r="N2134" s="21">
        <f>IF(B2134="","",IF(I2134="",IF(H2134="","",IF(TODAY()&gt;H2134,"Atrasado (em aberto)","Em aberto")),IF(I2134&lt;=H2134,"No prazo","Fora do prazo")))</f>
        <v/>
      </c>
    </row>
    <row r="2135">
      <c r="B2135" s="22" t="n"/>
      <c r="E2135" s="23" t="n"/>
      <c r="F2135" s="24" t="n"/>
      <c r="H2135" s="22" t="n"/>
      <c r="I2135" s="22" t="n"/>
      <c r="J2135" s="21">
        <f>IF(C2135="","",IFERROR(INDEX(Clientes!$B:$B,MATCH(C2135,Clientes!$A:$A,0)),"Cód. não cadastrado"))</f>
        <v/>
      </c>
      <c r="K2135" s="18">
        <f>IF(B2135="","",YEAR(B2135))</f>
        <v/>
      </c>
      <c r="L2135" s="18">
        <f>IF(B2135="","",MONTH(B2135))</f>
        <v/>
      </c>
      <c r="M2135" s="18">
        <f>IF(OR(B2135="",I2135=""),"",I2135-B2135)</f>
        <v/>
      </c>
      <c r="N2135" s="21">
        <f>IF(B2135="","",IF(I2135="",IF(H2135="","",IF(TODAY()&gt;H2135,"Atrasado (em aberto)","Em aberto")),IF(I2135&lt;=H2135,"No prazo","Fora do prazo")))</f>
        <v/>
      </c>
    </row>
    <row r="2136">
      <c r="B2136" s="22" t="n"/>
      <c r="E2136" s="23" t="n"/>
      <c r="F2136" s="24" t="n"/>
      <c r="H2136" s="22" t="n"/>
      <c r="I2136" s="22" t="n"/>
      <c r="J2136" s="21">
        <f>IF(C2136="","",IFERROR(INDEX(Clientes!$B:$B,MATCH(C2136,Clientes!$A:$A,0)),"Cód. não cadastrado"))</f>
        <v/>
      </c>
      <c r="K2136" s="18">
        <f>IF(B2136="","",YEAR(B2136))</f>
        <v/>
      </c>
      <c r="L2136" s="18">
        <f>IF(B2136="","",MONTH(B2136))</f>
        <v/>
      </c>
      <c r="M2136" s="18">
        <f>IF(OR(B2136="",I2136=""),"",I2136-B2136)</f>
        <v/>
      </c>
      <c r="N2136" s="21">
        <f>IF(B2136="","",IF(I2136="",IF(H2136="","",IF(TODAY()&gt;H2136,"Atrasado (em aberto)","Em aberto")),IF(I2136&lt;=H2136,"No prazo","Fora do prazo")))</f>
        <v/>
      </c>
    </row>
    <row r="2137">
      <c r="B2137" s="22" t="n"/>
      <c r="E2137" s="23" t="n"/>
      <c r="F2137" s="24" t="n"/>
      <c r="H2137" s="22" t="n"/>
      <c r="I2137" s="22" t="n"/>
      <c r="J2137" s="21">
        <f>IF(C2137="","",IFERROR(INDEX(Clientes!$B:$B,MATCH(C2137,Clientes!$A:$A,0)),"Cód. não cadastrado"))</f>
        <v/>
      </c>
      <c r="K2137" s="18">
        <f>IF(B2137="","",YEAR(B2137))</f>
        <v/>
      </c>
      <c r="L2137" s="18">
        <f>IF(B2137="","",MONTH(B2137))</f>
        <v/>
      </c>
      <c r="M2137" s="18">
        <f>IF(OR(B2137="",I2137=""),"",I2137-B2137)</f>
        <v/>
      </c>
      <c r="N2137" s="21">
        <f>IF(B2137="","",IF(I2137="",IF(H2137="","",IF(TODAY()&gt;H2137,"Atrasado (em aberto)","Em aberto")),IF(I2137&lt;=H2137,"No prazo","Fora do prazo")))</f>
        <v/>
      </c>
    </row>
    <row r="2138">
      <c r="B2138" s="22" t="n"/>
      <c r="E2138" s="23" t="n"/>
      <c r="F2138" s="24" t="n"/>
      <c r="H2138" s="22" t="n"/>
      <c r="I2138" s="22" t="n"/>
      <c r="J2138" s="21">
        <f>IF(C2138="","",IFERROR(INDEX(Clientes!$B:$B,MATCH(C2138,Clientes!$A:$A,0)),"Cód. não cadastrado"))</f>
        <v/>
      </c>
      <c r="K2138" s="18">
        <f>IF(B2138="","",YEAR(B2138))</f>
        <v/>
      </c>
      <c r="L2138" s="18">
        <f>IF(B2138="","",MONTH(B2138))</f>
        <v/>
      </c>
      <c r="M2138" s="18">
        <f>IF(OR(B2138="",I2138=""),"",I2138-B2138)</f>
        <v/>
      </c>
      <c r="N2138" s="21">
        <f>IF(B2138="","",IF(I2138="",IF(H2138="","",IF(TODAY()&gt;H2138,"Atrasado (em aberto)","Em aberto")),IF(I2138&lt;=H2138,"No prazo","Fora do prazo")))</f>
        <v/>
      </c>
    </row>
    <row r="2139">
      <c r="B2139" s="22" t="n"/>
      <c r="E2139" s="23" t="n"/>
      <c r="F2139" s="24" t="n"/>
      <c r="H2139" s="22" t="n"/>
      <c r="I2139" s="22" t="n"/>
      <c r="J2139" s="21">
        <f>IF(C2139="","",IFERROR(INDEX(Clientes!$B:$B,MATCH(C2139,Clientes!$A:$A,0)),"Cód. não cadastrado"))</f>
        <v/>
      </c>
      <c r="K2139" s="18">
        <f>IF(B2139="","",YEAR(B2139))</f>
        <v/>
      </c>
      <c r="L2139" s="18">
        <f>IF(B2139="","",MONTH(B2139))</f>
        <v/>
      </c>
      <c r="M2139" s="18">
        <f>IF(OR(B2139="",I2139=""),"",I2139-B2139)</f>
        <v/>
      </c>
      <c r="N2139" s="21">
        <f>IF(B2139="","",IF(I2139="",IF(H2139="","",IF(TODAY()&gt;H2139,"Atrasado (em aberto)","Em aberto")),IF(I2139&lt;=H2139,"No prazo","Fora do prazo")))</f>
        <v/>
      </c>
    </row>
    <row r="2140">
      <c r="B2140" s="22" t="n"/>
      <c r="E2140" s="23" t="n"/>
      <c r="F2140" s="24" t="n"/>
      <c r="H2140" s="22" t="n"/>
      <c r="I2140" s="22" t="n"/>
      <c r="J2140" s="21">
        <f>IF(C2140="","",IFERROR(INDEX(Clientes!$B:$B,MATCH(C2140,Clientes!$A:$A,0)),"Cód. não cadastrado"))</f>
        <v/>
      </c>
      <c r="K2140" s="18">
        <f>IF(B2140="","",YEAR(B2140))</f>
        <v/>
      </c>
      <c r="L2140" s="18">
        <f>IF(B2140="","",MONTH(B2140))</f>
        <v/>
      </c>
      <c r="M2140" s="18">
        <f>IF(OR(B2140="",I2140=""),"",I2140-B2140)</f>
        <v/>
      </c>
      <c r="N2140" s="21">
        <f>IF(B2140="","",IF(I2140="",IF(H2140="","",IF(TODAY()&gt;H2140,"Atrasado (em aberto)","Em aberto")),IF(I2140&lt;=H2140,"No prazo","Fora do prazo")))</f>
        <v/>
      </c>
    </row>
    <row r="2141">
      <c r="B2141" s="22" t="n"/>
      <c r="E2141" s="23" t="n"/>
      <c r="F2141" s="24" t="n"/>
      <c r="H2141" s="22" t="n"/>
      <c r="I2141" s="22" t="n"/>
      <c r="J2141" s="21">
        <f>IF(C2141="","",IFERROR(INDEX(Clientes!$B:$B,MATCH(C2141,Clientes!$A:$A,0)),"Cód. não cadastrado"))</f>
        <v/>
      </c>
      <c r="K2141" s="18">
        <f>IF(B2141="","",YEAR(B2141))</f>
        <v/>
      </c>
      <c r="L2141" s="18">
        <f>IF(B2141="","",MONTH(B2141))</f>
        <v/>
      </c>
      <c r="M2141" s="18">
        <f>IF(OR(B2141="",I2141=""),"",I2141-B2141)</f>
        <v/>
      </c>
      <c r="N2141" s="21">
        <f>IF(B2141="","",IF(I2141="",IF(H2141="","",IF(TODAY()&gt;H2141,"Atrasado (em aberto)","Em aberto")),IF(I2141&lt;=H2141,"No prazo","Fora do prazo")))</f>
        <v/>
      </c>
    </row>
    <row r="2142">
      <c r="B2142" s="22" t="n"/>
      <c r="E2142" s="23" t="n"/>
      <c r="F2142" s="24" t="n"/>
      <c r="H2142" s="22" t="n"/>
      <c r="I2142" s="22" t="n"/>
      <c r="J2142" s="21">
        <f>IF(C2142="","",IFERROR(INDEX(Clientes!$B:$B,MATCH(C2142,Clientes!$A:$A,0)),"Cód. não cadastrado"))</f>
        <v/>
      </c>
      <c r="K2142" s="18">
        <f>IF(B2142="","",YEAR(B2142))</f>
        <v/>
      </c>
      <c r="L2142" s="18">
        <f>IF(B2142="","",MONTH(B2142))</f>
        <v/>
      </c>
      <c r="M2142" s="18">
        <f>IF(OR(B2142="",I2142=""),"",I2142-B2142)</f>
        <v/>
      </c>
      <c r="N2142" s="21">
        <f>IF(B2142="","",IF(I2142="",IF(H2142="","",IF(TODAY()&gt;H2142,"Atrasado (em aberto)","Em aberto")),IF(I2142&lt;=H2142,"No prazo","Fora do prazo")))</f>
        <v/>
      </c>
    </row>
    <row r="2143">
      <c r="B2143" s="22" t="n"/>
      <c r="E2143" s="23" t="n"/>
      <c r="F2143" s="24" t="n"/>
      <c r="H2143" s="22" t="n"/>
      <c r="I2143" s="22" t="n"/>
      <c r="J2143" s="21">
        <f>IF(C2143="","",IFERROR(INDEX(Clientes!$B:$B,MATCH(C2143,Clientes!$A:$A,0)),"Cód. não cadastrado"))</f>
        <v/>
      </c>
      <c r="K2143" s="18">
        <f>IF(B2143="","",YEAR(B2143))</f>
        <v/>
      </c>
      <c r="L2143" s="18">
        <f>IF(B2143="","",MONTH(B2143))</f>
        <v/>
      </c>
      <c r="M2143" s="18">
        <f>IF(OR(B2143="",I2143=""),"",I2143-B2143)</f>
        <v/>
      </c>
      <c r="N2143" s="21">
        <f>IF(B2143="","",IF(I2143="",IF(H2143="","",IF(TODAY()&gt;H2143,"Atrasado (em aberto)","Em aberto")),IF(I2143&lt;=H2143,"No prazo","Fora do prazo")))</f>
        <v/>
      </c>
    </row>
    <row r="2144">
      <c r="B2144" s="22" t="n"/>
      <c r="E2144" s="23" t="n"/>
      <c r="F2144" s="24" t="n"/>
      <c r="H2144" s="22" t="n"/>
      <c r="I2144" s="22" t="n"/>
      <c r="J2144" s="21">
        <f>IF(C2144="","",IFERROR(INDEX(Clientes!$B:$B,MATCH(C2144,Clientes!$A:$A,0)),"Cód. não cadastrado"))</f>
        <v/>
      </c>
      <c r="K2144" s="18">
        <f>IF(B2144="","",YEAR(B2144))</f>
        <v/>
      </c>
      <c r="L2144" s="18">
        <f>IF(B2144="","",MONTH(B2144))</f>
        <v/>
      </c>
      <c r="M2144" s="18">
        <f>IF(OR(B2144="",I2144=""),"",I2144-B2144)</f>
        <v/>
      </c>
      <c r="N2144" s="21">
        <f>IF(B2144="","",IF(I2144="",IF(H2144="","",IF(TODAY()&gt;H2144,"Atrasado (em aberto)","Em aberto")),IF(I2144&lt;=H2144,"No prazo","Fora do prazo")))</f>
        <v/>
      </c>
    </row>
    <row r="2145">
      <c r="B2145" s="22" t="n"/>
      <c r="E2145" s="23" t="n"/>
      <c r="F2145" s="24" t="n"/>
      <c r="H2145" s="22" t="n"/>
      <c r="I2145" s="22" t="n"/>
      <c r="J2145" s="21">
        <f>IF(C2145="","",IFERROR(INDEX(Clientes!$B:$B,MATCH(C2145,Clientes!$A:$A,0)),"Cód. não cadastrado"))</f>
        <v/>
      </c>
      <c r="K2145" s="18">
        <f>IF(B2145="","",YEAR(B2145))</f>
        <v/>
      </c>
      <c r="L2145" s="18">
        <f>IF(B2145="","",MONTH(B2145))</f>
        <v/>
      </c>
      <c r="M2145" s="18">
        <f>IF(OR(B2145="",I2145=""),"",I2145-B2145)</f>
        <v/>
      </c>
      <c r="N2145" s="21">
        <f>IF(B2145="","",IF(I2145="",IF(H2145="","",IF(TODAY()&gt;H2145,"Atrasado (em aberto)","Em aberto")),IF(I2145&lt;=H2145,"No prazo","Fora do prazo")))</f>
        <v/>
      </c>
    </row>
    <row r="2146">
      <c r="B2146" s="22" t="n"/>
      <c r="E2146" s="23" t="n"/>
      <c r="F2146" s="24" t="n"/>
      <c r="H2146" s="22" t="n"/>
      <c r="I2146" s="22" t="n"/>
      <c r="J2146" s="21">
        <f>IF(C2146="","",IFERROR(INDEX(Clientes!$B:$B,MATCH(C2146,Clientes!$A:$A,0)),"Cód. não cadastrado"))</f>
        <v/>
      </c>
      <c r="K2146" s="18">
        <f>IF(B2146="","",YEAR(B2146))</f>
        <v/>
      </c>
      <c r="L2146" s="18">
        <f>IF(B2146="","",MONTH(B2146))</f>
        <v/>
      </c>
      <c r="M2146" s="18">
        <f>IF(OR(B2146="",I2146=""),"",I2146-B2146)</f>
        <v/>
      </c>
      <c r="N2146" s="21">
        <f>IF(B2146="","",IF(I2146="",IF(H2146="","",IF(TODAY()&gt;H2146,"Atrasado (em aberto)","Em aberto")),IF(I2146&lt;=H2146,"No prazo","Fora do prazo")))</f>
        <v/>
      </c>
    </row>
    <row r="2147">
      <c r="B2147" s="22" t="n"/>
      <c r="E2147" s="23" t="n"/>
      <c r="F2147" s="24" t="n"/>
      <c r="H2147" s="22" t="n"/>
      <c r="I2147" s="22" t="n"/>
      <c r="J2147" s="21">
        <f>IF(C2147="","",IFERROR(INDEX(Clientes!$B:$B,MATCH(C2147,Clientes!$A:$A,0)),"Cód. não cadastrado"))</f>
        <v/>
      </c>
      <c r="K2147" s="18">
        <f>IF(B2147="","",YEAR(B2147))</f>
        <v/>
      </c>
      <c r="L2147" s="18">
        <f>IF(B2147="","",MONTH(B2147))</f>
        <v/>
      </c>
      <c r="M2147" s="18">
        <f>IF(OR(B2147="",I2147=""),"",I2147-B2147)</f>
        <v/>
      </c>
      <c r="N2147" s="21">
        <f>IF(B2147="","",IF(I2147="",IF(H2147="","",IF(TODAY()&gt;H2147,"Atrasado (em aberto)","Em aberto")),IF(I2147&lt;=H2147,"No prazo","Fora do prazo")))</f>
        <v/>
      </c>
    </row>
    <row r="2148">
      <c r="B2148" s="22" t="n"/>
      <c r="E2148" s="23" t="n"/>
      <c r="F2148" s="24" t="n"/>
      <c r="H2148" s="22" t="n"/>
      <c r="I2148" s="22" t="n"/>
      <c r="J2148" s="21">
        <f>IF(C2148="","",IFERROR(INDEX(Clientes!$B:$B,MATCH(C2148,Clientes!$A:$A,0)),"Cód. não cadastrado"))</f>
        <v/>
      </c>
      <c r="K2148" s="18">
        <f>IF(B2148="","",YEAR(B2148))</f>
        <v/>
      </c>
      <c r="L2148" s="18">
        <f>IF(B2148="","",MONTH(B2148))</f>
        <v/>
      </c>
      <c r="M2148" s="18">
        <f>IF(OR(B2148="",I2148=""),"",I2148-B2148)</f>
        <v/>
      </c>
      <c r="N2148" s="21">
        <f>IF(B2148="","",IF(I2148="",IF(H2148="","",IF(TODAY()&gt;H2148,"Atrasado (em aberto)","Em aberto")),IF(I2148&lt;=H2148,"No prazo","Fora do prazo")))</f>
        <v/>
      </c>
    </row>
    <row r="2149">
      <c r="B2149" s="22" t="n"/>
      <c r="E2149" s="23" t="n"/>
      <c r="F2149" s="24" t="n"/>
      <c r="H2149" s="22" t="n"/>
      <c r="I2149" s="22" t="n"/>
      <c r="J2149" s="21">
        <f>IF(C2149="","",IFERROR(INDEX(Clientes!$B:$B,MATCH(C2149,Clientes!$A:$A,0)),"Cód. não cadastrado"))</f>
        <v/>
      </c>
      <c r="K2149" s="18">
        <f>IF(B2149="","",YEAR(B2149))</f>
        <v/>
      </c>
      <c r="L2149" s="18">
        <f>IF(B2149="","",MONTH(B2149))</f>
        <v/>
      </c>
      <c r="M2149" s="18">
        <f>IF(OR(B2149="",I2149=""),"",I2149-B2149)</f>
        <v/>
      </c>
      <c r="N2149" s="21">
        <f>IF(B2149="","",IF(I2149="",IF(H2149="","",IF(TODAY()&gt;H2149,"Atrasado (em aberto)","Em aberto")),IF(I2149&lt;=H2149,"No prazo","Fora do prazo")))</f>
        <v/>
      </c>
    </row>
    <row r="2150">
      <c r="B2150" s="22" t="n"/>
      <c r="E2150" s="23" t="n"/>
      <c r="F2150" s="24" t="n"/>
      <c r="H2150" s="22" t="n"/>
      <c r="I2150" s="22" t="n"/>
      <c r="J2150" s="21">
        <f>IF(C2150="","",IFERROR(INDEX(Clientes!$B:$B,MATCH(C2150,Clientes!$A:$A,0)),"Cód. não cadastrado"))</f>
        <v/>
      </c>
      <c r="K2150" s="18">
        <f>IF(B2150="","",YEAR(B2150))</f>
        <v/>
      </c>
      <c r="L2150" s="18">
        <f>IF(B2150="","",MONTH(B2150))</f>
        <v/>
      </c>
      <c r="M2150" s="18">
        <f>IF(OR(B2150="",I2150=""),"",I2150-B2150)</f>
        <v/>
      </c>
      <c r="N2150" s="21">
        <f>IF(B2150="","",IF(I2150="",IF(H2150="","",IF(TODAY()&gt;H2150,"Atrasado (em aberto)","Em aberto")),IF(I2150&lt;=H2150,"No prazo","Fora do prazo")))</f>
        <v/>
      </c>
    </row>
    <row r="2151">
      <c r="B2151" s="22" t="n"/>
      <c r="E2151" s="23" t="n"/>
      <c r="F2151" s="24" t="n"/>
      <c r="H2151" s="22" t="n"/>
      <c r="I2151" s="22" t="n"/>
      <c r="J2151" s="21">
        <f>IF(C2151="","",IFERROR(INDEX(Clientes!$B:$B,MATCH(C2151,Clientes!$A:$A,0)),"Cód. não cadastrado"))</f>
        <v/>
      </c>
      <c r="K2151" s="18">
        <f>IF(B2151="","",YEAR(B2151))</f>
        <v/>
      </c>
      <c r="L2151" s="18">
        <f>IF(B2151="","",MONTH(B2151))</f>
        <v/>
      </c>
      <c r="M2151" s="18">
        <f>IF(OR(B2151="",I2151=""),"",I2151-B2151)</f>
        <v/>
      </c>
      <c r="N2151" s="21">
        <f>IF(B2151="","",IF(I2151="",IF(H2151="","",IF(TODAY()&gt;H2151,"Atrasado (em aberto)","Em aberto")),IF(I2151&lt;=H2151,"No prazo","Fora do prazo")))</f>
        <v/>
      </c>
    </row>
    <row r="2152">
      <c r="B2152" s="22" t="n"/>
      <c r="E2152" s="23" t="n"/>
      <c r="F2152" s="24" t="n"/>
      <c r="H2152" s="22" t="n"/>
      <c r="I2152" s="22" t="n"/>
      <c r="J2152" s="21">
        <f>IF(C2152="","",IFERROR(INDEX(Clientes!$B:$B,MATCH(C2152,Clientes!$A:$A,0)),"Cód. não cadastrado"))</f>
        <v/>
      </c>
      <c r="K2152" s="18">
        <f>IF(B2152="","",YEAR(B2152))</f>
        <v/>
      </c>
      <c r="L2152" s="18">
        <f>IF(B2152="","",MONTH(B2152))</f>
        <v/>
      </c>
      <c r="M2152" s="18">
        <f>IF(OR(B2152="",I2152=""),"",I2152-B2152)</f>
        <v/>
      </c>
      <c r="N2152" s="21">
        <f>IF(B2152="","",IF(I2152="",IF(H2152="","",IF(TODAY()&gt;H2152,"Atrasado (em aberto)","Em aberto")),IF(I2152&lt;=H2152,"No prazo","Fora do prazo")))</f>
        <v/>
      </c>
    </row>
    <row r="2153">
      <c r="B2153" s="22" t="n"/>
      <c r="E2153" s="23" t="n"/>
      <c r="F2153" s="24" t="n"/>
      <c r="H2153" s="22" t="n"/>
      <c r="I2153" s="22" t="n"/>
      <c r="J2153" s="21">
        <f>IF(C2153="","",IFERROR(INDEX(Clientes!$B:$B,MATCH(C2153,Clientes!$A:$A,0)),"Cód. não cadastrado"))</f>
        <v/>
      </c>
      <c r="K2153" s="18">
        <f>IF(B2153="","",YEAR(B2153))</f>
        <v/>
      </c>
      <c r="L2153" s="18">
        <f>IF(B2153="","",MONTH(B2153))</f>
        <v/>
      </c>
      <c r="M2153" s="18">
        <f>IF(OR(B2153="",I2153=""),"",I2153-B2153)</f>
        <v/>
      </c>
      <c r="N2153" s="21">
        <f>IF(B2153="","",IF(I2153="",IF(H2153="","",IF(TODAY()&gt;H2153,"Atrasado (em aberto)","Em aberto")),IF(I2153&lt;=H2153,"No prazo","Fora do prazo")))</f>
        <v/>
      </c>
    </row>
    <row r="2154">
      <c r="B2154" s="22" t="n"/>
      <c r="E2154" s="23" t="n"/>
      <c r="F2154" s="24" t="n"/>
      <c r="H2154" s="22" t="n"/>
      <c r="I2154" s="22" t="n"/>
      <c r="J2154" s="21">
        <f>IF(C2154="","",IFERROR(INDEX(Clientes!$B:$B,MATCH(C2154,Clientes!$A:$A,0)),"Cód. não cadastrado"))</f>
        <v/>
      </c>
      <c r="K2154" s="18">
        <f>IF(B2154="","",YEAR(B2154))</f>
        <v/>
      </c>
      <c r="L2154" s="18">
        <f>IF(B2154="","",MONTH(B2154))</f>
        <v/>
      </c>
      <c r="M2154" s="18">
        <f>IF(OR(B2154="",I2154=""),"",I2154-B2154)</f>
        <v/>
      </c>
      <c r="N2154" s="21">
        <f>IF(B2154="","",IF(I2154="",IF(H2154="","",IF(TODAY()&gt;H2154,"Atrasado (em aberto)","Em aberto")),IF(I2154&lt;=H2154,"No prazo","Fora do prazo")))</f>
        <v/>
      </c>
    </row>
    <row r="2155">
      <c r="B2155" s="22" t="n"/>
      <c r="E2155" s="23" t="n"/>
      <c r="F2155" s="24" t="n"/>
      <c r="H2155" s="22" t="n"/>
      <c r="I2155" s="22" t="n"/>
      <c r="J2155" s="21">
        <f>IF(C2155="","",IFERROR(INDEX(Clientes!$B:$B,MATCH(C2155,Clientes!$A:$A,0)),"Cód. não cadastrado"))</f>
        <v/>
      </c>
      <c r="K2155" s="18">
        <f>IF(B2155="","",YEAR(B2155))</f>
        <v/>
      </c>
      <c r="L2155" s="18">
        <f>IF(B2155="","",MONTH(B2155))</f>
        <v/>
      </c>
      <c r="M2155" s="18">
        <f>IF(OR(B2155="",I2155=""),"",I2155-B2155)</f>
        <v/>
      </c>
      <c r="N2155" s="21">
        <f>IF(B2155="","",IF(I2155="",IF(H2155="","",IF(TODAY()&gt;H2155,"Atrasado (em aberto)","Em aberto")),IF(I2155&lt;=H2155,"No prazo","Fora do prazo")))</f>
        <v/>
      </c>
    </row>
    <row r="2156">
      <c r="B2156" s="22" t="n"/>
      <c r="E2156" s="23" t="n"/>
      <c r="F2156" s="24" t="n"/>
      <c r="H2156" s="22" t="n"/>
      <c r="I2156" s="22" t="n"/>
      <c r="J2156" s="21">
        <f>IF(C2156="","",IFERROR(INDEX(Clientes!$B:$B,MATCH(C2156,Clientes!$A:$A,0)),"Cód. não cadastrado"))</f>
        <v/>
      </c>
      <c r="K2156" s="18">
        <f>IF(B2156="","",YEAR(B2156))</f>
        <v/>
      </c>
      <c r="L2156" s="18">
        <f>IF(B2156="","",MONTH(B2156))</f>
        <v/>
      </c>
      <c r="M2156" s="18">
        <f>IF(OR(B2156="",I2156=""),"",I2156-B2156)</f>
        <v/>
      </c>
      <c r="N2156" s="21">
        <f>IF(B2156="","",IF(I2156="",IF(H2156="","",IF(TODAY()&gt;H2156,"Atrasado (em aberto)","Em aberto")),IF(I2156&lt;=H2156,"No prazo","Fora do prazo")))</f>
        <v/>
      </c>
    </row>
    <row r="2157">
      <c r="B2157" s="22" t="n"/>
      <c r="E2157" s="23" t="n"/>
      <c r="F2157" s="24" t="n"/>
      <c r="H2157" s="22" t="n"/>
      <c r="I2157" s="22" t="n"/>
      <c r="J2157" s="21">
        <f>IF(C2157="","",IFERROR(INDEX(Clientes!$B:$B,MATCH(C2157,Clientes!$A:$A,0)),"Cód. não cadastrado"))</f>
        <v/>
      </c>
      <c r="K2157" s="18">
        <f>IF(B2157="","",YEAR(B2157))</f>
        <v/>
      </c>
      <c r="L2157" s="18">
        <f>IF(B2157="","",MONTH(B2157))</f>
        <v/>
      </c>
      <c r="M2157" s="18">
        <f>IF(OR(B2157="",I2157=""),"",I2157-B2157)</f>
        <v/>
      </c>
      <c r="N2157" s="21">
        <f>IF(B2157="","",IF(I2157="",IF(H2157="","",IF(TODAY()&gt;H2157,"Atrasado (em aberto)","Em aberto")),IF(I2157&lt;=H2157,"No prazo","Fora do prazo")))</f>
        <v/>
      </c>
    </row>
    <row r="2158">
      <c r="B2158" s="22" t="n"/>
      <c r="E2158" s="23" t="n"/>
      <c r="F2158" s="24" t="n"/>
      <c r="H2158" s="22" t="n"/>
      <c r="I2158" s="22" t="n"/>
      <c r="J2158" s="21">
        <f>IF(C2158="","",IFERROR(INDEX(Clientes!$B:$B,MATCH(C2158,Clientes!$A:$A,0)),"Cód. não cadastrado"))</f>
        <v/>
      </c>
      <c r="K2158" s="18">
        <f>IF(B2158="","",YEAR(B2158))</f>
        <v/>
      </c>
      <c r="L2158" s="18">
        <f>IF(B2158="","",MONTH(B2158))</f>
        <v/>
      </c>
      <c r="M2158" s="18">
        <f>IF(OR(B2158="",I2158=""),"",I2158-B2158)</f>
        <v/>
      </c>
      <c r="N2158" s="21">
        <f>IF(B2158="","",IF(I2158="",IF(H2158="","",IF(TODAY()&gt;H2158,"Atrasado (em aberto)","Em aberto")),IF(I2158&lt;=H2158,"No prazo","Fora do prazo")))</f>
        <v/>
      </c>
    </row>
    <row r="2159">
      <c r="B2159" s="22" t="n"/>
      <c r="E2159" s="23" t="n"/>
      <c r="F2159" s="24" t="n"/>
      <c r="H2159" s="22" t="n"/>
      <c r="I2159" s="22" t="n"/>
      <c r="J2159" s="21">
        <f>IF(C2159="","",IFERROR(INDEX(Clientes!$B:$B,MATCH(C2159,Clientes!$A:$A,0)),"Cód. não cadastrado"))</f>
        <v/>
      </c>
      <c r="K2159" s="18">
        <f>IF(B2159="","",YEAR(B2159))</f>
        <v/>
      </c>
      <c r="L2159" s="18">
        <f>IF(B2159="","",MONTH(B2159))</f>
        <v/>
      </c>
      <c r="M2159" s="18">
        <f>IF(OR(B2159="",I2159=""),"",I2159-B2159)</f>
        <v/>
      </c>
      <c r="N2159" s="21">
        <f>IF(B2159="","",IF(I2159="",IF(H2159="","",IF(TODAY()&gt;H2159,"Atrasado (em aberto)","Em aberto")),IF(I2159&lt;=H2159,"No prazo","Fora do prazo")))</f>
        <v/>
      </c>
    </row>
    <row r="2160">
      <c r="B2160" s="22" t="n"/>
      <c r="E2160" s="23" t="n"/>
      <c r="F2160" s="24" t="n"/>
      <c r="H2160" s="22" t="n"/>
      <c r="I2160" s="22" t="n"/>
      <c r="J2160" s="21">
        <f>IF(C2160="","",IFERROR(INDEX(Clientes!$B:$B,MATCH(C2160,Clientes!$A:$A,0)),"Cód. não cadastrado"))</f>
        <v/>
      </c>
      <c r="K2160" s="18">
        <f>IF(B2160="","",YEAR(B2160))</f>
        <v/>
      </c>
      <c r="L2160" s="18">
        <f>IF(B2160="","",MONTH(B2160))</f>
        <v/>
      </c>
      <c r="M2160" s="18">
        <f>IF(OR(B2160="",I2160=""),"",I2160-B2160)</f>
        <v/>
      </c>
      <c r="N2160" s="21">
        <f>IF(B2160="","",IF(I2160="",IF(H2160="","",IF(TODAY()&gt;H2160,"Atrasado (em aberto)","Em aberto")),IF(I2160&lt;=H2160,"No prazo","Fora do prazo")))</f>
        <v/>
      </c>
    </row>
    <row r="2161">
      <c r="B2161" s="22" t="n"/>
      <c r="E2161" s="23" t="n"/>
      <c r="F2161" s="24" t="n"/>
      <c r="H2161" s="22" t="n"/>
      <c r="I2161" s="22" t="n"/>
      <c r="J2161" s="21">
        <f>IF(C2161="","",IFERROR(INDEX(Clientes!$B:$B,MATCH(C2161,Clientes!$A:$A,0)),"Cód. não cadastrado"))</f>
        <v/>
      </c>
      <c r="K2161" s="18">
        <f>IF(B2161="","",YEAR(B2161))</f>
        <v/>
      </c>
      <c r="L2161" s="18">
        <f>IF(B2161="","",MONTH(B2161))</f>
        <v/>
      </c>
      <c r="M2161" s="18">
        <f>IF(OR(B2161="",I2161=""),"",I2161-B2161)</f>
        <v/>
      </c>
      <c r="N2161" s="21">
        <f>IF(B2161="","",IF(I2161="",IF(H2161="","",IF(TODAY()&gt;H2161,"Atrasado (em aberto)","Em aberto")),IF(I2161&lt;=H2161,"No prazo","Fora do prazo")))</f>
        <v/>
      </c>
    </row>
    <row r="2162">
      <c r="B2162" s="22" t="n"/>
      <c r="E2162" s="23" t="n"/>
      <c r="F2162" s="24" t="n"/>
      <c r="H2162" s="22" t="n"/>
      <c r="I2162" s="22" t="n"/>
      <c r="J2162" s="21">
        <f>IF(C2162="","",IFERROR(INDEX(Clientes!$B:$B,MATCH(C2162,Clientes!$A:$A,0)),"Cód. não cadastrado"))</f>
        <v/>
      </c>
      <c r="K2162" s="18">
        <f>IF(B2162="","",YEAR(B2162))</f>
        <v/>
      </c>
      <c r="L2162" s="18">
        <f>IF(B2162="","",MONTH(B2162))</f>
        <v/>
      </c>
      <c r="M2162" s="18">
        <f>IF(OR(B2162="",I2162=""),"",I2162-B2162)</f>
        <v/>
      </c>
      <c r="N2162" s="21">
        <f>IF(B2162="","",IF(I2162="",IF(H2162="","",IF(TODAY()&gt;H2162,"Atrasado (em aberto)","Em aberto")),IF(I2162&lt;=H2162,"No prazo","Fora do prazo")))</f>
        <v/>
      </c>
    </row>
    <row r="2163">
      <c r="B2163" s="22" t="n"/>
      <c r="E2163" s="23" t="n"/>
      <c r="F2163" s="24" t="n"/>
      <c r="H2163" s="22" t="n"/>
      <c r="I2163" s="22" t="n"/>
      <c r="J2163" s="21">
        <f>IF(C2163="","",IFERROR(INDEX(Clientes!$B:$B,MATCH(C2163,Clientes!$A:$A,0)),"Cód. não cadastrado"))</f>
        <v/>
      </c>
      <c r="K2163" s="18">
        <f>IF(B2163="","",YEAR(B2163))</f>
        <v/>
      </c>
      <c r="L2163" s="18">
        <f>IF(B2163="","",MONTH(B2163))</f>
        <v/>
      </c>
      <c r="M2163" s="18">
        <f>IF(OR(B2163="",I2163=""),"",I2163-B2163)</f>
        <v/>
      </c>
      <c r="N2163" s="21">
        <f>IF(B2163="","",IF(I2163="",IF(H2163="","",IF(TODAY()&gt;H2163,"Atrasado (em aberto)","Em aberto")),IF(I2163&lt;=H2163,"No prazo","Fora do prazo")))</f>
        <v/>
      </c>
    </row>
    <row r="2164">
      <c r="B2164" s="22" t="n"/>
      <c r="E2164" s="23" t="n"/>
      <c r="F2164" s="24" t="n"/>
      <c r="H2164" s="22" t="n"/>
      <c r="I2164" s="22" t="n"/>
      <c r="J2164" s="21">
        <f>IF(C2164="","",IFERROR(INDEX(Clientes!$B:$B,MATCH(C2164,Clientes!$A:$A,0)),"Cód. não cadastrado"))</f>
        <v/>
      </c>
      <c r="K2164" s="18">
        <f>IF(B2164="","",YEAR(B2164))</f>
        <v/>
      </c>
      <c r="L2164" s="18">
        <f>IF(B2164="","",MONTH(B2164))</f>
        <v/>
      </c>
      <c r="M2164" s="18">
        <f>IF(OR(B2164="",I2164=""),"",I2164-B2164)</f>
        <v/>
      </c>
      <c r="N2164" s="21">
        <f>IF(B2164="","",IF(I2164="",IF(H2164="","",IF(TODAY()&gt;H2164,"Atrasado (em aberto)","Em aberto")),IF(I2164&lt;=H2164,"No prazo","Fora do prazo")))</f>
        <v/>
      </c>
    </row>
    <row r="2165">
      <c r="B2165" s="22" t="n"/>
      <c r="E2165" s="23" t="n"/>
      <c r="F2165" s="24" t="n"/>
      <c r="H2165" s="22" t="n"/>
      <c r="I2165" s="22" t="n"/>
      <c r="J2165" s="21">
        <f>IF(C2165="","",IFERROR(INDEX(Clientes!$B:$B,MATCH(C2165,Clientes!$A:$A,0)),"Cód. não cadastrado"))</f>
        <v/>
      </c>
      <c r="K2165" s="18">
        <f>IF(B2165="","",YEAR(B2165))</f>
        <v/>
      </c>
      <c r="L2165" s="18">
        <f>IF(B2165="","",MONTH(B2165))</f>
        <v/>
      </c>
      <c r="M2165" s="18">
        <f>IF(OR(B2165="",I2165=""),"",I2165-B2165)</f>
        <v/>
      </c>
      <c r="N2165" s="21">
        <f>IF(B2165="","",IF(I2165="",IF(H2165="","",IF(TODAY()&gt;H2165,"Atrasado (em aberto)","Em aberto")),IF(I2165&lt;=H2165,"No prazo","Fora do prazo")))</f>
        <v/>
      </c>
    </row>
    <row r="2166">
      <c r="B2166" s="22" t="n"/>
      <c r="E2166" s="23" t="n"/>
      <c r="F2166" s="24" t="n"/>
      <c r="H2166" s="22" t="n"/>
      <c r="I2166" s="22" t="n"/>
      <c r="J2166" s="21">
        <f>IF(C2166="","",IFERROR(INDEX(Clientes!$B:$B,MATCH(C2166,Clientes!$A:$A,0)),"Cód. não cadastrado"))</f>
        <v/>
      </c>
      <c r="K2166" s="18">
        <f>IF(B2166="","",YEAR(B2166))</f>
        <v/>
      </c>
      <c r="L2166" s="18">
        <f>IF(B2166="","",MONTH(B2166))</f>
        <v/>
      </c>
      <c r="M2166" s="18">
        <f>IF(OR(B2166="",I2166=""),"",I2166-B2166)</f>
        <v/>
      </c>
      <c r="N2166" s="21">
        <f>IF(B2166="","",IF(I2166="",IF(H2166="","",IF(TODAY()&gt;H2166,"Atrasado (em aberto)","Em aberto")),IF(I2166&lt;=H2166,"No prazo","Fora do prazo")))</f>
        <v/>
      </c>
    </row>
    <row r="2167">
      <c r="B2167" s="22" t="n"/>
      <c r="E2167" s="23" t="n"/>
      <c r="F2167" s="24" t="n"/>
      <c r="H2167" s="22" t="n"/>
      <c r="I2167" s="22" t="n"/>
      <c r="J2167" s="21">
        <f>IF(C2167="","",IFERROR(INDEX(Clientes!$B:$B,MATCH(C2167,Clientes!$A:$A,0)),"Cód. não cadastrado"))</f>
        <v/>
      </c>
      <c r="K2167" s="18">
        <f>IF(B2167="","",YEAR(B2167))</f>
        <v/>
      </c>
      <c r="L2167" s="18">
        <f>IF(B2167="","",MONTH(B2167))</f>
        <v/>
      </c>
      <c r="M2167" s="18">
        <f>IF(OR(B2167="",I2167=""),"",I2167-B2167)</f>
        <v/>
      </c>
      <c r="N2167" s="21">
        <f>IF(B2167="","",IF(I2167="",IF(H2167="","",IF(TODAY()&gt;H2167,"Atrasado (em aberto)","Em aberto")),IF(I2167&lt;=H2167,"No prazo","Fora do prazo")))</f>
        <v/>
      </c>
    </row>
    <row r="2168">
      <c r="B2168" s="22" t="n"/>
      <c r="E2168" s="23" t="n"/>
      <c r="F2168" s="24" t="n"/>
      <c r="H2168" s="22" t="n"/>
      <c r="I2168" s="22" t="n"/>
      <c r="J2168" s="21">
        <f>IF(C2168="","",IFERROR(INDEX(Clientes!$B:$B,MATCH(C2168,Clientes!$A:$A,0)),"Cód. não cadastrado"))</f>
        <v/>
      </c>
      <c r="K2168" s="18">
        <f>IF(B2168="","",YEAR(B2168))</f>
        <v/>
      </c>
      <c r="L2168" s="18">
        <f>IF(B2168="","",MONTH(B2168))</f>
        <v/>
      </c>
      <c r="M2168" s="18">
        <f>IF(OR(B2168="",I2168=""),"",I2168-B2168)</f>
        <v/>
      </c>
      <c r="N2168" s="21">
        <f>IF(B2168="","",IF(I2168="",IF(H2168="","",IF(TODAY()&gt;H2168,"Atrasado (em aberto)","Em aberto")),IF(I2168&lt;=H2168,"No prazo","Fora do prazo")))</f>
        <v/>
      </c>
    </row>
    <row r="2169">
      <c r="B2169" s="22" t="n"/>
      <c r="E2169" s="23" t="n"/>
      <c r="F2169" s="24" t="n"/>
      <c r="H2169" s="22" t="n"/>
      <c r="I2169" s="22" t="n"/>
      <c r="J2169" s="21">
        <f>IF(C2169="","",IFERROR(INDEX(Clientes!$B:$B,MATCH(C2169,Clientes!$A:$A,0)),"Cód. não cadastrado"))</f>
        <v/>
      </c>
      <c r="K2169" s="18">
        <f>IF(B2169="","",YEAR(B2169))</f>
        <v/>
      </c>
      <c r="L2169" s="18">
        <f>IF(B2169="","",MONTH(B2169))</f>
        <v/>
      </c>
      <c r="M2169" s="18">
        <f>IF(OR(B2169="",I2169=""),"",I2169-B2169)</f>
        <v/>
      </c>
      <c r="N2169" s="21">
        <f>IF(B2169="","",IF(I2169="",IF(H2169="","",IF(TODAY()&gt;H2169,"Atrasado (em aberto)","Em aberto")),IF(I2169&lt;=H2169,"No prazo","Fora do prazo")))</f>
        <v/>
      </c>
    </row>
    <row r="2170">
      <c r="B2170" s="22" t="n"/>
      <c r="E2170" s="23" t="n"/>
      <c r="F2170" s="24" t="n"/>
      <c r="H2170" s="22" t="n"/>
      <c r="I2170" s="22" t="n"/>
      <c r="J2170" s="21">
        <f>IF(C2170="","",IFERROR(INDEX(Clientes!$B:$B,MATCH(C2170,Clientes!$A:$A,0)),"Cód. não cadastrado"))</f>
        <v/>
      </c>
      <c r="K2170" s="18">
        <f>IF(B2170="","",YEAR(B2170))</f>
        <v/>
      </c>
      <c r="L2170" s="18">
        <f>IF(B2170="","",MONTH(B2170))</f>
        <v/>
      </c>
      <c r="M2170" s="18">
        <f>IF(OR(B2170="",I2170=""),"",I2170-B2170)</f>
        <v/>
      </c>
      <c r="N2170" s="21">
        <f>IF(B2170="","",IF(I2170="",IF(H2170="","",IF(TODAY()&gt;H2170,"Atrasado (em aberto)","Em aberto")),IF(I2170&lt;=H2170,"No prazo","Fora do prazo")))</f>
        <v/>
      </c>
    </row>
    <row r="2171">
      <c r="B2171" s="22" t="n"/>
      <c r="E2171" s="23" t="n"/>
      <c r="F2171" s="24" t="n"/>
      <c r="H2171" s="22" t="n"/>
      <c r="I2171" s="22" t="n"/>
      <c r="J2171" s="21">
        <f>IF(C2171="","",IFERROR(INDEX(Clientes!$B:$B,MATCH(C2171,Clientes!$A:$A,0)),"Cód. não cadastrado"))</f>
        <v/>
      </c>
      <c r="K2171" s="18">
        <f>IF(B2171="","",YEAR(B2171))</f>
        <v/>
      </c>
      <c r="L2171" s="18">
        <f>IF(B2171="","",MONTH(B2171))</f>
        <v/>
      </c>
      <c r="M2171" s="18">
        <f>IF(OR(B2171="",I2171=""),"",I2171-B2171)</f>
        <v/>
      </c>
      <c r="N2171" s="21">
        <f>IF(B2171="","",IF(I2171="",IF(H2171="","",IF(TODAY()&gt;H2171,"Atrasado (em aberto)","Em aberto")),IF(I2171&lt;=H2171,"No prazo","Fora do prazo")))</f>
        <v/>
      </c>
    </row>
    <row r="2172">
      <c r="B2172" s="22" t="n"/>
      <c r="E2172" s="23" t="n"/>
      <c r="F2172" s="24" t="n"/>
      <c r="H2172" s="22" t="n"/>
      <c r="I2172" s="22" t="n"/>
      <c r="J2172" s="21">
        <f>IF(C2172="","",IFERROR(INDEX(Clientes!$B:$B,MATCH(C2172,Clientes!$A:$A,0)),"Cód. não cadastrado"))</f>
        <v/>
      </c>
      <c r="K2172" s="18">
        <f>IF(B2172="","",YEAR(B2172))</f>
        <v/>
      </c>
      <c r="L2172" s="18">
        <f>IF(B2172="","",MONTH(B2172))</f>
        <v/>
      </c>
      <c r="M2172" s="18">
        <f>IF(OR(B2172="",I2172=""),"",I2172-B2172)</f>
        <v/>
      </c>
      <c r="N2172" s="21">
        <f>IF(B2172="","",IF(I2172="",IF(H2172="","",IF(TODAY()&gt;H2172,"Atrasado (em aberto)","Em aberto")),IF(I2172&lt;=H2172,"No prazo","Fora do prazo")))</f>
        <v/>
      </c>
    </row>
    <row r="2173">
      <c r="B2173" s="22" t="n"/>
      <c r="E2173" s="23" t="n"/>
      <c r="F2173" s="24" t="n"/>
      <c r="H2173" s="22" t="n"/>
      <c r="I2173" s="22" t="n"/>
      <c r="J2173" s="21">
        <f>IF(C2173="","",IFERROR(INDEX(Clientes!$B:$B,MATCH(C2173,Clientes!$A:$A,0)),"Cód. não cadastrado"))</f>
        <v/>
      </c>
      <c r="K2173" s="18">
        <f>IF(B2173="","",YEAR(B2173))</f>
        <v/>
      </c>
      <c r="L2173" s="18">
        <f>IF(B2173="","",MONTH(B2173))</f>
        <v/>
      </c>
      <c r="M2173" s="18">
        <f>IF(OR(B2173="",I2173=""),"",I2173-B2173)</f>
        <v/>
      </c>
      <c r="N2173" s="21">
        <f>IF(B2173="","",IF(I2173="",IF(H2173="","",IF(TODAY()&gt;H2173,"Atrasado (em aberto)","Em aberto")),IF(I2173&lt;=H2173,"No prazo","Fora do prazo")))</f>
        <v/>
      </c>
    </row>
    <row r="2174">
      <c r="B2174" s="22" t="n"/>
      <c r="E2174" s="23" t="n"/>
      <c r="F2174" s="24" t="n"/>
      <c r="H2174" s="22" t="n"/>
      <c r="I2174" s="22" t="n"/>
      <c r="J2174" s="21">
        <f>IF(C2174="","",IFERROR(INDEX(Clientes!$B:$B,MATCH(C2174,Clientes!$A:$A,0)),"Cód. não cadastrado"))</f>
        <v/>
      </c>
      <c r="K2174" s="18">
        <f>IF(B2174="","",YEAR(B2174))</f>
        <v/>
      </c>
      <c r="L2174" s="18">
        <f>IF(B2174="","",MONTH(B2174))</f>
        <v/>
      </c>
      <c r="M2174" s="18">
        <f>IF(OR(B2174="",I2174=""),"",I2174-B2174)</f>
        <v/>
      </c>
      <c r="N2174" s="21">
        <f>IF(B2174="","",IF(I2174="",IF(H2174="","",IF(TODAY()&gt;H2174,"Atrasado (em aberto)","Em aberto")),IF(I2174&lt;=H2174,"No prazo","Fora do prazo")))</f>
        <v/>
      </c>
    </row>
    <row r="2175">
      <c r="B2175" s="22" t="n"/>
      <c r="E2175" s="23" t="n"/>
      <c r="F2175" s="24" t="n"/>
      <c r="H2175" s="22" t="n"/>
      <c r="I2175" s="22" t="n"/>
      <c r="J2175" s="21">
        <f>IF(C2175="","",IFERROR(INDEX(Clientes!$B:$B,MATCH(C2175,Clientes!$A:$A,0)),"Cód. não cadastrado"))</f>
        <v/>
      </c>
      <c r="K2175" s="18">
        <f>IF(B2175="","",YEAR(B2175))</f>
        <v/>
      </c>
      <c r="L2175" s="18">
        <f>IF(B2175="","",MONTH(B2175))</f>
        <v/>
      </c>
      <c r="M2175" s="18">
        <f>IF(OR(B2175="",I2175=""),"",I2175-B2175)</f>
        <v/>
      </c>
      <c r="N2175" s="21">
        <f>IF(B2175="","",IF(I2175="",IF(H2175="","",IF(TODAY()&gt;H2175,"Atrasado (em aberto)","Em aberto")),IF(I2175&lt;=H2175,"No prazo","Fora do prazo")))</f>
        <v/>
      </c>
    </row>
    <row r="2176">
      <c r="B2176" s="22" t="n"/>
      <c r="E2176" s="23" t="n"/>
      <c r="F2176" s="24" t="n"/>
      <c r="H2176" s="22" t="n"/>
      <c r="I2176" s="22" t="n"/>
      <c r="J2176" s="21">
        <f>IF(C2176="","",IFERROR(INDEX(Clientes!$B:$B,MATCH(C2176,Clientes!$A:$A,0)),"Cód. não cadastrado"))</f>
        <v/>
      </c>
      <c r="K2176" s="18">
        <f>IF(B2176="","",YEAR(B2176))</f>
        <v/>
      </c>
      <c r="L2176" s="18">
        <f>IF(B2176="","",MONTH(B2176))</f>
        <v/>
      </c>
      <c r="M2176" s="18">
        <f>IF(OR(B2176="",I2176=""),"",I2176-B2176)</f>
        <v/>
      </c>
      <c r="N2176" s="21">
        <f>IF(B2176="","",IF(I2176="",IF(H2176="","",IF(TODAY()&gt;H2176,"Atrasado (em aberto)","Em aberto")),IF(I2176&lt;=H2176,"No prazo","Fora do prazo")))</f>
        <v/>
      </c>
    </row>
    <row r="2177">
      <c r="B2177" s="22" t="n"/>
      <c r="E2177" s="23" t="n"/>
      <c r="F2177" s="24" t="n"/>
      <c r="H2177" s="22" t="n"/>
      <c r="I2177" s="22" t="n"/>
      <c r="J2177" s="21">
        <f>IF(C2177="","",IFERROR(INDEX(Clientes!$B:$B,MATCH(C2177,Clientes!$A:$A,0)),"Cód. não cadastrado"))</f>
        <v/>
      </c>
      <c r="K2177" s="18">
        <f>IF(B2177="","",YEAR(B2177))</f>
        <v/>
      </c>
      <c r="L2177" s="18">
        <f>IF(B2177="","",MONTH(B2177))</f>
        <v/>
      </c>
      <c r="M2177" s="18">
        <f>IF(OR(B2177="",I2177=""),"",I2177-B2177)</f>
        <v/>
      </c>
      <c r="N2177" s="21">
        <f>IF(B2177="","",IF(I2177="",IF(H2177="","",IF(TODAY()&gt;H2177,"Atrasado (em aberto)","Em aberto")),IF(I2177&lt;=H2177,"No prazo","Fora do prazo")))</f>
        <v/>
      </c>
    </row>
    <row r="2178">
      <c r="B2178" s="22" t="n"/>
      <c r="E2178" s="23" t="n"/>
      <c r="F2178" s="24" t="n"/>
      <c r="H2178" s="22" t="n"/>
      <c r="I2178" s="22" t="n"/>
      <c r="J2178" s="21">
        <f>IF(C2178="","",IFERROR(INDEX(Clientes!$B:$B,MATCH(C2178,Clientes!$A:$A,0)),"Cód. não cadastrado"))</f>
        <v/>
      </c>
      <c r="K2178" s="18">
        <f>IF(B2178="","",YEAR(B2178))</f>
        <v/>
      </c>
      <c r="L2178" s="18">
        <f>IF(B2178="","",MONTH(B2178))</f>
        <v/>
      </c>
      <c r="M2178" s="18">
        <f>IF(OR(B2178="",I2178=""),"",I2178-B2178)</f>
        <v/>
      </c>
      <c r="N2178" s="21">
        <f>IF(B2178="","",IF(I2178="",IF(H2178="","",IF(TODAY()&gt;H2178,"Atrasado (em aberto)","Em aberto")),IF(I2178&lt;=H2178,"No prazo","Fora do prazo")))</f>
        <v/>
      </c>
    </row>
    <row r="2179">
      <c r="B2179" s="22" t="n"/>
      <c r="E2179" s="23" t="n"/>
      <c r="F2179" s="24" t="n"/>
      <c r="H2179" s="22" t="n"/>
      <c r="I2179" s="22" t="n"/>
      <c r="J2179" s="21">
        <f>IF(C2179="","",IFERROR(INDEX(Clientes!$B:$B,MATCH(C2179,Clientes!$A:$A,0)),"Cód. não cadastrado"))</f>
        <v/>
      </c>
      <c r="K2179" s="18">
        <f>IF(B2179="","",YEAR(B2179))</f>
        <v/>
      </c>
      <c r="L2179" s="18">
        <f>IF(B2179="","",MONTH(B2179))</f>
        <v/>
      </c>
      <c r="M2179" s="18">
        <f>IF(OR(B2179="",I2179=""),"",I2179-B2179)</f>
        <v/>
      </c>
      <c r="N2179" s="21">
        <f>IF(B2179="","",IF(I2179="",IF(H2179="","",IF(TODAY()&gt;H2179,"Atrasado (em aberto)","Em aberto")),IF(I2179&lt;=H2179,"No prazo","Fora do prazo")))</f>
        <v/>
      </c>
    </row>
    <row r="2180">
      <c r="B2180" s="22" t="n"/>
      <c r="E2180" s="23" t="n"/>
      <c r="F2180" s="24" t="n"/>
      <c r="H2180" s="22" t="n"/>
      <c r="I2180" s="22" t="n"/>
      <c r="J2180" s="21">
        <f>IF(C2180="","",IFERROR(INDEX(Clientes!$B:$B,MATCH(C2180,Clientes!$A:$A,0)),"Cód. não cadastrado"))</f>
        <v/>
      </c>
      <c r="K2180" s="18">
        <f>IF(B2180="","",YEAR(B2180))</f>
        <v/>
      </c>
      <c r="L2180" s="18">
        <f>IF(B2180="","",MONTH(B2180))</f>
        <v/>
      </c>
      <c r="M2180" s="18">
        <f>IF(OR(B2180="",I2180=""),"",I2180-B2180)</f>
        <v/>
      </c>
      <c r="N2180" s="21">
        <f>IF(B2180="","",IF(I2180="",IF(H2180="","",IF(TODAY()&gt;H2180,"Atrasado (em aberto)","Em aberto")),IF(I2180&lt;=H2180,"No prazo","Fora do prazo")))</f>
        <v/>
      </c>
    </row>
    <row r="2181">
      <c r="B2181" s="22" t="n"/>
      <c r="E2181" s="23" t="n"/>
      <c r="F2181" s="24" t="n"/>
      <c r="H2181" s="22" t="n"/>
      <c r="I2181" s="22" t="n"/>
      <c r="J2181" s="21">
        <f>IF(C2181="","",IFERROR(INDEX(Clientes!$B:$B,MATCH(C2181,Clientes!$A:$A,0)),"Cód. não cadastrado"))</f>
        <v/>
      </c>
      <c r="K2181" s="18">
        <f>IF(B2181="","",YEAR(B2181))</f>
        <v/>
      </c>
      <c r="L2181" s="18">
        <f>IF(B2181="","",MONTH(B2181))</f>
        <v/>
      </c>
      <c r="M2181" s="18">
        <f>IF(OR(B2181="",I2181=""),"",I2181-B2181)</f>
        <v/>
      </c>
      <c r="N2181" s="21">
        <f>IF(B2181="","",IF(I2181="",IF(H2181="","",IF(TODAY()&gt;H2181,"Atrasado (em aberto)","Em aberto")),IF(I2181&lt;=H2181,"No prazo","Fora do prazo")))</f>
        <v/>
      </c>
    </row>
    <row r="2182">
      <c r="B2182" s="22" t="n"/>
      <c r="E2182" s="23" t="n"/>
      <c r="F2182" s="24" t="n"/>
      <c r="H2182" s="22" t="n"/>
      <c r="I2182" s="22" t="n"/>
      <c r="J2182" s="21">
        <f>IF(C2182="","",IFERROR(INDEX(Clientes!$B:$B,MATCH(C2182,Clientes!$A:$A,0)),"Cód. não cadastrado"))</f>
        <v/>
      </c>
      <c r="K2182" s="18">
        <f>IF(B2182="","",YEAR(B2182))</f>
        <v/>
      </c>
      <c r="L2182" s="18">
        <f>IF(B2182="","",MONTH(B2182))</f>
        <v/>
      </c>
      <c r="M2182" s="18">
        <f>IF(OR(B2182="",I2182=""),"",I2182-B2182)</f>
        <v/>
      </c>
      <c r="N2182" s="21">
        <f>IF(B2182="","",IF(I2182="",IF(H2182="","",IF(TODAY()&gt;H2182,"Atrasado (em aberto)","Em aberto")),IF(I2182&lt;=H2182,"No prazo","Fora do prazo")))</f>
        <v/>
      </c>
    </row>
    <row r="2183">
      <c r="B2183" s="22" t="n"/>
      <c r="E2183" s="23" t="n"/>
      <c r="F2183" s="24" t="n"/>
      <c r="H2183" s="22" t="n"/>
      <c r="I2183" s="22" t="n"/>
      <c r="J2183" s="21">
        <f>IF(C2183="","",IFERROR(INDEX(Clientes!$B:$B,MATCH(C2183,Clientes!$A:$A,0)),"Cód. não cadastrado"))</f>
        <v/>
      </c>
      <c r="K2183" s="18">
        <f>IF(B2183="","",YEAR(B2183))</f>
        <v/>
      </c>
      <c r="L2183" s="18">
        <f>IF(B2183="","",MONTH(B2183))</f>
        <v/>
      </c>
      <c r="M2183" s="18">
        <f>IF(OR(B2183="",I2183=""),"",I2183-B2183)</f>
        <v/>
      </c>
      <c r="N2183" s="21">
        <f>IF(B2183="","",IF(I2183="",IF(H2183="","",IF(TODAY()&gt;H2183,"Atrasado (em aberto)","Em aberto")),IF(I2183&lt;=H2183,"No prazo","Fora do prazo")))</f>
        <v/>
      </c>
    </row>
    <row r="2184">
      <c r="B2184" s="22" t="n"/>
      <c r="E2184" s="23" t="n"/>
      <c r="F2184" s="24" t="n"/>
      <c r="H2184" s="22" t="n"/>
      <c r="I2184" s="22" t="n"/>
      <c r="J2184" s="21">
        <f>IF(C2184="","",IFERROR(INDEX(Clientes!$B:$B,MATCH(C2184,Clientes!$A:$A,0)),"Cód. não cadastrado"))</f>
        <v/>
      </c>
      <c r="K2184" s="18">
        <f>IF(B2184="","",YEAR(B2184))</f>
        <v/>
      </c>
      <c r="L2184" s="18">
        <f>IF(B2184="","",MONTH(B2184))</f>
        <v/>
      </c>
      <c r="M2184" s="18">
        <f>IF(OR(B2184="",I2184=""),"",I2184-B2184)</f>
        <v/>
      </c>
      <c r="N2184" s="21">
        <f>IF(B2184="","",IF(I2184="",IF(H2184="","",IF(TODAY()&gt;H2184,"Atrasado (em aberto)","Em aberto")),IF(I2184&lt;=H2184,"No prazo","Fora do prazo")))</f>
        <v/>
      </c>
    </row>
    <row r="2185">
      <c r="B2185" s="22" t="n"/>
      <c r="E2185" s="23" t="n"/>
      <c r="F2185" s="24" t="n"/>
      <c r="H2185" s="22" t="n"/>
      <c r="I2185" s="22" t="n"/>
      <c r="J2185" s="21">
        <f>IF(C2185="","",IFERROR(INDEX(Clientes!$B:$B,MATCH(C2185,Clientes!$A:$A,0)),"Cód. não cadastrado"))</f>
        <v/>
      </c>
      <c r="K2185" s="18">
        <f>IF(B2185="","",YEAR(B2185))</f>
        <v/>
      </c>
      <c r="L2185" s="18">
        <f>IF(B2185="","",MONTH(B2185))</f>
        <v/>
      </c>
      <c r="M2185" s="18">
        <f>IF(OR(B2185="",I2185=""),"",I2185-B2185)</f>
        <v/>
      </c>
      <c r="N2185" s="21">
        <f>IF(B2185="","",IF(I2185="",IF(H2185="","",IF(TODAY()&gt;H2185,"Atrasado (em aberto)","Em aberto")),IF(I2185&lt;=H2185,"No prazo","Fora do prazo")))</f>
        <v/>
      </c>
    </row>
    <row r="2186">
      <c r="B2186" s="22" t="n"/>
      <c r="E2186" s="23" t="n"/>
      <c r="F2186" s="24" t="n"/>
      <c r="H2186" s="22" t="n"/>
      <c r="I2186" s="22" t="n"/>
      <c r="J2186" s="21">
        <f>IF(C2186="","",IFERROR(INDEX(Clientes!$B:$B,MATCH(C2186,Clientes!$A:$A,0)),"Cód. não cadastrado"))</f>
        <v/>
      </c>
      <c r="K2186" s="18">
        <f>IF(B2186="","",YEAR(B2186))</f>
        <v/>
      </c>
      <c r="L2186" s="18">
        <f>IF(B2186="","",MONTH(B2186))</f>
        <v/>
      </c>
      <c r="M2186" s="18">
        <f>IF(OR(B2186="",I2186=""),"",I2186-B2186)</f>
        <v/>
      </c>
      <c r="N2186" s="21">
        <f>IF(B2186="","",IF(I2186="",IF(H2186="","",IF(TODAY()&gt;H2186,"Atrasado (em aberto)","Em aberto")),IF(I2186&lt;=H2186,"No prazo","Fora do prazo")))</f>
        <v/>
      </c>
    </row>
    <row r="2187">
      <c r="B2187" s="22" t="n"/>
      <c r="E2187" s="23" t="n"/>
      <c r="F2187" s="24" t="n"/>
      <c r="H2187" s="22" t="n"/>
      <c r="I2187" s="22" t="n"/>
      <c r="J2187" s="21">
        <f>IF(C2187="","",IFERROR(INDEX(Clientes!$B:$B,MATCH(C2187,Clientes!$A:$A,0)),"Cód. não cadastrado"))</f>
        <v/>
      </c>
      <c r="K2187" s="18">
        <f>IF(B2187="","",YEAR(B2187))</f>
        <v/>
      </c>
      <c r="L2187" s="18">
        <f>IF(B2187="","",MONTH(B2187))</f>
        <v/>
      </c>
      <c r="M2187" s="18">
        <f>IF(OR(B2187="",I2187=""),"",I2187-B2187)</f>
        <v/>
      </c>
      <c r="N2187" s="21">
        <f>IF(B2187="","",IF(I2187="",IF(H2187="","",IF(TODAY()&gt;H2187,"Atrasado (em aberto)","Em aberto")),IF(I2187&lt;=H2187,"No prazo","Fora do prazo")))</f>
        <v/>
      </c>
    </row>
    <row r="2188">
      <c r="B2188" s="22" t="n"/>
      <c r="E2188" s="23" t="n"/>
      <c r="F2188" s="24" t="n"/>
      <c r="H2188" s="22" t="n"/>
      <c r="I2188" s="22" t="n"/>
      <c r="J2188" s="21">
        <f>IF(C2188="","",IFERROR(INDEX(Clientes!$B:$B,MATCH(C2188,Clientes!$A:$A,0)),"Cód. não cadastrado"))</f>
        <v/>
      </c>
      <c r="K2188" s="18">
        <f>IF(B2188="","",YEAR(B2188))</f>
        <v/>
      </c>
      <c r="L2188" s="18">
        <f>IF(B2188="","",MONTH(B2188))</f>
        <v/>
      </c>
      <c r="M2188" s="18">
        <f>IF(OR(B2188="",I2188=""),"",I2188-B2188)</f>
        <v/>
      </c>
      <c r="N2188" s="21">
        <f>IF(B2188="","",IF(I2188="",IF(H2188="","",IF(TODAY()&gt;H2188,"Atrasado (em aberto)","Em aberto")),IF(I2188&lt;=H2188,"No prazo","Fora do prazo")))</f>
        <v/>
      </c>
    </row>
    <row r="2189">
      <c r="B2189" s="22" t="n"/>
      <c r="E2189" s="23" t="n"/>
      <c r="F2189" s="24" t="n"/>
      <c r="H2189" s="22" t="n"/>
      <c r="I2189" s="22" t="n"/>
      <c r="J2189" s="21">
        <f>IF(C2189="","",IFERROR(INDEX(Clientes!$B:$B,MATCH(C2189,Clientes!$A:$A,0)),"Cód. não cadastrado"))</f>
        <v/>
      </c>
      <c r="K2189" s="18">
        <f>IF(B2189="","",YEAR(B2189))</f>
        <v/>
      </c>
      <c r="L2189" s="18">
        <f>IF(B2189="","",MONTH(B2189))</f>
        <v/>
      </c>
      <c r="M2189" s="18">
        <f>IF(OR(B2189="",I2189=""),"",I2189-B2189)</f>
        <v/>
      </c>
      <c r="N2189" s="21">
        <f>IF(B2189="","",IF(I2189="",IF(H2189="","",IF(TODAY()&gt;H2189,"Atrasado (em aberto)","Em aberto")),IF(I2189&lt;=H2189,"No prazo","Fora do prazo")))</f>
        <v/>
      </c>
    </row>
    <row r="2190">
      <c r="B2190" s="22" t="n"/>
      <c r="E2190" s="23" t="n"/>
      <c r="F2190" s="24" t="n"/>
      <c r="H2190" s="22" t="n"/>
      <c r="I2190" s="22" t="n"/>
      <c r="J2190" s="21">
        <f>IF(C2190="","",IFERROR(INDEX(Clientes!$B:$B,MATCH(C2190,Clientes!$A:$A,0)),"Cód. não cadastrado"))</f>
        <v/>
      </c>
      <c r="K2190" s="18">
        <f>IF(B2190="","",YEAR(B2190))</f>
        <v/>
      </c>
      <c r="L2190" s="18">
        <f>IF(B2190="","",MONTH(B2190))</f>
        <v/>
      </c>
      <c r="M2190" s="18">
        <f>IF(OR(B2190="",I2190=""),"",I2190-B2190)</f>
        <v/>
      </c>
      <c r="N2190" s="21">
        <f>IF(B2190="","",IF(I2190="",IF(H2190="","",IF(TODAY()&gt;H2190,"Atrasado (em aberto)","Em aberto")),IF(I2190&lt;=H2190,"No prazo","Fora do prazo")))</f>
        <v/>
      </c>
    </row>
    <row r="2191">
      <c r="B2191" s="22" t="n"/>
      <c r="E2191" s="23" t="n"/>
      <c r="F2191" s="24" t="n"/>
      <c r="H2191" s="22" t="n"/>
      <c r="I2191" s="22" t="n"/>
      <c r="J2191" s="21">
        <f>IF(C2191="","",IFERROR(INDEX(Clientes!$B:$B,MATCH(C2191,Clientes!$A:$A,0)),"Cód. não cadastrado"))</f>
        <v/>
      </c>
      <c r="K2191" s="18">
        <f>IF(B2191="","",YEAR(B2191))</f>
        <v/>
      </c>
      <c r="L2191" s="18">
        <f>IF(B2191="","",MONTH(B2191))</f>
        <v/>
      </c>
      <c r="M2191" s="18">
        <f>IF(OR(B2191="",I2191=""),"",I2191-B2191)</f>
        <v/>
      </c>
      <c r="N2191" s="21">
        <f>IF(B2191="","",IF(I2191="",IF(H2191="","",IF(TODAY()&gt;H2191,"Atrasado (em aberto)","Em aberto")),IF(I2191&lt;=H2191,"No prazo","Fora do prazo")))</f>
        <v/>
      </c>
    </row>
    <row r="2192">
      <c r="B2192" s="22" t="n"/>
      <c r="E2192" s="23" t="n"/>
      <c r="F2192" s="24" t="n"/>
      <c r="H2192" s="22" t="n"/>
      <c r="I2192" s="22" t="n"/>
      <c r="J2192" s="21">
        <f>IF(C2192="","",IFERROR(INDEX(Clientes!$B:$B,MATCH(C2192,Clientes!$A:$A,0)),"Cód. não cadastrado"))</f>
        <v/>
      </c>
      <c r="K2192" s="18">
        <f>IF(B2192="","",YEAR(B2192))</f>
        <v/>
      </c>
      <c r="L2192" s="18">
        <f>IF(B2192="","",MONTH(B2192))</f>
        <v/>
      </c>
      <c r="M2192" s="18">
        <f>IF(OR(B2192="",I2192=""),"",I2192-B2192)</f>
        <v/>
      </c>
      <c r="N2192" s="21">
        <f>IF(B2192="","",IF(I2192="",IF(H2192="","",IF(TODAY()&gt;H2192,"Atrasado (em aberto)","Em aberto")),IF(I2192&lt;=H2192,"No prazo","Fora do prazo")))</f>
        <v/>
      </c>
    </row>
    <row r="2193">
      <c r="B2193" s="22" t="n"/>
      <c r="E2193" s="23" t="n"/>
      <c r="F2193" s="24" t="n"/>
      <c r="H2193" s="22" t="n"/>
      <c r="I2193" s="22" t="n"/>
      <c r="J2193" s="21">
        <f>IF(C2193="","",IFERROR(INDEX(Clientes!$B:$B,MATCH(C2193,Clientes!$A:$A,0)),"Cód. não cadastrado"))</f>
        <v/>
      </c>
      <c r="K2193" s="18">
        <f>IF(B2193="","",YEAR(B2193))</f>
        <v/>
      </c>
      <c r="L2193" s="18">
        <f>IF(B2193="","",MONTH(B2193))</f>
        <v/>
      </c>
      <c r="M2193" s="18">
        <f>IF(OR(B2193="",I2193=""),"",I2193-B2193)</f>
        <v/>
      </c>
      <c r="N2193" s="21">
        <f>IF(B2193="","",IF(I2193="",IF(H2193="","",IF(TODAY()&gt;H2193,"Atrasado (em aberto)","Em aberto")),IF(I2193&lt;=H2193,"No prazo","Fora do prazo")))</f>
        <v/>
      </c>
    </row>
    <row r="2194">
      <c r="B2194" s="22" t="n"/>
      <c r="E2194" s="23" t="n"/>
      <c r="F2194" s="24" t="n"/>
      <c r="H2194" s="22" t="n"/>
      <c r="I2194" s="22" t="n"/>
      <c r="J2194" s="21">
        <f>IF(C2194="","",IFERROR(INDEX(Clientes!$B:$B,MATCH(C2194,Clientes!$A:$A,0)),"Cód. não cadastrado"))</f>
        <v/>
      </c>
      <c r="K2194" s="18">
        <f>IF(B2194="","",YEAR(B2194))</f>
        <v/>
      </c>
      <c r="L2194" s="18">
        <f>IF(B2194="","",MONTH(B2194))</f>
        <v/>
      </c>
      <c r="M2194" s="18">
        <f>IF(OR(B2194="",I2194=""),"",I2194-B2194)</f>
        <v/>
      </c>
      <c r="N2194" s="21">
        <f>IF(B2194="","",IF(I2194="",IF(H2194="","",IF(TODAY()&gt;H2194,"Atrasado (em aberto)","Em aberto")),IF(I2194&lt;=H2194,"No prazo","Fora do prazo")))</f>
        <v/>
      </c>
    </row>
    <row r="2195">
      <c r="B2195" s="22" t="n"/>
      <c r="E2195" s="23" t="n"/>
      <c r="F2195" s="24" t="n"/>
      <c r="H2195" s="22" t="n"/>
      <c r="I2195" s="22" t="n"/>
      <c r="J2195" s="21">
        <f>IF(C2195="","",IFERROR(INDEX(Clientes!$B:$B,MATCH(C2195,Clientes!$A:$A,0)),"Cód. não cadastrado"))</f>
        <v/>
      </c>
      <c r="K2195" s="18">
        <f>IF(B2195="","",YEAR(B2195))</f>
        <v/>
      </c>
      <c r="L2195" s="18">
        <f>IF(B2195="","",MONTH(B2195))</f>
        <v/>
      </c>
      <c r="M2195" s="18">
        <f>IF(OR(B2195="",I2195=""),"",I2195-B2195)</f>
        <v/>
      </c>
      <c r="N2195" s="21">
        <f>IF(B2195="","",IF(I2195="",IF(H2195="","",IF(TODAY()&gt;H2195,"Atrasado (em aberto)","Em aberto")),IF(I2195&lt;=H2195,"No prazo","Fora do prazo")))</f>
        <v/>
      </c>
    </row>
    <row r="2196">
      <c r="B2196" s="22" t="n"/>
      <c r="E2196" s="23" t="n"/>
      <c r="F2196" s="24" t="n"/>
      <c r="H2196" s="22" t="n"/>
      <c r="I2196" s="22" t="n"/>
      <c r="J2196" s="21">
        <f>IF(C2196="","",IFERROR(INDEX(Clientes!$B:$B,MATCH(C2196,Clientes!$A:$A,0)),"Cód. não cadastrado"))</f>
        <v/>
      </c>
      <c r="K2196" s="18">
        <f>IF(B2196="","",YEAR(B2196))</f>
        <v/>
      </c>
      <c r="L2196" s="18">
        <f>IF(B2196="","",MONTH(B2196))</f>
        <v/>
      </c>
      <c r="M2196" s="18">
        <f>IF(OR(B2196="",I2196=""),"",I2196-B2196)</f>
        <v/>
      </c>
      <c r="N2196" s="21">
        <f>IF(B2196="","",IF(I2196="",IF(H2196="","",IF(TODAY()&gt;H2196,"Atrasado (em aberto)","Em aberto")),IF(I2196&lt;=H2196,"No prazo","Fora do prazo")))</f>
        <v/>
      </c>
    </row>
    <row r="2197">
      <c r="B2197" s="22" t="n"/>
      <c r="E2197" s="23" t="n"/>
      <c r="F2197" s="24" t="n"/>
      <c r="H2197" s="22" t="n"/>
      <c r="I2197" s="22" t="n"/>
      <c r="J2197" s="21">
        <f>IF(C2197="","",IFERROR(INDEX(Clientes!$B:$B,MATCH(C2197,Clientes!$A:$A,0)),"Cód. não cadastrado"))</f>
        <v/>
      </c>
      <c r="K2197" s="18">
        <f>IF(B2197="","",YEAR(B2197))</f>
        <v/>
      </c>
      <c r="L2197" s="18">
        <f>IF(B2197="","",MONTH(B2197))</f>
        <v/>
      </c>
      <c r="M2197" s="18">
        <f>IF(OR(B2197="",I2197=""),"",I2197-B2197)</f>
        <v/>
      </c>
      <c r="N2197" s="21">
        <f>IF(B2197="","",IF(I2197="",IF(H2197="","",IF(TODAY()&gt;H2197,"Atrasado (em aberto)","Em aberto")),IF(I2197&lt;=H2197,"No prazo","Fora do prazo")))</f>
        <v/>
      </c>
    </row>
    <row r="2198">
      <c r="B2198" s="22" t="n"/>
      <c r="E2198" s="23" t="n"/>
      <c r="F2198" s="24" t="n"/>
      <c r="H2198" s="22" t="n"/>
      <c r="I2198" s="22" t="n"/>
      <c r="J2198" s="21">
        <f>IF(C2198="","",IFERROR(INDEX(Clientes!$B:$B,MATCH(C2198,Clientes!$A:$A,0)),"Cód. não cadastrado"))</f>
        <v/>
      </c>
      <c r="K2198" s="18">
        <f>IF(B2198="","",YEAR(B2198))</f>
        <v/>
      </c>
      <c r="L2198" s="18">
        <f>IF(B2198="","",MONTH(B2198))</f>
        <v/>
      </c>
      <c r="M2198" s="18">
        <f>IF(OR(B2198="",I2198=""),"",I2198-B2198)</f>
        <v/>
      </c>
      <c r="N2198" s="21">
        <f>IF(B2198="","",IF(I2198="",IF(H2198="","",IF(TODAY()&gt;H2198,"Atrasado (em aberto)","Em aberto")),IF(I2198&lt;=H2198,"No prazo","Fora do prazo")))</f>
        <v/>
      </c>
    </row>
    <row r="2199">
      <c r="B2199" s="22" t="n"/>
      <c r="E2199" s="23" t="n"/>
      <c r="F2199" s="24" t="n"/>
      <c r="H2199" s="22" t="n"/>
      <c r="I2199" s="22" t="n"/>
      <c r="J2199" s="21">
        <f>IF(C2199="","",IFERROR(INDEX(Clientes!$B:$B,MATCH(C2199,Clientes!$A:$A,0)),"Cód. não cadastrado"))</f>
        <v/>
      </c>
      <c r="K2199" s="18">
        <f>IF(B2199="","",YEAR(B2199))</f>
        <v/>
      </c>
      <c r="L2199" s="18">
        <f>IF(B2199="","",MONTH(B2199))</f>
        <v/>
      </c>
      <c r="M2199" s="18">
        <f>IF(OR(B2199="",I2199=""),"",I2199-B2199)</f>
        <v/>
      </c>
      <c r="N2199" s="21">
        <f>IF(B2199="","",IF(I2199="",IF(H2199="","",IF(TODAY()&gt;H2199,"Atrasado (em aberto)","Em aberto")),IF(I2199&lt;=H2199,"No prazo","Fora do prazo")))</f>
        <v/>
      </c>
    </row>
    <row r="2200">
      <c r="B2200" s="22" t="n"/>
      <c r="E2200" s="23" t="n"/>
      <c r="F2200" s="24" t="n"/>
      <c r="H2200" s="22" t="n"/>
      <c r="I2200" s="22" t="n"/>
      <c r="J2200" s="21">
        <f>IF(C2200="","",IFERROR(INDEX(Clientes!$B:$B,MATCH(C2200,Clientes!$A:$A,0)),"Cód. não cadastrado"))</f>
        <v/>
      </c>
      <c r="K2200" s="18">
        <f>IF(B2200="","",YEAR(B2200))</f>
        <v/>
      </c>
      <c r="L2200" s="18">
        <f>IF(B2200="","",MONTH(B2200))</f>
        <v/>
      </c>
      <c r="M2200" s="18">
        <f>IF(OR(B2200="",I2200=""),"",I2200-B2200)</f>
        <v/>
      </c>
      <c r="N2200" s="21">
        <f>IF(B2200="","",IF(I2200="",IF(H2200="","",IF(TODAY()&gt;H2200,"Atrasado (em aberto)","Em aberto")),IF(I2200&lt;=H2200,"No prazo","Fora do prazo")))</f>
        <v/>
      </c>
    </row>
    <row r="2201">
      <c r="B2201" s="22" t="n"/>
      <c r="E2201" s="23" t="n"/>
      <c r="F2201" s="24" t="n"/>
      <c r="H2201" s="22" t="n"/>
      <c r="I2201" s="22" t="n"/>
      <c r="J2201" s="21">
        <f>IF(C2201="","",IFERROR(INDEX(Clientes!$B:$B,MATCH(C2201,Clientes!$A:$A,0)),"Cód. não cadastrado"))</f>
        <v/>
      </c>
      <c r="K2201" s="18">
        <f>IF(B2201="","",YEAR(B2201))</f>
        <v/>
      </c>
      <c r="L2201" s="18">
        <f>IF(B2201="","",MONTH(B2201))</f>
        <v/>
      </c>
      <c r="M2201" s="18">
        <f>IF(OR(B2201="",I2201=""),"",I2201-B2201)</f>
        <v/>
      </c>
      <c r="N2201" s="21">
        <f>IF(B2201="","",IF(I2201="",IF(H2201="","",IF(TODAY()&gt;H2201,"Atrasado (em aberto)","Em aberto")),IF(I2201&lt;=H2201,"No prazo","Fora do prazo")))</f>
        <v/>
      </c>
    </row>
    <row r="2202">
      <c r="B2202" s="22" t="n"/>
      <c r="E2202" s="23" t="n"/>
      <c r="F2202" s="24" t="n"/>
      <c r="H2202" s="22" t="n"/>
      <c r="I2202" s="22" t="n"/>
      <c r="J2202" s="21">
        <f>IF(C2202="","",IFERROR(INDEX(Clientes!$B:$B,MATCH(C2202,Clientes!$A:$A,0)),"Cód. não cadastrado"))</f>
        <v/>
      </c>
      <c r="K2202" s="18">
        <f>IF(B2202="","",YEAR(B2202))</f>
        <v/>
      </c>
      <c r="L2202" s="18">
        <f>IF(B2202="","",MONTH(B2202))</f>
        <v/>
      </c>
      <c r="M2202" s="18">
        <f>IF(OR(B2202="",I2202=""),"",I2202-B2202)</f>
        <v/>
      </c>
      <c r="N2202" s="21">
        <f>IF(B2202="","",IF(I2202="",IF(H2202="","",IF(TODAY()&gt;H2202,"Atrasado (em aberto)","Em aberto")),IF(I2202&lt;=H2202,"No prazo","Fora do prazo")))</f>
        <v/>
      </c>
    </row>
    <row r="2203">
      <c r="B2203" s="22" t="n"/>
      <c r="E2203" s="23" t="n"/>
      <c r="F2203" s="24" t="n"/>
      <c r="H2203" s="22" t="n"/>
      <c r="I2203" s="22" t="n"/>
      <c r="J2203" s="21">
        <f>IF(C2203="","",IFERROR(INDEX(Clientes!$B:$B,MATCH(C2203,Clientes!$A:$A,0)),"Cód. não cadastrado"))</f>
        <v/>
      </c>
      <c r="K2203" s="18">
        <f>IF(B2203="","",YEAR(B2203))</f>
        <v/>
      </c>
      <c r="L2203" s="18">
        <f>IF(B2203="","",MONTH(B2203))</f>
        <v/>
      </c>
      <c r="M2203" s="18">
        <f>IF(OR(B2203="",I2203=""),"",I2203-B2203)</f>
        <v/>
      </c>
      <c r="N2203" s="21">
        <f>IF(B2203="","",IF(I2203="",IF(H2203="","",IF(TODAY()&gt;H2203,"Atrasado (em aberto)","Em aberto")),IF(I2203&lt;=H2203,"No prazo","Fora do prazo")))</f>
        <v/>
      </c>
    </row>
    <row r="2204">
      <c r="B2204" s="22" t="n"/>
      <c r="E2204" s="23" t="n"/>
      <c r="F2204" s="24" t="n"/>
      <c r="H2204" s="22" t="n"/>
      <c r="I2204" s="22" t="n"/>
      <c r="J2204" s="21">
        <f>IF(C2204="","",IFERROR(INDEX(Clientes!$B:$B,MATCH(C2204,Clientes!$A:$A,0)),"Cód. não cadastrado"))</f>
        <v/>
      </c>
      <c r="K2204" s="18">
        <f>IF(B2204="","",YEAR(B2204))</f>
        <v/>
      </c>
      <c r="L2204" s="18">
        <f>IF(B2204="","",MONTH(B2204))</f>
        <v/>
      </c>
      <c r="M2204" s="18">
        <f>IF(OR(B2204="",I2204=""),"",I2204-B2204)</f>
        <v/>
      </c>
      <c r="N2204" s="21">
        <f>IF(B2204="","",IF(I2204="",IF(H2204="","",IF(TODAY()&gt;H2204,"Atrasado (em aberto)","Em aberto")),IF(I2204&lt;=H2204,"No prazo","Fora do prazo")))</f>
        <v/>
      </c>
    </row>
    <row r="2205">
      <c r="B2205" s="22" t="n"/>
      <c r="E2205" s="23" t="n"/>
      <c r="F2205" s="24" t="n"/>
      <c r="H2205" s="22" t="n"/>
      <c r="I2205" s="22" t="n"/>
      <c r="J2205" s="21">
        <f>IF(C2205="","",IFERROR(INDEX(Clientes!$B:$B,MATCH(C2205,Clientes!$A:$A,0)),"Cód. não cadastrado"))</f>
        <v/>
      </c>
      <c r="K2205" s="18">
        <f>IF(B2205="","",YEAR(B2205))</f>
        <v/>
      </c>
      <c r="L2205" s="18">
        <f>IF(B2205="","",MONTH(B2205))</f>
        <v/>
      </c>
      <c r="M2205" s="18">
        <f>IF(OR(B2205="",I2205=""),"",I2205-B2205)</f>
        <v/>
      </c>
      <c r="N2205" s="21">
        <f>IF(B2205="","",IF(I2205="",IF(H2205="","",IF(TODAY()&gt;H2205,"Atrasado (em aberto)","Em aberto")),IF(I2205&lt;=H2205,"No prazo","Fora do prazo")))</f>
        <v/>
      </c>
    </row>
    <row r="2206">
      <c r="B2206" s="22" t="n"/>
      <c r="E2206" s="23" t="n"/>
      <c r="F2206" s="24" t="n"/>
      <c r="H2206" s="22" t="n"/>
      <c r="I2206" s="22" t="n"/>
      <c r="J2206" s="21">
        <f>IF(C2206="","",IFERROR(INDEX(Clientes!$B:$B,MATCH(C2206,Clientes!$A:$A,0)),"Cód. não cadastrado"))</f>
        <v/>
      </c>
      <c r="K2206" s="18">
        <f>IF(B2206="","",YEAR(B2206))</f>
        <v/>
      </c>
      <c r="L2206" s="18">
        <f>IF(B2206="","",MONTH(B2206))</f>
        <v/>
      </c>
      <c r="M2206" s="18">
        <f>IF(OR(B2206="",I2206=""),"",I2206-B2206)</f>
        <v/>
      </c>
      <c r="N2206" s="21">
        <f>IF(B2206="","",IF(I2206="",IF(H2206="","",IF(TODAY()&gt;H2206,"Atrasado (em aberto)","Em aberto")),IF(I2206&lt;=H2206,"No prazo","Fora do prazo")))</f>
        <v/>
      </c>
    </row>
    <row r="2207">
      <c r="B2207" s="22" t="n"/>
      <c r="E2207" s="23" t="n"/>
      <c r="F2207" s="24" t="n"/>
      <c r="H2207" s="22" t="n"/>
      <c r="I2207" s="22" t="n"/>
      <c r="J2207" s="21">
        <f>IF(C2207="","",IFERROR(INDEX(Clientes!$B:$B,MATCH(C2207,Clientes!$A:$A,0)),"Cód. não cadastrado"))</f>
        <v/>
      </c>
      <c r="K2207" s="18">
        <f>IF(B2207="","",YEAR(B2207))</f>
        <v/>
      </c>
      <c r="L2207" s="18">
        <f>IF(B2207="","",MONTH(B2207))</f>
        <v/>
      </c>
      <c r="M2207" s="18">
        <f>IF(OR(B2207="",I2207=""),"",I2207-B2207)</f>
        <v/>
      </c>
      <c r="N2207" s="21">
        <f>IF(B2207="","",IF(I2207="",IF(H2207="","",IF(TODAY()&gt;H2207,"Atrasado (em aberto)","Em aberto")),IF(I2207&lt;=H2207,"No prazo","Fora do prazo")))</f>
        <v/>
      </c>
    </row>
    <row r="2208">
      <c r="B2208" s="22" t="n"/>
      <c r="E2208" s="23" t="n"/>
      <c r="F2208" s="24" t="n"/>
      <c r="H2208" s="22" t="n"/>
      <c r="I2208" s="22" t="n"/>
      <c r="J2208" s="21">
        <f>IF(C2208="","",IFERROR(INDEX(Clientes!$B:$B,MATCH(C2208,Clientes!$A:$A,0)),"Cód. não cadastrado"))</f>
        <v/>
      </c>
      <c r="K2208" s="18">
        <f>IF(B2208="","",YEAR(B2208))</f>
        <v/>
      </c>
      <c r="L2208" s="18">
        <f>IF(B2208="","",MONTH(B2208))</f>
        <v/>
      </c>
      <c r="M2208" s="18">
        <f>IF(OR(B2208="",I2208=""),"",I2208-B2208)</f>
        <v/>
      </c>
      <c r="N2208" s="21">
        <f>IF(B2208="","",IF(I2208="",IF(H2208="","",IF(TODAY()&gt;H2208,"Atrasado (em aberto)","Em aberto")),IF(I2208&lt;=H2208,"No prazo","Fora do prazo")))</f>
        <v/>
      </c>
    </row>
    <row r="2209">
      <c r="B2209" s="22" t="n"/>
      <c r="E2209" s="23" t="n"/>
      <c r="F2209" s="24" t="n"/>
      <c r="H2209" s="22" t="n"/>
      <c r="I2209" s="22" t="n"/>
      <c r="J2209" s="21">
        <f>IF(C2209="","",IFERROR(INDEX(Clientes!$B:$B,MATCH(C2209,Clientes!$A:$A,0)),"Cód. não cadastrado"))</f>
        <v/>
      </c>
      <c r="K2209" s="18">
        <f>IF(B2209="","",YEAR(B2209))</f>
        <v/>
      </c>
      <c r="L2209" s="18">
        <f>IF(B2209="","",MONTH(B2209))</f>
        <v/>
      </c>
      <c r="M2209" s="18">
        <f>IF(OR(B2209="",I2209=""),"",I2209-B2209)</f>
        <v/>
      </c>
      <c r="N2209" s="21">
        <f>IF(B2209="","",IF(I2209="",IF(H2209="","",IF(TODAY()&gt;H2209,"Atrasado (em aberto)","Em aberto")),IF(I2209&lt;=H2209,"No prazo","Fora do prazo")))</f>
        <v/>
      </c>
    </row>
    <row r="2210">
      <c r="B2210" s="22" t="n"/>
      <c r="E2210" s="23" t="n"/>
      <c r="F2210" s="24" t="n"/>
      <c r="H2210" s="22" t="n"/>
      <c r="I2210" s="22" t="n"/>
      <c r="J2210" s="21">
        <f>IF(C2210="","",IFERROR(INDEX(Clientes!$B:$B,MATCH(C2210,Clientes!$A:$A,0)),"Cód. não cadastrado"))</f>
        <v/>
      </c>
      <c r="K2210" s="18">
        <f>IF(B2210="","",YEAR(B2210))</f>
        <v/>
      </c>
      <c r="L2210" s="18">
        <f>IF(B2210="","",MONTH(B2210))</f>
        <v/>
      </c>
      <c r="M2210" s="18">
        <f>IF(OR(B2210="",I2210=""),"",I2210-B2210)</f>
        <v/>
      </c>
      <c r="N2210" s="21">
        <f>IF(B2210="","",IF(I2210="",IF(H2210="","",IF(TODAY()&gt;H2210,"Atrasado (em aberto)","Em aberto")),IF(I2210&lt;=H2210,"No prazo","Fora do prazo")))</f>
        <v/>
      </c>
    </row>
    <row r="2211">
      <c r="B2211" s="22" t="n"/>
      <c r="E2211" s="23" t="n"/>
      <c r="F2211" s="24" t="n"/>
      <c r="H2211" s="22" t="n"/>
      <c r="I2211" s="22" t="n"/>
      <c r="J2211" s="21">
        <f>IF(C2211="","",IFERROR(INDEX(Clientes!$B:$B,MATCH(C2211,Clientes!$A:$A,0)),"Cód. não cadastrado"))</f>
        <v/>
      </c>
      <c r="K2211" s="18">
        <f>IF(B2211="","",YEAR(B2211))</f>
        <v/>
      </c>
      <c r="L2211" s="18">
        <f>IF(B2211="","",MONTH(B2211))</f>
        <v/>
      </c>
      <c r="M2211" s="18">
        <f>IF(OR(B2211="",I2211=""),"",I2211-B2211)</f>
        <v/>
      </c>
      <c r="N2211" s="21">
        <f>IF(B2211="","",IF(I2211="",IF(H2211="","",IF(TODAY()&gt;H2211,"Atrasado (em aberto)","Em aberto")),IF(I2211&lt;=H2211,"No prazo","Fora do prazo")))</f>
        <v/>
      </c>
    </row>
    <row r="2212">
      <c r="B2212" s="22" t="n"/>
      <c r="E2212" s="23" t="n"/>
      <c r="F2212" s="24" t="n"/>
      <c r="H2212" s="22" t="n"/>
      <c r="I2212" s="22" t="n"/>
      <c r="J2212" s="21">
        <f>IF(C2212="","",IFERROR(INDEX(Clientes!$B:$B,MATCH(C2212,Clientes!$A:$A,0)),"Cód. não cadastrado"))</f>
        <v/>
      </c>
      <c r="K2212" s="18">
        <f>IF(B2212="","",YEAR(B2212))</f>
        <v/>
      </c>
      <c r="L2212" s="18">
        <f>IF(B2212="","",MONTH(B2212))</f>
        <v/>
      </c>
      <c r="M2212" s="18">
        <f>IF(OR(B2212="",I2212=""),"",I2212-B2212)</f>
        <v/>
      </c>
      <c r="N2212" s="21">
        <f>IF(B2212="","",IF(I2212="",IF(H2212="","",IF(TODAY()&gt;H2212,"Atrasado (em aberto)","Em aberto")),IF(I2212&lt;=H2212,"No prazo","Fora do prazo")))</f>
        <v/>
      </c>
    </row>
    <row r="2213">
      <c r="B2213" s="22" t="n"/>
      <c r="E2213" s="23" t="n"/>
      <c r="F2213" s="24" t="n"/>
      <c r="H2213" s="22" t="n"/>
      <c r="I2213" s="22" t="n"/>
      <c r="J2213" s="21">
        <f>IF(C2213="","",IFERROR(INDEX(Clientes!$B:$B,MATCH(C2213,Clientes!$A:$A,0)),"Cód. não cadastrado"))</f>
        <v/>
      </c>
      <c r="K2213" s="18">
        <f>IF(B2213="","",YEAR(B2213))</f>
        <v/>
      </c>
      <c r="L2213" s="18">
        <f>IF(B2213="","",MONTH(B2213))</f>
        <v/>
      </c>
      <c r="M2213" s="18">
        <f>IF(OR(B2213="",I2213=""),"",I2213-B2213)</f>
        <v/>
      </c>
      <c r="N2213" s="21">
        <f>IF(B2213="","",IF(I2213="",IF(H2213="","",IF(TODAY()&gt;H2213,"Atrasado (em aberto)","Em aberto")),IF(I2213&lt;=H2213,"No prazo","Fora do prazo")))</f>
        <v/>
      </c>
    </row>
    <row r="2214">
      <c r="B2214" s="22" t="n"/>
      <c r="E2214" s="23" t="n"/>
      <c r="F2214" s="24" t="n"/>
      <c r="H2214" s="22" t="n"/>
      <c r="I2214" s="22" t="n"/>
      <c r="J2214" s="21">
        <f>IF(C2214="","",IFERROR(INDEX(Clientes!$B:$B,MATCH(C2214,Clientes!$A:$A,0)),"Cód. não cadastrado"))</f>
        <v/>
      </c>
      <c r="K2214" s="18">
        <f>IF(B2214="","",YEAR(B2214))</f>
        <v/>
      </c>
      <c r="L2214" s="18">
        <f>IF(B2214="","",MONTH(B2214))</f>
        <v/>
      </c>
      <c r="M2214" s="18">
        <f>IF(OR(B2214="",I2214=""),"",I2214-B2214)</f>
        <v/>
      </c>
      <c r="N2214" s="21">
        <f>IF(B2214="","",IF(I2214="",IF(H2214="","",IF(TODAY()&gt;H2214,"Atrasado (em aberto)","Em aberto")),IF(I2214&lt;=H2214,"No prazo","Fora do prazo")))</f>
        <v/>
      </c>
    </row>
    <row r="2215">
      <c r="B2215" s="22" t="n"/>
      <c r="E2215" s="23" t="n"/>
      <c r="F2215" s="24" t="n"/>
      <c r="H2215" s="22" t="n"/>
      <c r="I2215" s="22" t="n"/>
      <c r="J2215" s="21">
        <f>IF(C2215="","",IFERROR(INDEX(Clientes!$B:$B,MATCH(C2215,Clientes!$A:$A,0)),"Cód. não cadastrado"))</f>
        <v/>
      </c>
      <c r="K2215" s="18">
        <f>IF(B2215="","",YEAR(B2215))</f>
        <v/>
      </c>
      <c r="L2215" s="18">
        <f>IF(B2215="","",MONTH(B2215))</f>
        <v/>
      </c>
      <c r="M2215" s="18">
        <f>IF(OR(B2215="",I2215=""),"",I2215-B2215)</f>
        <v/>
      </c>
      <c r="N2215" s="21">
        <f>IF(B2215="","",IF(I2215="",IF(H2215="","",IF(TODAY()&gt;H2215,"Atrasado (em aberto)","Em aberto")),IF(I2215&lt;=H2215,"No prazo","Fora do prazo")))</f>
        <v/>
      </c>
    </row>
    <row r="2216">
      <c r="B2216" s="22" t="n"/>
      <c r="E2216" s="23" t="n"/>
      <c r="F2216" s="24" t="n"/>
      <c r="H2216" s="22" t="n"/>
      <c r="I2216" s="22" t="n"/>
      <c r="J2216" s="21">
        <f>IF(C2216="","",IFERROR(INDEX(Clientes!$B:$B,MATCH(C2216,Clientes!$A:$A,0)),"Cód. não cadastrado"))</f>
        <v/>
      </c>
      <c r="K2216" s="18">
        <f>IF(B2216="","",YEAR(B2216))</f>
        <v/>
      </c>
      <c r="L2216" s="18">
        <f>IF(B2216="","",MONTH(B2216))</f>
        <v/>
      </c>
      <c r="M2216" s="18">
        <f>IF(OR(B2216="",I2216=""),"",I2216-B2216)</f>
        <v/>
      </c>
      <c r="N2216" s="21">
        <f>IF(B2216="","",IF(I2216="",IF(H2216="","",IF(TODAY()&gt;H2216,"Atrasado (em aberto)","Em aberto")),IF(I2216&lt;=H2216,"No prazo","Fora do prazo")))</f>
        <v/>
      </c>
    </row>
    <row r="2217">
      <c r="B2217" s="22" t="n"/>
      <c r="E2217" s="23" t="n"/>
      <c r="F2217" s="24" t="n"/>
      <c r="H2217" s="22" t="n"/>
      <c r="I2217" s="22" t="n"/>
      <c r="J2217" s="21">
        <f>IF(C2217="","",IFERROR(INDEX(Clientes!$B:$B,MATCH(C2217,Clientes!$A:$A,0)),"Cód. não cadastrado"))</f>
        <v/>
      </c>
      <c r="K2217" s="18">
        <f>IF(B2217="","",YEAR(B2217))</f>
        <v/>
      </c>
      <c r="L2217" s="18">
        <f>IF(B2217="","",MONTH(B2217))</f>
        <v/>
      </c>
      <c r="M2217" s="18">
        <f>IF(OR(B2217="",I2217=""),"",I2217-B2217)</f>
        <v/>
      </c>
      <c r="N2217" s="21">
        <f>IF(B2217="","",IF(I2217="",IF(H2217="","",IF(TODAY()&gt;H2217,"Atrasado (em aberto)","Em aberto")),IF(I2217&lt;=H2217,"No prazo","Fora do prazo")))</f>
        <v/>
      </c>
    </row>
    <row r="2218">
      <c r="B2218" s="22" t="n"/>
      <c r="E2218" s="23" t="n"/>
      <c r="F2218" s="24" t="n"/>
      <c r="H2218" s="22" t="n"/>
      <c r="I2218" s="22" t="n"/>
      <c r="J2218" s="21">
        <f>IF(C2218="","",IFERROR(INDEX(Clientes!$B:$B,MATCH(C2218,Clientes!$A:$A,0)),"Cód. não cadastrado"))</f>
        <v/>
      </c>
      <c r="K2218" s="18">
        <f>IF(B2218="","",YEAR(B2218))</f>
        <v/>
      </c>
      <c r="L2218" s="18">
        <f>IF(B2218="","",MONTH(B2218))</f>
        <v/>
      </c>
      <c r="M2218" s="18">
        <f>IF(OR(B2218="",I2218=""),"",I2218-B2218)</f>
        <v/>
      </c>
      <c r="N2218" s="21">
        <f>IF(B2218="","",IF(I2218="",IF(H2218="","",IF(TODAY()&gt;H2218,"Atrasado (em aberto)","Em aberto")),IF(I2218&lt;=H2218,"No prazo","Fora do prazo")))</f>
        <v/>
      </c>
    </row>
    <row r="2219">
      <c r="B2219" s="22" t="n"/>
      <c r="E2219" s="23" t="n"/>
      <c r="F2219" s="24" t="n"/>
      <c r="H2219" s="22" t="n"/>
      <c r="I2219" s="22" t="n"/>
      <c r="J2219" s="21">
        <f>IF(C2219="","",IFERROR(INDEX(Clientes!$B:$B,MATCH(C2219,Clientes!$A:$A,0)),"Cód. não cadastrado"))</f>
        <v/>
      </c>
      <c r="K2219" s="18">
        <f>IF(B2219="","",YEAR(B2219))</f>
        <v/>
      </c>
      <c r="L2219" s="18">
        <f>IF(B2219="","",MONTH(B2219))</f>
        <v/>
      </c>
      <c r="M2219" s="18">
        <f>IF(OR(B2219="",I2219=""),"",I2219-B2219)</f>
        <v/>
      </c>
      <c r="N2219" s="21">
        <f>IF(B2219="","",IF(I2219="",IF(H2219="","",IF(TODAY()&gt;H2219,"Atrasado (em aberto)","Em aberto")),IF(I2219&lt;=H2219,"No prazo","Fora do prazo")))</f>
        <v/>
      </c>
    </row>
    <row r="2220">
      <c r="B2220" s="22" t="n"/>
      <c r="E2220" s="23" t="n"/>
      <c r="F2220" s="24" t="n"/>
      <c r="H2220" s="22" t="n"/>
      <c r="I2220" s="22" t="n"/>
      <c r="J2220" s="21">
        <f>IF(C2220="","",IFERROR(INDEX(Clientes!$B:$B,MATCH(C2220,Clientes!$A:$A,0)),"Cód. não cadastrado"))</f>
        <v/>
      </c>
      <c r="K2220" s="18">
        <f>IF(B2220="","",YEAR(B2220))</f>
        <v/>
      </c>
      <c r="L2220" s="18">
        <f>IF(B2220="","",MONTH(B2220))</f>
        <v/>
      </c>
      <c r="M2220" s="18">
        <f>IF(OR(B2220="",I2220=""),"",I2220-B2220)</f>
        <v/>
      </c>
      <c r="N2220" s="21">
        <f>IF(B2220="","",IF(I2220="",IF(H2220="","",IF(TODAY()&gt;H2220,"Atrasado (em aberto)","Em aberto")),IF(I2220&lt;=H2220,"No prazo","Fora do prazo")))</f>
        <v/>
      </c>
    </row>
    <row r="2221">
      <c r="B2221" s="22" t="n"/>
      <c r="E2221" s="23" t="n"/>
      <c r="F2221" s="24" t="n"/>
      <c r="H2221" s="22" t="n"/>
      <c r="I2221" s="22" t="n"/>
      <c r="J2221" s="21">
        <f>IF(C2221="","",IFERROR(INDEX(Clientes!$B:$B,MATCH(C2221,Clientes!$A:$A,0)),"Cód. não cadastrado"))</f>
        <v/>
      </c>
      <c r="K2221" s="18">
        <f>IF(B2221="","",YEAR(B2221))</f>
        <v/>
      </c>
      <c r="L2221" s="18">
        <f>IF(B2221="","",MONTH(B2221))</f>
        <v/>
      </c>
      <c r="M2221" s="18">
        <f>IF(OR(B2221="",I2221=""),"",I2221-B2221)</f>
        <v/>
      </c>
      <c r="N2221" s="21">
        <f>IF(B2221="","",IF(I2221="",IF(H2221="","",IF(TODAY()&gt;H2221,"Atrasado (em aberto)","Em aberto")),IF(I2221&lt;=H2221,"No prazo","Fora do prazo")))</f>
        <v/>
      </c>
    </row>
    <row r="2222">
      <c r="B2222" s="22" t="n"/>
      <c r="E2222" s="23" t="n"/>
      <c r="F2222" s="24" t="n"/>
      <c r="H2222" s="22" t="n"/>
      <c r="I2222" s="22" t="n"/>
      <c r="J2222" s="21">
        <f>IF(C2222="","",IFERROR(INDEX(Clientes!$B:$B,MATCH(C2222,Clientes!$A:$A,0)),"Cód. não cadastrado"))</f>
        <v/>
      </c>
      <c r="K2222" s="18">
        <f>IF(B2222="","",YEAR(B2222))</f>
        <v/>
      </c>
      <c r="L2222" s="18">
        <f>IF(B2222="","",MONTH(B2222))</f>
        <v/>
      </c>
      <c r="M2222" s="18">
        <f>IF(OR(B2222="",I2222=""),"",I2222-B2222)</f>
        <v/>
      </c>
      <c r="N2222" s="21">
        <f>IF(B2222="","",IF(I2222="",IF(H2222="","",IF(TODAY()&gt;H2222,"Atrasado (em aberto)","Em aberto")),IF(I2222&lt;=H2222,"No prazo","Fora do prazo")))</f>
        <v/>
      </c>
    </row>
    <row r="2223">
      <c r="B2223" s="22" t="n"/>
      <c r="E2223" s="23" t="n"/>
      <c r="F2223" s="24" t="n"/>
      <c r="H2223" s="22" t="n"/>
      <c r="I2223" s="22" t="n"/>
      <c r="J2223" s="21">
        <f>IF(C2223="","",IFERROR(INDEX(Clientes!$B:$B,MATCH(C2223,Clientes!$A:$A,0)),"Cód. não cadastrado"))</f>
        <v/>
      </c>
      <c r="K2223" s="18">
        <f>IF(B2223="","",YEAR(B2223))</f>
        <v/>
      </c>
      <c r="L2223" s="18">
        <f>IF(B2223="","",MONTH(B2223))</f>
        <v/>
      </c>
      <c r="M2223" s="18">
        <f>IF(OR(B2223="",I2223=""),"",I2223-B2223)</f>
        <v/>
      </c>
      <c r="N2223" s="21">
        <f>IF(B2223="","",IF(I2223="",IF(H2223="","",IF(TODAY()&gt;H2223,"Atrasado (em aberto)","Em aberto")),IF(I2223&lt;=H2223,"No prazo","Fora do prazo")))</f>
        <v/>
      </c>
    </row>
    <row r="2224">
      <c r="B2224" s="22" t="n"/>
      <c r="E2224" s="23" t="n"/>
      <c r="F2224" s="24" t="n"/>
      <c r="H2224" s="22" t="n"/>
      <c r="I2224" s="22" t="n"/>
      <c r="J2224" s="21">
        <f>IF(C2224="","",IFERROR(INDEX(Clientes!$B:$B,MATCH(C2224,Clientes!$A:$A,0)),"Cód. não cadastrado"))</f>
        <v/>
      </c>
      <c r="K2224" s="18">
        <f>IF(B2224="","",YEAR(B2224))</f>
        <v/>
      </c>
      <c r="L2224" s="18">
        <f>IF(B2224="","",MONTH(B2224))</f>
        <v/>
      </c>
      <c r="M2224" s="18">
        <f>IF(OR(B2224="",I2224=""),"",I2224-B2224)</f>
        <v/>
      </c>
      <c r="N2224" s="21">
        <f>IF(B2224="","",IF(I2224="",IF(H2224="","",IF(TODAY()&gt;H2224,"Atrasado (em aberto)","Em aberto")),IF(I2224&lt;=H2224,"No prazo","Fora do prazo")))</f>
        <v/>
      </c>
    </row>
    <row r="2225">
      <c r="B2225" s="22" t="n"/>
      <c r="E2225" s="23" t="n"/>
      <c r="F2225" s="24" t="n"/>
      <c r="H2225" s="22" t="n"/>
      <c r="I2225" s="22" t="n"/>
      <c r="J2225" s="21">
        <f>IF(C2225="","",IFERROR(INDEX(Clientes!$B:$B,MATCH(C2225,Clientes!$A:$A,0)),"Cód. não cadastrado"))</f>
        <v/>
      </c>
      <c r="K2225" s="18">
        <f>IF(B2225="","",YEAR(B2225))</f>
        <v/>
      </c>
      <c r="L2225" s="18">
        <f>IF(B2225="","",MONTH(B2225))</f>
        <v/>
      </c>
      <c r="M2225" s="18">
        <f>IF(OR(B2225="",I2225=""),"",I2225-B2225)</f>
        <v/>
      </c>
      <c r="N2225" s="21">
        <f>IF(B2225="","",IF(I2225="",IF(H2225="","",IF(TODAY()&gt;H2225,"Atrasado (em aberto)","Em aberto")),IF(I2225&lt;=H2225,"No prazo","Fora do prazo")))</f>
        <v/>
      </c>
    </row>
    <row r="2226">
      <c r="B2226" s="22" t="n"/>
      <c r="E2226" s="23" t="n"/>
      <c r="F2226" s="24" t="n"/>
      <c r="H2226" s="22" t="n"/>
      <c r="I2226" s="22" t="n"/>
      <c r="J2226" s="21">
        <f>IF(C2226="","",IFERROR(INDEX(Clientes!$B:$B,MATCH(C2226,Clientes!$A:$A,0)),"Cód. não cadastrado"))</f>
        <v/>
      </c>
      <c r="K2226" s="18">
        <f>IF(B2226="","",YEAR(B2226))</f>
        <v/>
      </c>
      <c r="L2226" s="18">
        <f>IF(B2226="","",MONTH(B2226))</f>
        <v/>
      </c>
      <c r="M2226" s="18">
        <f>IF(OR(B2226="",I2226=""),"",I2226-B2226)</f>
        <v/>
      </c>
      <c r="N2226" s="21">
        <f>IF(B2226="","",IF(I2226="",IF(H2226="","",IF(TODAY()&gt;H2226,"Atrasado (em aberto)","Em aberto")),IF(I2226&lt;=H2226,"No prazo","Fora do prazo")))</f>
        <v/>
      </c>
    </row>
    <row r="2227">
      <c r="B2227" s="22" t="n"/>
      <c r="E2227" s="23" t="n"/>
      <c r="F2227" s="24" t="n"/>
      <c r="H2227" s="22" t="n"/>
      <c r="I2227" s="22" t="n"/>
      <c r="J2227" s="21">
        <f>IF(C2227="","",IFERROR(INDEX(Clientes!$B:$B,MATCH(C2227,Clientes!$A:$A,0)),"Cód. não cadastrado"))</f>
        <v/>
      </c>
      <c r="K2227" s="18">
        <f>IF(B2227="","",YEAR(B2227))</f>
        <v/>
      </c>
      <c r="L2227" s="18">
        <f>IF(B2227="","",MONTH(B2227))</f>
        <v/>
      </c>
      <c r="M2227" s="18">
        <f>IF(OR(B2227="",I2227=""),"",I2227-B2227)</f>
        <v/>
      </c>
      <c r="N2227" s="21">
        <f>IF(B2227="","",IF(I2227="",IF(H2227="","",IF(TODAY()&gt;H2227,"Atrasado (em aberto)","Em aberto")),IF(I2227&lt;=H2227,"No prazo","Fora do prazo")))</f>
        <v/>
      </c>
    </row>
    <row r="2228">
      <c r="B2228" s="22" t="n"/>
      <c r="E2228" s="23" t="n"/>
      <c r="F2228" s="24" t="n"/>
      <c r="H2228" s="22" t="n"/>
      <c r="I2228" s="22" t="n"/>
      <c r="J2228" s="21">
        <f>IF(C2228="","",IFERROR(INDEX(Clientes!$B:$B,MATCH(C2228,Clientes!$A:$A,0)),"Cód. não cadastrado"))</f>
        <v/>
      </c>
      <c r="K2228" s="18">
        <f>IF(B2228="","",YEAR(B2228))</f>
        <v/>
      </c>
      <c r="L2228" s="18">
        <f>IF(B2228="","",MONTH(B2228))</f>
        <v/>
      </c>
      <c r="M2228" s="18">
        <f>IF(OR(B2228="",I2228=""),"",I2228-B2228)</f>
        <v/>
      </c>
      <c r="N2228" s="21">
        <f>IF(B2228="","",IF(I2228="",IF(H2228="","",IF(TODAY()&gt;H2228,"Atrasado (em aberto)","Em aberto")),IF(I2228&lt;=H2228,"No prazo","Fora do prazo")))</f>
        <v/>
      </c>
    </row>
    <row r="2229">
      <c r="B2229" s="22" t="n"/>
      <c r="E2229" s="23" t="n"/>
      <c r="F2229" s="24" t="n"/>
      <c r="H2229" s="22" t="n"/>
      <c r="I2229" s="22" t="n"/>
      <c r="J2229" s="21">
        <f>IF(C2229="","",IFERROR(INDEX(Clientes!$B:$B,MATCH(C2229,Clientes!$A:$A,0)),"Cód. não cadastrado"))</f>
        <v/>
      </c>
      <c r="K2229" s="18">
        <f>IF(B2229="","",YEAR(B2229))</f>
        <v/>
      </c>
      <c r="L2229" s="18">
        <f>IF(B2229="","",MONTH(B2229))</f>
        <v/>
      </c>
      <c r="M2229" s="18">
        <f>IF(OR(B2229="",I2229=""),"",I2229-B2229)</f>
        <v/>
      </c>
      <c r="N2229" s="21">
        <f>IF(B2229="","",IF(I2229="",IF(H2229="","",IF(TODAY()&gt;H2229,"Atrasado (em aberto)","Em aberto")),IF(I2229&lt;=H2229,"No prazo","Fora do prazo")))</f>
        <v/>
      </c>
    </row>
    <row r="2230">
      <c r="B2230" s="22" t="n"/>
      <c r="E2230" s="23" t="n"/>
      <c r="F2230" s="24" t="n"/>
      <c r="H2230" s="22" t="n"/>
      <c r="I2230" s="22" t="n"/>
      <c r="J2230" s="21">
        <f>IF(C2230="","",IFERROR(INDEX(Clientes!$B:$B,MATCH(C2230,Clientes!$A:$A,0)),"Cód. não cadastrado"))</f>
        <v/>
      </c>
      <c r="K2230" s="18">
        <f>IF(B2230="","",YEAR(B2230))</f>
        <v/>
      </c>
      <c r="L2230" s="18">
        <f>IF(B2230="","",MONTH(B2230))</f>
        <v/>
      </c>
      <c r="M2230" s="18">
        <f>IF(OR(B2230="",I2230=""),"",I2230-B2230)</f>
        <v/>
      </c>
      <c r="N2230" s="21">
        <f>IF(B2230="","",IF(I2230="",IF(H2230="","",IF(TODAY()&gt;H2230,"Atrasado (em aberto)","Em aberto")),IF(I2230&lt;=H2230,"No prazo","Fora do prazo")))</f>
        <v/>
      </c>
    </row>
    <row r="2231">
      <c r="B2231" s="22" t="n"/>
      <c r="E2231" s="23" t="n"/>
      <c r="F2231" s="24" t="n"/>
      <c r="H2231" s="22" t="n"/>
      <c r="I2231" s="22" t="n"/>
      <c r="J2231" s="21">
        <f>IF(C2231="","",IFERROR(INDEX(Clientes!$B:$B,MATCH(C2231,Clientes!$A:$A,0)),"Cód. não cadastrado"))</f>
        <v/>
      </c>
      <c r="K2231" s="18">
        <f>IF(B2231="","",YEAR(B2231))</f>
        <v/>
      </c>
      <c r="L2231" s="18">
        <f>IF(B2231="","",MONTH(B2231))</f>
        <v/>
      </c>
      <c r="M2231" s="18">
        <f>IF(OR(B2231="",I2231=""),"",I2231-B2231)</f>
        <v/>
      </c>
      <c r="N2231" s="21">
        <f>IF(B2231="","",IF(I2231="",IF(H2231="","",IF(TODAY()&gt;H2231,"Atrasado (em aberto)","Em aberto")),IF(I2231&lt;=H2231,"No prazo","Fora do prazo")))</f>
        <v/>
      </c>
    </row>
    <row r="2232">
      <c r="B2232" s="22" t="n"/>
      <c r="E2232" s="23" t="n"/>
      <c r="F2232" s="24" t="n"/>
      <c r="H2232" s="22" t="n"/>
      <c r="I2232" s="22" t="n"/>
      <c r="J2232" s="21">
        <f>IF(C2232="","",IFERROR(INDEX(Clientes!$B:$B,MATCH(C2232,Clientes!$A:$A,0)),"Cód. não cadastrado"))</f>
        <v/>
      </c>
      <c r="K2232" s="18">
        <f>IF(B2232="","",YEAR(B2232))</f>
        <v/>
      </c>
      <c r="L2232" s="18">
        <f>IF(B2232="","",MONTH(B2232))</f>
        <v/>
      </c>
      <c r="M2232" s="18">
        <f>IF(OR(B2232="",I2232=""),"",I2232-B2232)</f>
        <v/>
      </c>
      <c r="N2232" s="21">
        <f>IF(B2232="","",IF(I2232="",IF(H2232="","",IF(TODAY()&gt;H2232,"Atrasado (em aberto)","Em aberto")),IF(I2232&lt;=H2232,"No prazo","Fora do prazo")))</f>
        <v/>
      </c>
    </row>
    <row r="2233">
      <c r="B2233" s="22" t="n"/>
      <c r="E2233" s="23" t="n"/>
      <c r="F2233" s="24" t="n"/>
      <c r="H2233" s="22" t="n"/>
      <c r="I2233" s="22" t="n"/>
      <c r="J2233" s="21">
        <f>IF(C2233="","",IFERROR(INDEX(Clientes!$B:$B,MATCH(C2233,Clientes!$A:$A,0)),"Cód. não cadastrado"))</f>
        <v/>
      </c>
      <c r="K2233" s="18">
        <f>IF(B2233="","",YEAR(B2233))</f>
        <v/>
      </c>
      <c r="L2233" s="18">
        <f>IF(B2233="","",MONTH(B2233))</f>
        <v/>
      </c>
      <c r="M2233" s="18">
        <f>IF(OR(B2233="",I2233=""),"",I2233-B2233)</f>
        <v/>
      </c>
      <c r="N2233" s="21">
        <f>IF(B2233="","",IF(I2233="",IF(H2233="","",IF(TODAY()&gt;H2233,"Atrasado (em aberto)","Em aberto")),IF(I2233&lt;=H2233,"No prazo","Fora do prazo")))</f>
        <v/>
      </c>
    </row>
    <row r="2234">
      <c r="B2234" s="22" t="n"/>
      <c r="E2234" s="23" t="n"/>
      <c r="F2234" s="24" t="n"/>
      <c r="H2234" s="22" t="n"/>
      <c r="I2234" s="22" t="n"/>
      <c r="J2234" s="21">
        <f>IF(C2234="","",IFERROR(INDEX(Clientes!$B:$B,MATCH(C2234,Clientes!$A:$A,0)),"Cód. não cadastrado"))</f>
        <v/>
      </c>
      <c r="K2234" s="18">
        <f>IF(B2234="","",YEAR(B2234))</f>
        <v/>
      </c>
      <c r="L2234" s="18">
        <f>IF(B2234="","",MONTH(B2234))</f>
        <v/>
      </c>
      <c r="M2234" s="18">
        <f>IF(OR(B2234="",I2234=""),"",I2234-B2234)</f>
        <v/>
      </c>
      <c r="N2234" s="21">
        <f>IF(B2234="","",IF(I2234="",IF(H2234="","",IF(TODAY()&gt;H2234,"Atrasado (em aberto)","Em aberto")),IF(I2234&lt;=H2234,"No prazo","Fora do prazo")))</f>
        <v/>
      </c>
    </row>
    <row r="2235">
      <c r="B2235" s="22" t="n"/>
      <c r="E2235" s="23" t="n"/>
      <c r="F2235" s="24" t="n"/>
      <c r="H2235" s="22" t="n"/>
      <c r="I2235" s="22" t="n"/>
      <c r="J2235" s="21">
        <f>IF(C2235="","",IFERROR(INDEX(Clientes!$B:$B,MATCH(C2235,Clientes!$A:$A,0)),"Cód. não cadastrado"))</f>
        <v/>
      </c>
      <c r="K2235" s="18">
        <f>IF(B2235="","",YEAR(B2235))</f>
        <v/>
      </c>
      <c r="L2235" s="18">
        <f>IF(B2235="","",MONTH(B2235))</f>
        <v/>
      </c>
      <c r="M2235" s="18">
        <f>IF(OR(B2235="",I2235=""),"",I2235-B2235)</f>
        <v/>
      </c>
      <c r="N2235" s="21">
        <f>IF(B2235="","",IF(I2235="",IF(H2235="","",IF(TODAY()&gt;H2235,"Atrasado (em aberto)","Em aberto")),IF(I2235&lt;=H2235,"No prazo","Fora do prazo")))</f>
        <v/>
      </c>
    </row>
    <row r="2236">
      <c r="B2236" s="22" t="n"/>
      <c r="E2236" s="23" t="n"/>
      <c r="F2236" s="24" t="n"/>
      <c r="H2236" s="22" t="n"/>
      <c r="I2236" s="22" t="n"/>
      <c r="J2236" s="21">
        <f>IF(C2236="","",IFERROR(INDEX(Clientes!$B:$B,MATCH(C2236,Clientes!$A:$A,0)),"Cód. não cadastrado"))</f>
        <v/>
      </c>
      <c r="K2236" s="18">
        <f>IF(B2236="","",YEAR(B2236))</f>
        <v/>
      </c>
      <c r="L2236" s="18">
        <f>IF(B2236="","",MONTH(B2236))</f>
        <v/>
      </c>
      <c r="M2236" s="18">
        <f>IF(OR(B2236="",I2236=""),"",I2236-B2236)</f>
        <v/>
      </c>
      <c r="N2236" s="21">
        <f>IF(B2236="","",IF(I2236="",IF(H2236="","",IF(TODAY()&gt;H2236,"Atrasado (em aberto)","Em aberto")),IF(I2236&lt;=H2236,"No prazo","Fora do prazo")))</f>
        <v/>
      </c>
    </row>
    <row r="2237">
      <c r="B2237" s="22" t="n"/>
      <c r="E2237" s="23" t="n"/>
      <c r="F2237" s="24" t="n"/>
      <c r="H2237" s="22" t="n"/>
      <c r="I2237" s="22" t="n"/>
      <c r="J2237" s="21">
        <f>IF(C2237="","",IFERROR(INDEX(Clientes!$B:$B,MATCH(C2237,Clientes!$A:$A,0)),"Cód. não cadastrado"))</f>
        <v/>
      </c>
      <c r="K2237" s="18">
        <f>IF(B2237="","",YEAR(B2237))</f>
        <v/>
      </c>
      <c r="L2237" s="18">
        <f>IF(B2237="","",MONTH(B2237))</f>
        <v/>
      </c>
      <c r="M2237" s="18">
        <f>IF(OR(B2237="",I2237=""),"",I2237-B2237)</f>
        <v/>
      </c>
      <c r="N2237" s="21">
        <f>IF(B2237="","",IF(I2237="",IF(H2237="","",IF(TODAY()&gt;H2237,"Atrasado (em aberto)","Em aberto")),IF(I2237&lt;=H2237,"No prazo","Fora do prazo")))</f>
        <v/>
      </c>
    </row>
    <row r="2238">
      <c r="B2238" s="22" t="n"/>
      <c r="E2238" s="23" t="n"/>
      <c r="F2238" s="24" t="n"/>
      <c r="H2238" s="22" t="n"/>
      <c r="I2238" s="22" t="n"/>
      <c r="J2238" s="21">
        <f>IF(C2238="","",IFERROR(INDEX(Clientes!$B:$B,MATCH(C2238,Clientes!$A:$A,0)),"Cód. não cadastrado"))</f>
        <v/>
      </c>
      <c r="K2238" s="18">
        <f>IF(B2238="","",YEAR(B2238))</f>
        <v/>
      </c>
      <c r="L2238" s="18">
        <f>IF(B2238="","",MONTH(B2238))</f>
        <v/>
      </c>
      <c r="M2238" s="18">
        <f>IF(OR(B2238="",I2238=""),"",I2238-B2238)</f>
        <v/>
      </c>
      <c r="N2238" s="21">
        <f>IF(B2238="","",IF(I2238="",IF(H2238="","",IF(TODAY()&gt;H2238,"Atrasado (em aberto)","Em aberto")),IF(I2238&lt;=H2238,"No prazo","Fora do prazo")))</f>
        <v/>
      </c>
    </row>
    <row r="2239">
      <c r="B2239" s="22" t="n"/>
      <c r="E2239" s="23" t="n"/>
      <c r="F2239" s="24" t="n"/>
      <c r="H2239" s="22" t="n"/>
      <c r="I2239" s="22" t="n"/>
      <c r="J2239" s="21">
        <f>IF(C2239="","",IFERROR(INDEX(Clientes!$B:$B,MATCH(C2239,Clientes!$A:$A,0)),"Cód. não cadastrado"))</f>
        <v/>
      </c>
      <c r="K2239" s="18">
        <f>IF(B2239="","",YEAR(B2239))</f>
        <v/>
      </c>
      <c r="L2239" s="18">
        <f>IF(B2239="","",MONTH(B2239))</f>
        <v/>
      </c>
      <c r="M2239" s="18">
        <f>IF(OR(B2239="",I2239=""),"",I2239-B2239)</f>
        <v/>
      </c>
      <c r="N2239" s="21">
        <f>IF(B2239="","",IF(I2239="",IF(H2239="","",IF(TODAY()&gt;H2239,"Atrasado (em aberto)","Em aberto")),IF(I2239&lt;=H2239,"No prazo","Fora do prazo")))</f>
        <v/>
      </c>
    </row>
    <row r="2240">
      <c r="B2240" s="22" t="n"/>
      <c r="E2240" s="23" t="n"/>
      <c r="F2240" s="24" t="n"/>
      <c r="H2240" s="22" t="n"/>
      <c r="I2240" s="22" t="n"/>
      <c r="J2240" s="21">
        <f>IF(C2240="","",IFERROR(INDEX(Clientes!$B:$B,MATCH(C2240,Clientes!$A:$A,0)),"Cód. não cadastrado"))</f>
        <v/>
      </c>
      <c r="K2240" s="18">
        <f>IF(B2240="","",YEAR(B2240))</f>
        <v/>
      </c>
      <c r="L2240" s="18">
        <f>IF(B2240="","",MONTH(B2240))</f>
        <v/>
      </c>
      <c r="M2240" s="18">
        <f>IF(OR(B2240="",I2240=""),"",I2240-B2240)</f>
        <v/>
      </c>
      <c r="N2240" s="21">
        <f>IF(B2240="","",IF(I2240="",IF(H2240="","",IF(TODAY()&gt;H2240,"Atrasado (em aberto)","Em aberto")),IF(I2240&lt;=H2240,"No prazo","Fora do prazo")))</f>
        <v/>
      </c>
    </row>
    <row r="2241">
      <c r="B2241" s="22" t="n"/>
      <c r="E2241" s="23" t="n"/>
      <c r="F2241" s="24" t="n"/>
      <c r="H2241" s="22" t="n"/>
      <c r="I2241" s="22" t="n"/>
      <c r="J2241" s="21">
        <f>IF(C2241="","",IFERROR(INDEX(Clientes!$B:$B,MATCH(C2241,Clientes!$A:$A,0)),"Cód. não cadastrado"))</f>
        <v/>
      </c>
      <c r="K2241" s="18">
        <f>IF(B2241="","",YEAR(B2241))</f>
        <v/>
      </c>
      <c r="L2241" s="18">
        <f>IF(B2241="","",MONTH(B2241))</f>
        <v/>
      </c>
      <c r="M2241" s="18">
        <f>IF(OR(B2241="",I2241=""),"",I2241-B2241)</f>
        <v/>
      </c>
      <c r="N2241" s="21">
        <f>IF(B2241="","",IF(I2241="",IF(H2241="","",IF(TODAY()&gt;H2241,"Atrasado (em aberto)","Em aberto")),IF(I2241&lt;=H2241,"No prazo","Fora do prazo")))</f>
        <v/>
      </c>
    </row>
    <row r="2242">
      <c r="B2242" s="22" t="n"/>
      <c r="E2242" s="23" t="n"/>
      <c r="F2242" s="24" t="n"/>
      <c r="H2242" s="22" t="n"/>
      <c r="I2242" s="22" t="n"/>
      <c r="J2242" s="21">
        <f>IF(C2242="","",IFERROR(INDEX(Clientes!$B:$B,MATCH(C2242,Clientes!$A:$A,0)),"Cód. não cadastrado"))</f>
        <v/>
      </c>
      <c r="K2242" s="18">
        <f>IF(B2242="","",YEAR(B2242))</f>
        <v/>
      </c>
      <c r="L2242" s="18">
        <f>IF(B2242="","",MONTH(B2242))</f>
        <v/>
      </c>
      <c r="M2242" s="18">
        <f>IF(OR(B2242="",I2242=""),"",I2242-B2242)</f>
        <v/>
      </c>
      <c r="N2242" s="21">
        <f>IF(B2242="","",IF(I2242="",IF(H2242="","",IF(TODAY()&gt;H2242,"Atrasado (em aberto)","Em aberto")),IF(I2242&lt;=H2242,"No prazo","Fora do prazo")))</f>
        <v/>
      </c>
    </row>
    <row r="2243">
      <c r="B2243" s="22" t="n"/>
      <c r="E2243" s="23" t="n"/>
      <c r="F2243" s="24" t="n"/>
      <c r="H2243" s="22" t="n"/>
      <c r="I2243" s="22" t="n"/>
      <c r="J2243" s="21">
        <f>IF(C2243="","",IFERROR(INDEX(Clientes!$B:$B,MATCH(C2243,Clientes!$A:$A,0)),"Cód. não cadastrado"))</f>
        <v/>
      </c>
      <c r="K2243" s="18">
        <f>IF(B2243="","",YEAR(B2243))</f>
        <v/>
      </c>
      <c r="L2243" s="18">
        <f>IF(B2243="","",MONTH(B2243))</f>
        <v/>
      </c>
      <c r="M2243" s="18">
        <f>IF(OR(B2243="",I2243=""),"",I2243-B2243)</f>
        <v/>
      </c>
      <c r="N2243" s="21">
        <f>IF(B2243="","",IF(I2243="",IF(H2243="","",IF(TODAY()&gt;H2243,"Atrasado (em aberto)","Em aberto")),IF(I2243&lt;=H2243,"No prazo","Fora do prazo")))</f>
        <v/>
      </c>
    </row>
    <row r="2244">
      <c r="B2244" s="22" t="n"/>
      <c r="E2244" s="23" t="n"/>
      <c r="F2244" s="24" t="n"/>
      <c r="H2244" s="22" t="n"/>
      <c r="I2244" s="22" t="n"/>
      <c r="J2244" s="21">
        <f>IF(C2244="","",IFERROR(INDEX(Clientes!$B:$B,MATCH(C2244,Clientes!$A:$A,0)),"Cód. não cadastrado"))</f>
        <v/>
      </c>
      <c r="K2244" s="18">
        <f>IF(B2244="","",YEAR(B2244))</f>
        <v/>
      </c>
      <c r="L2244" s="18">
        <f>IF(B2244="","",MONTH(B2244))</f>
        <v/>
      </c>
      <c r="M2244" s="18">
        <f>IF(OR(B2244="",I2244=""),"",I2244-B2244)</f>
        <v/>
      </c>
      <c r="N2244" s="21">
        <f>IF(B2244="","",IF(I2244="",IF(H2244="","",IF(TODAY()&gt;H2244,"Atrasado (em aberto)","Em aberto")),IF(I2244&lt;=H2244,"No prazo","Fora do prazo")))</f>
        <v/>
      </c>
    </row>
    <row r="2245">
      <c r="B2245" s="22" t="n"/>
      <c r="E2245" s="23" t="n"/>
      <c r="F2245" s="24" t="n"/>
      <c r="H2245" s="22" t="n"/>
      <c r="I2245" s="22" t="n"/>
      <c r="J2245" s="21">
        <f>IF(C2245="","",IFERROR(INDEX(Clientes!$B:$B,MATCH(C2245,Clientes!$A:$A,0)),"Cód. não cadastrado"))</f>
        <v/>
      </c>
      <c r="K2245" s="18">
        <f>IF(B2245="","",YEAR(B2245))</f>
        <v/>
      </c>
      <c r="L2245" s="18">
        <f>IF(B2245="","",MONTH(B2245))</f>
        <v/>
      </c>
      <c r="M2245" s="18">
        <f>IF(OR(B2245="",I2245=""),"",I2245-B2245)</f>
        <v/>
      </c>
      <c r="N2245" s="21">
        <f>IF(B2245="","",IF(I2245="",IF(H2245="","",IF(TODAY()&gt;H2245,"Atrasado (em aberto)","Em aberto")),IF(I2245&lt;=H2245,"No prazo","Fora do prazo")))</f>
        <v/>
      </c>
    </row>
    <row r="2246">
      <c r="B2246" s="22" t="n"/>
      <c r="E2246" s="23" t="n"/>
      <c r="F2246" s="24" t="n"/>
      <c r="H2246" s="22" t="n"/>
      <c r="I2246" s="22" t="n"/>
      <c r="J2246" s="21">
        <f>IF(C2246="","",IFERROR(INDEX(Clientes!$B:$B,MATCH(C2246,Clientes!$A:$A,0)),"Cód. não cadastrado"))</f>
        <v/>
      </c>
      <c r="K2246" s="18">
        <f>IF(B2246="","",YEAR(B2246))</f>
        <v/>
      </c>
      <c r="L2246" s="18">
        <f>IF(B2246="","",MONTH(B2246))</f>
        <v/>
      </c>
      <c r="M2246" s="18">
        <f>IF(OR(B2246="",I2246=""),"",I2246-B2246)</f>
        <v/>
      </c>
      <c r="N2246" s="21">
        <f>IF(B2246="","",IF(I2246="",IF(H2246="","",IF(TODAY()&gt;H2246,"Atrasado (em aberto)","Em aberto")),IF(I2246&lt;=H2246,"No prazo","Fora do prazo")))</f>
        <v/>
      </c>
    </row>
    <row r="2247">
      <c r="B2247" s="22" t="n"/>
      <c r="E2247" s="23" t="n"/>
      <c r="F2247" s="24" t="n"/>
      <c r="H2247" s="22" t="n"/>
      <c r="I2247" s="22" t="n"/>
      <c r="J2247" s="21">
        <f>IF(C2247="","",IFERROR(INDEX(Clientes!$B:$B,MATCH(C2247,Clientes!$A:$A,0)),"Cód. não cadastrado"))</f>
        <v/>
      </c>
      <c r="K2247" s="18">
        <f>IF(B2247="","",YEAR(B2247))</f>
        <v/>
      </c>
      <c r="L2247" s="18">
        <f>IF(B2247="","",MONTH(B2247))</f>
        <v/>
      </c>
      <c r="M2247" s="18">
        <f>IF(OR(B2247="",I2247=""),"",I2247-B2247)</f>
        <v/>
      </c>
      <c r="N2247" s="21">
        <f>IF(B2247="","",IF(I2247="",IF(H2247="","",IF(TODAY()&gt;H2247,"Atrasado (em aberto)","Em aberto")),IF(I2247&lt;=H2247,"No prazo","Fora do prazo")))</f>
        <v/>
      </c>
    </row>
    <row r="2248">
      <c r="B2248" s="22" t="n"/>
      <c r="E2248" s="23" t="n"/>
      <c r="F2248" s="24" t="n"/>
      <c r="H2248" s="22" t="n"/>
      <c r="I2248" s="22" t="n"/>
      <c r="J2248" s="21">
        <f>IF(C2248="","",IFERROR(INDEX(Clientes!$B:$B,MATCH(C2248,Clientes!$A:$A,0)),"Cód. não cadastrado"))</f>
        <v/>
      </c>
      <c r="K2248" s="18">
        <f>IF(B2248="","",YEAR(B2248))</f>
        <v/>
      </c>
      <c r="L2248" s="18">
        <f>IF(B2248="","",MONTH(B2248))</f>
        <v/>
      </c>
      <c r="M2248" s="18">
        <f>IF(OR(B2248="",I2248=""),"",I2248-B2248)</f>
        <v/>
      </c>
      <c r="N2248" s="21">
        <f>IF(B2248="","",IF(I2248="",IF(H2248="","",IF(TODAY()&gt;H2248,"Atrasado (em aberto)","Em aberto")),IF(I2248&lt;=H2248,"No prazo","Fora do prazo")))</f>
        <v/>
      </c>
    </row>
    <row r="2249">
      <c r="B2249" s="22" t="n"/>
      <c r="E2249" s="23" t="n"/>
      <c r="F2249" s="24" t="n"/>
      <c r="H2249" s="22" t="n"/>
      <c r="I2249" s="22" t="n"/>
      <c r="J2249" s="21">
        <f>IF(C2249="","",IFERROR(INDEX(Clientes!$B:$B,MATCH(C2249,Clientes!$A:$A,0)),"Cód. não cadastrado"))</f>
        <v/>
      </c>
      <c r="K2249" s="18">
        <f>IF(B2249="","",YEAR(B2249))</f>
        <v/>
      </c>
      <c r="L2249" s="18">
        <f>IF(B2249="","",MONTH(B2249))</f>
        <v/>
      </c>
      <c r="M2249" s="18">
        <f>IF(OR(B2249="",I2249=""),"",I2249-B2249)</f>
        <v/>
      </c>
      <c r="N2249" s="21">
        <f>IF(B2249="","",IF(I2249="",IF(H2249="","",IF(TODAY()&gt;H2249,"Atrasado (em aberto)","Em aberto")),IF(I2249&lt;=H2249,"No prazo","Fora do prazo")))</f>
        <v/>
      </c>
    </row>
    <row r="2250">
      <c r="B2250" s="22" t="n"/>
      <c r="E2250" s="23" t="n"/>
      <c r="F2250" s="24" t="n"/>
      <c r="H2250" s="22" t="n"/>
      <c r="I2250" s="22" t="n"/>
      <c r="J2250" s="21">
        <f>IF(C2250="","",IFERROR(INDEX(Clientes!$B:$B,MATCH(C2250,Clientes!$A:$A,0)),"Cód. não cadastrado"))</f>
        <v/>
      </c>
      <c r="K2250" s="18">
        <f>IF(B2250="","",YEAR(B2250))</f>
        <v/>
      </c>
      <c r="L2250" s="18">
        <f>IF(B2250="","",MONTH(B2250))</f>
        <v/>
      </c>
      <c r="M2250" s="18">
        <f>IF(OR(B2250="",I2250=""),"",I2250-B2250)</f>
        <v/>
      </c>
      <c r="N2250" s="21">
        <f>IF(B2250="","",IF(I2250="",IF(H2250="","",IF(TODAY()&gt;H2250,"Atrasado (em aberto)","Em aberto")),IF(I2250&lt;=H2250,"No prazo","Fora do prazo")))</f>
        <v/>
      </c>
    </row>
    <row r="2251">
      <c r="B2251" s="22" t="n"/>
      <c r="E2251" s="23" t="n"/>
      <c r="F2251" s="24" t="n"/>
      <c r="H2251" s="22" t="n"/>
      <c r="I2251" s="22" t="n"/>
      <c r="J2251" s="21">
        <f>IF(C2251="","",IFERROR(INDEX(Clientes!$B:$B,MATCH(C2251,Clientes!$A:$A,0)),"Cód. não cadastrado"))</f>
        <v/>
      </c>
      <c r="K2251" s="18">
        <f>IF(B2251="","",YEAR(B2251))</f>
        <v/>
      </c>
      <c r="L2251" s="18">
        <f>IF(B2251="","",MONTH(B2251))</f>
        <v/>
      </c>
      <c r="M2251" s="18">
        <f>IF(OR(B2251="",I2251=""),"",I2251-B2251)</f>
        <v/>
      </c>
      <c r="N2251" s="21">
        <f>IF(B2251="","",IF(I2251="",IF(H2251="","",IF(TODAY()&gt;H2251,"Atrasado (em aberto)","Em aberto")),IF(I2251&lt;=H2251,"No prazo","Fora do prazo")))</f>
        <v/>
      </c>
    </row>
    <row r="2252">
      <c r="B2252" s="22" t="n"/>
      <c r="E2252" s="23" t="n"/>
      <c r="F2252" s="24" t="n"/>
      <c r="H2252" s="22" t="n"/>
      <c r="I2252" s="22" t="n"/>
      <c r="J2252" s="21">
        <f>IF(C2252="","",IFERROR(INDEX(Clientes!$B:$B,MATCH(C2252,Clientes!$A:$A,0)),"Cód. não cadastrado"))</f>
        <v/>
      </c>
      <c r="K2252" s="18">
        <f>IF(B2252="","",YEAR(B2252))</f>
        <v/>
      </c>
      <c r="L2252" s="18">
        <f>IF(B2252="","",MONTH(B2252))</f>
        <v/>
      </c>
      <c r="M2252" s="18">
        <f>IF(OR(B2252="",I2252=""),"",I2252-B2252)</f>
        <v/>
      </c>
      <c r="N2252" s="21">
        <f>IF(B2252="","",IF(I2252="",IF(H2252="","",IF(TODAY()&gt;H2252,"Atrasado (em aberto)","Em aberto")),IF(I2252&lt;=H2252,"No prazo","Fora do prazo")))</f>
        <v/>
      </c>
    </row>
    <row r="2253">
      <c r="B2253" s="22" t="n"/>
      <c r="E2253" s="23" t="n"/>
      <c r="F2253" s="24" t="n"/>
      <c r="H2253" s="22" t="n"/>
      <c r="I2253" s="22" t="n"/>
      <c r="J2253" s="21">
        <f>IF(C2253="","",IFERROR(INDEX(Clientes!$B:$B,MATCH(C2253,Clientes!$A:$A,0)),"Cód. não cadastrado"))</f>
        <v/>
      </c>
      <c r="K2253" s="18">
        <f>IF(B2253="","",YEAR(B2253))</f>
        <v/>
      </c>
      <c r="L2253" s="18">
        <f>IF(B2253="","",MONTH(B2253))</f>
        <v/>
      </c>
      <c r="M2253" s="18">
        <f>IF(OR(B2253="",I2253=""),"",I2253-B2253)</f>
        <v/>
      </c>
      <c r="N2253" s="21">
        <f>IF(B2253="","",IF(I2253="",IF(H2253="","",IF(TODAY()&gt;H2253,"Atrasado (em aberto)","Em aberto")),IF(I2253&lt;=H2253,"No prazo","Fora do prazo")))</f>
        <v/>
      </c>
    </row>
    <row r="2254">
      <c r="B2254" s="22" t="n"/>
      <c r="E2254" s="23" t="n"/>
      <c r="F2254" s="24" t="n"/>
      <c r="H2254" s="22" t="n"/>
      <c r="I2254" s="22" t="n"/>
      <c r="J2254" s="21">
        <f>IF(C2254="","",IFERROR(INDEX(Clientes!$B:$B,MATCH(C2254,Clientes!$A:$A,0)),"Cód. não cadastrado"))</f>
        <v/>
      </c>
      <c r="K2254" s="18">
        <f>IF(B2254="","",YEAR(B2254))</f>
        <v/>
      </c>
      <c r="L2254" s="18">
        <f>IF(B2254="","",MONTH(B2254))</f>
        <v/>
      </c>
      <c r="M2254" s="18">
        <f>IF(OR(B2254="",I2254=""),"",I2254-B2254)</f>
        <v/>
      </c>
      <c r="N2254" s="21">
        <f>IF(B2254="","",IF(I2254="",IF(H2254="","",IF(TODAY()&gt;H2254,"Atrasado (em aberto)","Em aberto")),IF(I2254&lt;=H2254,"No prazo","Fora do prazo")))</f>
        <v/>
      </c>
    </row>
    <row r="2255">
      <c r="B2255" s="22" t="n"/>
      <c r="E2255" s="23" t="n"/>
      <c r="F2255" s="24" t="n"/>
      <c r="H2255" s="22" t="n"/>
      <c r="I2255" s="22" t="n"/>
      <c r="J2255" s="21">
        <f>IF(C2255="","",IFERROR(INDEX(Clientes!$B:$B,MATCH(C2255,Clientes!$A:$A,0)),"Cód. não cadastrado"))</f>
        <v/>
      </c>
      <c r="K2255" s="18">
        <f>IF(B2255="","",YEAR(B2255))</f>
        <v/>
      </c>
      <c r="L2255" s="18">
        <f>IF(B2255="","",MONTH(B2255))</f>
        <v/>
      </c>
      <c r="M2255" s="18">
        <f>IF(OR(B2255="",I2255=""),"",I2255-B2255)</f>
        <v/>
      </c>
      <c r="N2255" s="21">
        <f>IF(B2255="","",IF(I2255="",IF(H2255="","",IF(TODAY()&gt;H2255,"Atrasado (em aberto)","Em aberto")),IF(I2255&lt;=H2255,"No prazo","Fora do prazo")))</f>
        <v/>
      </c>
    </row>
    <row r="2256">
      <c r="B2256" s="22" t="n"/>
      <c r="E2256" s="23" t="n"/>
      <c r="F2256" s="24" t="n"/>
      <c r="H2256" s="22" t="n"/>
      <c r="I2256" s="22" t="n"/>
      <c r="J2256" s="21">
        <f>IF(C2256="","",IFERROR(INDEX(Clientes!$B:$B,MATCH(C2256,Clientes!$A:$A,0)),"Cód. não cadastrado"))</f>
        <v/>
      </c>
      <c r="K2256" s="18">
        <f>IF(B2256="","",YEAR(B2256))</f>
        <v/>
      </c>
      <c r="L2256" s="18">
        <f>IF(B2256="","",MONTH(B2256))</f>
        <v/>
      </c>
      <c r="M2256" s="18">
        <f>IF(OR(B2256="",I2256=""),"",I2256-B2256)</f>
        <v/>
      </c>
      <c r="N2256" s="21">
        <f>IF(B2256="","",IF(I2256="",IF(H2256="","",IF(TODAY()&gt;H2256,"Atrasado (em aberto)","Em aberto")),IF(I2256&lt;=H2256,"No prazo","Fora do prazo")))</f>
        <v/>
      </c>
    </row>
    <row r="2257">
      <c r="B2257" s="22" t="n"/>
      <c r="E2257" s="23" t="n"/>
      <c r="F2257" s="24" t="n"/>
      <c r="H2257" s="22" t="n"/>
      <c r="I2257" s="22" t="n"/>
      <c r="J2257" s="21">
        <f>IF(C2257="","",IFERROR(INDEX(Clientes!$B:$B,MATCH(C2257,Clientes!$A:$A,0)),"Cód. não cadastrado"))</f>
        <v/>
      </c>
      <c r="K2257" s="18">
        <f>IF(B2257="","",YEAR(B2257))</f>
        <v/>
      </c>
      <c r="L2257" s="18">
        <f>IF(B2257="","",MONTH(B2257))</f>
        <v/>
      </c>
      <c r="M2257" s="18">
        <f>IF(OR(B2257="",I2257=""),"",I2257-B2257)</f>
        <v/>
      </c>
      <c r="N2257" s="21">
        <f>IF(B2257="","",IF(I2257="",IF(H2257="","",IF(TODAY()&gt;H2257,"Atrasado (em aberto)","Em aberto")),IF(I2257&lt;=H2257,"No prazo","Fora do prazo")))</f>
        <v/>
      </c>
    </row>
    <row r="2258">
      <c r="B2258" s="22" t="n"/>
      <c r="E2258" s="23" t="n"/>
      <c r="F2258" s="24" t="n"/>
      <c r="H2258" s="22" t="n"/>
      <c r="I2258" s="22" t="n"/>
      <c r="J2258" s="21">
        <f>IF(C2258="","",IFERROR(INDEX(Clientes!$B:$B,MATCH(C2258,Clientes!$A:$A,0)),"Cód. não cadastrado"))</f>
        <v/>
      </c>
      <c r="K2258" s="18">
        <f>IF(B2258="","",YEAR(B2258))</f>
        <v/>
      </c>
      <c r="L2258" s="18">
        <f>IF(B2258="","",MONTH(B2258))</f>
        <v/>
      </c>
      <c r="M2258" s="18">
        <f>IF(OR(B2258="",I2258=""),"",I2258-B2258)</f>
        <v/>
      </c>
      <c r="N2258" s="21">
        <f>IF(B2258="","",IF(I2258="",IF(H2258="","",IF(TODAY()&gt;H2258,"Atrasado (em aberto)","Em aberto")),IF(I2258&lt;=H2258,"No prazo","Fora do prazo")))</f>
        <v/>
      </c>
    </row>
    <row r="2259">
      <c r="B2259" s="22" t="n"/>
      <c r="E2259" s="23" t="n"/>
      <c r="F2259" s="24" t="n"/>
      <c r="H2259" s="22" t="n"/>
      <c r="I2259" s="22" t="n"/>
      <c r="J2259" s="21">
        <f>IF(C2259="","",IFERROR(INDEX(Clientes!$B:$B,MATCH(C2259,Clientes!$A:$A,0)),"Cód. não cadastrado"))</f>
        <v/>
      </c>
      <c r="K2259" s="18">
        <f>IF(B2259="","",YEAR(B2259))</f>
        <v/>
      </c>
      <c r="L2259" s="18">
        <f>IF(B2259="","",MONTH(B2259))</f>
        <v/>
      </c>
      <c r="M2259" s="18">
        <f>IF(OR(B2259="",I2259=""),"",I2259-B2259)</f>
        <v/>
      </c>
      <c r="N2259" s="21">
        <f>IF(B2259="","",IF(I2259="",IF(H2259="","",IF(TODAY()&gt;H2259,"Atrasado (em aberto)","Em aberto")),IF(I2259&lt;=H2259,"No prazo","Fora do prazo")))</f>
        <v/>
      </c>
    </row>
    <row r="2260">
      <c r="B2260" s="22" t="n"/>
      <c r="E2260" s="23" t="n"/>
      <c r="F2260" s="24" t="n"/>
      <c r="H2260" s="22" t="n"/>
      <c r="I2260" s="22" t="n"/>
      <c r="J2260" s="21">
        <f>IF(C2260="","",IFERROR(INDEX(Clientes!$B:$B,MATCH(C2260,Clientes!$A:$A,0)),"Cód. não cadastrado"))</f>
        <v/>
      </c>
      <c r="K2260" s="18">
        <f>IF(B2260="","",YEAR(B2260))</f>
        <v/>
      </c>
      <c r="L2260" s="18">
        <f>IF(B2260="","",MONTH(B2260))</f>
        <v/>
      </c>
      <c r="M2260" s="18">
        <f>IF(OR(B2260="",I2260=""),"",I2260-B2260)</f>
        <v/>
      </c>
      <c r="N2260" s="21">
        <f>IF(B2260="","",IF(I2260="",IF(H2260="","",IF(TODAY()&gt;H2260,"Atrasado (em aberto)","Em aberto")),IF(I2260&lt;=H2260,"No prazo","Fora do prazo")))</f>
        <v/>
      </c>
    </row>
    <row r="2261">
      <c r="B2261" s="22" t="n"/>
      <c r="E2261" s="23" t="n"/>
      <c r="F2261" s="24" t="n"/>
      <c r="H2261" s="22" t="n"/>
      <c r="I2261" s="22" t="n"/>
      <c r="J2261" s="21">
        <f>IF(C2261="","",IFERROR(INDEX(Clientes!$B:$B,MATCH(C2261,Clientes!$A:$A,0)),"Cód. não cadastrado"))</f>
        <v/>
      </c>
      <c r="K2261" s="18">
        <f>IF(B2261="","",YEAR(B2261))</f>
        <v/>
      </c>
      <c r="L2261" s="18">
        <f>IF(B2261="","",MONTH(B2261))</f>
        <v/>
      </c>
      <c r="M2261" s="18">
        <f>IF(OR(B2261="",I2261=""),"",I2261-B2261)</f>
        <v/>
      </c>
      <c r="N2261" s="21">
        <f>IF(B2261="","",IF(I2261="",IF(H2261="","",IF(TODAY()&gt;H2261,"Atrasado (em aberto)","Em aberto")),IF(I2261&lt;=H2261,"No prazo","Fora do prazo")))</f>
        <v/>
      </c>
    </row>
    <row r="2262">
      <c r="B2262" s="22" t="n"/>
      <c r="E2262" s="23" t="n"/>
      <c r="F2262" s="24" t="n"/>
      <c r="H2262" s="22" t="n"/>
      <c r="I2262" s="22" t="n"/>
      <c r="J2262" s="21">
        <f>IF(C2262="","",IFERROR(INDEX(Clientes!$B:$B,MATCH(C2262,Clientes!$A:$A,0)),"Cód. não cadastrado"))</f>
        <v/>
      </c>
      <c r="K2262" s="18">
        <f>IF(B2262="","",YEAR(B2262))</f>
        <v/>
      </c>
      <c r="L2262" s="18">
        <f>IF(B2262="","",MONTH(B2262))</f>
        <v/>
      </c>
      <c r="M2262" s="18">
        <f>IF(OR(B2262="",I2262=""),"",I2262-B2262)</f>
        <v/>
      </c>
      <c r="N2262" s="21">
        <f>IF(B2262="","",IF(I2262="",IF(H2262="","",IF(TODAY()&gt;H2262,"Atrasado (em aberto)","Em aberto")),IF(I2262&lt;=H2262,"No prazo","Fora do prazo")))</f>
        <v/>
      </c>
    </row>
    <row r="2263">
      <c r="B2263" s="22" t="n"/>
      <c r="E2263" s="23" t="n"/>
      <c r="F2263" s="24" t="n"/>
      <c r="H2263" s="22" t="n"/>
      <c r="I2263" s="22" t="n"/>
      <c r="J2263" s="21">
        <f>IF(C2263="","",IFERROR(INDEX(Clientes!$B:$B,MATCH(C2263,Clientes!$A:$A,0)),"Cód. não cadastrado"))</f>
        <v/>
      </c>
      <c r="K2263" s="18">
        <f>IF(B2263="","",YEAR(B2263))</f>
        <v/>
      </c>
      <c r="L2263" s="18">
        <f>IF(B2263="","",MONTH(B2263))</f>
        <v/>
      </c>
      <c r="M2263" s="18">
        <f>IF(OR(B2263="",I2263=""),"",I2263-B2263)</f>
        <v/>
      </c>
      <c r="N2263" s="21">
        <f>IF(B2263="","",IF(I2263="",IF(H2263="","",IF(TODAY()&gt;H2263,"Atrasado (em aberto)","Em aberto")),IF(I2263&lt;=H2263,"No prazo","Fora do prazo")))</f>
        <v/>
      </c>
    </row>
    <row r="2264">
      <c r="B2264" s="22" t="n"/>
      <c r="E2264" s="23" t="n"/>
      <c r="F2264" s="24" t="n"/>
      <c r="H2264" s="22" t="n"/>
      <c r="I2264" s="22" t="n"/>
      <c r="J2264" s="21">
        <f>IF(C2264="","",IFERROR(INDEX(Clientes!$B:$B,MATCH(C2264,Clientes!$A:$A,0)),"Cód. não cadastrado"))</f>
        <v/>
      </c>
      <c r="K2264" s="18">
        <f>IF(B2264="","",YEAR(B2264))</f>
        <v/>
      </c>
      <c r="L2264" s="18">
        <f>IF(B2264="","",MONTH(B2264))</f>
        <v/>
      </c>
      <c r="M2264" s="18">
        <f>IF(OR(B2264="",I2264=""),"",I2264-B2264)</f>
        <v/>
      </c>
      <c r="N2264" s="21">
        <f>IF(B2264="","",IF(I2264="",IF(H2264="","",IF(TODAY()&gt;H2264,"Atrasado (em aberto)","Em aberto")),IF(I2264&lt;=H2264,"No prazo","Fora do prazo")))</f>
        <v/>
      </c>
    </row>
    <row r="2265">
      <c r="B2265" s="22" t="n"/>
      <c r="E2265" s="23" t="n"/>
      <c r="F2265" s="24" t="n"/>
      <c r="H2265" s="22" t="n"/>
      <c r="I2265" s="22" t="n"/>
      <c r="J2265" s="21">
        <f>IF(C2265="","",IFERROR(INDEX(Clientes!$B:$B,MATCH(C2265,Clientes!$A:$A,0)),"Cód. não cadastrado"))</f>
        <v/>
      </c>
      <c r="K2265" s="18">
        <f>IF(B2265="","",YEAR(B2265))</f>
        <v/>
      </c>
      <c r="L2265" s="18">
        <f>IF(B2265="","",MONTH(B2265))</f>
        <v/>
      </c>
      <c r="M2265" s="18">
        <f>IF(OR(B2265="",I2265=""),"",I2265-B2265)</f>
        <v/>
      </c>
      <c r="N2265" s="21">
        <f>IF(B2265="","",IF(I2265="",IF(H2265="","",IF(TODAY()&gt;H2265,"Atrasado (em aberto)","Em aberto")),IF(I2265&lt;=H2265,"No prazo","Fora do prazo")))</f>
        <v/>
      </c>
    </row>
    <row r="2266">
      <c r="B2266" s="22" t="n"/>
      <c r="E2266" s="23" t="n"/>
      <c r="F2266" s="24" t="n"/>
      <c r="H2266" s="22" t="n"/>
      <c r="I2266" s="22" t="n"/>
      <c r="J2266" s="21">
        <f>IF(C2266="","",IFERROR(INDEX(Clientes!$B:$B,MATCH(C2266,Clientes!$A:$A,0)),"Cód. não cadastrado"))</f>
        <v/>
      </c>
      <c r="K2266" s="18">
        <f>IF(B2266="","",YEAR(B2266))</f>
        <v/>
      </c>
      <c r="L2266" s="18">
        <f>IF(B2266="","",MONTH(B2266))</f>
        <v/>
      </c>
      <c r="M2266" s="18">
        <f>IF(OR(B2266="",I2266=""),"",I2266-B2266)</f>
        <v/>
      </c>
      <c r="N2266" s="21">
        <f>IF(B2266="","",IF(I2266="",IF(H2266="","",IF(TODAY()&gt;H2266,"Atrasado (em aberto)","Em aberto")),IF(I2266&lt;=H2266,"No prazo","Fora do prazo")))</f>
        <v/>
      </c>
    </row>
    <row r="2267">
      <c r="B2267" s="22" t="n"/>
      <c r="E2267" s="23" t="n"/>
      <c r="F2267" s="24" t="n"/>
      <c r="H2267" s="22" t="n"/>
      <c r="I2267" s="22" t="n"/>
      <c r="J2267" s="21">
        <f>IF(C2267="","",IFERROR(INDEX(Clientes!$B:$B,MATCH(C2267,Clientes!$A:$A,0)),"Cód. não cadastrado"))</f>
        <v/>
      </c>
      <c r="K2267" s="18">
        <f>IF(B2267="","",YEAR(B2267))</f>
        <v/>
      </c>
      <c r="L2267" s="18">
        <f>IF(B2267="","",MONTH(B2267))</f>
        <v/>
      </c>
      <c r="M2267" s="18">
        <f>IF(OR(B2267="",I2267=""),"",I2267-B2267)</f>
        <v/>
      </c>
      <c r="N2267" s="21">
        <f>IF(B2267="","",IF(I2267="",IF(H2267="","",IF(TODAY()&gt;H2267,"Atrasado (em aberto)","Em aberto")),IF(I2267&lt;=H2267,"No prazo","Fora do prazo")))</f>
        <v/>
      </c>
    </row>
    <row r="2268">
      <c r="B2268" s="22" t="n"/>
      <c r="E2268" s="23" t="n"/>
      <c r="F2268" s="24" t="n"/>
      <c r="H2268" s="22" t="n"/>
      <c r="I2268" s="22" t="n"/>
      <c r="J2268" s="21">
        <f>IF(C2268="","",IFERROR(INDEX(Clientes!$B:$B,MATCH(C2268,Clientes!$A:$A,0)),"Cód. não cadastrado"))</f>
        <v/>
      </c>
      <c r="K2268" s="18">
        <f>IF(B2268="","",YEAR(B2268))</f>
        <v/>
      </c>
      <c r="L2268" s="18">
        <f>IF(B2268="","",MONTH(B2268))</f>
        <v/>
      </c>
      <c r="M2268" s="18">
        <f>IF(OR(B2268="",I2268=""),"",I2268-B2268)</f>
        <v/>
      </c>
      <c r="N2268" s="21">
        <f>IF(B2268="","",IF(I2268="",IF(H2268="","",IF(TODAY()&gt;H2268,"Atrasado (em aberto)","Em aberto")),IF(I2268&lt;=H2268,"No prazo","Fora do prazo")))</f>
        <v/>
      </c>
    </row>
    <row r="2269">
      <c r="B2269" s="22" t="n"/>
      <c r="E2269" s="23" t="n"/>
      <c r="F2269" s="24" t="n"/>
      <c r="H2269" s="22" t="n"/>
      <c r="I2269" s="22" t="n"/>
      <c r="J2269" s="21">
        <f>IF(C2269="","",IFERROR(INDEX(Clientes!$B:$B,MATCH(C2269,Clientes!$A:$A,0)),"Cód. não cadastrado"))</f>
        <v/>
      </c>
      <c r="K2269" s="18">
        <f>IF(B2269="","",YEAR(B2269))</f>
        <v/>
      </c>
      <c r="L2269" s="18">
        <f>IF(B2269="","",MONTH(B2269))</f>
        <v/>
      </c>
      <c r="M2269" s="18">
        <f>IF(OR(B2269="",I2269=""),"",I2269-B2269)</f>
        <v/>
      </c>
      <c r="N2269" s="21">
        <f>IF(B2269="","",IF(I2269="",IF(H2269="","",IF(TODAY()&gt;H2269,"Atrasado (em aberto)","Em aberto")),IF(I2269&lt;=H2269,"No prazo","Fora do prazo")))</f>
        <v/>
      </c>
    </row>
    <row r="2270">
      <c r="B2270" s="22" t="n"/>
      <c r="E2270" s="23" t="n"/>
      <c r="F2270" s="24" t="n"/>
      <c r="H2270" s="22" t="n"/>
      <c r="I2270" s="22" t="n"/>
      <c r="J2270" s="21">
        <f>IF(C2270="","",IFERROR(INDEX(Clientes!$B:$B,MATCH(C2270,Clientes!$A:$A,0)),"Cód. não cadastrado"))</f>
        <v/>
      </c>
      <c r="K2270" s="18">
        <f>IF(B2270="","",YEAR(B2270))</f>
        <v/>
      </c>
      <c r="L2270" s="18">
        <f>IF(B2270="","",MONTH(B2270))</f>
        <v/>
      </c>
      <c r="M2270" s="18">
        <f>IF(OR(B2270="",I2270=""),"",I2270-B2270)</f>
        <v/>
      </c>
      <c r="N2270" s="21">
        <f>IF(B2270="","",IF(I2270="",IF(H2270="","",IF(TODAY()&gt;H2270,"Atrasado (em aberto)","Em aberto")),IF(I2270&lt;=H2270,"No prazo","Fora do prazo")))</f>
        <v/>
      </c>
    </row>
    <row r="2271">
      <c r="B2271" s="22" t="n"/>
      <c r="E2271" s="23" t="n"/>
      <c r="F2271" s="24" t="n"/>
      <c r="H2271" s="22" t="n"/>
      <c r="I2271" s="22" t="n"/>
      <c r="J2271" s="21">
        <f>IF(C2271="","",IFERROR(INDEX(Clientes!$B:$B,MATCH(C2271,Clientes!$A:$A,0)),"Cód. não cadastrado"))</f>
        <v/>
      </c>
      <c r="K2271" s="18">
        <f>IF(B2271="","",YEAR(B2271))</f>
        <v/>
      </c>
      <c r="L2271" s="18">
        <f>IF(B2271="","",MONTH(B2271))</f>
        <v/>
      </c>
      <c r="M2271" s="18">
        <f>IF(OR(B2271="",I2271=""),"",I2271-B2271)</f>
        <v/>
      </c>
      <c r="N2271" s="21">
        <f>IF(B2271="","",IF(I2271="",IF(H2271="","",IF(TODAY()&gt;H2271,"Atrasado (em aberto)","Em aberto")),IF(I2271&lt;=H2271,"No prazo","Fora do prazo")))</f>
        <v/>
      </c>
    </row>
    <row r="2272">
      <c r="B2272" s="22" t="n"/>
      <c r="E2272" s="23" t="n"/>
      <c r="F2272" s="24" t="n"/>
      <c r="H2272" s="22" t="n"/>
      <c r="I2272" s="22" t="n"/>
      <c r="J2272" s="21">
        <f>IF(C2272="","",IFERROR(INDEX(Clientes!$B:$B,MATCH(C2272,Clientes!$A:$A,0)),"Cód. não cadastrado"))</f>
        <v/>
      </c>
      <c r="K2272" s="18">
        <f>IF(B2272="","",YEAR(B2272))</f>
        <v/>
      </c>
      <c r="L2272" s="18">
        <f>IF(B2272="","",MONTH(B2272))</f>
        <v/>
      </c>
      <c r="M2272" s="18">
        <f>IF(OR(B2272="",I2272=""),"",I2272-B2272)</f>
        <v/>
      </c>
      <c r="N2272" s="21">
        <f>IF(B2272="","",IF(I2272="",IF(H2272="","",IF(TODAY()&gt;H2272,"Atrasado (em aberto)","Em aberto")),IF(I2272&lt;=H2272,"No prazo","Fora do prazo")))</f>
        <v/>
      </c>
    </row>
    <row r="2273">
      <c r="B2273" s="22" t="n"/>
      <c r="E2273" s="23" t="n"/>
      <c r="F2273" s="24" t="n"/>
      <c r="H2273" s="22" t="n"/>
      <c r="I2273" s="22" t="n"/>
      <c r="J2273" s="21">
        <f>IF(C2273="","",IFERROR(INDEX(Clientes!$B:$B,MATCH(C2273,Clientes!$A:$A,0)),"Cód. não cadastrado"))</f>
        <v/>
      </c>
      <c r="K2273" s="18">
        <f>IF(B2273="","",YEAR(B2273))</f>
        <v/>
      </c>
      <c r="L2273" s="18">
        <f>IF(B2273="","",MONTH(B2273))</f>
        <v/>
      </c>
      <c r="M2273" s="18">
        <f>IF(OR(B2273="",I2273=""),"",I2273-B2273)</f>
        <v/>
      </c>
      <c r="N2273" s="21">
        <f>IF(B2273="","",IF(I2273="",IF(H2273="","",IF(TODAY()&gt;H2273,"Atrasado (em aberto)","Em aberto")),IF(I2273&lt;=H2273,"No prazo","Fora do prazo")))</f>
        <v/>
      </c>
    </row>
    <row r="2274">
      <c r="B2274" s="22" t="n"/>
      <c r="E2274" s="23" t="n"/>
      <c r="F2274" s="24" t="n"/>
      <c r="H2274" s="22" t="n"/>
      <c r="I2274" s="22" t="n"/>
      <c r="J2274" s="21">
        <f>IF(C2274="","",IFERROR(INDEX(Clientes!$B:$B,MATCH(C2274,Clientes!$A:$A,0)),"Cód. não cadastrado"))</f>
        <v/>
      </c>
      <c r="K2274" s="18">
        <f>IF(B2274="","",YEAR(B2274))</f>
        <v/>
      </c>
      <c r="L2274" s="18">
        <f>IF(B2274="","",MONTH(B2274))</f>
        <v/>
      </c>
      <c r="M2274" s="18">
        <f>IF(OR(B2274="",I2274=""),"",I2274-B2274)</f>
        <v/>
      </c>
      <c r="N2274" s="21">
        <f>IF(B2274="","",IF(I2274="",IF(H2274="","",IF(TODAY()&gt;H2274,"Atrasado (em aberto)","Em aberto")),IF(I2274&lt;=H2274,"No prazo","Fora do prazo")))</f>
        <v/>
      </c>
    </row>
    <row r="2275">
      <c r="B2275" s="22" t="n"/>
      <c r="E2275" s="23" t="n"/>
      <c r="F2275" s="24" t="n"/>
      <c r="H2275" s="22" t="n"/>
      <c r="I2275" s="22" t="n"/>
      <c r="J2275" s="21">
        <f>IF(C2275="","",IFERROR(INDEX(Clientes!$B:$B,MATCH(C2275,Clientes!$A:$A,0)),"Cód. não cadastrado"))</f>
        <v/>
      </c>
      <c r="K2275" s="18">
        <f>IF(B2275="","",YEAR(B2275))</f>
        <v/>
      </c>
      <c r="L2275" s="18">
        <f>IF(B2275="","",MONTH(B2275))</f>
        <v/>
      </c>
      <c r="M2275" s="18">
        <f>IF(OR(B2275="",I2275=""),"",I2275-B2275)</f>
        <v/>
      </c>
      <c r="N2275" s="21">
        <f>IF(B2275="","",IF(I2275="",IF(H2275="","",IF(TODAY()&gt;H2275,"Atrasado (em aberto)","Em aberto")),IF(I2275&lt;=H2275,"No prazo","Fora do prazo")))</f>
        <v/>
      </c>
    </row>
    <row r="2276">
      <c r="B2276" s="22" t="n"/>
      <c r="E2276" s="23" t="n"/>
      <c r="F2276" s="24" t="n"/>
      <c r="H2276" s="22" t="n"/>
      <c r="I2276" s="22" t="n"/>
      <c r="J2276" s="21">
        <f>IF(C2276="","",IFERROR(INDEX(Clientes!$B:$B,MATCH(C2276,Clientes!$A:$A,0)),"Cód. não cadastrado"))</f>
        <v/>
      </c>
      <c r="K2276" s="18">
        <f>IF(B2276="","",YEAR(B2276))</f>
        <v/>
      </c>
      <c r="L2276" s="18">
        <f>IF(B2276="","",MONTH(B2276))</f>
        <v/>
      </c>
      <c r="M2276" s="18">
        <f>IF(OR(B2276="",I2276=""),"",I2276-B2276)</f>
        <v/>
      </c>
      <c r="N2276" s="21">
        <f>IF(B2276="","",IF(I2276="",IF(H2276="","",IF(TODAY()&gt;H2276,"Atrasado (em aberto)","Em aberto")),IF(I2276&lt;=H2276,"No prazo","Fora do prazo")))</f>
        <v/>
      </c>
    </row>
    <row r="2277">
      <c r="B2277" s="22" t="n"/>
      <c r="E2277" s="23" t="n"/>
      <c r="F2277" s="24" t="n"/>
      <c r="H2277" s="22" t="n"/>
      <c r="I2277" s="22" t="n"/>
      <c r="J2277" s="21">
        <f>IF(C2277="","",IFERROR(INDEX(Clientes!$B:$B,MATCH(C2277,Clientes!$A:$A,0)),"Cód. não cadastrado"))</f>
        <v/>
      </c>
      <c r="K2277" s="18">
        <f>IF(B2277="","",YEAR(B2277))</f>
        <v/>
      </c>
      <c r="L2277" s="18">
        <f>IF(B2277="","",MONTH(B2277))</f>
        <v/>
      </c>
      <c r="M2277" s="18">
        <f>IF(OR(B2277="",I2277=""),"",I2277-B2277)</f>
        <v/>
      </c>
      <c r="N2277" s="21">
        <f>IF(B2277="","",IF(I2277="",IF(H2277="","",IF(TODAY()&gt;H2277,"Atrasado (em aberto)","Em aberto")),IF(I2277&lt;=H2277,"No prazo","Fora do prazo")))</f>
        <v/>
      </c>
    </row>
    <row r="2278">
      <c r="B2278" s="22" t="n"/>
      <c r="E2278" s="23" t="n"/>
      <c r="F2278" s="24" t="n"/>
      <c r="H2278" s="22" t="n"/>
      <c r="I2278" s="22" t="n"/>
      <c r="J2278" s="21">
        <f>IF(C2278="","",IFERROR(INDEX(Clientes!$B:$B,MATCH(C2278,Clientes!$A:$A,0)),"Cód. não cadastrado"))</f>
        <v/>
      </c>
      <c r="K2278" s="18">
        <f>IF(B2278="","",YEAR(B2278))</f>
        <v/>
      </c>
      <c r="L2278" s="18">
        <f>IF(B2278="","",MONTH(B2278))</f>
        <v/>
      </c>
      <c r="M2278" s="18">
        <f>IF(OR(B2278="",I2278=""),"",I2278-B2278)</f>
        <v/>
      </c>
      <c r="N2278" s="21">
        <f>IF(B2278="","",IF(I2278="",IF(H2278="","",IF(TODAY()&gt;H2278,"Atrasado (em aberto)","Em aberto")),IF(I2278&lt;=H2278,"No prazo","Fora do prazo")))</f>
        <v/>
      </c>
    </row>
    <row r="2279">
      <c r="B2279" s="22" t="n"/>
      <c r="E2279" s="23" t="n"/>
      <c r="F2279" s="24" t="n"/>
      <c r="H2279" s="22" t="n"/>
      <c r="I2279" s="22" t="n"/>
      <c r="J2279" s="21">
        <f>IF(C2279="","",IFERROR(INDEX(Clientes!$B:$B,MATCH(C2279,Clientes!$A:$A,0)),"Cód. não cadastrado"))</f>
        <v/>
      </c>
      <c r="K2279" s="18">
        <f>IF(B2279="","",YEAR(B2279))</f>
        <v/>
      </c>
      <c r="L2279" s="18">
        <f>IF(B2279="","",MONTH(B2279))</f>
        <v/>
      </c>
      <c r="M2279" s="18">
        <f>IF(OR(B2279="",I2279=""),"",I2279-B2279)</f>
        <v/>
      </c>
      <c r="N2279" s="21">
        <f>IF(B2279="","",IF(I2279="",IF(H2279="","",IF(TODAY()&gt;H2279,"Atrasado (em aberto)","Em aberto")),IF(I2279&lt;=H2279,"No prazo","Fora do prazo")))</f>
        <v/>
      </c>
    </row>
    <row r="2280">
      <c r="B2280" s="22" t="n"/>
      <c r="E2280" s="23" t="n"/>
      <c r="F2280" s="24" t="n"/>
      <c r="H2280" s="22" t="n"/>
      <c r="I2280" s="22" t="n"/>
      <c r="J2280" s="21">
        <f>IF(C2280="","",IFERROR(INDEX(Clientes!$B:$B,MATCH(C2280,Clientes!$A:$A,0)),"Cód. não cadastrado"))</f>
        <v/>
      </c>
      <c r="K2280" s="18">
        <f>IF(B2280="","",YEAR(B2280))</f>
        <v/>
      </c>
      <c r="L2280" s="18">
        <f>IF(B2280="","",MONTH(B2280))</f>
        <v/>
      </c>
      <c r="M2280" s="18">
        <f>IF(OR(B2280="",I2280=""),"",I2280-B2280)</f>
        <v/>
      </c>
      <c r="N2280" s="21">
        <f>IF(B2280="","",IF(I2280="",IF(H2280="","",IF(TODAY()&gt;H2280,"Atrasado (em aberto)","Em aberto")),IF(I2280&lt;=H2280,"No prazo","Fora do prazo")))</f>
        <v/>
      </c>
    </row>
    <row r="2281">
      <c r="B2281" s="22" t="n"/>
      <c r="E2281" s="23" t="n"/>
      <c r="F2281" s="24" t="n"/>
      <c r="H2281" s="22" t="n"/>
      <c r="I2281" s="22" t="n"/>
      <c r="J2281" s="21">
        <f>IF(C2281="","",IFERROR(INDEX(Clientes!$B:$B,MATCH(C2281,Clientes!$A:$A,0)),"Cód. não cadastrado"))</f>
        <v/>
      </c>
      <c r="K2281" s="18">
        <f>IF(B2281="","",YEAR(B2281))</f>
        <v/>
      </c>
      <c r="L2281" s="18">
        <f>IF(B2281="","",MONTH(B2281))</f>
        <v/>
      </c>
      <c r="M2281" s="18">
        <f>IF(OR(B2281="",I2281=""),"",I2281-B2281)</f>
        <v/>
      </c>
      <c r="N2281" s="21">
        <f>IF(B2281="","",IF(I2281="",IF(H2281="","",IF(TODAY()&gt;H2281,"Atrasado (em aberto)","Em aberto")),IF(I2281&lt;=H2281,"No prazo","Fora do prazo")))</f>
        <v/>
      </c>
    </row>
    <row r="2282">
      <c r="B2282" s="22" t="n"/>
      <c r="E2282" s="23" t="n"/>
      <c r="F2282" s="24" t="n"/>
      <c r="H2282" s="22" t="n"/>
      <c r="I2282" s="22" t="n"/>
      <c r="J2282" s="21">
        <f>IF(C2282="","",IFERROR(INDEX(Clientes!$B:$B,MATCH(C2282,Clientes!$A:$A,0)),"Cód. não cadastrado"))</f>
        <v/>
      </c>
      <c r="K2282" s="18">
        <f>IF(B2282="","",YEAR(B2282))</f>
        <v/>
      </c>
      <c r="L2282" s="18">
        <f>IF(B2282="","",MONTH(B2282))</f>
        <v/>
      </c>
      <c r="M2282" s="18">
        <f>IF(OR(B2282="",I2282=""),"",I2282-B2282)</f>
        <v/>
      </c>
      <c r="N2282" s="21">
        <f>IF(B2282="","",IF(I2282="",IF(H2282="","",IF(TODAY()&gt;H2282,"Atrasado (em aberto)","Em aberto")),IF(I2282&lt;=H2282,"No prazo","Fora do prazo")))</f>
        <v/>
      </c>
    </row>
    <row r="2283">
      <c r="B2283" s="22" t="n"/>
      <c r="E2283" s="23" t="n"/>
      <c r="F2283" s="24" t="n"/>
      <c r="H2283" s="22" t="n"/>
      <c r="I2283" s="22" t="n"/>
      <c r="J2283" s="21">
        <f>IF(C2283="","",IFERROR(INDEX(Clientes!$B:$B,MATCH(C2283,Clientes!$A:$A,0)),"Cód. não cadastrado"))</f>
        <v/>
      </c>
      <c r="K2283" s="18">
        <f>IF(B2283="","",YEAR(B2283))</f>
        <v/>
      </c>
      <c r="L2283" s="18">
        <f>IF(B2283="","",MONTH(B2283))</f>
        <v/>
      </c>
      <c r="M2283" s="18">
        <f>IF(OR(B2283="",I2283=""),"",I2283-B2283)</f>
        <v/>
      </c>
      <c r="N2283" s="21">
        <f>IF(B2283="","",IF(I2283="",IF(H2283="","",IF(TODAY()&gt;H2283,"Atrasado (em aberto)","Em aberto")),IF(I2283&lt;=H2283,"No prazo","Fora do prazo")))</f>
        <v/>
      </c>
    </row>
    <row r="2284">
      <c r="B2284" s="22" t="n"/>
      <c r="E2284" s="23" t="n"/>
      <c r="F2284" s="24" t="n"/>
      <c r="H2284" s="22" t="n"/>
      <c r="I2284" s="22" t="n"/>
      <c r="J2284" s="21">
        <f>IF(C2284="","",IFERROR(INDEX(Clientes!$B:$B,MATCH(C2284,Clientes!$A:$A,0)),"Cód. não cadastrado"))</f>
        <v/>
      </c>
      <c r="K2284" s="18">
        <f>IF(B2284="","",YEAR(B2284))</f>
        <v/>
      </c>
      <c r="L2284" s="18">
        <f>IF(B2284="","",MONTH(B2284))</f>
        <v/>
      </c>
      <c r="M2284" s="18">
        <f>IF(OR(B2284="",I2284=""),"",I2284-B2284)</f>
        <v/>
      </c>
      <c r="N2284" s="21">
        <f>IF(B2284="","",IF(I2284="",IF(H2284="","",IF(TODAY()&gt;H2284,"Atrasado (em aberto)","Em aberto")),IF(I2284&lt;=H2284,"No prazo","Fora do prazo")))</f>
        <v/>
      </c>
    </row>
    <row r="2285">
      <c r="B2285" s="22" t="n"/>
      <c r="E2285" s="23" t="n"/>
      <c r="F2285" s="24" t="n"/>
      <c r="H2285" s="22" t="n"/>
      <c r="I2285" s="22" t="n"/>
      <c r="J2285" s="21">
        <f>IF(C2285="","",IFERROR(INDEX(Clientes!$B:$B,MATCH(C2285,Clientes!$A:$A,0)),"Cód. não cadastrado"))</f>
        <v/>
      </c>
      <c r="K2285" s="18">
        <f>IF(B2285="","",YEAR(B2285))</f>
        <v/>
      </c>
      <c r="L2285" s="18">
        <f>IF(B2285="","",MONTH(B2285))</f>
        <v/>
      </c>
      <c r="M2285" s="18">
        <f>IF(OR(B2285="",I2285=""),"",I2285-B2285)</f>
        <v/>
      </c>
      <c r="N2285" s="21">
        <f>IF(B2285="","",IF(I2285="",IF(H2285="","",IF(TODAY()&gt;H2285,"Atrasado (em aberto)","Em aberto")),IF(I2285&lt;=H2285,"No prazo","Fora do prazo")))</f>
        <v/>
      </c>
    </row>
    <row r="2286">
      <c r="B2286" s="22" t="n"/>
      <c r="E2286" s="23" t="n"/>
      <c r="F2286" s="24" t="n"/>
      <c r="H2286" s="22" t="n"/>
      <c r="I2286" s="22" t="n"/>
      <c r="J2286" s="21">
        <f>IF(C2286="","",IFERROR(INDEX(Clientes!$B:$B,MATCH(C2286,Clientes!$A:$A,0)),"Cód. não cadastrado"))</f>
        <v/>
      </c>
      <c r="K2286" s="18">
        <f>IF(B2286="","",YEAR(B2286))</f>
        <v/>
      </c>
      <c r="L2286" s="18">
        <f>IF(B2286="","",MONTH(B2286))</f>
        <v/>
      </c>
      <c r="M2286" s="18">
        <f>IF(OR(B2286="",I2286=""),"",I2286-B2286)</f>
        <v/>
      </c>
      <c r="N2286" s="21">
        <f>IF(B2286="","",IF(I2286="",IF(H2286="","",IF(TODAY()&gt;H2286,"Atrasado (em aberto)","Em aberto")),IF(I2286&lt;=H2286,"No prazo","Fora do prazo")))</f>
        <v/>
      </c>
    </row>
    <row r="2287">
      <c r="B2287" s="22" t="n"/>
      <c r="E2287" s="23" t="n"/>
      <c r="F2287" s="24" t="n"/>
      <c r="H2287" s="22" t="n"/>
      <c r="I2287" s="22" t="n"/>
      <c r="J2287" s="21">
        <f>IF(C2287="","",IFERROR(INDEX(Clientes!$B:$B,MATCH(C2287,Clientes!$A:$A,0)),"Cód. não cadastrado"))</f>
        <v/>
      </c>
      <c r="K2287" s="18">
        <f>IF(B2287="","",YEAR(B2287))</f>
        <v/>
      </c>
      <c r="L2287" s="18">
        <f>IF(B2287="","",MONTH(B2287))</f>
        <v/>
      </c>
      <c r="M2287" s="18">
        <f>IF(OR(B2287="",I2287=""),"",I2287-B2287)</f>
        <v/>
      </c>
      <c r="N2287" s="21">
        <f>IF(B2287="","",IF(I2287="",IF(H2287="","",IF(TODAY()&gt;H2287,"Atrasado (em aberto)","Em aberto")),IF(I2287&lt;=H2287,"No prazo","Fora do prazo")))</f>
        <v/>
      </c>
    </row>
    <row r="2288">
      <c r="B2288" s="22" t="n"/>
      <c r="E2288" s="23" t="n"/>
      <c r="F2288" s="24" t="n"/>
      <c r="H2288" s="22" t="n"/>
      <c r="I2288" s="22" t="n"/>
      <c r="J2288" s="21">
        <f>IF(C2288="","",IFERROR(INDEX(Clientes!$B:$B,MATCH(C2288,Clientes!$A:$A,0)),"Cód. não cadastrado"))</f>
        <v/>
      </c>
      <c r="K2288" s="18">
        <f>IF(B2288="","",YEAR(B2288))</f>
        <v/>
      </c>
      <c r="L2288" s="18">
        <f>IF(B2288="","",MONTH(B2288))</f>
        <v/>
      </c>
      <c r="M2288" s="18">
        <f>IF(OR(B2288="",I2288=""),"",I2288-B2288)</f>
        <v/>
      </c>
      <c r="N2288" s="21">
        <f>IF(B2288="","",IF(I2288="",IF(H2288="","",IF(TODAY()&gt;H2288,"Atrasado (em aberto)","Em aberto")),IF(I2288&lt;=H2288,"No prazo","Fora do prazo")))</f>
        <v/>
      </c>
    </row>
    <row r="2289">
      <c r="B2289" s="22" t="n"/>
      <c r="E2289" s="23" t="n"/>
      <c r="F2289" s="24" t="n"/>
      <c r="H2289" s="22" t="n"/>
      <c r="I2289" s="22" t="n"/>
      <c r="J2289" s="21">
        <f>IF(C2289="","",IFERROR(INDEX(Clientes!$B:$B,MATCH(C2289,Clientes!$A:$A,0)),"Cód. não cadastrado"))</f>
        <v/>
      </c>
      <c r="K2289" s="18">
        <f>IF(B2289="","",YEAR(B2289))</f>
        <v/>
      </c>
      <c r="L2289" s="18">
        <f>IF(B2289="","",MONTH(B2289))</f>
        <v/>
      </c>
      <c r="M2289" s="18">
        <f>IF(OR(B2289="",I2289=""),"",I2289-B2289)</f>
        <v/>
      </c>
      <c r="N2289" s="21">
        <f>IF(B2289="","",IF(I2289="",IF(H2289="","",IF(TODAY()&gt;H2289,"Atrasado (em aberto)","Em aberto")),IF(I2289&lt;=H2289,"No prazo","Fora do prazo")))</f>
        <v/>
      </c>
    </row>
    <row r="2290">
      <c r="B2290" s="22" t="n"/>
      <c r="E2290" s="23" t="n"/>
      <c r="F2290" s="24" t="n"/>
      <c r="H2290" s="22" t="n"/>
      <c r="I2290" s="22" t="n"/>
      <c r="J2290" s="21">
        <f>IF(C2290="","",IFERROR(INDEX(Clientes!$B:$B,MATCH(C2290,Clientes!$A:$A,0)),"Cód. não cadastrado"))</f>
        <v/>
      </c>
      <c r="K2290" s="18">
        <f>IF(B2290="","",YEAR(B2290))</f>
        <v/>
      </c>
      <c r="L2290" s="18">
        <f>IF(B2290="","",MONTH(B2290))</f>
        <v/>
      </c>
      <c r="M2290" s="18">
        <f>IF(OR(B2290="",I2290=""),"",I2290-B2290)</f>
        <v/>
      </c>
      <c r="N2290" s="21">
        <f>IF(B2290="","",IF(I2290="",IF(H2290="","",IF(TODAY()&gt;H2290,"Atrasado (em aberto)","Em aberto")),IF(I2290&lt;=H2290,"No prazo","Fora do prazo")))</f>
        <v/>
      </c>
    </row>
    <row r="2291">
      <c r="B2291" s="22" t="n"/>
      <c r="E2291" s="23" t="n"/>
      <c r="F2291" s="24" t="n"/>
      <c r="H2291" s="22" t="n"/>
      <c r="I2291" s="22" t="n"/>
      <c r="J2291" s="21">
        <f>IF(C2291="","",IFERROR(INDEX(Clientes!$B:$B,MATCH(C2291,Clientes!$A:$A,0)),"Cód. não cadastrado"))</f>
        <v/>
      </c>
      <c r="K2291" s="18">
        <f>IF(B2291="","",YEAR(B2291))</f>
        <v/>
      </c>
      <c r="L2291" s="18">
        <f>IF(B2291="","",MONTH(B2291))</f>
        <v/>
      </c>
      <c r="M2291" s="18">
        <f>IF(OR(B2291="",I2291=""),"",I2291-B2291)</f>
        <v/>
      </c>
      <c r="N2291" s="21">
        <f>IF(B2291="","",IF(I2291="",IF(H2291="","",IF(TODAY()&gt;H2291,"Atrasado (em aberto)","Em aberto")),IF(I2291&lt;=H2291,"No prazo","Fora do prazo")))</f>
        <v/>
      </c>
    </row>
    <row r="2292">
      <c r="B2292" s="22" t="n"/>
      <c r="E2292" s="23" t="n"/>
      <c r="F2292" s="24" t="n"/>
      <c r="H2292" s="22" t="n"/>
      <c r="I2292" s="22" t="n"/>
      <c r="J2292" s="21">
        <f>IF(C2292="","",IFERROR(INDEX(Clientes!$B:$B,MATCH(C2292,Clientes!$A:$A,0)),"Cód. não cadastrado"))</f>
        <v/>
      </c>
      <c r="K2292" s="18">
        <f>IF(B2292="","",YEAR(B2292))</f>
        <v/>
      </c>
      <c r="L2292" s="18">
        <f>IF(B2292="","",MONTH(B2292))</f>
        <v/>
      </c>
      <c r="M2292" s="18">
        <f>IF(OR(B2292="",I2292=""),"",I2292-B2292)</f>
        <v/>
      </c>
      <c r="N2292" s="21">
        <f>IF(B2292="","",IF(I2292="",IF(H2292="","",IF(TODAY()&gt;H2292,"Atrasado (em aberto)","Em aberto")),IF(I2292&lt;=H2292,"No prazo","Fora do prazo")))</f>
        <v/>
      </c>
    </row>
    <row r="2293">
      <c r="B2293" s="22" t="n"/>
      <c r="E2293" s="23" t="n"/>
      <c r="F2293" s="24" t="n"/>
      <c r="H2293" s="22" t="n"/>
      <c r="I2293" s="22" t="n"/>
      <c r="J2293" s="21">
        <f>IF(C2293="","",IFERROR(INDEX(Clientes!$B:$B,MATCH(C2293,Clientes!$A:$A,0)),"Cód. não cadastrado"))</f>
        <v/>
      </c>
      <c r="K2293" s="18">
        <f>IF(B2293="","",YEAR(B2293))</f>
        <v/>
      </c>
      <c r="L2293" s="18">
        <f>IF(B2293="","",MONTH(B2293))</f>
        <v/>
      </c>
      <c r="M2293" s="18">
        <f>IF(OR(B2293="",I2293=""),"",I2293-B2293)</f>
        <v/>
      </c>
      <c r="N2293" s="21">
        <f>IF(B2293="","",IF(I2293="",IF(H2293="","",IF(TODAY()&gt;H2293,"Atrasado (em aberto)","Em aberto")),IF(I2293&lt;=H2293,"No prazo","Fora do prazo")))</f>
        <v/>
      </c>
    </row>
    <row r="2294">
      <c r="B2294" s="22" t="n"/>
      <c r="E2294" s="23" t="n"/>
      <c r="F2294" s="24" t="n"/>
      <c r="H2294" s="22" t="n"/>
      <c r="I2294" s="22" t="n"/>
      <c r="J2294" s="21">
        <f>IF(C2294="","",IFERROR(INDEX(Clientes!$B:$B,MATCH(C2294,Clientes!$A:$A,0)),"Cód. não cadastrado"))</f>
        <v/>
      </c>
      <c r="K2294" s="18">
        <f>IF(B2294="","",YEAR(B2294))</f>
        <v/>
      </c>
      <c r="L2294" s="18">
        <f>IF(B2294="","",MONTH(B2294))</f>
        <v/>
      </c>
      <c r="M2294" s="18">
        <f>IF(OR(B2294="",I2294=""),"",I2294-B2294)</f>
        <v/>
      </c>
      <c r="N2294" s="21">
        <f>IF(B2294="","",IF(I2294="",IF(H2294="","",IF(TODAY()&gt;H2294,"Atrasado (em aberto)","Em aberto")),IF(I2294&lt;=H2294,"No prazo","Fora do prazo")))</f>
        <v/>
      </c>
    </row>
    <row r="2295">
      <c r="B2295" s="22" t="n"/>
      <c r="E2295" s="23" t="n"/>
      <c r="F2295" s="24" t="n"/>
      <c r="H2295" s="22" t="n"/>
      <c r="I2295" s="22" t="n"/>
      <c r="J2295" s="21">
        <f>IF(C2295="","",IFERROR(INDEX(Clientes!$B:$B,MATCH(C2295,Clientes!$A:$A,0)),"Cód. não cadastrado"))</f>
        <v/>
      </c>
      <c r="K2295" s="18">
        <f>IF(B2295="","",YEAR(B2295))</f>
        <v/>
      </c>
      <c r="L2295" s="18">
        <f>IF(B2295="","",MONTH(B2295))</f>
        <v/>
      </c>
      <c r="M2295" s="18">
        <f>IF(OR(B2295="",I2295=""),"",I2295-B2295)</f>
        <v/>
      </c>
      <c r="N2295" s="21">
        <f>IF(B2295="","",IF(I2295="",IF(H2295="","",IF(TODAY()&gt;H2295,"Atrasado (em aberto)","Em aberto")),IF(I2295&lt;=H2295,"No prazo","Fora do prazo")))</f>
        <v/>
      </c>
    </row>
    <row r="2296">
      <c r="B2296" s="22" t="n"/>
      <c r="E2296" s="23" t="n"/>
      <c r="F2296" s="24" t="n"/>
      <c r="H2296" s="22" t="n"/>
      <c r="I2296" s="22" t="n"/>
      <c r="J2296" s="21">
        <f>IF(C2296="","",IFERROR(INDEX(Clientes!$B:$B,MATCH(C2296,Clientes!$A:$A,0)),"Cód. não cadastrado"))</f>
        <v/>
      </c>
      <c r="K2296" s="18">
        <f>IF(B2296="","",YEAR(B2296))</f>
        <v/>
      </c>
      <c r="L2296" s="18">
        <f>IF(B2296="","",MONTH(B2296))</f>
        <v/>
      </c>
      <c r="M2296" s="18">
        <f>IF(OR(B2296="",I2296=""),"",I2296-B2296)</f>
        <v/>
      </c>
      <c r="N2296" s="21">
        <f>IF(B2296="","",IF(I2296="",IF(H2296="","",IF(TODAY()&gt;H2296,"Atrasado (em aberto)","Em aberto")),IF(I2296&lt;=H2296,"No prazo","Fora do prazo")))</f>
        <v/>
      </c>
    </row>
    <row r="2297">
      <c r="B2297" s="22" t="n"/>
      <c r="E2297" s="23" t="n"/>
      <c r="F2297" s="24" t="n"/>
      <c r="H2297" s="22" t="n"/>
      <c r="I2297" s="22" t="n"/>
      <c r="J2297" s="21">
        <f>IF(C2297="","",IFERROR(INDEX(Clientes!$B:$B,MATCH(C2297,Clientes!$A:$A,0)),"Cód. não cadastrado"))</f>
        <v/>
      </c>
      <c r="K2297" s="18">
        <f>IF(B2297="","",YEAR(B2297))</f>
        <v/>
      </c>
      <c r="L2297" s="18">
        <f>IF(B2297="","",MONTH(B2297))</f>
        <v/>
      </c>
      <c r="M2297" s="18">
        <f>IF(OR(B2297="",I2297=""),"",I2297-B2297)</f>
        <v/>
      </c>
      <c r="N2297" s="21">
        <f>IF(B2297="","",IF(I2297="",IF(H2297="","",IF(TODAY()&gt;H2297,"Atrasado (em aberto)","Em aberto")),IF(I2297&lt;=H2297,"No prazo","Fora do prazo")))</f>
        <v/>
      </c>
    </row>
    <row r="2298">
      <c r="B2298" s="22" t="n"/>
      <c r="E2298" s="23" t="n"/>
      <c r="F2298" s="24" t="n"/>
      <c r="H2298" s="22" t="n"/>
      <c r="I2298" s="22" t="n"/>
      <c r="J2298" s="21">
        <f>IF(C2298="","",IFERROR(INDEX(Clientes!$B:$B,MATCH(C2298,Clientes!$A:$A,0)),"Cód. não cadastrado"))</f>
        <v/>
      </c>
      <c r="K2298" s="18">
        <f>IF(B2298="","",YEAR(B2298))</f>
        <v/>
      </c>
      <c r="L2298" s="18">
        <f>IF(B2298="","",MONTH(B2298))</f>
        <v/>
      </c>
      <c r="M2298" s="18">
        <f>IF(OR(B2298="",I2298=""),"",I2298-B2298)</f>
        <v/>
      </c>
      <c r="N2298" s="21">
        <f>IF(B2298="","",IF(I2298="",IF(H2298="","",IF(TODAY()&gt;H2298,"Atrasado (em aberto)","Em aberto")),IF(I2298&lt;=H2298,"No prazo","Fora do prazo")))</f>
        <v/>
      </c>
    </row>
    <row r="2299">
      <c r="B2299" s="22" t="n"/>
      <c r="E2299" s="23" t="n"/>
      <c r="F2299" s="24" t="n"/>
      <c r="H2299" s="22" t="n"/>
      <c r="I2299" s="22" t="n"/>
      <c r="J2299" s="21">
        <f>IF(C2299="","",IFERROR(INDEX(Clientes!$B:$B,MATCH(C2299,Clientes!$A:$A,0)),"Cód. não cadastrado"))</f>
        <v/>
      </c>
      <c r="K2299" s="18">
        <f>IF(B2299="","",YEAR(B2299))</f>
        <v/>
      </c>
      <c r="L2299" s="18">
        <f>IF(B2299="","",MONTH(B2299))</f>
        <v/>
      </c>
      <c r="M2299" s="18">
        <f>IF(OR(B2299="",I2299=""),"",I2299-B2299)</f>
        <v/>
      </c>
      <c r="N2299" s="21">
        <f>IF(B2299="","",IF(I2299="",IF(H2299="","",IF(TODAY()&gt;H2299,"Atrasado (em aberto)","Em aberto")),IF(I2299&lt;=H2299,"No prazo","Fora do prazo")))</f>
        <v/>
      </c>
    </row>
    <row r="2300">
      <c r="B2300" s="22" t="n"/>
      <c r="E2300" s="23" t="n"/>
      <c r="F2300" s="24" t="n"/>
      <c r="H2300" s="22" t="n"/>
      <c r="I2300" s="22" t="n"/>
      <c r="J2300" s="21">
        <f>IF(C2300="","",IFERROR(INDEX(Clientes!$B:$B,MATCH(C2300,Clientes!$A:$A,0)),"Cód. não cadastrado"))</f>
        <v/>
      </c>
      <c r="K2300" s="18">
        <f>IF(B2300="","",YEAR(B2300))</f>
        <v/>
      </c>
      <c r="L2300" s="18">
        <f>IF(B2300="","",MONTH(B2300))</f>
        <v/>
      </c>
      <c r="M2300" s="18">
        <f>IF(OR(B2300="",I2300=""),"",I2300-B2300)</f>
        <v/>
      </c>
      <c r="N2300" s="21">
        <f>IF(B2300="","",IF(I2300="",IF(H2300="","",IF(TODAY()&gt;H2300,"Atrasado (em aberto)","Em aberto")),IF(I2300&lt;=H2300,"No prazo","Fora do prazo")))</f>
        <v/>
      </c>
    </row>
    <row r="2301">
      <c r="B2301" s="22" t="n"/>
      <c r="E2301" s="23" t="n"/>
      <c r="F2301" s="24" t="n"/>
      <c r="H2301" s="22" t="n"/>
      <c r="I2301" s="22" t="n"/>
      <c r="J2301" s="21">
        <f>IF(C2301="","",IFERROR(INDEX(Clientes!$B:$B,MATCH(C2301,Clientes!$A:$A,0)),"Cód. não cadastrado"))</f>
        <v/>
      </c>
      <c r="K2301" s="18">
        <f>IF(B2301="","",YEAR(B2301))</f>
        <v/>
      </c>
      <c r="L2301" s="18">
        <f>IF(B2301="","",MONTH(B2301))</f>
        <v/>
      </c>
      <c r="M2301" s="18">
        <f>IF(OR(B2301="",I2301=""),"",I2301-B2301)</f>
        <v/>
      </c>
      <c r="N2301" s="21">
        <f>IF(B2301="","",IF(I2301="",IF(H2301="","",IF(TODAY()&gt;H2301,"Atrasado (em aberto)","Em aberto")),IF(I2301&lt;=H2301,"No prazo","Fora do prazo")))</f>
        <v/>
      </c>
    </row>
    <row r="2302">
      <c r="B2302" s="22" t="n"/>
      <c r="E2302" s="23" t="n"/>
      <c r="F2302" s="24" t="n"/>
      <c r="H2302" s="22" t="n"/>
      <c r="I2302" s="22" t="n"/>
      <c r="J2302" s="21">
        <f>IF(C2302="","",IFERROR(INDEX(Clientes!$B:$B,MATCH(C2302,Clientes!$A:$A,0)),"Cód. não cadastrado"))</f>
        <v/>
      </c>
      <c r="K2302" s="18">
        <f>IF(B2302="","",YEAR(B2302))</f>
        <v/>
      </c>
      <c r="L2302" s="18">
        <f>IF(B2302="","",MONTH(B2302))</f>
        <v/>
      </c>
      <c r="M2302" s="18">
        <f>IF(OR(B2302="",I2302=""),"",I2302-B2302)</f>
        <v/>
      </c>
      <c r="N2302" s="21">
        <f>IF(B2302="","",IF(I2302="",IF(H2302="","",IF(TODAY()&gt;H2302,"Atrasado (em aberto)","Em aberto")),IF(I2302&lt;=H2302,"No prazo","Fora do prazo")))</f>
        <v/>
      </c>
    </row>
    <row r="2303">
      <c r="B2303" s="22" t="n"/>
      <c r="E2303" s="23" t="n"/>
      <c r="F2303" s="24" t="n"/>
      <c r="H2303" s="22" t="n"/>
      <c r="I2303" s="22" t="n"/>
      <c r="J2303" s="21">
        <f>IF(C2303="","",IFERROR(INDEX(Clientes!$B:$B,MATCH(C2303,Clientes!$A:$A,0)),"Cód. não cadastrado"))</f>
        <v/>
      </c>
      <c r="K2303" s="18">
        <f>IF(B2303="","",YEAR(B2303))</f>
        <v/>
      </c>
      <c r="L2303" s="18">
        <f>IF(B2303="","",MONTH(B2303))</f>
        <v/>
      </c>
      <c r="M2303" s="18">
        <f>IF(OR(B2303="",I2303=""),"",I2303-B2303)</f>
        <v/>
      </c>
      <c r="N2303" s="21">
        <f>IF(B2303="","",IF(I2303="",IF(H2303="","",IF(TODAY()&gt;H2303,"Atrasado (em aberto)","Em aberto")),IF(I2303&lt;=H2303,"No prazo","Fora do prazo")))</f>
        <v/>
      </c>
    </row>
    <row r="2304">
      <c r="B2304" s="22" t="n"/>
      <c r="E2304" s="23" t="n"/>
      <c r="F2304" s="24" t="n"/>
      <c r="H2304" s="22" t="n"/>
      <c r="I2304" s="22" t="n"/>
      <c r="J2304" s="21">
        <f>IF(C2304="","",IFERROR(INDEX(Clientes!$B:$B,MATCH(C2304,Clientes!$A:$A,0)),"Cód. não cadastrado"))</f>
        <v/>
      </c>
      <c r="K2304" s="18">
        <f>IF(B2304="","",YEAR(B2304))</f>
        <v/>
      </c>
      <c r="L2304" s="18">
        <f>IF(B2304="","",MONTH(B2304))</f>
        <v/>
      </c>
      <c r="M2304" s="18">
        <f>IF(OR(B2304="",I2304=""),"",I2304-B2304)</f>
        <v/>
      </c>
      <c r="N2304" s="21">
        <f>IF(B2304="","",IF(I2304="",IF(H2304="","",IF(TODAY()&gt;H2304,"Atrasado (em aberto)","Em aberto")),IF(I2304&lt;=H2304,"No prazo","Fora do prazo")))</f>
        <v/>
      </c>
    </row>
    <row r="2305">
      <c r="B2305" s="22" t="n"/>
      <c r="E2305" s="23" t="n"/>
      <c r="F2305" s="24" t="n"/>
      <c r="H2305" s="22" t="n"/>
      <c r="I2305" s="22" t="n"/>
      <c r="J2305" s="21">
        <f>IF(C2305="","",IFERROR(INDEX(Clientes!$B:$B,MATCH(C2305,Clientes!$A:$A,0)),"Cód. não cadastrado"))</f>
        <v/>
      </c>
      <c r="K2305" s="18">
        <f>IF(B2305="","",YEAR(B2305))</f>
        <v/>
      </c>
      <c r="L2305" s="18">
        <f>IF(B2305="","",MONTH(B2305))</f>
        <v/>
      </c>
      <c r="M2305" s="18">
        <f>IF(OR(B2305="",I2305=""),"",I2305-B2305)</f>
        <v/>
      </c>
      <c r="N2305" s="21">
        <f>IF(B2305="","",IF(I2305="",IF(H2305="","",IF(TODAY()&gt;H2305,"Atrasado (em aberto)","Em aberto")),IF(I2305&lt;=H2305,"No prazo","Fora do prazo")))</f>
        <v/>
      </c>
    </row>
    <row r="2306">
      <c r="B2306" s="22" t="n"/>
      <c r="E2306" s="23" t="n"/>
      <c r="F2306" s="24" t="n"/>
      <c r="H2306" s="22" t="n"/>
      <c r="I2306" s="22" t="n"/>
      <c r="J2306" s="21">
        <f>IF(C2306="","",IFERROR(INDEX(Clientes!$B:$B,MATCH(C2306,Clientes!$A:$A,0)),"Cód. não cadastrado"))</f>
        <v/>
      </c>
      <c r="K2306" s="18">
        <f>IF(B2306="","",YEAR(B2306))</f>
        <v/>
      </c>
      <c r="L2306" s="18">
        <f>IF(B2306="","",MONTH(B2306))</f>
        <v/>
      </c>
      <c r="M2306" s="18">
        <f>IF(OR(B2306="",I2306=""),"",I2306-B2306)</f>
        <v/>
      </c>
      <c r="N2306" s="21">
        <f>IF(B2306="","",IF(I2306="",IF(H2306="","",IF(TODAY()&gt;H2306,"Atrasado (em aberto)","Em aberto")),IF(I2306&lt;=H2306,"No prazo","Fora do prazo")))</f>
        <v/>
      </c>
    </row>
    <row r="2307">
      <c r="B2307" s="22" t="n"/>
      <c r="E2307" s="23" t="n"/>
      <c r="F2307" s="24" t="n"/>
      <c r="H2307" s="22" t="n"/>
      <c r="I2307" s="22" t="n"/>
      <c r="J2307" s="21">
        <f>IF(C2307="","",IFERROR(INDEX(Clientes!$B:$B,MATCH(C2307,Clientes!$A:$A,0)),"Cód. não cadastrado"))</f>
        <v/>
      </c>
      <c r="K2307" s="18">
        <f>IF(B2307="","",YEAR(B2307))</f>
        <v/>
      </c>
      <c r="L2307" s="18">
        <f>IF(B2307="","",MONTH(B2307))</f>
        <v/>
      </c>
      <c r="M2307" s="18">
        <f>IF(OR(B2307="",I2307=""),"",I2307-B2307)</f>
        <v/>
      </c>
      <c r="N2307" s="21">
        <f>IF(B2307="","",IF(I2307="",IF(H2307="","",IF(TODAY()&gt;H2307,"Atrasado (em aberto)","Em aberto")),IF(I2307&lt;=H2307,"No prazo","Fora do prazo")))</f>
        <v/>
      </c>
    </row>
    <row r="2308">
      <c r="B2308" s="22" t="n"/>
      <c r="E2308" s="23" t="n"/>
      <c r="F2308" s="24" t="n"/>
      <c r="H2308" s="22" t="n"/>
      <c r="I2308" s="22" t="n"/>
      <c r="J2308" s="21">
        <f>IF(C2308="","",IFERROR(INDEX(Clientes!$B:$B,MATCH(C2308,Clientes!$A:$A,0)),"Cód. não cadastrado"))</f>
        <v/>
      </c>
      <c r="K2308" s="18">
        <f>IF(B2308="","",YEAR(B2308))</f>
        <v/>
      </c>
      <c r="L2308" s="18">
        <f>IF(B2308="","",MONTH(B2308))</f>
        <v/>
      </c>
      <c r="M2308" s="18">
        <f>IF(OR(B2308="",I2308=""),"",I2308-B2308)</f>
        <v/>
      </c>
      <c r="N2308" s="21">
        <f>IF(B2308="","",IF(I2308="",IF(H2308="","",IF(TODAY()&gt;H2308,"Atrasado (em aberto)","Em aberto")),IF(I2308&lt;=H2308,"No prazo","Fora do prazo")))</f>
        <v/>
      </c>
    </row>
    <row r="2309">
      <c r="B2309" s="22" t="n"/>
      <c r="E2309" s="23" t="n"/>
      <c r="F2309" s="24" t="n"/>
      <c r="H2309" s="22" t="n"/>
      <c r="I2309" s="22" t="n"/>
      <c r="J2309" s="21">
        <f>IF(C2309="","",IFERROR(INDEX(Clientes!$B:$B,MATCH(C2309,Clientes!$A:$A,0)),"Cód. não cadastrado"))</f>
        <v/>
      </c>
      <c r="K2309" s="18">
        <f>IF(B2309="","",YEAR(B2309))</f>
        <v/>
      </c>
      <c r="L2309" s="18">
        <f>IF(B2309="","",MONTH(B2309))</f>
        <v/>
      </c>
      <c r="M2309" s="18">
        <f>IF(OR(B2309="",I2309=""),"",I2309-B2309)</f>
        <v/>
      </c>
      <c r="N2309" s="21">
        <f>IF(B2309="","",IF(I2309="",IF(H2309="","",IF(TODAY()&gt;H2309,"Atrasado (em aberto)","Em aberto")),IF(I2309&lt;=H2309,"No prazo","Fora do prazo")))</f>
        <v/>
      </c>
    </row>
    <row r="2310">
      <c r="B2310" s="22" t="n"/>
      <c r="E2310" s="23" t="n"/>
      <c r="F2310" s="24" t="n"/>
      <c r="H2310" s="22" t="n"/>
      <c r="I2310" s="22" t="n"/>
      <c r="J2310" s="21">
        <f>IF(C2310="","",IFERROR(INDEX(Clientes!$B:$B,MATCH(C2310,Clientes!$A:$A,0)),"Cód. não cadastrado"))</f>
        <v/>
      </c>
      <c r="K2310" s="18">
        <f>IF(B2310="","",YEAR(B2310))</f>
        <v/>
      </c>
      <c r="L2310" s="18">
        <f>IF(B2310="","",MONTH(B2310))</f>
        <v/>
      </c>
      <c r="M2310" s="18">
        <f>IF(OR(B2310="",I2310=""),"",I2310-B2310)</f>
        <v/>
      </c>
      <c r="N2310" s="21">
        <f>IF(B2310="","",IF(I2310="",IF(H2310="","",IF(TODAY()&gt;H2310,"Atrasado (em aberto)","Em aberto")),IF(I2310&lt;=H2310,"No prazo","Fora do prazo")))</f>
        <v/>
      </c>
    </row>
    <row r="2311">
      <c r="B2311" s="22" t="n"/>
      <c r="E2311" s="23" t="n"/>
      <c r="F2311" s="24" t="n"/>
      <c r="H2311" s="22" t="n"/>
      <c r="I2311" s="22" t="n"/>
      <c r="J2311" s="21">
        <f>IF(C2311="","",IFERROR(INDEX(Clientes!$B:$B,MATCH(C2311,Clientes!$A:$A,0)),"Cód. não cadastrado"))</f>
        <v/>
      </c>
      <c r="K2311" s="18">
        <f>IF(B2311="","",YEAR(B2311))</f>
        <v/>
      </c>
      <c r="L2311" s="18">
        <f>IF(B2311="","",MONTH(B2311))</f>
        <v/>
      </c>
      <c r="M2311" s="18">
        <f>IF(OR(B2311="",I2311=""),"",I2311-B2311)</f>
        <v/>
      </c>
      <c r="N2311" s="21">
        <f>IF(B2311="","",IF(I2311="",IF(H2311="","",IF(TODAY()&gt;H2311,"Atrasado (em aberto)","Em aberto")),IF(I2311&lt;=H2311,"No prazo","Fora do prazo")))</f>
        <v/>
      </c>
    </row>
    <row r="2312">
      <c r="B2312" s="22" t="n"/>
      <c r="E2312" s="23" t="n"/>
      <c r="F2312" s="24" t="n"/>
      <c r="H2312" s="22" t="n"/>
      <c r="I2312" s="22" t="n"/>
      <c r="J2312" s="21">
        <f>IF(C2312="","",IFERROR(INDEX(Clientes!$B:$B,MATCH(C2312,Clientes!$A:$A,0)),"Cód. não cadastrado"))</f>
        <v/>
      </c>
      <c r="K2312" s="18">
        <f>IF(B2312="","",YEAR(B2312))</f>
        <v/>
      </c>
      <c r="L2312" s="18">
        <f>IF(B2312="","",MONTH(B2312))</f>
        <v/>
      </c>
      <c r="M2312" s="18">
        <f>IF(OR(B2312="",I2312=""),"",I2312-B2312)</f>
        <v/>
      </c>
      <c r="N2312" s="21">
        <f>IF(B2312="","",IF(I2312="",IF(H2312="","",IF(TODAY()&gt;H2312,"Atrasado (em aberto)","Em aberto")),IF(I2312&lt;=H2312,"No prazo","Fora do prazo")))</f>
        <v/>
      </c>
    </row>
    <row r="2313">
      <c r="B2313" s="22" t="n"/>
      <c r="E2313" s="23" t="n"/>
      <c r="F2313" s="24" t="n"/>
      <c r="H2313" s="22" t="n"/>
      <c r="I2313" s="22" t="n"/>
      <c r="J2313" s="21">
        <f>IF(C2313="","",IFERROR(INDEX(Clientes!$B:$B,MATCH(C2313,Clientes!$A:$A,0)),"Cód. não cadastrado"))</f>
        <v/>
      </c>
      <c r="K2313" s="18">
        <f>IF(B2313="","",YEAR(B2313))</f>
        <v/>
      </c>
      <c r="L2313" s="18">
        <f>IF(B2313="","",MONTH(B2313))</f>
        <v/>
      </c>
      <c r="M2313" s="18">
        <f>IF(OR(B2313="",I2313=""),"",I2313-B2313)</f>
        <v/>
      </c>
      <c r="N2313" s="21">
        <f>IF(B2313="","",IF(I2313="",IF(H2313="","",IF(TODAY()&gt;H2313,"Atrasado (em aberto)","Em aberto")),IF(I2313&lt;=H2313,"No prazo","Fora do prazo")))</f>
        <v/>
      </c>
    </row>
    <row r="2314">
      <c r="B2314" s="22" t="n"/>
      <c r="E2314" s="23" t="n"/>
      <c r="F2314" s="24" t="n"/>
      <c r="H2314" s="22" t="n"/>
      <c r="I2314" s="22" t="n"/>
      <c r="J2314" s="21">
        <f>IF(C2314="","",IFERROR(INDEX(Clientes!$B:$B,MATCH(C2314,Clientes!$A:$A,0)),"Cód. não cadastrado"))</f>
        <v/>
      </c>
      <c r="K2314" s="18">
        <f>IF(B2314="","",YEAR(B2314))</f>
        <v/>
      </c>
      <c r="L2314" s="18">
        <f>IF(B2314="","",MONTH(B2314))</f>
        <v/>
      </c>
      <c r="M2314" s="18">
        <f>IF(OR(B2314="",I2314=""),"",I2314-B2314)</f>
        <v/>
      </c>
      <c r="N2314" s="21">
        <f>IF(B2314="","",IF(I2314="",IF(H2314="","",IF(TODAY()&gt;H2314,"Atrasado (em aberto)","Em aberto")),IF(I2314&lt;=H2314,"No prazo","Fora do prazo")))</f>
        <v/>
      </c>
    </row>
    <row r="2315">
      <c r="B2315" s="22" t="n"/>
      <c r="E2315" s="23" t="n"/>
      <c r="F2315" s="24" t="n"/>
      <c r="H2315" s="22" t="n"/>
      <c r="I2315" s="22" t="n"/>
      <c r="J2315" s="21">
        <f>IF(C2315="","",IFERROR(INDEX(Clientes!$B:$B,MATCH(C2315,Clientes!$A:$A,0)),"Cód. não cadastrado"))</f>
        <v/>
      </c>
      <c r="K2315" s="18">
        <f>IF(B2315="","",YEAR(B2315))</f>
        <v/>
      </c>
      <c r="L2315" s="18">
        <f>IF(B2315="","",MONTH(B2315))</f>
        <v/>
      </c>
      <c r="M2315" s="18">
        <f>IF(OR(B2315="",I2315=""),"",I2315-B2315)</f>
        <v/>
      </c>
      <c r="N2315" s="21">
        <f>IF(B2315="","",IF(I2315="",IF(H2315="","",IF(TODAY()&gt;H2315,"Atrasado (em aberto)","Em aberto")),IF(I2315&lt;=H2315,"No prazo","Fora do prazo")))</f>
        <v/>
      </c>
    </row>
    <row r="2316">
      <c r="B2316" s="22" t="n"/>
      <c r="E2316" s="23" t="n"/>
      <c r="F2316" s="24" t="n"/>
      <c r="H2316" s="22" t="n"/>
      <c r="I2316" s="22" t="n"/>
      <c r="J2316" s="21">
        <f>IF(C2316="","",IFERROR(INDEX(Clientes!$B:$B,MATCH(C2316,Clientes!$A:$A,0)),"Cód. não cadastrado"))</f>
        <v/>
      </c>
      <c r="K2316" s="18">
        <f>IF(B2316="","",YEAR(B2316))</f>
        <v/>
      </c>
      <c r="L2316" s="18">
        <f>IF(B2316="","",MONTH(B2316))</f>
        <v/>
      </c>
      <c r="M2316" s="18">
        <f>IF(OR(B2316="",I2316=""),"",I2316-B2316)</f>
        <v/>
      </c>
      <c r="N2316" s="21">
        <f>IF(B2316="","",IF(I2316="",IF(H2316="","",IF(TODAY()&gt;H2316,"Atrasado (em aberto)","Em aberto")),IF(I2316&lt;=H2316,"No prazo","Fora do prazo")))</f>
        <v/>
      </c>
    </row>
    <row r="2317">
      <c r="B2317" s="22" t="n"/>
      <c r="E2317" s="23" t="n"/>
      <c r="F2317" s="24" t="n"/>
      <c r="H2317" s="22" t="n"/>
      <c r="I2317" s="22" t="n"/>
      <c r="J2317" s="21">
        <f>IF(C2317="","",IFERROR(INDEX(Clientes!$B:$B,MATCH(C2317,Clientes!$A:$A,0)),"Cód. não cadastrado"))</f>
        <v/>
      </c>
      <c r="K2317" s="18">
        <f>IF(B2317="","",YEAR(B2317))</f>
        <v/>
      </c>
      <c r="L2317" s="18">
        <f>IF(B2317="","",MONTH(B2317))</f>
        <v/>
      </c>
      <c r="M2317" s="18">
        <f>IF(OR(B2317="",I2317=""),"",I2317-B2317)</f>
        <v/>
      </c>
      <c r="N2317" s="21">
        <f>IF(B2317="","",IF(I2317="",IF(H2317="","",IF(TODAY()&gt;H2317,"Atrasado (em aberto)","Em aberto")),IF(I2317&lt;=H2317,"No prazo","Fora do prazo")))</f>
        <v/>
      </c>
    </row>
    <row r="2318">
      <c r="B2318" s="22" t="n"/>
      <c r="E2318" s="23" t="n"/>
      <c r="F2318" s="24" t="n"/>
      <c r="H2318" s="22" t="n"/>
      <c r="I2318" s="22" t="n"/>
      <c r="J2318" s="21">
        <f>IF(C2318="","",IFERROR(INDEX(Clientes!$B:$B,MATCH(C2318,Clientes!$A:$A,0)),"Cód. não cadastrado"))</f>
        <v/>
      </c>
      <c r="K2318" s="18">
        <f>IF(B2318="","",YEAR(B2318))</f>
        <v/>
      </c>
      <c r="L2318" s="18">
        <f>IF(B2318="","",MONTH(B2318))</f>
        <v/>
      </c>
      <c r="M2318" s="18">
        <f>IF(OR(B2318="",I2318=""),"",I2318-B2318)</f>
        <v/>
      </c>
      <c r="N2318" s="21">
        <f>IF(B2318="","",IF(I2318="",IF(H2318="","",IF(TODAY()&gt;H2318,"Atrasado (em aberto)","Em aberto")),IF(I2318&lt;=H2318,"No prazo","Fora do prazo")))</f>
        <v/>
      </c>
    </row>
    <row r="2319">
      <c r="B2319" s="22" t="n"/>
      <c r="E2319" s="23" t="n"/>
      <c r="F2319" s="24" t="n"/>
      <c r="H2319" s="22" t="n"/>
      <c r="I2319" s="22" t="n"/>
      <c r="J2319" s="21">
        <f>IF(C2319="","",IFERROR(INDEX(Clientes!$B:$B,MATCH(C2319,Clientes!$A:$A,0)),"Cód. não cadastrado"))</f>
        <v/>
      </c>
      <c r="K2319" s="18">
        <f>IF(B2319="","",YEAR(B2319))</f>
        <v/>
      </c>
      <c r="L2319" s="18">
        <f>IF(B2319="","",MONTH(B2319))</f>
        <v/>
      </c>
      <c r="M2319" s="18">
        <f>IF(OR(B2319="",I2319=""),"",I2319-B2319)</f>
        <v/>
      </c>
      <c r="N2319" s="21">
        <f>IF(B2319="","",IF(I2319="",IF(H2319="","",IF(TODAY()&gt;H2319,"Atrasado (em aberto)","Em aberto")),IF(I2319&lt;=H2319,"No prazo","Fora do prazo")))</f>
        <v/>
      </c>
    </row>
    <row r="2320">
      <c r="B2320" s="22" t="n"/>
      <c r="E2320" s="23" t="n"/>
      <c r="F2320" s="24" t="n"/>
      <c r="H2320" s="22" t="n"/>
      <c r="I2320" s="22" t="n"/>
      <c r="J2320" s="21">
        <f>IF(C2320="","",IFERROR(INDEX(Clientes!$B:$B,MATCH(C2320,Clientes!$A:$A,0)),"Cód. não cadastrado"))</f>
        <v/>
      </c>
      <c r="K2320" s="18">
        <f>IF(B2320="","",YEAR(B2320))</f>
        <v/>
      </c>
      <c r="L2320" s="18">
        <f>IF(B2320="","",MONTH(B2320))</f>
        <v/>
      </c>
      <c r="M2320" s="18">
        <f>IF(OR(B2320="",I2320=""),"",I2320-B2320)</f>
        <v/>
      </c>
      <c r="N2320" s="21">
        <f>IF(B2320="","",IF(I2320="",IF(H2320="","",IF(TODAY()&gt;H2320,"Atrasado (em aberto)","Em aberto")),IF(I2320&lt;=H2320,"No prazo","Fora do prazo")))</f>
        <v/>
      </c>
    </row>
    <row r="2321">
      <c r="B2321" s="22" t="n"/>
      <c r="E2321" s="23" t="n"/>
      <c r="F2321" s="24" t="n"/>
      <c r="H2321" s="22" t="n"/>
      <c r="I2321" s="22" t="n"/>
      <c r="J2321" s="21">
        <f>IF(C2321="","",IFERROR(INDEX(Clientes!$B:$B,MATCH(C2321,Clientes!$A:$A,0)),"Cód. não cadastrado"))</f>
        <v/>
      </c>
      <c r="K2321" s="18">
        <f>IF(B2321="","",YEAR(B2321))</f>
        <v/>
      </c>
      <c r="L2321" s="18">
        <f>IF(B2321="","",MONTH(B2321))</f>
        <v/>
      </c>
      <c r="M2321" s="18">
        <f>IF(OR(B2321="",I2321=""),"",I2321-B2321)</f>
        <v/>
      </c>
      <c r="N2321" s="21">
        <f>IF(B2321="","",IF(I2321="",IF(H2321="","",IF(TODAY()&gt;H2321,"Atrasado (em aberto)","Em aberto")),IF(I2321&lt;=H2321,"No prazo","Fora do prazo")))</f>
        <v/>
      </c>
    </row>
    <row r="2322">
      <c r="B2322" s="22" t="n"/>
      <c r="E2322" s="23" t="n"/>
      <c r="F2322" s="24" t="n"/>
      <c r="H2322" s="22" t="n"/>
      <c r="I2322" s="22" t="n"/>
      <c r="J2322" s="21">
        <f>IF(C2322="","",IFERROR(INDEX(Clientes!$B:$B,MATCH(C2322,Clientes!$A:$A,0)),"Cód. não cadastrado"))</f>
        <v/>
      </c>
      <c r="K2322" s="18">
        <f>IF(B2322="","",YEAR(B2322))</f>
        <v/>
      </c>
      <c r="L2322" s="18">
        <f>IF(B2322="","",MONTH(B2322))</f>
        <v/>
      </c>
      <c r="M2322" s="18">
        <f>IF(OR(B2322="",I2322=""),"",I2322-B2322)</f>
        <v/>
      </c>
      <c r="N2322" s="21">
        <f>IF(B2322="","",IF(I2322="",IF(H2322="","",IF(TODAY()&gt;H2322,"Atrasado (em aberto)","Em aberto")),IF(I2322&lt;=H2322,"No prazo","Fora do prazo")))</f>
        <v/>
      </c>
    </row>
    <row r="2323">
      <c r="B2323" s="22" t="n"/>
      <c r="E2323" s="23" t="n"/>
      <c r="F2323" s="24" t="n"/>
      <c r="H2323" s="22" t="n"/>
      <c r="I2323" s="22" t="n"/>
      <c r="J2323" s="21">
        <f>IF(C2323="","",IFERROR(INDEX(Clientes!$B:$B,MATCH(C2323,Clientes!$A:$A,0)),"Cód. não cadastrado"))</f>
        <v/>
      </c>
      <c r="K2323" s="18">
        <f>IF(B2323="","",YEAR(B2323))</f>
        <v/>
      </c>
      <c r="L2323" s="18">
        <f>IF(B2323="","",MONTH(B2323))</f>
        <v/>
      </c>
      <c r="M2323" s="18">
        <f>IF(OR(B2323="",I2323=""),"",I2323-B2323)</f>
        <v/>
      </c>
      <c r="N2323" s="21">
        <f>IF(B2323="","",IF(I2323="",IF(H2323="","",IF(TODAY()&gt;H2323,"Atrasado (em aberto)","Em aberto")),IF(I2323&lt;=H2323,"No prazo","Fora do prazo")))</f>
        <v/>
      </c>
    </row>
    <row r="2324">
      <c r="B2324" s="22" t="n"/>
      <c r="E2324" s="23" t="n"/>
      <c r="F2324" s="24" t="n"/>
      <c r="H2324" s="22" t="n"/>
      <c r="I2324" s="22" t="n"/>
      <c r="J2324" s="21">
        <f>IF(C2324="","",IFERROR(INDEX(Clientes!$B:$B,MATCH(C2324,Clientes!$A:$A,0)),"Cód. não cadastrado"))</f>
        <v/>
      </c>
      <c r="K2324" s="18">
        <f>IF(B2324="","",YEAR(B2324))</f>
        <v/>
      </c>
      <c r="L2324" s="18">
        <f>IF(B2324="","",MONTH(B2324))</f>
        <v/>
      </c>
      <c r="M2324" s="18">
        <f>IF(OR(B2324="",I2324=""),"",I2324-B2324)</f>
        <v/>
      </c>
      <c r="N2324" s="21">
        <f>IF(B2324="","",IF(I2324="",IF(H2324="","",IF(TODAY()&gt;H2324,"Atrasado (em aberto)","Em aberto")),IF(I2324&lt;=H2324,"No prazo","Fora do prazo")))</f>
        <v/>
      </c>
    </row>
    <row r="2325">
      <c r="B2325" s="22" t="n"/>
      <c r="E2325" s="23" t="n"/>
      <c r="F2325" s="24" t="n"/>
      <c r="H2325" s="22" t="n"/>
      <c r="I2325" s="22" t="n"/>
      <c r="J2325" s="21">
        <f>IF(C2325="","",IFERROR(INDEX(Clientes!$B:$B,MATCH(C2325,Clientes!$A:$A,0)),"Cód. não cadastrado"))</f>
        <v/>
      </c>
      <c r="K2325" s="18">
        <f>IF(B2325="","",YEAR(B2325))</f>
        <v/>
      </c>
      <c r="L2325" s="18">
        <f>IF(B2325="","",MONTH(B2325))</f>
        <v/>
      </c>
      <c r="M2325" s="18">
        <f>IF(OR(B2325="",I2325=""),"",I2325-B2325)</f>
        <v/>
      </c>
      <c r="N2325" s="21">
        <f>IF(B2325="","",IF(I2325="",IF(H2325="","",IF(TODAY()&gt;H2325,"Atrasado (em aberto)","Em aberto")),IF(I2325&lt;=H2325,"No prazo","Fora do prazo")))</f>
        <v/>
      </c>
    </row>
    <row r="2326">
      <c r="B2326" s="22" t="n"/>
      <c r="E2326" s="23" t="n"/>
      <c r="F2326" s="24" t="n"/>
      <c r="H2326" s="22" t="n"/>
      <c r="I2326" s="22" t="n"/>
      <c r="J2326" s="21">
        <f>IF(C2326="","",IFERROR(INDEX(Clientes!$B:$B,MATCH(C2326,Clientes!$A:$A,0)),"Cód. não cadastrado"))</f>
        <v/>
      </c>
      <c r="K2326" s="18">
        <f>IF(B2326="","",YEAR(B2326))</f>
        <v/>
      </c>
      <c r="L2326" s="18">
        <f>IF(B2326="","",MONTH(B2326))</f>
        <v/>
      </c>
      <c r="M2326" s="18">
        <f>IF(OR(B2326="",I2326=""),"",I2326-B2326)</f>
        <v/>
      </c>
      <c r="N2326" s="21">
        <f>IF(B2326="","",IF(I2326="",IF(H2326="","",IF(TODAY()&gt;H2326,"Atrasado (em aberto)","Em aberto")),IF(I2326&lt;=H2326,"No prazo","Fora do prazo")))</f>
        <v/>
      </c>
    </row>
    <row r="2327">
      <c r="B2327" s="22" t="n"/>
      <c r="E2327" s="23" t="n"/>
      <c r="F2327" s="24" t="n"/>
      <c r="H2327" s="22" t="n"/>
      <c r="I2327" s="22" t="n"/>
      <c r="J2327" s="21">
        <f>IF(C2327="","",IFERROR(INDEX(Clientes!$B:$B,MATCH(C2327,Clientes!$A:$A,0)),"Cód. não cadastrado"))</f>
        <v/>
      </c>
      <c r="K2327" s="18">
        <f>IF(B2327="","",YEAR(B2327))</f>
        <v/>
      </c>
      <c r="L2327" s="18">
        <f>IF(B2327="","",MONTH(B2327))</f>
        <v/>
      </c>
      <c r="M2327" s="18">
        <f>IF(OR(B2327="",I2327=""),"",I2327-B2327)</f>
        <v/>
      </c>
      <c r="N2327" s="21">
        <f>IF(B2327="","",IF(I2327="",IF(H2327="","",IF(TODAY()&gt;H2327,"Atrasado (em aberto)","Em aberto")),IF(I2327&lt;=H2327,"No prazo","Fora do prazo")))</f>
        <v/>
      </c>
    </row>
    <row r="2328">
      <c r="B2328" s="22" t="n"/>
      <c r="E2328" s="23" t="n"/>
      <c r="F2328" s="24" t="n"/>
      <c r="H2328" s="22" t="n"/>
      <c r="I2328" s="22" t="n"/>
      <c r="J2328" s="21">
        <f>IF(C2328="","",IFERROR(INDEX(Clientes!$B:$B,MATCH(C2328,Clientes!$A:$A,0)),"Cód. não cadastrado"))</f>
        <v/>
      </c>
      <c r="K2328" s="18">
        <f>IF(B2328="","",YEAR(B2328))</f>
        <v/>
      </c>
      <c r="L2328" s="18">
        <f>IF(B2328="","",MONTH(B2328))</f>
        <v/>
      </c>
      <c r="M2328" s="18">
        <f>IF(OR(B2328="",I2328=""),"",I2328-B2328)</f>
        <v/>
      </c>
      <c r="N2328" s="21">
        <f>IF(B2328="","",IF(I2328="",IF(H2328="","",IF(TODAY()&gt;H2328,"Atrasado (em aberto)","Em aberto")),IF(I2328&lt;=H2328,"No prazo","Fora do prazo")))</f>
        <v/>
      </c>
    </row>
    <row r="2329">
      <c r="B2329" s="22" t="n"/>
      <c r="E2329" s="23" t="n"/>
      <c r="F2329" s="24" t="n"/>
      <c r="H2329" s="22" t="n"/>
      <c r="I2329" s="22" t="n"/>
      <c r="J2329" s="21">
        <f>IF(C2329="","",IFERROR(INDEX(Clientes!$B:$B,MATCH(C2329,Clientes!$A:$A,0)),"Cód. não cadastrado"))</f>
        <v/>
      </c>
      <c r="K2329" s="18">
        <f>IF(B2329="","",YEAR(B2329))</f>
        <v/>
      </c>
      <c r="L2329" s="18">
        <f>IF(B2329="","",MONTH(B2329))</f>
        <v/>
      </c>
      <c r="M2329" s="18">
        <f>IF(OR(B2329="",I2329=""),"",I2329-B2329)</f>
        <v/>
      </c>
      <c r="N2329" s="21">
        <f>IF(B2329="","",IF(I2329="",IF(H2329="","",IF(TODAY()&gt;H2329,"Atrasado (em aberto)","Em aberto")),IF(I2329&lt;=H2329,"No prazo","Fora do prazo")))</f>
        <v/>
      </c>
    </row>
    <row r="2330">
      <c r="B2330" s="22" t="n"/>
      <c r="E2330" s="23" t="n"/>
      <c r="F2330" s="24" t="n"/>
      <c r="H2330" s="22" t="n"/>
      <c r="I2330" s="22" t="n"/>
      <c r="J2330" s="21">
        <f>IF(C2330="","",IFERROR(INDEX(Clientes!$B:$B,MATCH(C2330,Clientes!$A:$A,0)),"Cód. não cadastrado"))</f>
        <v/>
      </c>
      <c r="K2330" s="18">
        <f>IF(B2330="","",YEAR(B2330))</f>
        <v/>
      </c>
      <c r="L2330" s="18">
        <f>IF(B2330="","",MONTH(B2330))</f>
        <v/>
      </c>
      <c r="M2330" s="18">
        <f>IF(OR(B2330="",I2330=""),"",I2330-B2330)</f>
        <v/>
      </c>
      <c r="N2330" s="21">
        <f>IF(B2330="","",IF(I2330="",IF(H2330="","",IF(TODAY()&gt;H2330,"Atrasado (em aberto)","Em aberto")),IF(I2330&lt;=H2330,"No prazo","Fora do prazo")))</f>
        <v/>
      </c>
    </row>
    <row r="2331">
      <c r="B2331" s="22" t="n"/>
      <c r="E2331" s="23" t="n"/>
      <c r="F2331" s="24" t="n"/>
      <c r="H2331" s="22" t="n"/>
      <c r="I2331" s="22" t="n"/>
      <c r="J2331" s="21">
        <f>IF(C2331="","",IFERROR(INDEX(Clientes!$B:$B,MATCH(C2331,Clientes!$A:$A,0)),"Cód. não cadastrado"))</f>
        <v/>
      </c>
      <c r="K2331" s="18">
        <f>IF(B2331="","",YEAR(B2331))</f>
        <v/>
      </c>
      <c r="L2331" s="18">
        <f>IF(B2331="","",MONTH(B2331))</f>
        <v/>
      </c>
      <c r="M2331" s="18">
        <f>IF(OR(B2331="",I2331=""),"",I2331-B2331)</f>
        <v/>
      </c>
      <c r="N2331" s="21">
        <f>IF(B2331="","",IF(I2331="",IF(H2331="","",IF(TODAY()&gt;H2331,"Atrasado (em aberto)","Em aberto")),IF(I2331&lt;=H2331,"No prazo","Fora do prazo")))</f>
        <v/>
      </c>
    </row>
    <row r="2332">
      <c r="B2332" s="22" t="n"/>
      <c r="E2332" s="23" t="n"/>
      <c r="F2332" s="24" t="n"/>
      <c r="H2332" s="22" t="n"/>
      <c r="I2332" s="22" t="n"/>
      <c r="J2332" s="21">
        <f>IF(C2332="","",IFERROR(INDEX(Clientes!$B:$B,MATCH(C2332,Clientes!$A:$A,0)),"Cód. não cadastrado"))</f>
        <v/>
      </c>
      <c r="K2332" s="18">
        <f>IF(B2332="","",YEAR(B2332))</f>
        <v/>
      </c>
      <c r="L2332" s="18">
        <f>IF(B2332="","",MONTH(B2332))</f>
        <v/>
      </c>
      <c r="M2332" s="18">
        <f>IF(OR(B2332="",I2332=""),"",I2332-B2332)</f>
        <v/>
      </c>
      <c r="N2332" s="21">
        <f>IF(B2332="","",IF(I2332="",IF(H2332="","",IF(TODAY()&gt;H2332,"Atrasado (em aberto)","Em aberto")),IF(I2332&lt;=H2332,"No prazo","Fora do prazo")))</f>
        <v/>
      </c>
    </row>
    <row r="2333">
      <c r="B2333" s="22" t="n"/>
      <c r="E2333" s="23" t="n"/>
      <c r="F2333" s="24" t="n"/>
      <c r="H2333" s="22" t="n"/>
      <c r="I2333" s="22" t="n"/>
      <c r="J2333" s="21">
        <f>IF(C2333="","",IFERROR(INDEX(Clientes!$B:$B,MATCH(C2333,Clientes!$A:$A,0)),"Cód. não cadastrado"))</f>
        <v/>
      </c>
      <c r="K2333" s="18">
        <f>IF(B2333="","",YEAR(B2333))</f>
        <v/>
      </c>
      <c r="L2333" s="18">
        <f>IF(B2333="","",MONTH(B2333))</f>
        <v/>
      </c>
      <c r="M2333" s="18">
        <f>IF(OR(B2333="",I2333=""),"",I2333-B2333)</f>
        <v/>
      </c>
      <c r="N2333" s="21">
        <f>IF(B2333="","",IF(I2333="",IF(H2333="","",IF(TODAY()&gt;H2333,"Atrasado (em aberto)","Em aberto")),IF(I2333&lt;=H2333,"No prazo","Fora do prazo")))</f>
        <v/>
      </c>
    </row>
    <row r="2334">
      <c r="B2334" s="22" t="n"/>
      <c r="E2334" s="23" t="n"/>
      <c r="F2334" s="24" t="n"/>
      <c r="H2334" s="22" t="n"/>
      <c r="I2334" s="22" t="n"/>
      <c r="J2334" s="21">
        <f>IF(C2334="","",IFERROR(INDEX(Clientes!$B:$B,MATCH(C2334,Clientes!$A:$A,0)),"Cód. não cadastrado"))</f>
        <v/>
      </c>
      <c r="K2334" s="18">
        <f>IF(B2334="","",YEAR(B2334))</f>
        <v/>
      </c>
      <c r="L2334" s="18">
        <f>IF(B2334="","",MONTH(B2334))</f>
        <v/>
      </c>
      <c r="M2334" s="18">
        <f>IF(OR(B2334="",I2334=""),"",I2334-B2334)</f>
        <v/>
      </c>
      <c r="N2334" s="21">
        <f>IF(B2334="","",IF(I2334="",IF(H2334="","",IF(TODAY()&gt;H2334,"Atrasado (em aberto)","Em aberto")),IF(I2334&lt;=H2334,"No prazo","Fora do prazo")))</f>
        <v/>
      </c>
    </row>
    <row r="2335">
      <c r="B2335" s="22" t="n"/>
      <c r="E2335" s="23" t="n"/>
      <c r="F2335" s="24" t="n"/>
      <c r="H2335" s="22" t="n"/>
      <c r="I2335" s="22" t="n"/>
      <c r="J2335" s="21">
        <f>IF(C2335="","",IFERROR(INDEX(Clientes!$B:$B,MATCH(C2335,Clientes!$A:$A,0)),"Cód. não cadastrado"))</f>
        <v/>
      </c>
      <c r="K2335" s="18">
        <f>IF(B2335="","",YEAR(B2335))</f>
        <v/>
      </c>
      <c r="L2335" s="18">
        <f>IF(B2335="","",MONTH(B2335))</f>
        <v/>
      </c>
      <c r="M2335" s="18">
        <f>IF(OR(B2335="",I2335=""),"",I2335-B2335)</f>
        <v/>
      </c>
      <c r="N2335" s="21">
        <f>IF(B2335="","",IF(I2335="",IF(H2335="","",IF(TODAY()&gt;H2335,"Atrasado (em aberto)","Em aberto")),IF(I2335&lt;=H2335,"No prazo","Fora do prazo")))</f>
        <v/>
      </c>
    </row>
    <row r="2336">
      <c r="B2336" s="22" t="n"/>
      <c r="E2336" s="23" t="n"/>
      <c r="F2336" s="24" t="n"/>
      <c r="H2336" s="22" t="n"/>
      <c r="I2336" s="22" t="n"/>
      <c r="J2336" s="21">
        <f>IF(C2336="","",IFERROR(INDEX(Clientes!$B:$B,MATCH(C2336,Clientes!$A:$A,0)),"Cód. não cadastrado"))</f>
        <v/>
      </c>
      <c r="K2336" s="18">
        <f>IF(B2336="","",YEAR(B2336))</f>
        <v/>
      </c>
      <c r="L2336" s="18">
        <f>IF(B2336="","",MONTH(B2336))</f>
        <v/>
      </c>
      <c r="M2336" s="18">
        <f>IF(OR(B2336="",I2336=""),"",I2336-B2336)</f>
        <v/>
      </c>
      <c r="N2336" s="21">
        <f>IF(B2336="","",IF(I2336="",IF(H2336="","",IF(TODAY()&gt;H2336,"Atrasado (em aberto)","Em aberto")),IF(I2336&lt;=H2336,"No prazo","Fora do prazo")))</f>
        <v/>
      </c>
    </row>
    <row r="2337">
      <c r="B2337" s="22" t="n"/>
      <c r="E2337" s="23" t="n"/>
      <c r="F2337" s="24" t="n"/>
      <c r="H2337" s="22" t="n"/>
      <c r="I2337" s="22" t="n"/>
      <c r="J2337" s="21">
        <f>IF(C2337="","",IFERROR(INDEX(Clientes!$B:$B,MATCH(C2337,Clientes!$A:$A,0)),"Cód. não cadastrado"))</f>
        <v/>
      </c>
      <c r="K2337" s="18">
        <f>IF(B2337="","",YEAR(B2337))</f>
        <v/>
      </c>
      <c r="L2337" s="18">
        <f>IF(B2337="","",MONTH(B2337))</f>
        <v/>
      </c>
      <c r="M2337" s="18">
        <f>IF(OR(B2337="",I2337=""),"",I2337-B2337)</f>
        <v/>
      </c>
      <c r="N2337" s="21">
        <f>IF(B2337="","",IF(I2337="",IF(H2337="","",IF(TODAY()&gt;H2337,"Atrasado (em aberto)","Em aberto")),IF(I2337&lt;=H2337,"No prazo","Fora do prazo")))</f>
        <v/>
      </c>
    </row>
    <row r="2338">
      <c r="B2338" s="22" t="n"/>
      <c r="E2338" s="23" t="n"/>
      <c r="F2338" s="24" t="n"/>
      <c r="H2338" s="22" t="n"/>
      <c r="I2338" s="22" t="n"/>
      <c r="J2338" s="21">
        <f>IF(C2338="","",IFERROR(INDEX(Clientes!$B:$B,MATCH(C2338,Clientes!$A:$A,0)),"Cód. não cadastrado"))</f>
        <v/>
      </c>
      <c r="K2338" s="18">
        <f>IF(B2338="","",YEAR(B2338))</f>
        <v/>
      </c>
      <c r="L2338" s="18">
        <f>IF(B2338="","",MONTH(B2338))</f>
        <v/>
      </c>
      <c r="M2338" s="18">
        <f>IF(OR(B2338="",I2338=""),"",I2338-B2338)</f>
        <v/>
      </c>
      <c r="N2338" s="21">
        <f>IF(B2338="","",IF(I2338="",IF(H2338="","",IF(TODAY()&gt;H2338,"Atrasado (em aberto)","Em aberto")),IF(I2338&lt;=H2338,"No prazo","Fora do prazo")))</f>
        <v/>
      </c>
    </row>
    <row r="2339">
      <c r="B2339" s="22" t="n"/>
      <c r="E2339" s="23" t="n"/>
      <c r="F2339" s="24" t="n"/>
      <c r="H2339" s="22" t="n"/>
      <c r="I2339" s="22" t="n"/>
      <c r="J2339" s="21">
        <f>IF(C2339="","",IFERROR(INDEX(Clientes!$B:$B,MATCH(C2339,Clientes!$A:$A,0)),"Cód. não cadastrado"))</f>
        <v/>
      </c>
      <c r="K2339" s="18">
        <f>IF(B2339="","",YEAR(B2339))</f>
        <v/>
      </c>
      <c r="L2339" s="18">
        <f>IF(B2339="","",MONTH(B2339))</f>
        <v/>
      </c>
      <c r="M2339" s="18">
        <f>IF(OR(B2339="",I2339=""),"",I2339-B2339)</f>
        <v/>
      </c>
      <c r="N2339" s="21">
        <f>IF(B2339="","",IF(I2339="",IF(H2339="","",IF(TODAY()&gt;H2339,"Atrasado (em aberto)","Em aberto")),IF(I2339&lt;=H2339,"No prazo","Fora do prazo")))</f>
        <v/>
      </c>
    </row>
    <row r="2340">
      <c r="B2340" s="22" t="n"/>
      <c r="E2340" s="23" t="n"/>
      <c r="F2340" s="24" t="n"/>
      <c r="H2340" s="22" t="n"/>
      <c r="I2340" s="22" t="n"/>
      <c r="J2340" s="21">
        <f>IF(C2340="","",IFERROR(INDEX(Clientes!$B:$B,MATCH(C2340,Clientes!$A:$A,0)),"Cód. não cadastrado"))</f>
        <v/>
      </c>
      <c r="K2340" s="18">
        <f>IF(B2340="","",YEAR(B2340))</f>
        <v/>
      </c>
      <c r="L2340" s="18">
        <f>IF(B2340="","",MONTH(B2340))</f>
        <v/>
      </c>
      <c r="M2340" s="18">
        <f>IF(OR(B2340="",I2340=""),"",I2340-B2340)</f>
        <v/>
      </c>
      <c r="N2340" s="21">
        <f>IF(B2340="","",IF(I2340="",IF(H2340="","",IF(TODAY()&gt;H2340,"Atrasado (em aberto)","Em aberto")),IF(I2340&lt;=H2340,"No prazo","Fora do prazo")))</f>
        <v/>
      </c>
    </row>
    <row r="2341">
      <c r="B2341" s="22" t="n"/>
      <c r="E2341" s="23" t="n"/>
      <c r="F2341" s="24" t="n"/>
      <c r="H2341" s="22" t="n"/>
      <c r="I2341" s="22" t="n"/>
      <c r="J2341" s="21">
        <f>IF(C2341="","",IFERROR(INDEX(Clientes!$B:$B,MATCH(C2341,Clientes!$A:$A,0)),"Cód. não cadastrado"))</f>
        <v/>
      </c>
      <c r="K2341" s="18">
        <f>IF(B2341="","",YEAR(B2341))</f>
        <v/>
      </c>
      <c r="L2341" s="18">
        <f>IF(B2341="","",MONTH(B2341))</f>
        <v/>
      </c>
      <c r="M2341" s="18">
        <f>IF(OR(B2341="",I2341=""),"",I2341-B2341)</f>
        <v/>
      </c>
      <c r="N2341" s="21">
        <f>IF(B2341="","",IF(I2341="",IF(H2341="","",IF(TODAY()&gt;H2341,"Atrasado (em aberto)","Em aberto")),IF(I2341&lt;=H2341,"No prazo","Fora do prazo")))</f>
        <v/>
      </c>
    </row>
    <row r="2342">
      <c r="B2342" s="22" t="n"/>
      <c r="E2342" s="23" t="n"/>
      <c r="F2342" s="24" t="n"/>
      <c r="H2342" s="22" t="n"/>
      <c r="I2342" s="22" t="n"/>
      <c r="J2342" s="21">
        <f>IF(C2342="","",IFERROR(INDEX(Clientes!$B:$B,MATCH(C2342,Clientes!$A:$A,0)),"Cód. não cadastrado"))</f>
        <v/>
      </c>
      <c r="K2342" s="18">
        <f>IF(B2342="","",YEAR(B2342))</f>
        <v/>
      </c>
      <c r="L2342" s="18">
        <f>IF(B2342="","",MONTH(B2342))</f>
        <v/>
      </c>
      <c r="M2342" s="18">
        <f>IF(OR(B2342="",I2342=""),"",I2342-B2342)</f>
        <v/>
      </c>
      <c r="N2342" s="21">
        <f>IF(B2342="","",IF(I2342="",IF(H2342="","",IF(TODAY()&gt;H2342,"Atrasado (em aberto)","Em aberto")),IF(I2342&lt;=H2342,"No prazo","Fora do prazo")))</f>
        <v/>
      </c>
    </row>
    <row r="2343">
      <c r="B2343" s="22" t="n"/>
      <c r="E2343" s="23" t="n"/>
      <c r="F2343" s="24" t="n"/>
      <c r="H2343" s="22" t="n"/>
      <c r="I2343" s="22" t="n"/>
      <c r="J2343" s="21">
        <f>IF(C2343="","",IFERROR(INDEX(Clientes!$B:$B,MATCH(C2343,Clientes!$A:$A,0)),"Cód. não cadastrado"))</f>
        <v/>
      </c>
      <c r="K2343" s="18">
        <f>IF(B2343="","",YEAR(B2343))</f>
        <v/>
      </c>
      <c r="L2343" s="18">
        <f>IF(B2343="","",MONTH(B2343))</f>
        <v/>
      </c>
      <c r="M2343" s="18">
        <f>IF(OR(B2343="",I2343=""),"",I2343-B2343)</f>
        <v/>
      </c>
      <c r="N2343" s="21">
        <f>IF(B2343="","",IF(I2343="",IF(H2343="","",IF(TODAY()&gt;H2343,"Atrasado (em aberto)","Em aberto")),IF(I2343&lt;=H2343,"No prazo","Fora do prazo")))</f>
        <v/>
      </c>
    </row>
    <row r="2344">
      <c r="B2344" s="22" t="n"/>
      <c r="E2344" s="23" t="n"/>
      <c r="F2344" s="24" t="n"/>
      <c r="H2344" s="22" t="n"/>
      <c r="I2344" s="22" t="n"/>
      <c r="J2344" s="21">
        <f>IF(C2344="","",IFERROR(INDEX(Clientes!$B:$B,MATCH(C2344,Clientes!$A:$A,0)),"Cód. não cadastrado"))</f>
        <v/>
      </c>
      <c r="K2344" s="18">
        <f>IF(B2344="","",YEAR(B2344))</f>
        <v/>
      </c>
      <c r="L2344" s="18">
        <f>IF(B2344="","",MONTH(B2344))</f>
        <v/>
      </c>
      <c r="M2344" s="18">
        <f>IF(OR(B2344="",I2344=""),"",I2344-B2344)</f>
        <v/>
      </c>
      <c r="N2344" s="21">
        <f>IF(B2344="","",IF(I2344="",IF(H2344="","",IF(TODAY()&gt;H2344,"Atrasado (em aberto)","Em aberto")),IF(I2344&lt;=H2344,"No prazo","Fora do prazo")))</f>
        <v/>
      </c>
    </row>
    <row r="2345">
      <c r="B2345" s="22" t="n"/>
      <c r="E2345" s="23" t="n"/>
      <c r="F2345" s="24" t="n"/>
      <c r="H2345" s="22" t="n"/>
      <c r="I2345" s="22" t="n"/>
      <c r="J2345" s="21">
        <f>IF(C2345="","",IFERROR(INDEX(Clientes!$B:$B,MATCH(C2345,Clientes!$A:$A,0)),"Cód. não cadastrado"))</f>
        <v/>
      </c>
      <c r="K2345" s="18">
        <f>IF(B2345="","",YEAR(B2345))</f>
        <v/>
      </c>
      <c r="L2345" s="18">
        <f>IF(B2345="","",MONTH(B2345))</f>
        <v/>
      </c>
      <c r="M2345" s="18">
        <f>IF(OR(B2345="",I2345=""),"",I2345-B2345)</f>
        <v/>
      </c>
      <c r="N2345" s="21">
        <f>IF(B2345="","",IF(I2345="",IF(H2345="","",IF(TODAY()&gt;H2345,"Atrasado (em aberto)","Em aberto")),IF(I2345&lt;=H2345,"No prazo","Fora do prazo")))</f>
        <v/>
      </c>
    </row>
    <row r="2346">
      <c r="B2346" s="22" t="n"/>
      <c r="E2346" s="23" t="n"/>
      <c r="F2346" s="24" t="n"/>
      <c r="H2346" s="22" t="n"/>
      <c r="I2346" s="22" t="n"/>
      <c r="J2346" s="21">
        <f>IF(C2346="","",IFERROR(INDEX(Clientes!$B:$B,MATCH(C2346,Clientes!$A:$A,0)),"Cód. não cadastrado"))</f>
        <v/>
      </c>
      <c r="K2346" s="18">
        <f>IF(B2346="","",YEAR(B2346))</f>
        <v/>
      </c>
      <c r="L2346" s="18">
        <f>IF(B2346="","",MONTH(B2346))</f>
        <v/>
      </c>
      <c r="M2346" s="18">
        <f>IF(OR(B2346="",I2346=""),"",I2346-B2346)</f>
        <v/>
      </c>
      <c r="N2346" s="21">
        <f>IF(B2346="","",IF(I2346="",IF(H2346="","",IF(TODAY()&gt;H2346,"Atrasado (em aberto)","Em aberto")),IF(I2346&lt;=H2346,"No prazo","Fora do prazo")))</f>
        <v/>
      </c>
    </row>
    <row r="2347">
      <c r="B2347" s="22" t="n"/>
      <c r="E2347" s="23" t="n"/>
      <c r="F2347" s="24" t="n"/>
      <c r="H2347" s="22" t="n"/>
      <c r="I2347" s="22" t="n"/>
      <c r="J2347" s="21">
        <f>IF(C2347="","",IFERROR(INDEX(Clientes!$B:$B,MATCH(C2347,Clientes!$A:$A,0)),"Cód. não cadastrado"))</f>
        <v/>
      </c>
      <c r="K2347" s="18">
        <f>IF(B2347="","",YEAR(B2347))</f>
        <v/>
      </c>
      <c r="L2347" s="18">
        <f>IF(B2347="","",MONTH(B2347))</f>
        <v/>
      </c>
      <c r="M2347" s="18">
        <f>IF(OR(B2347="",I2347=""),"",I2347-B2347)</f>
        <v/>
      </c>
      <c r="N2347" s="21">
        <f>IF(B2347="","",IF(I2347="",IF(H2347="","",IF(TODAY()&gt;H2347,"Atrasado (em aberto)","Em aberto")),IF(I2347&lt;=H2347,"No prazo","Fora do prazo")))</f>
        <v/>
      </c>
    </row>
    <row r="2348">
      <c r="B2348" s="22" t="n"/>
      <c r="E2348" s="23" t="n"/>
      <c r="F2348" s="24" t="n"/>
      <c r="H2348" s="22" t="n"/>
      <c r="I2348" s="22" t="n"/>
      <c r="J2348" s="21">
        <f>IF(C2348="","",IFERROR(INDEX(Clientes!$B:$B,MATCH(C2348,Clientes!$A:$A,0)),"Cód. não cadastrado"))</f>
        <v/>
      </c>
      <c r="K2348" s="18">
        <f>IF(B2348="","",YEAR(B2348))</f>
        <v/>
      </c>
      <c r="L2348" s="18">
        <f>IF(B2348="","",MONTH(B2348))</f>
        <v/>
      </c>
      <c r="M2348" s="18">
        <f>IF(OR(B2348="",I2348=""),"",I2348-B2348)</f>
        <v/>
      </c>
      <c r="N2348" s="21">
        <f>IF(B2348="","",IF(I2348="",IF(H2348="","",IF(TODAY()&gt;H2348,"Atrasado (em aberto)","Em aberto")),IF(I2348&lt;=H2348,"No prazo","Fora do prazo")))</f>
        <v/>
      </c>
    </row>
    <row r="2349">
      <c r="B2349" s="22" t="n"/>
      <c r="E2349" s="23" t="n"/>
      <c r="F2349" s="24" t="n"/>
      <c r="H2349" s="22" t="n"/>
      <c r="I2349" s="22" t="n"/>
      <c r="J2349" s="21">
        <f>IF(C2349="","",IFERROR(INDEX(Clientes!$B:$B,MATCH(C2349,Clientes!$A:$A,0)),"Cód. não cadastrado"))</f>
        <v/>
      </c>
      <c r="K2349" s="18">
        <f>IF(B2349="","",YEAR(B2349))</f>
        <v/>
      </c>
      <c r="L2349" s="18">
        <f>IF(B2349="","",MONTH(B2349))</f>
        <v/>
      </c>
      <c r="M2349" s="18">
        <f>IF(OR(B2349="",I2349=""),"",I2349-B2349)</f>
        <v/>
      </c>
      <c r="N2349" s="21">
        <f>IF(B2349="","",IF(I2349="",IF(H2349="","",IF(TODAY()&gt;H2349,"Atrasado (em aberto)","Em aberto")),IF(I2349&lt;=H2349,"No prazo","Fora do prazo")))</f>
        <v/>
      </c>
    </row>
    <row r="2350">
      <c r="B2350" s="22" t="n"/>
      <c r="E2350" s="23" t="n"/>
      <c r="F2350" s="24" t="n"/>
      <c r="H2350" s="22" t="n"/>
      <c r="I2350" s="22" t="n"/>
      <c r="J2350" s="21">
        <f>IF(C2350="","",IFERROR(INDEX(Clientes!$B:$B,MATCH(C2350,Clientes!$A:$A,0)),"Cód. não cadastrado"))</f>
        <v/>
      </c>
      <c r="K2350" s="18">
        <f>IF(B2350="","",YEAR(B2350))</f>
        <v/>
      </c>
      <c r="L2350" s="18">
        <f>IF(B2350="","",MONTH(B2350))</f>
        <v/>
      </c>
      <c r="M2350" s="18">
        <f>IF(OR(B2350="",I2350=""),"",I2350-B2350)</f>
        <v/>
      </c>
      <c r="N2350" s="21">
        <f>IF(B2350="","",IF(I2350="",IF(H2350="","",IF(TODAY()&gt;H2350,"Atrasado (em aberto)","Em aberto")),IF(I2350&lt;=H2350,"No prazo","Fora do prazo")))</f>
        <v/>
      </c>
    </row>
    <row r="2351">
      <c r="B2351" s="22" t="n"/>
      <c r="E2351" s="23" t="n"/>
      <c r="F2351" s="24" t="n"/>
      <c r="H2351" s="22" t="n"/>
      <c r="I2351" s="22" t="n"/>
      <c r="J2351" s="21">
        <f>IF(C2351="","",IFERROR(INDEX(Clientes!$B:$B,MATCH(C2351,Clientes!$A:$A,0)),"Cód. não cadastrado"))</f>
        <v/>
      </c>
      <c r="K2351" s="18">
        <f>IF(B2351="","",YEAR(B2351))</f>
        <v/>
      </c>
      <c r="L2351" s="18">
        <f>IF(B2351="","",MONTH(B2351))</f>
        <v/>
      </c>
      <c r="M2351" s="18">
        <f>IF(OR(B2351="",I2351=""),"",I2351-B2351)</f>
        <v/>
      </c>
      <c r="N2351" s="21">
        <f>IF(B2351="","",IF(I2351="",IF(H2351="","",IF(TODAY()&gt;H2351,"Atrasado (em aberto)","Em aberto")),IF(I2351&lt;=H2351,"No prazo","Fora do prazo")))</f>
        <v/>
      </c>
    </row>
    <row r="2352">
      <c r="B2352" s="22" t="n"/>
      <c r="E2352" s="23" t="n"/>
      <c r="F2352" s="24" t="n"/>
      <c r="H2352" s="22" t="n"/>
      <c r="I2352" s="22" t="n"/>
      <c r="J2352" s="21">
        <f>IF(C2352="","",IFERROR(INDEX(Clientes!$B:$B,MATCH(C2352,Clientes!$A:$A,0)),"Cód. não cadastrado"))</f>
        <v/>
      </c>
      <c r="K2352" s="18">
        <f>IF(B2352="","",YEAR(B2352))</f>
        <v/>
      </c>
      <c r="L2352" s="18">
        <f>IF(B2352="","",MONTH(B2352))</f>
        <v/>
      </c>
      <c r="M2352" s="18">
        <f>IF(OR(B2352="",I2352=""),"",I2352-B2352)</f>
        <v/>
      </c>
      <c r="N2352" s="21">
        <f>IF(B2352="","",IF(I2352="",IF(H2352="","",IF(TODAY()&gt;H2352,"Atrasado (em aberto)","Em aberto")),IF(I2352&lt;=H2352,"No prazo","Fora do prazo")))</f>
        <v/>
      </c>
    </row>
    <row r="2353">
      <c r="B2353" s="22" t="n"/>
      <c r="E2353" s="23" t="n"/>
      <c r="F2353" s="24" t="n"/>
      <c r="H2353" s="22" t="n"/>
      <c r="I2353" s="22" t="n"/>
      <c r="J2353" s="21">
        <f>IF(C2353="","",IFERROR(INDEX(Clientes!$B:$B,MATCH(C2353,Clientes!$A:$A,0)),"Cód. não cadastrado"))</f>
        <v/>
      </c>
      <c r="K2353" s="18">
        <f>IF(B2353="","",YEAR(B2353))</f>
        <v/>
      </c>
      <c r="L2353" s="18">
        <f>IF(B2353="","",MONTH(B2353))</f>
        <v/>
      </c>
      <c r="M2353" s="18">
        <f>IF(OR(B2353="",I2353=""),"",I2353-B2353)</f>
        <v/>
      </c>
      <c r="N2353" s="21">
        <f>IF(B2353="","",IF(I2353="",IF(H2353="","",IF(TODAY()&gt;H2353,"Atrasado (em aberto)","Em aberto")),IF(I2353&lt;=H2353,"No prazo","Fora do prazo")))</f>
        <v/>
      </c>
    </row>
    <row r="2354">
      <c r="B2354" s="22" t="n"/>
      <c r="E2354" s="23" t="n"/>
      <c r="F2354" s="24" t="n"/>
      <c r="H2354" s="22" t="n"/>
      <c r="I2354" s="22" t="n"/>
      <c r="J2354" s="21">
        <f>IF(C2354="","",IFERROR(INDEX(Clientes!$B:$B,MATCH(C2354,Clientes!$A:$A,0)),"Cód. não cadastrado"))</f>
        <v/>
      </c>
      <c r="K2354" s="18">
        <f>IF(B2354="","",YEAR(B2354))</f>
        <v/>
      </c>
      <c r="L2354" s="18">
        <f>IF(B2354="","",MONTH(B2354))</f>
        <v/>
      </c>
      <c r="M2354" s="18">
        <f>IF(OR(B2354="",I2354=""),"",I2354-B2354)</f>
        <v/>
      </c>
      <c r="N2354" s="21">
        <f>IF(B2354="","",IF(I2354="",IF(H2354="","",IF(TODAY()&gt;H2354,"Atrasado (em aberto)","Em aberto")),IF(I2354&lt;=H2354,"No prazo","Fora do prazo")))</f>
        <v/>
      </c>
    </row>
    <row r="2355">
      <c r="B2355" s="22" t="n"/>
      <c r="E2355" s="23" t="n"/>
      <c r="F2355" s="24" t="n"/>
      <c r="H2355" s="22" t="n"/>
      <c r="I2355" s="22" t="n"/>
      <c r="J2355" s="21">
        <f>IF(C2355="","",IFERROR(INDEX(Clientes!$B:$B,MATCH(C2355,Clientes!$A:$A,0)),"Cód. não cadastrado"))</f>
        <v/>
      </c>
      <c r="K2355" s="18">
        <f>IF(B2355="","",YEAR(B2355))</f>
        <v/>
      </c>
      <c r="L2355" s="18">
        <f>IF(B2355="","",MONTH(B2355))</f>
        <v/>
      </c>
      <c r="M2355" s="18">
        <f>IF(OR(B2355="",I2355=""),"",I2355-B2355)</f>
        <v/>
      </c>
      <c r="N2355" s="21">
        <f>IF(B2355="","",IF(I2355="",IF(H2355="","",IF(TODAY()&gt;H2355,"Atrasado (em aberto)","Em aberto")),IF(I2355&lt;=H2355,"No prazo","Fora do prazo")))</f>
        <v/>
      </c>
    </row>
    <row r="2356">
      <c r="B2356" s="22" t="n"/>
      <c r="E2356" s="23" t="n"/>
      <c r="F2356" s="24" t="n"/>
      <c r="H2356" s="22" t="n"/>
      <c r="I2356" s="22" t="n"/>
      <c r="J2356" s="21">
        <f>IF(C2356="","",IFERROR(INDEX(Clientes!$B:$B,MATCH(C2356,Clientes!$A:$A,0)),"Cód. não cadastrado"))</f>
        <v/>
      </c>
      <c r="K2356" s="18">
        <f>IF(B2356="","",YEAR(B2356))</f>
        <v/>
      </c>
      <c r="L2356" s="18">
        <f>IF(B2356="","",MONTH(B2356))</f>
        <v/>
      </c>
      <c r="M2356" s="18">
        <f>IF(OR(B2356="",I2356=""),"",I2356-B2356)</f>
        <v/>
      </c>
      <c r="N2356" s="21">
        <f>IF(B2356="","",IF(I2356="",IF(H2356="","",IF(TODAY()&gt;H2356,"Atrasado (em aberto)","Em aberto")),IF(I2356&lt;=H2356,"No prazo","Fora do prazo")))</f>
        <v/>
      </c>
    </row>
    <row r="2357">
      <c r="B2357" s="22" t="n"/>
      <c r="E2357" s="23" t="n"/>
      <c r="F2357" s="24" t="n"/>
      <c r="H2357" s="22" t="n"/>
      <c r="I2357" s="22" t="n"/>
      <c r="J2357" s="21">
        <f>IF(C2357="","",IFERROR(INDEX(Clientes!$B:$B,MATCH(C2357,Clientes!$A:$A,0)),"Cód. não cadastrado"))</f>
        <v/>
      </c>
      <c r="K2357" s="18">
        <f>IF(B2357="","",YEAR(B2357))</f>
        <v/>
      </c>
      <c r="L2357" s="18">
        <f>IF(B2357="","",MONTH(B2357))</f>
        <v/>
      </c>
      <c r="M2357" s="18">
        <f>IF(OR(B2357="",I2357=""),"",I2357-B2357)</f>
        <v/>
      </c>
      <c r="N2357" s="21">
        <f>IF(B2357="","",IF(I2357="",IF(H2357="","",IF(TODAY()&gt;H2357,"Atrasado (em aberto)","Em aberto")),IF(I2357&lt;=H2357,"No prazo","Fora do prazo")))</f>
        <v/>
      </c>
    </row>
    <row r="2358">
      <c r="B2358" s="22" t="n"/>
      <c r="E2358" s="23" t="n"/>
      <c r="F2358" s="24" t="n"/>
      <c r="H2358" s="22" t="n"/>
      <c r="I2358" s="22" t="n"/>
      <c r="J2358" s="21">
        <f>IF(C2358="","",IFERROR(INDEX(Clientes!$B:$B,MATCH(C2358,Clientes!$A:$A,0)),"Cód. não cadastrado"))</f>
        <v/>
      </c>
      <c r="K2358" s="18">
        <f>IF(B2358="","",YEAR(B2358))</f>
        <v/>
      </c>
      <c r="L2358" s="18">
        <f>IF(B2358="","",MONTH(B2358))</f>
        <v/>
      </c>
      <c r="M2358" s="18">
        <f>IF(OR(B2358="",I2358=""),"",I2358-B2358)</f>
        <v/>
      </c>
      <c r="N2358" s="21">
        <f>IF(B2358="","",IF(I2358="",IF(H2358="","",IF(TODAY()&gt;H2358,"Atrasado (em aberto)","Em aberto")),IF(I2358&lt;=H2358,"No prazo","Fora do prazo")))</f>
        <v/>
      </c>
    </row>
    <row r="2359">
      <c r="B2359" s="22" t="n"/>
      <c r="E2359" s="23" t="n"/>
      <c r="F2359" s="24" t="n"/>
      <c r="H2359" s="22" t="n"/>
      <c r="I2359" s="22" t="n"/>
      <c r="J2359" s="21">
        <f>IF(C2359="","",IFERROR(INDEX(Clientes!$B:$B,MATCH(C2359,Clientes!$A:$A,0)),"Cód. não cadastrado"))</f>
        <v/>
      </c>
      <c r="K2359" s="18">
        <f>IF(B2359="","",YEAR(B2359))</f>
        <v/>
      </c>
      <c r="L2359" s="18">
        <f>IF(B2359="","",MONTH(B2359))</f>
        <v/>
      </c>
      <c r="M2359" s="18">
        <f>IF(OR(B2359="",I2359=""),"",I2359-B2359)</f>
        <v/>
      </c>
      <c r="N2359" s="21">
        <f>IF(B2359="","",IF(I2359="",IF(H2359="","",IF(TODAY()&gt;H2359,"Atrasado (em aberto)","Em aberto")),IF(I2359&lt;=H2359,"No prazo","Fora do prazo")))</f>
        <v/>
      </c>
    </row>
    <row r="2360">
      <c r="B2360" s="22" t="n"/>
      <c r="E2360" s="23" t="n"/>
      <c r="F2360" s="24" t="n"/>
      <c r="H2360" s="22" t="n"/>
      <c r="I2360" s="22" t="n"/>
      <c r="J2360" s="21">
        <f>IF(C2360="","",IFERROR(INDEX(Clientes!$B:$B,MATCH(C2360,Clientes!$A:$A,0)),"Cód. não cadastrado"))</f>
        <v/>
      </c>
      <c r="K2360" s="18">
        <f>IF(B2360="","",YEAR(B2360))</f>
        <v/>
      </c>
      <c r="L2360" s="18">
        <f>IF(B2360="","",MONTH(B2360))</f>
        <v/>
      </c>
      <c r="M2360" s="18">
        <f>IF(OR(B2360="",I2360=""),"",I2360-B2360)</f>
        <v/>
      </c>
      <c r="N2360" s="21">
        <f>IF(B2360="","",IF(I2360="",IF(H2360="","",IF(TODAY()&gt;H2360,"Atrasado (em aberto)","Em aberto")),IF(I2360&lt;=H2360,"No prazo","Fora do prazo")))</f>
        <v/>
      </c>
    </row>
    <row r="2361">
      <c r="B2361" s="22" t="n"/>
      <c r="E2361" s="23" t="n"/>
      <c r="F2361" s="24" t="n"/>
      <c r="H2361" s="22" t="n"/>
      <c r="I2361" s="22" t="n"/>
      <c r="J2361" s="21">
        <f>IF(C2361="","",IFERROR(INDEX(Clientes!$B:$B,MATCH(C2361,Clientes!$A:$A,0)),"Cód. não cadastrado"))</f>
        <v/>
      </c>
      <c r="K2361" s="18">
        <f>IF(B2361="","",YEAR(B2361))</f>
        <v/>
      </c>
      <c r="L2361" s="18">
        <f>IF(B2361="","",MONTH(B2361))</f>
        <v/>
      </c>
      <c r="M2361" s="18">
        <f>IF(OR(B2361="",I2361=""),"",I2361-B2361)</f>
        <v/>
      </c>
      <c r="N2361" s="21">
        <f>IF(B2361="","",IF(I2361="",IF(H2361="","",IF(TODAY()&gt;H2361,"Atrasado (em aberto)","Em aberto")),IF(I2361&lt;=H2361,"No prazo","Fora do prazo")))</f>
        <v/>
      </c>
    </row>
    <row r="2362">
      <c r="B2362" s="22" t="n"/>
      <c r="E2362" s="23" t="n"/>
      <c r="F2362" s="24" t="n"/>
      <c r="H2362" s="22" t="n"/>
      <c r="I2362" s="22" t="n"/>
      <c r="J2362" s="21">
        <f>IF(C2362="","",IFERROR(INDEX(Clientes!$B:$B,MATCH(C2362,Clientes!$A:$A,0)),"Cód. não cadastrado"))</f>
        <v/>
      </c>
      <c r="K2362" s="18">
        <f>IF(B2362="","",YEAR(B2362))</f>
        <v/>
      </c>
      <c r="L2362" s="18">
        <f>IF(B2362="","",MONTH(B2362))</f>
        <v/>
      </c>
      <c r="M2362" s="18">
        <f>IF(OR(B2362="",I2362=""),"",I2362-B2362)</f>
        <v/>
      </c>
      <c r="N2362" s="21">
        <f>IF(B2362="","",IF(I2362="",IF(H2362="","",IF(TODAY()&gt;H2362,"Atrasado (em aberto)","Em aberto")),IF(I2362&lt;=H2362,"No prazo","Fora do prazo")))</f>
        <v/>
      </c>
    </row>
    <row r="2363">
      <c r="B2363" s="22" t="n"/>
      <c r="E2363" s="23" t="n"/>
      <c r="F2363" s="24" t="n"/>
      <c r="H2363" s="22" t="n"/>
      <c r="I2363" s="22" t="n"/>
      <c r="J2363" s="21">
        <f>IF(C2363="","",IFERROR(INDEX(Clientes!$B:$B,MATCH(C2363,Clientes!$A:$A,0)),"Cód. não cadastrado"))</f>
        <v/>
      </c>
      <c r="K2363" s="18">
        <f>IF(B2363="","",YEAR(B2363))</f>
        <v/>
      </c>
      <c r="L2363" s="18">
        <f>IF(B2363="","",MONTH(B2363))</f>
        <v/>
      </c>
      <c r="M2363" s="18">
        <f>IF(OR(B2363="",I2363=""),"",I2363-B2363)</f>
        <v/>
      </c>
      <c r="N2363" s="21">
        <f>IF(B2363="","",IF(I2363="",IF(H2363="","",IF(TODAY()&gt;H2363,"Atrasado (em aberto)","Em aberto")),IF(I2363&lt;=H2363,"No prazo","Fora do prazo")))</f>
        <v/>
      </c>
    </row>
    <row r="2364">
      <c r="B2364" s="22" t="n"/>
      <c r="E2364" s="23" t="n"/>
      <c r="F2364" s="24" t="n"/>
      <c r="H2364" s="22" t="n"/>
      <c r="I2364" s="22" t="n"/>
      <c r="J2364" s="21">
        <f>IF(C2364="","",IFERROR(INDEX(Clientes!$B:$B,MATCH(C2364,Clientes!$A:$A,0)),"Cód. não cadastrado"))</f>
        <v/>
      </c>
      <c r="K2364" s="18">
        <f>IF(B2364="","",YEAR(B2364))</f>
        <v/>
      </c>
      <c r="L2364" s="18">
        <f>IF(B2364="","",MONTH(B2364))</f>
        <v/>
      </c>
      <c r="M2364" s="18">
        <f>IF(OR(B2364="",I2364=""),"",I2364-B2364)</f>
        <v/>
      </c>
      <c r="N2364" s="21">
        <f>IF(B2364="","",IF(I2364="",IF(H2364="","",IF(TODAY()&gt;H2364,"Atrasado (em aberto)","Em aberto")),IF(I2364&lt;=H2364,"No prazo","Fora do prazo")))</f>
        <v/>
      </c>
    </row>
    <row r="2365">
      <c r="B2365" s="22" t="n"/>
      <c r="E2365" s="23" t="n"/>
      <c r="F2365" s="24" t="n"/>
      <c r="H2365" s="22" t="n"/>
      <c r="I2365" s="22" t="n"/>
      <c r="J2365" s="21">
        <f>IF(C2365="","",IFERROR(INDEX(Clientes!$B:$B,MATCH(C2365,Clientes!$A:$A,0)),"Cód. não cadastrado"))</f>
        <v/>
      </c>
      <c r="K2365" s="18">
        <f>IF(B2365="","",YEAR(B2365))</f>
        <v/>
      </c>
      <c r="L2365" s="18">
        <f>IF(B2365="","",MONTH(B2365))</f>
        <v/>
      </c>
      <c r="M2365" s="18">
        <f>IF(OR(B2365="",I2365=""),"",I2365-B2365)</f>
        <v/>
      </c>
      <c r="N2365" s="21">
        <f>IF(B2365="","",IF(I2365="",IF(H2365="","",IF(TODAY()&gt;H2365,"Atrasado (em aberto)","Em aberto")),IF(I2365&lt;=H2365,"No prazo","Fora do prazo")))</f>
        <v/>
      </c>
    </row>
    <row r="2366">
      <c r="B2366" s="22" t="n"/>
      <c r="E2366" s="23" t="n"/>
      <c r="F2366" s="24" t="n"/>
      <c r="H2366" s="22" t="n"/>
      <c r="I2366" s="22" t="n"/>
      <c r="J2366" s="21">
        <f>IF(C2366="","",IFERROR(INDEX(Clientes!$B:$B,MATCH(C2366,Clientes!$A:$A,0)),"Cód. não cadastrado"))</f>
        <v/>
      </c>
      <c r="K2366" s="18">
        <f>IF(B2366="","",YEAR(B2366))</f>
        <v/>
      </c>
      <c r="L2366" s="18">
        <f>IF(B2366="","",MONTH(B2366))</f>
        <v/>
      </c>
      <c r="M2366" s="18">
        <f>IF(OR(B2366="",I2366=""),"",I2366-B2366)</f>
        <v/>
      </c>
      <c r="N2366" s="21">
        <f>IF(B2366="","",IF(I2366="",IF(H2366="","",IF(TODAY()&gt;H2366,"Atrasado (em aberto)","Em aberto")),IF(I2366&lt;=H2366,"No prazo","Fora do prazo")))</f>
        <v/>
      </c>
    </row>
    <row r="2367">
      <c r="B2367" s="22" t="n"/>
      <c r="E2367" s="23" t="n"/>
      <c r="F2367" s="24" t="n"/>
      <c r="H2367" s="22" t="n"/>
      <c r="I2367" s="22" t="n"/>
      <c r="J2367" s="21">
        <f>IF(C2367="","",IFERROR(INDEX(Clientes!$B:$B,MATCH(C2367,Clientes!$A:$A,0)),"Cód. não cadastrado"))</f>
        <v/>
      </c>
      <c r="K2367" s="18">
        <f>IF(B2367="","",YEAR(B2367))</f>
        <v/>
      </c>
      <c r="L2367" s="18">
        <f>IF(B2367="","",MONTH(B2367))</f>
        <v/>
      </c>
      <c r="M2367" s="18">
        <f>IF(OR(B2367="",I2367=""),"",I2367-B2367)</f>
        <v/>
      </c>
      <c r="N2367" s="21">
        <f>IF(B2367="","",IF(I2367="",IF(H2367="","",IF(TODAY()&gt;H2367,"Atrasado (em aberto)","Em aberto")),IF(I2367&lt;=H2367,"No prazo","Fora do prazo")))</f>
        <v/>
      </c>
    </row>
    <row r="2368">
      <c r="B2368" s="22" t="n"/>
      <c r="E2368" s="23" t="n"/>
      <c r="F2368" s="24" t="n"/>
      <c r="H2368" s="22" t="n"/>
      <c r="I2368" s="22" t="n"/>
      <c r="J2368" s="21">
        <f>IF(C2368="","",IFERROR(INDEX(Clientes!$B:$B,MATCH(C2368,Clientes!$A:$A,0)),"Cód. não cadastrado"))</f>
        <v/>
      </c>
      <c r="K2368" s="18">
        <f>IF(B2368="","",YEAR(B2368))</f>
        <v/>
      </c>
      <c r="L2368" s="18">
        <f>IF(B2368="","",MONTH(B2368))</f>
        <v/>
      </c>
      <c r="M2368" s="18">
        <f>IF(OR(B2368="",I2368=""),"",I2368-B2368)</f>
        <v/>
      </c>
      <c r="N2368" s="21">
        <f>IF(B2368="","",IF(I2368="",IF(H2368="","",IF(TODAY()&gt;H2368,"Atrasado (em aberto)","Em aberto")),IF(I2368&lt;=H2368,"No prazo","Fora do prazo")))</f>
        <v/>
      </c>
    </row>
    <row r="2369">
      <c r="B2369" s="22" t="n"/>
      <c r="E2369" s="23" t="n"/>
      <c r="F2369" s="24" t="n"/>
      <c r="H2369" s="22" t="n"/>
      <c r="I2369" s="22" t="n"/>
      <c r="J2369" s="21">
        <f>IF(C2369="","",IFERROR(INDEX(Clientes!$B:$B,MATCH(C2369,Clientes!$A:$A,0)),"Cód. não cadastrado"))</f>
        <v/>
      </c>
      <c r="K2369" s="18">
        <f>IF(B2369="","",YEAR(B2369))</f>
        <v/>
      </c>
      <c r="L2369" s="18">
        <f>IF(B2369="","",MONTH(B2369))</f>
        <v/>
      </c>
      <c r="M2369" s="18">
        <f>IF(OR(B2369="",I2369=""),"",I2369-B2369)</f>
        <v/>
      </c>
      <c r="N2369" s="21">
        <f>IF(B2369="","",IF(I2369="",IF(H2369="","",IF(TODAY()&gt;H2369,"Atrasado (em aberto)","Em aberto")),IF(I2369&lt;=H2369,"No prazo","Fora do prazo")))</f>
        <v/>
      </c>
    </row>
    <row r="2370">
      <c r="B2370" s="22" t="n"/>
      <c r="E2370" s="23" t="n"/>
      <c r="F2370" s="24" t="n"/>
      <c r="H2370" s="22" t="n"/>
      <c r="I2370" s="22" t="n"/>
      <c r="J2370" s="21">
        <f>IF(C2370="","",IFERROR(INDEX(Clientes!$B:$B,MATCH(C2370,Clientes!$A:$A,0)),"Cód. não cadastrado"))</f>
        <v/>
      </c>
      <c r="K2370" s="18">
        <f>IF(B2370="","",YEAR(B2370))</f>
        <v/>
      </c>
      <c r="L2370" s="18">
        <f>IF(B2370="","",MONTH(B2370))</f>
        <v/>
      </c>
      <c r="M2370" s="18">
        <f>IF(OR(B2370="",I2370=""),"",I2370-B2370)</f>
        <v/>
      </c>
      <c r="N2370" s="21">
        <f>IF(B2370="","",IF(I2370="",IF(H2370="","",IF(TODAY()&gt;H2370,"Atrasado (em aberto)","Em aberto")),IF(I2370&lt;=H2370,"No prazo","Fora do prazo")))</f>
        <v/>
      </c>
    </row>
    <row r="2371">
      <c r="B2371" s="22" t="n"/>
      <c r="E2371" s="23" t="n"/>
      <c r="F2371" s="24" t="n"/>
      <c r="H2371" s="22" t="n"/>
      <c r="I2371" s="22" t="n"/>
      <c r="J2371" s="21">
        <f>IF(C2371="","",IFERROR(INDEX(Clientes!$B:$B,MATCH(C2371,Clientes!$A:$A,0)),"Cód. não cadastrado"))</f>
        <v/>
      </c>
      <c r="K2371" s="18">
        <f>IF(B2371="","",YEAR(B2371))</f>
        <v/>
      </c>
      <c r="L2371" s="18">
        <f>IF(B2371="","",MONTH(B2371))</f>
        <v/>
      </c>
      <c r="M2371" s="18">
        <f>IF(OR(B2371="",I2371=""),"",I2371-B2371)</f>
        <v/>
      </c>
      <c r="N2371" s="21">
        <f>IF(B2371="","",IF(I2371="",IF(H2371="","",IF(TODAY()&gt;H2371,"Atrasado (em aberto)","Em aberto")),IF(I2371&lt;=H2371,"No prazo","Fora do prazo")))</f>
        <v/>
      </c>
    </row>
    <row r="2372">
      <c r="B2372" s="22" t="n"/>
      <c r="E2372" s="23" t="n"/>
      <c r="F2372" s="24" t="n"/>
      <c r="H2372" s="22" t="n"/>
      <c r="I2372" s="22" t="n"/>
      <c r="J2372" s="21">
        <f>IF(C2372="","",IFERROR(INDEX(Clientes!$B:$B,MATCH(C2372,Clientes!$A:$A,0)),"Cód. não cadastrado"))</f>
        <v/>
      </c>
      <c r="K2372" s="18">
        <f>IF(B2372="","",YEAR(B2372))</f>
        <v/>
      </c>
      <c r="L2372" s="18">
        <f>IF(B2372="","",MONTH(B2372))</f>
        <v/>
      </c>
      <c r="M2372" s="18">
        <f>IF(OR(B2372="",I2372=""),"",I2372-B2372)</f>
        <v/>
      </c>
      <c r="N2372" s="21">
        <f>IF(B2372="","",IF(I2372="",IF(H2372="","",IF(TODAY()&gt;H2372,"Atrasado (em aberto)","Em aberto")),IF(I2372&lt;=H2372,"No prazo","Fora do prazo")))</f>
        <v/>
      </c>
    </row>
    <row r="2373">
      <c r="B2373" s="22" t="n"/>
      <c r="E2373" s="23" t="n"/>
      <c r="F2373" s="24" t="n"/>
      <c r="H2373" s="22" t="n"/>
      <c r="I2373" s="22" t="n"/>
      <c r="J2373" s="21">
        <f>IF(C2373="","",IFERROR(INDEX(Clientes!$B:$B,MATCH(C2373,Clientes!$A:$A,0)),"Cód. não cadastrado"))</f>
        <v/>
      </c>
      <c r="K2373" s="18">
        <f>IF(B2373="","",YEAR(B2373))</f>
        <v/>
      </c>
      <c r="L2373" s="18">
        <f>IF(B2373="","",MONTH(B2373))</f>
        <v/>
      </c>
      <c r="M2373" s="18">
        <f>IF(OR(B2373="",I2373=""),"",I2373-B2373)</f>
        <v/>
      </c>
      <c r="N2373" s="21">
        <f>IF(B2373="","",IF(I2373="",IF(H2373="","",IF(TODAY()&gt;H2373,"Atrasado (em aberto)","Em aberto")),IF(I2373&lt;=H2373,"No prazo","Fora do prazo")))</f>
        <v/>
      </c>
    </row>
    <row r="2374">
      <c r="B2374" s="22" t="n"/>
      <c r="E2374" s="23" t="n"/>
      <c r="F2374" s="24" t="n"/>
      <c r="H2374" s="22" t="n"/>
      <c r="I2374" s="22" t="n"/>
      <c r="J2374" s="21">
        <f>IF(C2374="","",IFERROR(INDEX(Clientes!$B:$B,MATCH(C2374,Clientes!$A:$A,0)),"Cód. não cadastrado"))</f>
        <v/>
      </c>
      <c r="K2374" s="18">
        <f>IF(B2374="","",YEAR(B2374))</f>
        <v/>
      </c>
      <c r="L2374" s="18">
        <f>IF(B2374="","",MONTH(B2374))</f>
        <v/>
      </c>
      <c r="M2374" s="18">
        <f>IF(OR(B2374="",I2374=""),"",I2374-B2374)</f>
        <v/>
      </c>
      <c r="N2374" s="21">
        <f>IF(B2374="","",IF(I2374="",IF(H2374="","",IF(TODAY()&gt;H2374,"Atrasado (em aberto)","Em aberto")),IF(I2374&lt;=H2374,"No prazo","Fora do prazo")))</f>
        <v/>
      </c>
    </row>
    <row r="2375">
      <c r="B2375" s="22" t="n"/>
      <c r="E2375" s="23" t="n"/>
      <c r="F2375" s="24" t="n"/>
      <c r="H2375" s="22" t="n"/>
      <c r="I2375" s="22" t="n"/>
      <c r="J2375" s="21">
        <f>IF(C2375="","",IFERROR(INDEX(Clientes!$B:$B,MATCH(C2375,Clientes!$A:$A,0)),"Cód. não cadastrado"))</f>
        <v/>
      </c>
      <c r="K2375" s="18">
        <f>IF(B2375="","",YEAR(B2375))</f>
        <v/>
      </c>
      <c r="L2375" s="18">
        <f>IF(B2375="","",MONTH(B2375))</f>
        <v/>
      </c>
      <c r="M2375" s="18">
        <f>IF(OR(B2375="",I2375=""),"",I2375-B2375)</f>
        <v/>
      </c>
      <c r="N2375" s="21">
        <f>IF(B2375="","",IF(I2375="",IF(H2375="","",IF(TODAY()&gt;H2375,"Atrasado (em aberto)","Em aberto")),IF(I2375&lt;=H2375,"No prazo","Fora do prazo")))</f>
        <v/>
      </c>
    </row>
    <row r="2376">
      <c r="B2376" s="22" t="n"/>
      <c r="E2376" s="23" t="n"/>
      <c r="F2376" s="24" t="n"/>
      <c r="H2376" s="22" t="n"/>
      <c r="I2376" s="22" t="n"/>
      <c r="J2376" s="21">
        <f>IF(C2376="","",IFERROR(INDEX(Clientes!$B:$B,MATCH(C2376,Clientes!$A:$A,0)),"Cód. não cadastrado"))</f>
        <v/>
      </c>
      <c r="K2376" s="18">
        <f>IF(B2376="","",YEAR(B2376))</f>
        <v/>
      </c>
      <c r="L2376" s="18">
        <f>IF(B2376="","",MONTH(B2376))</f>
        <v/>
      </c>
      <c r="M2376" s="18">
        <f>IF(OR(B2376="",I2376=""),"",I2376-B2376)</f>
        <v/>
      </c>
      <c r="N2376" s="21">
        <f>IF(B2376="","",IF(I2376="",IF(H2376="","",IF(TODAY()&gt;H2376,"Atrasado (em aberto)","Em aberto")),IF(I2376&lt;=H2376,"No prazo","Fora do prazo")))</f>
        <v/>
      </c>
    </row>
    <row r="2377">
      <c r="B2377" s="22" t="n"/>
      <c r="E2377" s="23" t="n"/>
      <c r="F2377" s="24" t="n"/>
      <c r="H2377" s="22" t="n"/>
      <c r="I2377" s="22" t="n"/>
      <c r="J2377" s="21">
        <f>IF(C2377="","",IFERROR(INDEX(Clientes!$B:$B,MATCH(C2377,Clientes!$A:$A,0)),"Cód. não cadastrado"))</f>
        <v/>
      </c>
      <c r="K2377" s="18">
        <f>IF(B2377="","",YEAR(B2377))</f>
        <v/>
      </c>
      <c r="L2377" s="18">
        <f>IF(B2377="","",MONTH(B2377))</f>
        <v/>
      </c>
      <c r="M2377" s="18">
        <f>IF(OR(B2377="",I2377=""),"",I2377-B2377)</f>
        <v/>
      </c>
      <c r="N2377" s="21">
        <f>IF(B2377="","",IF(I2377="",IF(H2377="","",IF(TODAY()&gt;H2377,"Atrasado (em aberto)","Em aberto")),IF(I2377&lt;=H2377,"No prazo","Fora do prazo")))</f>
        <v/>
      </c>
    </row>
    <row r="2378">
      <c r="B2378" s="22" t="n"/>
      <c r="E2378" s="23" t="n"/>
      <c r="F2378" s="24" t="n"/>
      <c r="H2378" s="22" t="n"/>
      <c r="I2378" s="22" t="n"/>
      <c r="J2378" s="21">
        <f>IF(C2378="","",IFERROR(INDEX(Clientes!$B:$B,MATCH(C2378,Clientes!$A:$A,0)),"Cód. não cadastrado"))</f>
        <v/>
      </c>
      <c r="K2378" s="18">
        <f>IF(B2378="","",YEAR(B2378))</f>
        <v/>
      </c>
      <c r="L2378" s="18">
        <f>IF(B2378="","",MONTH(B2378))</f>
        <v/>
      </c>
      <c r="M2378" s="18">
        <f>IF(OR(B2378="",I2378=""),"",I2378-B2378)</f>
        <v/>
      </c>
      <c r="N2378" s="21">
        <f>IF(B2378="","",IF(I2378="",IF(H2378="","",IF(TODAY()&gt;H2378,"Atrasado (em aberto)","Em aberto")),IF(I2378&lt;=H2378,"No prazo","Fora do prazo")))</f>
        <v/>
      </c>
    </row>
    <row r="2379">
      <c r="B2379" s="22" t="n"/>
      <c r="E2379" s="23" t="n"/>
      <c r="F2379" s="24" t="n"/>
      <c r="H2379" s="22" t="n"/>
      <c r="I2379" s="22" t="n"/>
      <c r="J2379" s="21">
        <f>IF(C2379="","",IFERROR(INDEX(Clientes!$B:$B,MATCH(C2379,Clientes!$A:$A,0)),"Cód. não cadastrado"))</f>
        <v/>
      </c>
      <c r="K2379" s="18">
        <f>IF(B2379="","",YEAR(B2379))</f>
        <v/>
      </c>
      <c r="L2379" s="18">
        <f>IF(B2379="","",MONTH(B2379))</f>
        <v/>
      </c>
      <c r="M2379" s="18">
        <f>IF(OR(B2379="",I2379=""),"",I2379-B2379)</f>
        <v/>
      </c>
      <c r="N2379" s="21">
        <f>IF(B2379="","",IF(I2379="",IF(H2379="","",IF(TODAY()&gt;H2379,"Atrasado (em aberto)","Em aberto")),IF(I2379&lt;=H2379,"No prazo","Fora do prazo")))</f>
        <v/>
      </c>
    </row>
    <row r="2380">
      <c r="B2380" s="22" t="n"/>
      <c r="E2380" s="23" t="n"/>
      <c r="F2380" s="24" t="n"/>
      <c r="H2380" s="22" t="n"/>
      <c r="I2380" s="22" t="n"/>
      <c r="J2380" s="21">
        <f>IF(C2380="","",IFERROR(INDEX(Clientes!$B:$B,MATCH(C2380,Clientes!$A:$A,0)),"Cód. não cadastrado"))</f>
        <v/>
      </c>
      <c r="K2380" s="18">
        <f>IF(B2380="","",YEAR(B2380))</f>
        <v/>
      </c>
      <c r="L2380" s="18">
        <f>IF(B2380="","",MONTH(B2380))</f>
        <v/>
      </c>
      <c r="M2380" s="18">
        <f>IF(OR(B2380="",I2380=""),"",I2380-B2380)</f>
        <v/>
      </c>
      <c r="N2380" s="21">
        <f>IF(B2380="","",IF(I2380="",IF(H2380="","",IF(TODAY()&gt;H2380,"Atrasado (em aberto)","Em aberto")),IF(I2380&lt;=H2380,"No prazo","Fora do prazo")))</f>
        <v/>
      </c>
    </row>
    <row r="2381">
      <c r="B2381" s="22" t="n"/>
      <c r="E2381" s="23" t="n"/>
      <c r="F2381" s="24" t="n"/>
      <c r="H2381" s="22" t="n"/>
      <c r="I2381" s="22" t="n"/>
      <c r="J2381" s="21">
        <f>IF(C2381="","",IFERROR(INDEX(Clientes!$B:$B,MATCH(C2381,Clientes!$A:$A,0)),"Cód. não cadastrado"))</f>
        <v/>
      </c>
      <c r="K2381" s="18">
        <f>IF(B2381="","",YEAR(B2381))</f>
        <v/>
      </c>
      <c r="L2381" s="18">
        <f>IF(B2381="","",MONTH(B2381))</f>
        <v/>
      </c>
      <c r="M2381" s="18">
        <f>IF(OR(B2381="",I2381=""),"",I2381-B2381)</f>
        <v/>
      </c>
      <c r="N2381" s="21">
        <f>IF(B2381="","",IF(I2381="",IF(H2381="","",IF(TODAY()&gt;H2381,"Atrasado (em aberto)","Em aberto")),IF(I2381&lt;=H2381,"No prazo","Fora do prazo")))</f>
        <v/>
      </c>
    </row>
    <row r="2382">
      <c r="B2382" s="22" t="n"/>
      <c r="E2382" s="23" t="n"/>
      <c r="F2382" s="24" t="n"/>
      <c r="H2382" s="22" t="n"/>
      <c r="I2382" s="22" t="n"/>
      <c r="J2382" s="21">
        <f>IF(C2382="","",IFERROR(INDEX(Clientes!$B:$B,MATCH(C2382,Clientes!$A:$A,0)),"Cód. não cadastrado"))</f>
        <v/>
      </c>
      <c r="K2382" s="18">
        <f>IF(B2382="","",YEAR(B2382))</f>
        <v/>
      </c>
      <c r="L2382" s="18">
        <f>IF(B2382="","",MONTH(B2382))</f>
        <v/>
      </c>
      <c r="M2382" s="18">
        <f>IF(OR(B2382="",I2382=""),"",I2382-B2382)</f>
        <v/>
      </c>
      <c r="N2382" s="21">
        <f>IF(B2382="","",IF(I2382="",IF(H2382="","",IF(TODAY()&gt;H2382,"Atrasado (em aberto)","Em aberto")),IF(I2382&lt;=H2382,"No prazo","Fora do prazo")))</f>
        <v/>
      </c>
    </row>
    <row r="2383">
      <c r="B2383" s="22" t="n"/>
      <c r="E2383" s="23" t="n"/>
      <c r="F2383" s="24" t="n"/>
      <c r="H2383" s="22" t="n"/>
      <c r="I2383" s="22" t="n"/>
      <c r="J2383" s="21">
        <f>IF(C2383="","",IFERROR(INDEX(Clientes!$B:$B,MATCH(C2383,Clientes!$A:$A,0)),"Cód. não cadastrado"))</f>
        <v/>
      </c>
      <c r="K2383" s="18">
        <f>IF(B2383="","",YEAR(B2383))</f>
        <v/>
      </c>
      <c r="L2383" s="18">
        <f>IF(B2383="","",MONTH(B2383))</f>
        <v/>
      </c>
      <c r="M2383" s="18">
        <f>IF(OR(B2383="",I2383=""),"",I2383-B2383)</f>
        <v/>
      </c>
      <c r="N2383" s="21">
        <f>IF(B2383="","",IF(I2383="",IF(H2383="","",IF(TODAY()&gt;H2383,"Atrasado (em aberto)","Em aberto")),IF(I2383&lt;=H2383,"No prazo","Fora do prazo")))</f>
        <v/>
      </c>
    </row>
    <row r="2384">
      <c r="B2384" s="22" t="n"/>
      <c r="E2384" s="23" t="n"/>
      <c r="F2384" s="24" t="n"/>
      <c r="H2384" s="22" t="n"/>
      <c r="I2384" s="22" t="n"/>
      <c r="J2384" s="21">
        <f>IF(C2384="","",IFERROR(INDEX(Clientes!$B:$B,MATCH(C2384,Clientes!$A:$A,0)),"Cód. não cadastrado"))</f>
        <v/>
      </c>
      <c r="K2384" s="18">
        <f>IF(B2384="","",YEAR(B2384))</f>
        <v/>
      </c>
      <c r="L2384" s="18">
        <f>IF(B2384="","",MONTH(B2384))</f>
        <v/>
      </c>
      <c r="M2384" s="18">
        <f>IF(OR(B2384="",I2384=""),"",I2384-B2384)</f>
        <v/>
      </c>
      <c r="N2384" s="21">
        <f>IF(B2384="","",IF(I2384="",IF(H2384="","",IF(TODAY()&gt;H2384,"Atrasado (em aberto)","Em aberto")),IF(I2384&lt;=H2384,"No prazo","Fora do prazo")))</f>
        <v/>
      </c>
    </row>
    <row r="2385">
      <c r="B2385" s="22" t="n"/>
      <c r="E2385" s="23" t="n"/>
      <c r="F2385" s="24" t="n"/>
      <c r="H2385" s="22" t="n"/>
      <c r="I2385" s="22" t="n"/>
      <c r="J2385" s="21">
        <f>IF(C2385="","",IFERROR(INDEX(Clientes!$B:$B,MATCH(C2385,Clientes!$A:$A,0)),"Cód. não cadastrado"))</f>
        <v/>
      </c>
      <c r="K2385" s="18">
        <f>IF(B2385="","",YEAR(B2385))</f>
        <v/>
      </c>
      <c r="L2385" s="18">
        <f>IF(B2385="","",MONTH(B2385))</f>
        <v/>
      </c>
      <c r="M2385" s="18">
        <f>IF(OR(B2385="",I2385=""),"",I2385-B2385)</f>
        <v/>
      </c>
      <c r="N2385" s="21">
        <f>IF(B2385="","",IF(I2385="",IF(H2385="","",IF(TODAY()&gt;H2385,"Atrasado (em aberto)","Em aberto")),IF(I2385&lt;=H2385,"No prazo","Fora do prazo")))</f>
        <v/>
      </c>
    </row>
    <row r="2386">
      <c r="B2386" s="22" t="n"/>
      <c r="E2386" s="23" t="n"/>
      <c r="F2386" s="24" t="n"/>
      <c r="H2386" s="22" t="n"/>
      <c r="I2386" s="22" t="n"/>
      <c r="J2386" s="21">
        <f>IF(C2386="","",IFERROR(INDEX(Clientes!$B:$B,MATCH(C2386,Clientes!$A:$A,0)),"Cód. não cadastrado"))</f>
        <v/>
      </c>
      <c r="K2386" s="18">
        <f>IF(B2386="","",YEAR(B2386))</f>
        <v/>
      </c>
      <c r="L2386" s="18">
        <f>IF(B2386="","",MONTH(B2386))</f>
        <v/>
      </c>
      <c r="M2386" s="18">
        <f>IF(OR(B2386="",I2386=""),"",I2386-B2386)</f>
        <v/>
      </c>
      <c r="N2386" s="21">
        <f>IF(B2386="","",IF(I2386="",IF(H2386="","",IF(TODAY()&gt;H2386,"Atrasado (em aberto)","Em aberto")),IF(I2386&lt;=H2386,"No prazo","Fora do prazo")))</f>
        <v/>
      </c>
    </row>
    <row r="2387">
      <c r="B2387" s="22" t="n"/>
      <c r="E2387" s="23" t="n"/>
      <c r="F2387" s="24" t="n"/>
      <c r="H2387" s="22" t="n"/>
      <c r="I2387" s="22" t="n"/>
      <c r="J2387" s="21">
        <f>IF(C2387="","",IFERROR(INDEX(Clientes!$B:$B,MATCH(C2387,Clientes!$A:$A,0)),"Cód. não cadastrado"))</f>
        <v/>
      </c>
      <c r="K2387" s="18">
        <f>IF(B2387="","",YEAR(B2387))</f>
        <v/>
      </c>
      <c r="L2387" s="18">
        <f>IF(B2387="","",MONTH(B2387))</f>
        <v/>
      </c>
      <c r="M2387" s="18">
        <f>IF(OR(B2387="",I2387=""),"",I2387-B2387)</f>
        <v/>
      </c>
      <c r="N2387" s="21">
        <f>IF(B2387="","",IF(I2387="",IF(H2387="","",IF(TODAY()&gt;H2387,"Atrasado (em aberto)","Em aberto")),IF(I2387&lt;=H2387,"No prazo","Fora do prazo")))</f>
        <v/>
      </c>
    </row>
    <row r="2388">
      <c r="B2388" s="22" t="n"/>
      <c r="E2388" s="23" t="n"/>
      <c r="F2388" s="24" t="n"/>
      <c r="H2388" s="22" t="n"/>
      <c r="I2388" s="22" t="n"/>
      <c r="J2388" s="21">
        <f>IF(C2388="","",IFERROR(INDEX(Clientes!$B:$B,MATCH(C2388,Clientes!$A:$A,0)),"Cód. não cadastrado"))</f>
        <v/>
      </c>
      <c r="K2388" s="18">
        <f>IF(B2388="","",YEAR(B2388))</f>
        <v/>
      </c>
      <c r="L2388" s="18">
        <f>IF(B2388="","",MONTH(B2388))</f>
        <v/>
      </c>
      <c r="M2388" s="18">
        <f>IF(OR(B2388="",I2388=""),"",I2388-B2388)</f>
        <v/>
      </c>
      <c r="N2388" s="21">
        <f>IF(B2388="","",IF(I2388="",IF(H2388="","",IF(TODAY()&gt;H2388,"Atrasado (em aberto)","Em aberto")),IF(I2388&lt;=H2388,"No prazo","Fora do prazo")))</f>
        <v/>
      </c>
    </row>
    <row r="2389">
      <c r="B2389" s="22" t="n"/>
      <c r="E2389" s="23" t="n"/>
      <c r="F2389" s="24" t="n"/>
      <c r="H2389" s="22" t="n"/>
      <c r="I2389" s="22" t="n"/>
      <c r="J2389" s="21">
        <f>IF(C2389="","",IFERROR(INDEX(Clientes!$B:$B,MATCH(C2389,Clientes!$A:$A,0)),"Cód. não cadastrado"))</f>
        <v/>
      </c>
      <c r="K2389" s="18">
        <f>IF(B2389="","",YEAR(B2389))</f>
        <v/>
      </c>
      <c r="L2389" s="18">
        <f>IF(B2389="","",MONTH(B2389))</f>
        <v/>
      </c>
      <c r="M2389" s="18">
        <f>IF(OR(B2389="",I2389=""),"",I2389-B2389)</f>
        <v/>
      </c>
      <c r="N2389" s="21">
        <f>IF(B2389="","",IF(I2389="",IF(H2389="","",IF(TODAY()&gt;H2389,"Atrasado (em aberto)","Em aberto")),IF(I2389&lt;=H2389,"No prazo","Fora do prazo")))</f>
        <v/>
      </c>
    </row>
    <row r="2390">
      <c r="B2390" s="22" t="n"/>
      <c r="E2390" s="23" t="n"/>
      <c r="F2390" s="24" t="n"/>
      <c r="H2390" s="22" t="n"/>
      <c r="I2390" s="22" t="n"/>
      <c r="J2390" s="21">
        <f>IF(C2390="","",IFERROR(INDEX(Clientes!$B:$B,MATCH(C2390,Clientes!$A:$A,0)),"Cód. não cadastrado"))</f>
        <v/>
      </c>
      <c r="K2390" s="18">
        <f>IF(B2390="","",YEAR(B2390))</f>
        <v/>
      </c>
      <c r="L2390" s="18">
        <f>IF(B2390="","",MONTH(B2390))</f>
        <v/>
      </c>
      <c r="M2390" s="18">
        <f>IF(OR(B2390="",I2390=""),"",I2390-B2390)</f>
        <v/>
      </c>
      <c r="N2390" s="21">
        <f>IF(B2390="","",IF(I2390="",IF(H2390="","",IF(TODAY()&gt;H2390,"Atrasado (em aberto)","Em aberto")),IF(I2390&lt;=H2390,"No prazo","Fora do prazo")))</f>
        <v/>
      </c>
    </row>
    <row r="2391">
      <c r="B2391" s="22" t="n"/>
      <c r="E2391" s="23" t="n"/>
      <c r="F2391" s="24" t="n"/>
      <c r="H2391" s="22" t="n"/>
      <c r="I2391" s="22" t="n"/>
      <c r="J2391" s="21">
        <f>IF(C2391="","",IFERROR(INDEX(Clientes!$B:$B,MATCH(C2391,Clientes!$A:$A,0)),"Cód. não cadastrado"))</f>
        <v/>
      </c>
      <c r="K2391" s="18">
        <f>IF(B2391="","",YEAR(B2391))</f>
        <v/>
      </c>
      <c r="L2391" s="18">
        <f>IF(B2391="","",MONTH(B2391))</f>
        <v/>
      </c>
      <c r="M2391" s="18">
        <f>IF(OR(B2391="",I2391=""),"",I2391-B2391)</f>
        <v/>
      </c>
      <c r="N2391" s="21">
        <f>IF(B2391="","",IF(I2391="",IF(H2391="","",IF(TODAY()&gt;H2391,"Atrasado (em aberto)","Em aberto")),IF(I2391&lt;=H2391,"No prazo","Fora do prazo")))</f>
        <v/>
      </c>
    </row>
    <row r="2392">
      <c r="B2392" s="22" t="n"/>
      <c r="E2392" s="23" t="n"/>
      <c r="F2392" s="24" t="n"/>
      <c r="H2392" s="22" t="n"/>
      <c r="I2392" s="22" t="n"/>
      <c r="J2392" s="21">
        <f>IF(C2392="","",IFERROR(INDEX(Clientes!$B:$B,MATCH(C2392,Clientes!$A:$A,0)),"Cód. não cadastrado"))</f>
        <v/>
      </c>
      <c r="K2392" s="18">
        <f>IF(B2392="","",YEAR(B2392))</f>
        <v/>
      </c>
      <c r="L2392" s="18">
        <f>IF(B2392="","",MONTH(B2392))</f>
        <v/>
      </c>
      <c r="M2392" s="18">
        <f>IF(OR(B2392="",I2392=""),"",I2392-B2392)</f>
        <v/>
      </c>
      <c r="N2392" s="21">
        <f>IF(B2392="","",IF(I2392="",IF(H2392="","",IF(TODAY()&gt;H2392,"Atrasado (em aberto)","Em aberto")),IF(I2392&lt;=H2392,"No prazo","Fora do prazo")))</f>
        <v/>
      </c>
    </row>
    <row r="2393">
      <c r="B2393" s="22" t="n"/>
      <c r="E2393" s="23" t="n"/>
      <c r="F2393" s="24" t="n"/>
      <c r="H2393" s="22" t="n"/>
      <c r="I2393" s="22" t="n"/>
      <c r="J2393" s="21">
        <f>IF(C2393="","",IFERROR(INDEX(Clientes!$B:$B,MATCH(C2393,Clientes!$A:$A,0)),"Cód. não cadastrado"))</f>
        <v/>
      </c>
      <c r="K2393" s="18">
        <f>IF(B2393="","",YEAR(B2393))</f>
        <v/>
      </c>
      <c r="L2393" s="18">
        <f>IF(B2393="","",MONTH(B2393))</f>
        <v/>
      </c>
      <c r="M2393" s="18">
        <f>IF(OR(B2393="",I2393=""),"",I2393-B2393)</f>
        <v/>
      </c>
      <c r="N2393" s="21">
        <f>IF(B2393="","",IF(I2393="",IF(H2393="","",IF(TODAY()&gt;H2393,"Atrasado (em aberto)","Em aberto")),IF(I2393&lt;=H2393,"No prazo","Fora do prazo")))</f>
        <v/>
      </c>
    </row>
    <row r="2394">
      <c r="B2394" s="22" t="n"/>
      <c r="E2394" s="23" t="n"/>
      <c r="F2394" s="24" t="n"/>
      <c r="H2394" s="22" t="n"/>
      <c r="I2394" s="22" t="n"/>
      <c r="J2394" s="21">
        <f>IF(C2394="","",IFERROR(INDEX(Clientes!$B:$B,MATCH(C2394,Clientes!$A:$A,0)),"Cód. não cadastrado"))</f>
        <v/>
      </c>
      <c r="K2394" s="18">
        <f>IF(B2394="","",YEAR(B2394))</f>
        <v/>
      </c>
      <c r="L2394" s="18">
        <f>IF(B2394="","",MONTH(B2394))</f>
        <v/>
      </c>
      <c r="M2394" s="18">
        <f>IF(OR(B2394="",I2394=""),"",I2394-B2394)</f>
        <v/>
      </c>
      <c r="N2394" s="21">
        <f>IF(B2394="","",IF(I2394="",IF(H2394="","",IF(TODAY()&gt;H2394,"Atrasado (em aberto)","Em aberto")),IF(I2394&lt;=H2394,"No prazo","Fora do prazo")))</f>
        <v/>
      </c>
    </row>
    <row r="2395">
      <c r="B2395" s="22" t="n"/>
      <c r="E2395" s="23" t="n"/>
      <c r="F2395" s="24" t="n"/>
      <c r="H2395" s="22" t="n"/>
      <c r="I2395" s="22" t="n"/>
      <c r="J2395" s="21">
        <f>IF(C2395="","",IFERROR(INDEX(Clientes!$B:$B,MATCH(C2395,Clientes!$A:$A,0)),"Cód. não cadastrado"))</f>
        <v/>
      </c>
      <c r="K2395" s="18">
        <f>IF(B2395="","",YEAR(B2395))</f>
        <v/>
      </c>
      <c r="L2395" s="18">
        <f>IF(B2395="","",MONTH(B2395))</f>
        <v/>
      </c>
      <c r="M2395" s="18">
        <f>IF(OR(B2395="",I2395=""),"",I2395-B2395)</f>
        <v/>
      </c>
      <c r="N2395" s="21">
        <f>IF(B2395="","",IF(I2395="",IF(H2395="","",IF(TODAY()&gt;H2395,"Atrasado (em aberto)","Em aberto")),IF(I2395&lt;=H2395,"No prazo","Fora do prazo")))</f>
        <v/>
      </c>
    </row>
    <row r="2396">
      <c r="B2396" s="22" t="n"/>
      <c r="E2396" s="23" t="n"/>
      <c r="F2396" s="24" t="n"/>
      <c r="H2396" s="22" t="n"/>
      <c r="I2396" s="22" t="n"/>
      <c r="J2396" s="21">
        <f>IF(C2396="","",IFERROR(INDEX(Clientes!$B:$B,MATCH(C2396,Clientes!$A:$A,0)),"Cód. não cadastrado"))</f>
        <v/>
      </c>
      <c r="K2396" s="18">
        <f>IF(B2396="","",YEAR(B2396))</f>
        <v/>
      </c>
      <c r="L2396" s="18">
        <f>IF(B2396="","",MONTH(B2396))</f>
        <v/>
      </c>
      <c r="M2396" s="18">
        <f>IF(OR(B2396="",I2396=""),"",I2396-B2396)</f>
        <v/>
      </c>
      <c r="N2396" s="21">
        <f>IF(B2396="","",IF(I2396="",IF(H2396="","",IF(TODAY()&gt;H2396,"Atrasado (em aberto)","Em aberto")),IF(I2396&lt;=H2396,"No prazo","Fora do prazo")))</f>
        <v/>
      </c>
    </row>
    <row r="2397">
      <c r="B2397" s="22" t="n"/>
      <c r="E2397" s="23" t="n"/>
      <c r="F2397" s="24" t="n"/>
      <c r="H2397" s="22" t="n"/>
      <c r="I2397" s="22" t="n"/>
      <c r="J2397" s="21">
        <f>IF(C2397="","",IFERROR(INDEX(Clientes!$B:$B,MATCH(C2397,Clientes!$A:$A,0)),"Cód. não cadastrado"))</f>
        <v/>
      </c>
      <c r="K2397" s="18">
        <f>IF(B2397="","",YEAR(B2397))</f>
        <v/>
      </c>
      <c r="L2397" s="18">
        <f>IF(B2397="","",MONTH(B2397))</f>
        <v/>
      </c>
      <c r="M2397" s="18">
        <f>IF(OR(B2397="",I2397=""),"",I2397-B2397)</f>
        <v/>
      </c>
      <c r="N2397" s="21">
        <f>IF(B2397="","",IF(I2397="",IF(H2397="","",IF(TODAY()&gt;H2397,"Atrasado (em aberto)","Em aberto")),IF(I2397&lt;=H2397,"No prazo","Fora do prazo")))</f>
        <v/>
      </c>
    </row>
    <row r="2398">
      <c r="B2398" s="22" t="n"/>
      <c r="E2398" s="23" t="n"/>
      <c r="F2398" s="24" t="n"/>
      <c r="H2398" s="22" t="n"/>
      <c r="I2398" s="22" t="n"/>
      <c r="J2398" s="21">
        <f>IF(C2398="","",IFERROR(INDEX(Clientes!$B:$B,MATCH(C2398,Clientes!$A:$A,0)),"Cód. não cadastrado"))</f>
        <v/>
      </c>
      <c r="K2398" s="18">
        <f>IF(B2398="","",YEAR(B2398))</f>
        <v/>
      </c>
      <c r="L2398" s="18">
        <f>IF(B2398="","",MONTH(B2398))</f>
        <v/>
      </c>
      <c r="M2398" s="18">
        <f>IF(OR(B2398="",I2398=""),"",I2398-B2398)</f>
        <v/>
      </c>
      <c r="N2398" s="21">
        <f>IF(B2398="","",IF(I2398="",IF(H2398="","",IF(TODAY()&gt;H2398,"Atrasado (em aberto)","Em aberto")),IF(I2398&lt;=H2398,"No prazo","Fora do prazo")))</f>
        <v/>
      </c>
    </row>
    <row r="2399">
      <c r="B2399" s="22" t="n"/>
      <c r="E2399" s="23" t="n"/>
      <c r="F2399" s="24" t="n"/>
      <c r="H2399" s="22" t="n"/>
      <c r="I2399" s="22" t="n"/>
      <c r="J2399" s="21">
        <f>IF(C2399="","",IFERROR(INDEX(Clientes!$B:$B,MATCH(C2399,Clientes!$A:$A,0)),"Cód. não cadastrado"))</f>
        <v/>
      </c>
      <c r="K2399" s="18">
        <f>IF(B2399="","",YEAR(B2399))</f>
        <v/>
      </c>
      <c r="L2399" s="18">
        <f>IF(B2399="","",MONTH(B2399))</f>
        <v/>
      </c>
      <c r="M2399" s="18">
        <f>IF(OR(B2399="",I2399=""),"",I2399-B2399)</f>
        <v/>
      </c>
      <c r="N2399" s="21">
        <f>IF(B2399="","",IF(I2399="",IF(H2399="","",IF(TODAY()&gt;H2399,"Atrasado (em aberto)","Em aberto")),IF(I2399&lt;=H2399,"No prazo","Fora do prazo")))</f>
        <v/>
      </c>
    </row>
    <row r="2400">
      <c r="B2400" s="22" t="n"/>
      <c r="E2400" s="23" t="n"/>
      <c r="F2400" s="24" t="n"/>
      <c r="H2400" s="22" t="n"/>
      <c r="I2400" s="22" t="n"/>
      <c r="J2400" s="21">
        <f>IF(C2400="","",IFERROR(INDEX(Clientes!$B:$B,MATCH(C2400,Clientes!$A:$A,0)),"Cód. não cadastrado"))</f>
        <v/>
      </c>
      <c r="K2400" s="18">
        <f>IF(B2400="","",YEAR(B2400))</f>
        <v/>
      </c>
      <c r="L2400" s="18">
        <f>IF(B2400="","",MONTH(B2400))</f>
        <v/>
      </c>
      <c r="M2400" s="18">
        <f>IF(OR(B2400="",I2400=""),"",I2400-B2400)</f>
        <v/>
      </c>
      <c r="N2400" s="21">
        <f>IF(B2400="","",IF(I2400="",IF(H2400="","",IF(TODAY()&gt;H2400,"Atrasado (em aberto)","Em aberto")),IF(I2400&lt;=H2400,"No prazo","Fora do prazo")))</f>
        <v/>
      </c>
    </row>
    <row r="2401">
      <c r="B2401" s="22" t="n"/>
      <c r="E2401" s="23" t="n"/>
      <c r="F2401" s="24" t="n"/>
      <c r="H2401" s="22" t="n"/>
      <c r="I2401" s="22" t="n"/>
      <c r="J2401" s="21">
        <f>IF(C2401="","",IFERROR(INDEX(Clientes!$B:$B,MATCH(C2401,Clientes!$A:$A,0)),"Cód. não cadastrado"))</f>
        <v/>
      </c>
      <c r="K2401" s="18">
        <f>IF(B2401="","",YEAR(B2401))</f>
        <v/>
      </c>
      <c r="L2401" s="18">
        <f>IF(B2401="","",MONTH(B2401))</f>
        <v/>
      </c>
      <c r="M2401" s="18">
        <f>IF(OR(B2401="",I2401=""),"",I2401-B2401)</f>
        <v/>
      </c>
      <c r="N2401" s="21">
        <f>IF(B2401="","",IF(I2401="",IF(H2401="","",IF(TODAY()&gt;H2401,"Atrasado (em aberto)","Em aberto")),IF(I2401&lt;=H2401,"No prazo","Fora do prazo")))</f>
        <v/>
      </c>
    </row>
    <row r="2402">
      <c r="B2402" s="22" t="n"/>
      <c r="E2402" s="23" t="n"/>
      <c r="F2402" s="24" t="n"/>
      <c r="H2402" s="22" t="n"/>
      <c r="I2402" s="22" t="n"/>
      <c r="J2402" s="21">
        <f>IF(C2402="","",IFERROR(INDEX(Clientes!$B:$B,MATCH(C2402,Clientes!$A:$A,0)),"Cód. não cadastrado"))</f>
        <v/>
      </c>
      <c r="K2402" s="18">
        <f>IF(B2402="","",YEAR(B2402))</f>
        <v/>
      </c>
      <c r="L2402" s="18">
        <f>IF(B2402="","",MONTH(B2402))</f>
        <v/>
      </c>
      <c r="M2402" s="18">
        <f>IF(OR(B2402="",I2402=""),"",I2402-B2402)</f>
        <v/>
      </c>
      <c r="N2402" s="21">
        <f>IF(B2402="","",IF(I2402="",IF(H2402="","",IF(TODAY()&gt;H2402,"Atrasado (em aberto)","Em aberto")),IF(I2402&lt;=H2402,"No prazo","Fora do prazo")))</f>
        <v/>
      </c>
    </row>
    <row r="2403">
      <c r="B2403" s="22" t="n"/>
      <c r="E2403" s="23" t="n"/>
      <c r="F2403" s="24" t="n"/>
      <c r="H2403" s="22" t="n"/>
      <c r="I2403" s="22" t="n"/>
      <c r="J2403" s="21">
        <f>IF(C2403="","",IFERROR(INDEX(Clientes!$B:$B,MATCH(C2403,Clientes!$A:$A,0)),"Cód. não cadastrado"))</f>
        <v/>
      </c>
      <c r="K2403" s="18">
        <f>IF(B2403="","",YEAR(B2403))</f>
        <v/>
      </c>
      <c r="L2403" s="18">
        <f>IF(B2403="","",MONTH(B2403))</f>
        <v/>
      </c>
      <c r="M2403" s="18">
        <f>IF(OR(B2403="",I2403=""),"",I2403-B2403)</f>
        <v/>
      </c>
      <c r="N2403" s="21">
        <f>IF(B2403="","",IF(I2403="",IF(H2403="","",IF(TODAY()&gt;H2403,"Atrasado (em aberto)","Em aberto")),IF(I2403&lt;=H2403,"No prazo","Fora do prazo")))</f>
        <v/>
      </c>
    </row>
    <row r="2404">
      <c r="B2404" s="22" t="n"/>
      <c r="E2404" s="23" t="n"/>
      <c r="F2404" s="24" t="n"/>
      <c r="H2404" s="22" t="n"/>
      <c r="I2404" s="22" t="n"/>
      <c r="J2404" s="21">
        <f>IF(C2404="","",IFERROR(INDEX(Clientes!$B:$B,MATCH(C2404,Clientes!$A:$A,0)),"Cód. não cadastrado"))</f>
        <v/>
      </c>
      <c r="K2404" s="18">
        <f>IF(B2404="","",YEAR(B2404))</f>
        <v/>
      </c>
      <c r="L2404" s="18">
        <f>IF(B2404="","",MONTH(B2404))</f>
        <v/>
      </c>
      <c r="M2404" s="18">
        <f>IF(OR(B2404="",I2404=""),"",I2404-B2404)</f>
        <v/>
      </c>
      <c r="N2404" s="21">
        <f>IF(B2404="","",IF(I2404="",IF(H2404="","",IF(TODAY()&gt;H2404,"Atrasado (em aberto)","Em aberto")),IF(I2404&lt;=H2404,"No prazo","Fora do prazo")))</f>
        <v/>
      </c>
    </row>
    <row r="2405">
      <c r="B2405" s="22" t="n"/>
      <c r="E2405" s="23" t="n"/>
      <c r="F2405" s="24" t="n"/>
      <c r="H2405" s="22" t="n"/>
      <c r="I2405" s="22" t="n"/>
      <c r="J2405" s="21">
        <f>IF(C2405="","",IFERROR(INDEX(Clientes!$B:$B,MATCH(C2405,Clientes!$A:$A,0)),"Cód. não cadastrado"))</f>
        <v/>
      </c>
      <c r="K2405" s="18">
        <f>IF(B2405="","",YEAR(B2405))</f>
        <v/>
      </c>
      <c r="L2405" s="18">
        <f>IF(B2405="","",MONTH(B2405))</f>
        <v/>
      </c>
      <c r="M2405" s="18">
        <f>IF(OR(B2405="",I2405=""),"",I2405-B2405)</f>
        <v/>
      </c>
      <c r="N2405" s="21">
        <f>IF(B2405="","",IF(I2405="",IF(H2405="","",IF(TODAY()&gt;H2405,"Atrasado (em aberto)","Em aberto")),IF(I2405&lt;=H2405,"No prazo","Fora do prazo")))</f>
        <v/>
      </c>
    </row>
    <row r="2406">
      <c r="B2406" s="22" t="n"/>
      <c r="E2406" s="23" t="n"/>
      <c r="F2406" s="24" t="n"/>
      <c r="H2406" s="22" t="n"/>
      <c r="I2406" s="22" t="n"/>
      <c r="J2406" s="21">
        <f>IF(C2406="","",IFERROR(INDEX(Clientes!$B:$B,MATCH(C2406,Clientes!$A:$A,0)),"Cód. não cadastrado"))</f>
        <v/>
      </c>
      <c r="K2406" s="18">
        <f>IF(B2406="","",YEAR(B2406))</f>
        <v/>
      </c>
      <c r="L2406" s="18">
        <f>IF(B2406="","",MONTH(B2406))</f>
        <v/>
      </c>
      <c r="M2406" s="18">
        <f>IF(OR(B2406="",I2406=""),"",I2406-B2406)</f>
        <v/>
      </c>
      <c r="N2406" s="21">
        <f>IF(B2406="","",IF(I2406="",IF(H2406="","",IF(TODAY()&gt;H2406,"Atrasado (em aberto)","Em aberto")),IF(I2406&lt;=H2406,"No prazo","Fora do prazo")))</f>
        <v/>
      </c>
    </row>
    <row r="2407">
      <c r="B2407" s="22" t="n"/>
      <c r="E2407" s="23" t="n"/>
      <c r="F2407" s="24" t="n"/>
      <c r="H2407" s="22" t="n"/>
      <c r="I2407" s="22" t="n"/>
      <c r="J2407" s="21">
        <f>IF(C2407="","",IFERROR(INDEX(Clientes!$B:$B,MATCH(C2407,Clientes!$A:$A,0)),"Cód. não cadastrado"))</f>
        <v/>
      </c>
      <c r="K2407" s="18">
        <f>IF(B2407="","",YEAR(B2407))</f>
        <v/>
      </c>
      <c r="L2407" s="18">
        <f>IF(B2407="","",MONTH(B2407))</f>
        <v/>
      </c>
      <c r="M2407" s="18">
        <f>IF(OR(B2407="",I2407=""),"",I2407-B2407)</f>
        <v/>
      </c>
      <c r="N2407" s="21">
        <f>IF(B2407="","",IF(I2407="",IF(H2407="","",IF(TODAY()&gt;H2407,"Atrasado (em aberto)","Em aberto")),IF(I2407&lt;=H2407,"No prazo","Fora do prazo")))</f>
        <v/>
      </c>
    </row>
    <row r="2408">
      <c r="B2408" s="22" t="n"/>
      <c r="E2408" s="23" t="n"/>
      <c r="F2408" s="24" t="n"/>
      <c r="H2408" s="22" t="n"/>
      <c r="I2408" s="22" t="n"/>
      <c r="J2408" s="21">
        <f>IF(C2408="","",IFERROR(INDEX(Clientes!$B:$B,MATCH(C2408,Clientes!$A:$A,0)),"Cód. não cadastrado"))</f>
        <v/>
      </c>
      <c r="K2408" s="18">
        <f>IF(B2408="","",YEAR(B2408))</f>
        <v/>
      </c>
      <c r="L2408" s="18">
        <f>IF(B2408="","",MONTH(B2408))</f>
        <v/>
      </c>
      <c r="M2408" s="18">
        <f>IF(OR(B2408="",I2408=""),"",I2408-B2408)</f>
        <v/>
      </c>
      <c r="N2408" s="21">
        <f>IF(B2408="","",IF(I2408="",IF(H2408="","",IF(TODAY()&gt;H2408,"Atrasado (em aberto)","Em aberto")),IF(I2408&lt;=H2408,"No prazo","Fora do prazo")))</f>
        <v/>
      </c>
    </row>
    <row r="2409">
      <c r="B2409" s="22" t="n"/>
      <c r="E2409" s="23" t="n"/>
      <c r="F2409" s="24" t="n"/>
      <c r="H2409" s="22" t="n"/>
      <c r="I2409" s="22" t="n"/>
      <c r="J2409" s="21">
        <f>IF(C2409="","",IFERROR(INDEX(Clientes!$B:$B,MATCH(C2409,Clientes!$A:$A,0)),"Cód. não cadastrado"))</f>
        <v/>
      </c>
      <c r="K2409" s="18">
        <f>IF(B2409="","",YEAR(B2409))</f>
        <v/>
      </c>
      <c r="L2409" s="18">
        <f>IF(B2409="","",MONTH(B2409))</f>
        <v/>
      </c>
      <c r="M2409" s="18">
        <f>IF(OR(B2409="",I2409=""),"",I2409-B2409)</f>
        <v/>
      </c>
      <c r="N2409" s="21">
        <f>IF(B2409="","",IF(I2409="",IF(H2409="","",IF(TODAY()&gt;H2409,"Atrasado (em aberto)","Em aberto")),IF(I2409&lt;=H2409,"No prazo","Fora do prazo")))</f>
        <v/>
      </c>
    </row>
    <row r="2410">
      <c r="B2410" s="22" t="n"/>
      <c r="E2410" s="23" t="n"/>
      <c r="F2410" s="24" t="n"/>
      <c r="H2410" s="22" t="n"/>
      <c r="I2410" s="22" t="n"/>
      <c r="J2410" s="21">
        <f>IF(C2410="","",IFERROR(INDEX(Clientes!$B:$B,MATCH(C2410,Clientes!$A:$A,0)),"Cód. não cadastrado"))</f>
        <v/>
      </c>
      <c r="K2410" s="18">
        <f>IF(B2410="","",YEAR(B2410))</f>
        <v/>
      </c>
      <c r="L2410" s="18">
        <f>IF(B2410="","",MONTH(B2410))</f>
        <v/>
      </c>
      <c r="M2410" s="18">
        <f>IF(OR(B2410="",I2410=""),"",I2410-B2410)</f>
        <v/>
      </c>
      <c r="N2410" s="21">
        <f>IF(B2410="","",IF(I2410="",IF(H2410="","",IF(TODAY()&gt;H2410,"Atrasado (em aberto)","Em aberto")),IF(I2410&lt;=H2410,"No prazo","Fora do prazo")))</f>
        <v/>
      </c>
    </row>
    <row r="2411">
      <c r="B2411" s="22" t="n"/>
      <c r="E2411" s="23" t="n"/>
      <c r="F2411" s="24" t="n"/>
      <c r="H2411" s="22" t="n"/>
      <c r="I2411" s="22" t="n"/>
      <c r="J2411" s="21">
        <f>IF(C2411="","",IFERROR(INDEX(Clientes!$B:$B,MATCH(C2411,Clientes!$A:$A,0)),"Cód. não cadastrado"))</f>
        <v/>
      </c>
      <c r="K2411" s="18">
        <f>IF(B2411="","",YEAR(B2411))</f>
        <v/>
      </c>
      <c r="L2411" s="18">
        <f>IF(B2411="","",MONTH(B2411))</f>
        <v/>
      </c>
      <c r="M2411" s="18">
        <f>IF(OR(B2411="",I2411=""),"",I2411-B2411)</f>
        <v/>
      </c>
      <c r="N2411" s="21">
        <f>IF(B2411="","",IF(I2411="",IF(H2411="","",IF(TODAY()&gt;H2411,"Atrasado (em aberto)","Em aberto")),IF(I2411&lt;=H2411,"No prazo","Fora do prazo")))</f>
        <v/>
      </c>
    </row>
    <row r="2412">
      <c r="B2412" s="22" t="n"/>
      <c r="E2412" s="23" t="n"/>
      <c r="F2412" s="24" t="n"/>
      <c r="H2412" s="22" t="n"/>
      <c r="I2412" s="22" t="n"/>
      <c r="J2412" s="21">
        <f>IF(C2412="","",IFERROR(INDEX(Clientes!$B:$B,MATCH(C2412,Clientes!$A:$A,0)),"Cód. não cadastrado"))</f>
        <v/>
      </c>
      <c r="K2412" s="18">
        <f>IF(B2412="","",YEAR(B2412))</f>
        <v/>
      </c>
      <c r="L2412" s="18">
        <f>IF(B2412="","",MONTH(B2412))</f>
        <v/>
      </c>
      <c r="M2412" s="18">
        <f>IF(OR(B2412="",I2412=""),"",I2412-B2412)</f>
        <v/>
      </c>
      <c r="N2412" s="21">
        <f>IF(B2412="","",IF(I2412="",IF(H2412="","",IF(TODAY()&gt;H2412,"Atrasado (em aberto)","Em aberto")),IF(I2412&lt;=H2412,"No prazo","Fora do prazo")))</f>
        <v/>
      </c>
    </row>
    <row r="2413">
      <c r="B2413" s="22" t="n"/>
      <c r="E2413" s="23" t="n"/>
      <c r="F2413" s="24" t="n"/>
      <c r="H2413" s="22" t="n"/>
      <c r="I2413" s="22" t="n"/>
      <c r="J2413" s="21">
        <f>IF(C2413="","",IFERROR(INDEX(Clientes!$B:$B,MATCH(C2413,Clientes!$A:$A,0)),"Cód. não cadastrado"))</f>
        <v/>
      </c>
      <c r="K2413" s="18">
        <f>IF(B2413="","",YEAR(B2413))</f>
        <v/>
      </c>
      <c r="L2413" s="18">
        <f>IF(B2413="","",MONTH(B2413))</f>
        <v/>
      </c>
      <c r="M2413" s="18">
        <f>IF(OR(B2413="",I2413=""),"",I2413-B2413)</f>
        <v/>
      </c>
      <c r="N2413" s="21">
        <f>IF(B2413="","",IF(I2413="",IF(H2413="","",IF(TODAY()&gt;H2413,"Atrasado (em aberto)","Em aberto")),IF(I2413&lt;=H2413,"No prazo","Fora do prazo")))</f>
        <v/>
      </c>
    </row>
    <row r="2414">
      <c r="B2414" s="22" t="n"/>
      <c r="E2414" s="23" t="n"/>
      <c r="F2414" s="24" t="n"/>
      <c r="H2414" s="22" t="n"/>
      <c r="I2414" s="22" t="n"/>
      <c r="J2414" s="21">
        <f>IF(C2414="","",IFERROR(INDEX(Clientes!$B:$B,MATCH(C2414,Clientes!$A:$A,0)),"Cód. não cadastrado"))</f>
        <v/>
      </c>
      <c r="K2414" s="18">
        <f>IF(B2414="","",YEAR(B2414))</f>
        <v/>
      </c>
      <c r="L2414" s="18">
        <f>IF(B2414="","",MONTH(B2414))</f>
        <v/>
      </c>
      <c r="M2414" s="18">
        <f>IF(OR(B2414="",I2414=""),"",I2414-B2414)</f>
        <v/>
      </c>
      <c r="N2414" s="21">
        <f>IF(B2414="","",IF(I2414="",IF(H2414="","",IF(TODAY()&gt;H2414,"Atrasado (em aberto)","Em aberto")),IF(I2414&lt;=H2414,"No prazo","Fora do prazo")))</f>
        <v/>
      </c>
    </row>
    <row r="2415">
      <c r="B2415" s="22" t="n"/>
      <c r="E2415" s="23" t="n"/>
      <c r="F2415" s="24" t="n"/>
      <c r="H2415" s="22" t="n"/>
      <c r="I2415" s="22" t="n"/>
      <c r="J2415" s="21">
        <f>IF(C2415="","",IFERROR(INDEX(Clientes!$B:$B,MATCH(C2415,Clientes!$A:$A,0)),"Cód. não cadastrado"))</f>
        <v/>
      </c>
      <c r="K2415" s="18">
        <f>IF(B2415="","",YEAR(B2415))</f>
        <v/>
      </c>
      <c r="L2415" s="18">
        <f>IF(B2415="","",MONTH(B2415))</f>
        <v/>
      </c>
      <c r="M2415" s="18">
        <f>IF(OR(B2415="",I2415=""),"",I2415-B2415)</f>
        <v/>
      </c>
      <c r="N2415" s="21">
        <f>IF(B2415="","",IF(I2415="",IF(H2415="","",IF(TODAY()&gt;H2415,"Atrasado (em aberto)","Em aberto")),IF(I2415&lt;=H2415,"No prazo","Fora do prazo")))</f>
        <v/>
      </c>
    </row>
    <row r="2416">
      <c r="B2416" s="22" t="n"/>
      <c r="E2416" s="23" t="n"/>
      <c r="F2416" s="24" t="n"/>
      <c r="H2416" s="22" t="n"/>
      <c r="I2416" s="22" t="n"/>
      <c r="J2416" s="21">
        <f>IF(C2416="","",IFERROR(INDEX(Clientes!$B:$B,MATCH(C2416,Clientes!$A:$A,0)),"Cód. não cadastrado"))</f>
        <v/>
      </c>
      <c r="K2416" s="18">
        <f>IF(B2416="","",YEAR(B2416))</f>
        <v/>
      </c>
      <c r="L2416" s="18">
        <f>IF(B2416="","",MONTH(B2416))</f>
        <v/>
      </c>
      <c r="M2416" s="18">
        <f>IF(OR(B2416="",I2416=""),"",I2416-B2416)</f>
        <v/>
      </c>
      <c r="N2416" s="21">
        <f>IF(B2416="","",IF(I2416="",IF(H2416="","",IF(TODAY()&gt;H2416,"Atrasado (em aberto)","Em aberto")),IF(I2416&lt;=H2416,"No prazo","Fora do prazo")))</f>
        <v/>
      </c>
    </row>
    <row r="2417">
      <c r="B2417" s="22" t="n"/>
      <c r="E2417" s="23" t="n"/>
      <c r="F2417" s="24" t="n"/>
      <c r="H2417" s="22" t="n"/>
      <c r="I2417" s="22" t="n"/>
      <c r="J2417" s="21">
        <f>IF(C2417="","",IFERROR(INDEX(Clientes!$B:$B,MATCH(C2417,Clientes!$A:$A,0)),"Cód. não cadastrado"))</f>
        <v/>
      </c>
      <c r="K2417" s="18">
        <f>IF(B2417="","",YEAR(B2417))</f>
        <v/>
      </c>
      <c r="L2417" s="18">
        <f>IF(B2417="","",MONTH(B2417))</f>
        <v/>
      </c>
      <c r="M2417" s="18">
        <f>IF(OR(B2417="",I2417=""),"",I2417-B2417)</f>
        <v/>
      </c>
      <c r="N2417" s="21">
        <f>IF(B2417="","",IF(I2417="",IF(H2417="","",IF(TODAY()&gt;H2417,"Atrasado (em aberto)","Em aberto")),IF(I2417&lt;=H2417,"No prazo","Fora do prazo")))</f>
        <v/>
      </c>
    </row>
    <row r="2418">
      <c r="B2418" s="22" t="n"/>
      <c r="E2418" s="23" t="n"/>
      <c r="F2418" s="24" t="n"/>
      <c r="H2418" s="22" t="n"/>
      <c r="I2418" s="22" t="n"/>
      <c r="J2418" s="21">
        <f>IF(C2418="","",IFERROR(INDEX(Clientes!$B:$B,MATCH(C2418,Clientes!$A:$A,0)),"Cód. não cadastrado"))</f>
        <v/>
      </c>
      <c r="K2418" s="18">
        <f>IF(B2418="","",YEAR(B2418))</f>
        <v/>
      </c>
      <c r="L2418" s="18">
        <f>IF(B2418="","",MONTH(B2418))</f>
        <v/>
      </c>
      <c r="M2418" s="18">
        <f>IF(OR(B2418="",I2418=""),"",I2418-B2418)</f>
        <v/>
      </c>
      <c r="N2418" s="21">
        <f>IF(B2418="","",IF(I2418="",IF(H2418="","",IF(TODAY()&gt;H2418,"Atrasado (em aberto)","Em aberto")),IF(I2418&lt;=H2418,"No prazo","Fora do prazo")))</f>
        <v/>
      </c>
    </row>
    <row r="2419">
      <c r="B2419" s="22" t="n"/>
      <c r="E2419" s="23" t="n"/>
      <c r="F2419" s="24" t="n"/>
      <c r="H2419" s="22" t="n"/>
      <c r="I2419" s="22" t="n"/>
      <c r="J2419" s="21">
        <f>IF(C2419="","",IFERROR(INDEX(Clientes!$B:$B,MATCH(C2419,Clientes!$A:$A,0)),"Cód. não cadastrado"))</f>
        <v/>
      </c>
      <c r="K2419" s="18">
        <f>IF(B2419="","",YEAR(B2419))</f>
        <v/>
      </c>
      <c r="L2419" s="18">
        <f>IF(B2419="","",MONTH(B2419))</f>
        <v/>
      </c>
      <c r="M2419" s="18">
        <f>IF(OR(B2419="",I2419=""),"",I2419-B2419)</f>
        <v/>
      </c>
      <c r="N2419" s="21">
        <f>IF(B2419="","",IF(I2419="",IF(H2419="","",IF(TODAY()&gt;H2419,"Atrasado (em aberto)","Em aberto")),IF(I2419&lt;=H2419,"No prazo","Fora do prazo")))</f>
        <v/>
      </c>
    </row>
    <row r="2420">
      <c r="B2420" s="22" t="n"/>
      <c r="E2420" s="23" t="n"/>
      <c r="F2420" s="24" t="n"/>
      <c r="H2420" s="22" t="n"/>
      <c r="I2420" s="22" t="n"/>
      <c r="J2420" s="21">
        <f>IF(C2420="","",IFERROR(INDEX(Clientes!$B:$B,MATCH(C2420,Clientes!$A:$A,0)),"Cód. não cadastrado"))</f>
        <v/>
      </c>
      <c r="K2420" s="18">
        <f>IF(B2420="","",YEAR(B2420))</f>
        <v/>
      </c>
      <c r="L2420" s="18">
        <f>IF(B2420="","",MONTH(B2420))</f>
        <v/>
      </c>
      <c r="M2420" s="18">
        <f>IF(OR(B2420="",I2420=""),"",I2420-B2420)</f>
        <v/>
      </c>
      <c r="N2420" s="21">
        <f>IF(B2420="","",IF(I2420="",IF(H2420="","",IF(TODAY()&gt;H2420,"Atrasado (em aberto)","Em aberto")),IF(I2420&lt;=H2420,"No prazo","Fora do prazo")))</f>
        <v/>
      </c>
    </row>
    <row r="2421">
      <c r="B2421" s="22" t="n"/>
      <c r="E2421" s="23" t="n"/>
      <c r="F2421" s="24" t="n"/>
      <c r="H2421" s="22" t="n"/>
      <c r="I2421" s="22" t="n"/>
      <c r="J2421" s="21">
        <f>IF(C2421="","",IFERROR(INDEX(Clientes!$B:$B,MATCH(C2421,Clientes!$A:$A,0)),"Cód. não cadastrado"))</f>
        <v/>
      </c>
      <c r="K2421" s="18">
        <f>IF(B2421="","",YEAR(B2421))</f>
        <v/>
      </c>
      <c r="L2421" s="18">
        <f>IF(B2421="","",MONTH(B2421))</f>
        <v/>
      </c>
      <c r="M2421" s="18">
        <f>IF(OR(B2421="",I2421=""),"",I2421-B2421)</f>
        <v/>
      </c>
      <c r="N2421" s="21">
        <f>IF(B2421="","",IF(I2421="",IF(H2421="","",IF(TODAY()&gt;H2421,"Atrasado (em aberto)","Em aberto")),IF(I2421&lt;=H2421,"No prazo","Fora do prazo")))</f>
        <v/>
      </c>
    </row>
    <row r="2422">
      <c r="B2422" s="22" t="n"/>
      <c r="E2422" s="23" t="n"/>
      <c r="F2422" s="24" t="n"/>
      <c r="H2422" s="22" t="n"/>
      <c r="I2422" s="22" t="n"/>
      <c r="J2422" s="21">
        <f>IF(C2422="","",IFERROR(INDEX(Clientes!$B:$B,MATCH(C2422,Clientes!$A:$A,0)),"Cód. não cadastrado"))</f>
        <v/>
      </c>
      <c r="K2422" s="18">
        <f>IF(B2422="","",YEAR(B2422))</f>
        <v/>
      </c>
      <c r="L2422" s="18">
        <f>IF(B2422="","",MONTH(B2422))</f>
        <v/>
      </c>
      <c r="M2422" s="18">
        <f>IF(OR(B2422="",I2422=""),"",I2422-B2422)</f>
        <v/>
      </c>
      <c r="N2422" s="21">
        <f>IF(B2422="","",IF(I2422="",IF(H2422="","",IF(TODAY()&gt;H2422,"Atrasado (em aberto)","Em aberto")),IF(I2422&lt;=H2422,"No prazo","Fora do prazo")))</f>
        <v/>
      </c>
    </row>
    <row r="2423">
      <c r="B2423" s="22" t="n"/>
      <c r="E2423" s="23" t="n"/>
      <c r="F2423" s="24" t="n"/>
      <c r="H2423" s="22" t="n"/>
      <c r="I2423" s="22" t="n"/>
      <c r="J2423" s="21">
        <f>IF(C2423="","",IFERROR(INDEX(Clientes!$B:$B,MATCH(C2423,Clientes!$A:$A,0)),"Cód. não cadastrado"))</f>
        <v/>
      </c>
      <c r="K2423" s="18">
        <f>IF(B2423="","",YEAR(B2423))</f>
        <v/>
      </c>
      <c r="L2423" s="18">
        <f>IF(B2423="","",MONTH(B2423))</f>
        <v/>
      </c>
      <c r="M2423" s="18">
        <f>IF(OR(B2423="",I2423=""),"",I2423-B2423)</f>
        <v/>
      </c>
      <c r="N2423" s="21">
        <f>IF(B2423="","",IF(I2423="",IF(H2423="","",IF(TODAY()&gt;H2423,"Atrasado (em aberto)","Em aberto")),IF(I2423&lt;=H2423,"No prazo","Fora do prazo")))</f>
        <v/>
      </c>
    </row>
    <row r="2424">
      <c r="B2424" s="22" t="n"/>
      <c r="E2424" s="23" t="n"/>
      <c r="F2424" s="24" t="n"/>
      <c r="H2424" s="22" t="n"/>
      <c r="I2424" s="22" t="n"/>
      <c r="J2424" s="21">
        <f>IF(C2424="","",IFERROR(INDEX(Clientes!$B:$B,MATCH(C2424,Clientes!$A:$A,0)),"Cód. não cadastrado"))</f>
        <v/>
      </c>
      <c r="K2424" s="18">
        <f>IF(B2424="","",YEAR(B2424))</f>
        <v/>
      </c>
      <c r="L2424" s="18">
        <f>IF(B2424="","",MONTH(B2424))</f>
        <v/>
      </c>
      <c r="M2424" s="18">
        <f>IF(OR(B2424="",I2424=""),"",I2424-B2424)</f>
        <v/>
      </c>
      <c r="N2424" s="21">
        <f>IF(B2424="","",IF(I2424="",IF(H2424="","",IF(TODAY()&gt;H2424,"Atrasado (em aberto)","Em aberto")),IF(I2424&lt;=H2424,"No prazo","Fora do prazo")))</f>
        <v/>
      </c>
    </row>
    <row r="2425">
      <c r="B2425" s="22" t="n"/>
      <c r="E2425" s="23" t="n"/>
      <c r="F2425" s="24" t="n"/>
      <c r="H2425" s="22" t="n"/>
      <c r="I2425" s="22" t="n"/>
      <c r="J2425" s="21">
        <f>IF(C2425="","",IFERROR(INDEX(Clientes!$B:$B,MATCH(C2425,Clientes!$A:$A,0)),"Cód. não cadastrado"))</f>
        <v/>
      </c>
      <c r="K2425" s="18">
        <f>IF(B2425="","",YEAR(B2425))</f>
        <v/>
      </c>
      <c r="L2425" s="18">
        <f>IF(B2425="","",MONTH(B2425))</f>
        <v/>
      </c>
      <c r="M2425" s="18">
        <f>IF(OR(B2425="",I2425=""),"",I2425-B2425)</f>
        <v/>
      </c>
      <c r="N2425" s="21">
        <f>IF(B2425="","",IF(I2425="",IF(H2425="","",IF(TODAY()&gt;H2425,"Atrasado (em aberto)","Em aberto")),IF(I2425&lt;=H2425,"No prazo","Fora do prazo")))</f>
        <v/>
      </c>
    </row>
    <row r="2426">
      <c r="B2426" s="22" t="n"/>
      <c r="E2426" s="23" t="n"/>
      <c r="F2426" s="24" t="n"/>
      <c r="H2426" s="22" t="n"/>
      <c r="I2426" s="22" t="n"/>
      <c r="J2426" s="21">
        <f>IF(C2426="","",IFERROR(INDEX(Clientes!$B:$B,MATCH(C2426,Clientes!$A:$A,0)),"Cód. não cadastrado"))</f>
        <v/>
      </c>
      <c r="K2426" s="18">
        <f>IF(B2426="","",YEAR(B2426))</f>
        <v/>
      </c>
      <c r="L2426" s="18">
        <f>IF(B2426="","",MONTH(B2426))</f>
        <v/>
      </c>
      <c r="M2426" s="18">
        <f>IF(OR(B2426="",I2426=""),"",I2426-B2426)</f>
        <v/>
      </c>
      <c r="N2426" s="21">
        <f>IF(B2426="","",IF(I2426="",IF(H2426="","",IF(TODAY()&gt;H2426,"Atrasado (em aberto)","Em aberto")),IF(I2426&lt;=H2426,"No prazo","Fora do prazo")))</f>
        <v/>
      </c>
    </row>
    <row r="2427">
      <c r="B2427" s="22" t="n"/>
      <c r="E2427" s="23" t="n"/>
      <c r="F2427" s="24" t="n"/>
      <c r="H2427" s="22" t="n"/>
      <c r="I2427" s="22" t="n"/>
      <c r="J2427" s="21">
        <f>IF(C2427="","",IFERROR(INDEX(Clientes!$B:$B,MATCH(C2427,Clientes!$A:$A,0)),"Cód. não cadastrado"))</f>
        <v/>
      </c>
      <c r="K2427" s="18">
        <f>IF(B2427="","",YEAR(B2427))</f>
        <v/>
      </c>
      <c r="L2427" s="18">
        <f>IF(B2427="","",MONTH(B2427))</f>
        <v/>
      </c>
      <c r="M2427" s="18">
        <f>IF(OR(B2427="",I2427=""),"",I2427-B2427)</f>
        <v/>
      </c>
      <c r="N2427" s="21">
        <f>IF(B2427="","",IF(I2427="",IF(H2427="","",IF(TODAY()&gt;H2427,"Atrasado (em aberto)","Em aberto")),IF(I2427&lt;=H2427,"No prazo","Fora do prazo")))</f>
        <v/>
      </c>
    </row>
    <row r="2428">
      <c r="B2428" s="22" t="n"/>
      <c r="E2428" s="23" t="n"/>
      <c r="F2428" s="24" t="n"/>
      <c r="H2428" s="22" t="n"/>
      <c r="I2428" s="22" t="n"/>
      <c r="J2428" s="21">
        <f>IF(C2428="","",IFERROR(INDEX(Clientes!$B:$B,MATCH(C2428,Clientes!$A:$A,0)),"Cód. não cadastrado"))</f>
        <v/>
      </c>
      <c r="K2428" s="18">
        <f>IF(B2428="","",YEAR(B2428))</f>
        <v/>
      </c>
      <c r="L2428" s="18">
        <f>IF(B2428="","",MONTH(B2428))</f>
        <v/>
      </c>
      <c r="M2428" s="18">
        <f>IF(OR(B2428="",I2428=""),"",I2428-B2428)</f>
        <v/>
      </c>
      <c r="N2428" s="21">
        <f>IF(B2428="","",IF(I2428="",IF(H2428="","",IF(TODAY()&gt;H2428,"Atrasado (em aberto)","Em aberto")),IF(I2428&lt;=H2428,"No prazo","Fora do prazo")))</f>
        <v/>
      </c>
    </row>
    <row r="2429">
      <c r="B2429" s="22" t="n"/>
      <c r="E2429" s="23" t="n"/>
      <c r="F2429" s="24" t="n"/>
      <c r="H2429" s="22" t="n"/>
      <c r="I2429" s="22" t="n"/>
      <c r="J2429" s="21">
        <f>IF(C2429="","",IFERROR(INDEX(Clientes!$B:$B,MATCH(C2429,Clientes!$A:$A,0)),"Cód. não cadastrado"))</f>
        <v/>
      </c>
      <c r="K2429" s="18">
        <f>IF(B2429="","",YEAR(B2429))</f>
        <v/>
      </c>
      <c r="L2429" s="18">
        <f>IF(B2429="","",MONTH(B2429))</f>
        <v/>
      </c>
      <c r="M2429" s="18">
        <f>IF(OR(B2429="",I2429=""),"",I2429-B2429)</f>
        <v/>
      </c>
      <c r="N2429" s="21">
        <f>IF(B2429="","",IF(I2429="",IF(H2429="","",IF(TODAY()&gt;H2429,"Atrasado (em aberto)","Em aberto")),IF(I2429&lt;=H2429,"No prazo","Fora do prazo")))</f>
        <v/>
      </c>
    </row>
    <row r="2430">
      <c r="B2430" s="22" t="n"/>
      <c r="E2430" s="23" t="n"/>
      <c r="F2430" s="24" t="n"/>
      <c r="H2430" s="22" t="n"/>
      <c r="I2430" s="22" t="n"/>
      <c r="J2430" s="21">
        <f>IF(C2430="","",IFERROR(INDEX(Clientes!$B:$B,MATCH(C2430,Clientes!$A:$A,0)),"Cód. não cadastrado"))</f>
        <v/>
      </c>
      <c r="K2430" s="18">
        <f>IF(B2430="","",YEAR(B2430))</f>
        <v/>
      </c>
      <c r="L2430" s="18">
        <f>IF(B2430="","",MONTH(B2430))</f>
        <v/>
      </c>
      <c r="M2430" s="18">
        <f>IF(OR(B2430="",I2430=""),"",I2430-B2430)</f>
        <v/>
      </c>
      <c r="N2430" s="21">
        <f>IF(B2430="","",IF(I2430="",IF(H2430="","",IF(TODAY()&gt;H2430,"Atrasado (em aberto)","Em aberto")),IF(I2430&lt;=H2430,"No prazo","Fora do prazo")))</f>
        <v/>
      </c>
    </row>
    <row r="2431">
      <c r="B2431" s="22" t="n"/>
      <c r="E2431" s="23" t="n"/>
      <c r="F2431" s="24" t="n"/>
      <c r="H2431" s="22" t="n"/>
      <c r="I2431" s="22" t="n"/>
      <c r="J2431" s="21">
        <f>IF(C2431="","",IFERROR(INDEX(Clientes!$B:$B,MATCH(C2431,Clientes!$A:$A,0)),"Cód. não cadastrado"))</f>
        <v/>
      </c>
      <c r="K2431" s="18">
        <f>IF(B2431="","",YEAR(B2431))</f>
        <v/>
      </c>
      <c r="L2431" s="18">
        <f>IF(B2431="","",MONTH(B2431))</f>
        <v/>
      </c>
      <c r="M2431" s="18">
        <f>IF(OR(B2431="",I2431=""),"",I2431-B2431)</f>
        <v/>
      </c>
      <c r="N2431" s="21">
        <f>IF(B2431="","",IF(I2431="",IF(H2431="","",IF(TODAY()&gt;H2431,"Atrasado (em aberto)","Em aberto")),IF(I2431&lt;=H2431,"No prazo","Fora do prazo")))</f>
        <v/>
      </c>
    </row>
    <row r="2432">
      <c r="B2432" s="22" t="n"/>
      <c r="E2432" s="23" t="n"/>
      <c r="F2432" s="24" t="n"/>
      <c r="H2432" s="22" t="n"/>
      <c r="I2432" s="22" t="n"/>
      <c r="J2432" s="21">
        <f>IF(C2432="","",IFERROR(INDEX(Clientes!$B:$B,MATCH(C2432,Clientes!$A:$A,0)),"Cód. não cadastrado"))</f>
        <v/>
      </c>
      <c r="K2432" s="18">
        <f>IF(B2432="","",YEAR(B2432))</f>
        <v/>
      </c>
      <c r="L2432" s="18">
        <f>IF(B2432="","",MONTH(B2432))</f>
        <v/>
      </c>
      <c r="M2432" s="18">
        <f>IF(OR(B2432="",I2432=""),"",I2432-B2432)</f>
        <v/>
      </c>
      <c r="N2432" s="21">
        <f>IF(B2432="","",IF(I2432="",IF(H2432="","",IF(TODAY()&gt;H2432,"Atrasado (em aberto)","Em aberto")),IF(I2432&lt;=H2432,"No prazo","Fora do prazo")))</f>
        <v/>
      </c>
    </row>
    <row r="2433">
      <c r="B2433" s="22" t="n"/>
      <c r="E2433" s="23" t="n"/>
      <c r="F2433" s="24" t="n"/>
      <c r="H2433" s="22" t="n"/>
      <c r="I2433" s="22" t="n"/>
      <c r="J2433" s="21">
        <f>IF(C2433="","",IFERROR(INDEX(Clientes!$B:$B,MATCH(C2433,Clientes!$A:$A,0)),"Cód. não cadastrado"))</f>
        <v/>
      </c>
      <c r="K2433" s="18">
        <f>IF(B2433="","",YEAR(B2433))</f>
        <v/>
      </c>
      <c r="L2433" s="18">
        <f>IF(B2433="","",MONTH(B2433))</f>
        <v/>
      </c>
      <c r="M2433" s="18">
        <f>IF(OR(B2433="",I2433=""),"",I2433-B2433)</f>
        <v/>
      </c>
      <c r="N2433" s="21">
        <f>IF(B2433="","",IF(I2433="",IF(H2433="","",IF(TODAY()&gt;H2433,"Atrasado (em aberto)","Em aberto")),IF(I2433&lt;=H2433,"No prazo","Fora do prazo")))</f>
        <v/>
      </c>
    </row>
    <row r="2434">
      <c r="B2434" s="22" t="n"/>
      <c r="E2434" s="23" t="n"/>
      <c r="F2434" s="24" t="n"/>
      <c r="H2434" s="22" t="n"/>
      <c r="I2434" s="22" t="n"/>
      <c r="J2434" s="21">
        <f>IF(C2434="","",IFERROR(INDEX(Clientes!$B:$B,MATCH(C2434,Clientes!$A:$A,0)),"Cód. não cadastrado"))</f>
        <v/>
      </c>
      <c r="K2434" s="18">
        <f>IF(B2434="","",YEAR(B2434))</f>
        <v/>
      </c>
      <c r="L2434" s="18">
        <f>IF(B2434="","",MONTH(B2434))</f>
        <v/>
      </c>
      <c r="M2434" s="18">
        <f>IF(OR(B2434="",I2434=""),"",I2434-B2434)</f>
        <v/>
      </c>
      <c r="N2434" s="21">
        <f>IF(B2434="","",IF(I2434="",IF(H2434="","",IF(TODAY()&gt;H2434,"Atrasado (em aberto)","Em aberto")),IF(I2434&lt;=H2434,"No prazo","Fora do prazo")))</f>
        <v/>
      </c>
    </row>
    <row r="2435">
      <c r="B2435" s="22" t="n"/>
      <c r="E2435" s="23" t="n"/>
      <c r="F2435" s="24" t="n"/>
      <c r="H2435" s="22" t="n"/>
      <c r="I2435" s="22" t="n"/>
      <c r="J2435" s="21">
        <f>IF(C2435="","",IFERROR(INDEX(Clientes!$B:$B,MATCH(C2435,Clientes!$A:$A,0)),"Cód. não cadastrado"))</f>
        <v/>
      </c>
      <c r="K2435" s="18">
        <f>IF(B2435="","",YEAR(B2435))</f>
        <v/>
      </c>
      <c r="L2435" s="18">
        <f>IF(B2435="","",MONTH(B2435))</f>
        <v/>
      </c>
      <c r="M2435" s="18">
        <f>IF(OR(B2435="",I2435=""),"",I2435-B2435)</f>
        <v/>
      </c>
      <c r="N2435" s="21">
        <f>IF(B2435="","",IF(I2435="",IF(H2435="","",IF(TODAY()&gt;H2435,"Atrasado (em aberto)","Em aberto")),IF(I2435&lt;=H2435,"No prazo","Fora do prazo")))</f>
        <v/>
      </c>
    </row>
    <row r="2436">
      <c r="B2436" s="22" t="n"/>
      <c r="E2436" s="23" t="n"/>
      <c r="F2436" s="24" t="n"/>
      <c r="H2436" s="22" t="n"/>
      <c r="I2436" s="22" t="n"/>
      <c r="J2436" s="21">
        <f>IF(C2436="","",IFERROR(INDEX(Clientes!$B:$B,MATCH(C2436,Clientes!$A:$A,0)),"Cód. não cadastrado"))</f>
        <v/>
      </c>
      <c r="K2436" s="18">
        <f>IF(B2436="","",YEAR(B2436))</f>
        <v/>
      </c>
      <c r="L2436" s="18">
        <f>IF(B2436="","",MONTH(B2436))</f>
        <v/>
      </c>
      <c r="M2436" s="18">
        <f>IF(OR(B2436="",I2436=""),"",I2436-B2436)</f>
        <v/>
      </c>
      <c r="N2436" s="21">
        <f>IF(B2436="","",IF(I2436="",IF(H2436="","",IF(TODAY()&gt;H2436,"Atrasado (em aberto)","Em aberto")),IF(I2436&lt;=H2436,"No prazo","Fora do prazo")))</f>
        <v/>
      </c>
    </row>
    <row r="2437">
      <c r="B2437" s="22" t="n"/>
      <c r="E2437" s="23" t="n"/>
      <c r="F2437" s="24" t="n"/>
      <c r="H2437" s="22" t="n"/>
      <c r="I2437" s="22" t="n"/>
      <c r="J2437" s="21">
        <f>IF(C2437="","",IFERROR(INDEX(Clientes!$B:$B,MATCH(C2437,Clientes!$A:$A,0)),"Cód. não cadastrado"))</f>
        <v/>
      </c>
      <c r="K2437" s="18">
        <f>IF(B2437="","",YEAR(B2437))</f>
        <v/>
      </c>
      <c r="L2437" s="18">
        <f>IF(B2437="","",MONTH(B2437))</f>
        <v/>
      </c>
      <c r="M2437" s="18">
        <f>IF(OR(B2437="",I2437=""),"",I2437-B2437)</f>
        <v/>
      </c>
      <c r="N2437" s="21">
        <f>IF(B2437="","",IF(I2437="",IF(H2437="","",IF(TODAY()&gt;H2437,"Atrasado (em aberto)","Em aberto")),IF(I2437&lt;=H2437,"No prazo","Fora do prazo")))</f>
        <v/>
      </c>
    </row>
    <row r="2438">
      <c r="B2438" s="22" t="n"/>
      <c r="E2438" s="23" t="n"/>
      <c r="F2438" s="24" t="n"/>
      <c r="H2438" s="22" t="n"/>
      <c r="I2438" s="22" t="n"/>
      <c r="J2438" s="21">
        <f>IF(C2438="","",IFERROR(INDEX(Clientes!$B:$B,MATCH(C2438,Clientes!$A:$A,0)),"Cód. não cadastrado"))</f>
        <v/>
      </c>
      <c r="K2438" s="18">
        <f>IF(B2438="","",YEAR(B2438))</f>
        <v/>
      </c>
      <c r="L2438" s="18">
        <f>IF(B2438="","",MONTH(B2438))</f>
        <v/>
      </c>
      <c r="M2438" s="18">
        <f>IF(OR(B2438="",I2438=""),"",I2438-B2438)</f>
        <v/>
      </c>
      <c r="N2438" s="21">
        <f>IF(B2438="","",IF(I2438="",IF(H2438="","",IF(TODAY()&gt;H2438,"Atrasado (em aberto)","Em aberto")),IF(I2438&lt;=H2438,"No prazo","Fora do prazo")))</f>
        <v/>
      </c>
    </row>
    <row r="2439">
      <c r="B2439" s="22" t="n"/>
      <c r="E2439" s="23" t="n"/>
      <c r="F2439" s="24" t="n"/>
      <c r="H2439" s="22" t="n"/>
      <c r="I2439" s="22" t="n"/>
      <c r="J2439" s="21">
        <f>IF(C2439="","",IFERROR(INDEX(Clientes!$B:$B,MATCH(C2439,Clientes!$A:$A,0)),"Cód. não cadastrado"))</f>
        <v/>
      </c>
      <c r="K2439" s="18">
        <f>IF(B2439="","",YEAR(B2439))</f>
        <v/>
      </c>
      <c r="L2439" s="18">
        <f>IF(B2439="","",MONTH(B2439))</f>
        <v/>
      </c>
      <c r="M2439" s="18">
        <f>IF(OR(B2439="",I2439=""),"",I2439-B2439)</f>
        <v/>
      </c>
      <c r="N2439" s="21">
        <f>IF(B2439="","",IF(I2439="",IF(H2439="","",IF(TODAY()&gt;H2439,"Atrasado (em aberto)","Em aberto")),IF(I2439&lt;=H2439,"No prazo","Fora do prazo")))</f>
        <v/>
      </c>
    </row>
    <row r="2440">
      <c r="B2440" s="22" t="n"/>
      <c r="E2440" s="23" t="n"/>
      <c r="F2440" s="24" t="n"/>
      <c r="H2440" s="22" t="n"/>
      <c r="I2440" s="22" t="n"/>
      <c r="J2440" s="21">
        <f>IF(C2440="","",IFERROR(INDEX(Clientes!$B:$B,MATCH(C2440,Clientes!$A:$A,0)),"Cód. não cadastrado"))</f>
        <v/>
      </c>
      <c r="K2440" s="18">
        <f>IF(B2440="","",YEAR(B2440))</f>
        <v/>
      </c>
      <c r="L2440" s="18">
        <f>IF(B2440="","",MONTH(B2440))</f>
        <v/>
      </c>
      <c r="M2440" s="18">
        <f>IF(OR(B2440="",I2440=""),"",I2440-B2440)</f>
        <v/>
      </c>
      <c r="N2440" s="21">
        <f>IF(B2440="","",IF(I2440="",IF(H2440="","",IF(TODAY()&gt;H2440,"Atrasado (em aberto)","Em aberto")),IF(I2440&lt;=H2440,"No prazo","Fora do prazo")))</f>
        <v/>
      </c>
    </row>
    <row r="2441">
      <c r="B2441" s="22" t="n"/>
      <c r="E2441" s="23" t="n"/>
      <c r="F2441" s="24" t="n"/>
      <c r="H2441" s="22" t="n"/>
      <c r="I2441" s="22" t="n"/>
      <c r="J2441" s="21">
        <f>IF(C2441="","",IFERROR(INDEX(Clientes!$B:$B,MATCH(C2441,Clientes!$A:$A,0)),"Cód. não cadastrado"))</f>
        <v/>
      </c>
      <c r="K2441" s="18">
        <f>IF(B2441="","",YEAR(B2441))</f>
        <v/>
      </c>
      <c r="L2441" s="18">
        <f>IF(B2441="","",MONTH(B2441))</f>
        <v/>
      </c>
      <c r="M2441" s="18">
        <f>IF(OR(B2441="",I2441=""),"",I2441-B2441)</f>
        <v/>
      </c>
      <c r="N2441" s="21">
        <f>IF(B2441="","",IF(I2441="",IF(H2441="","",IF(TODAY()&gt;H2441,"Atrasado (em aberto)","Em aberto")),IF(I2441&lt;=H2441,"No prazo","Fora do prazo")))</f>
        <v/>
      </c>
    </row>
    <row r="2442">
      <c r="B2442" s="22" t="n"/>
      <c r="E2442" s="23" t="n"/>
      <c r="F2442" s="24" t="n"/>
      <c r="H2442" s="22" t="n"/>
      <c r="I2442" s="22" t="n"/>
      <c r="J2442" s="21">
        <f>IF(C2442="","",IFERROR(INDEX(Clientes!$B:$B,MATCH(C2442,Clientes!$A:$A,0)),"Cód. não cadastrado"))</f>
        <v/>
      </c>
      <c r="K2442" s="18">
        <f>IF(B2442="","",YEAR(B2442))</f>
        <v/>
      </c>
      <c r="L2442" s="18">
        <f>IF(B2442="","",MONTH(B2442))</f>
        <v/>
      </c>
      <c r="M2442" s="18">
        <f>IF(OR(B2442="",I2442=""),"",I2442-B2442)</f>
        <v/>
      </c>
      <c r="N2442" s="21">
        <f>IF(B2442="","",IF(I2442="",IF(H2442="","",IF(TODAY()&gt;H2442,"Atrasado (em aberto)","Em aberto")),IF(I2442&lt;=H2442,"No prazo","Fora do prazo")))</f>
        <v/>
      </c>
    </row>
    <row r="2443">
      <c r="B2443" s="22" t="n"/>
      <c r="E2443" s="23" t="n"/>
      <c r="F2443" s="24" t="n"/>
      <c r="H2443" s="22" t="n"/>
      <c r="I2443" s="22" t="n"/>
      <c r="J2443" s="21">
        <f>IF(C2443="","",IFERROR(INDEX(Clientes!$B:$B,MATCH(C2443,Clientes!$A:$A,0)),"Cód. não cadastrado"))</f>
        <v/>
      </c>
      <c r="K2443" s="18">
        <f>IF(B2443="","",YEAR(B2443))</f>
        <v/>
      </c>
      <c r="L2443" s="18">
        <f>IF(B2443="","",MONTH(B2443))</f>
        <v/>
      </c>
      <c r="M2443" s="18">
        <f>IF(OR(B2443="",I2443=""),"",I2443-B2443)</f>
        <v/>
      </c>
      <c r="N2443" s="21">
        <f>IF(B2443="","",IF(I2443="",IF(H2443="","",IF(TODAY()&gt;H2443,"Atrasado (em aberto)","Em aberto")),IF(I2443&lt;=H2443,"No prazo","Fora do prazo")))</f>
        <v/>
      </c>
    </row>
    <row r="2444">
      <c r="B2444" s="22" t="n"/>
      <c r="E2444" s="23" t="n"/>
      <c r="F2444" s="24" t="n"/>
      <c r="H2444" s="22" t="n"/>
      <c r="I2444" s="22" t="n"/>
      <c r="J2444" s="21">
        <f>IF(C2444="","",IFERROR(INDEX(Clientes!$B:$B,MATCH(C2444,Clientes!$A:$A,0)),"Cód. não cadastrado"))</f>
        <v/>
      </c>
      <c r="K2444" s="18">
        <f>IF(B2444="","",YEAR(B2444))</f>
        <v/>
      </c>
      <c r="L2444" s="18">
        <f>IF(B2444="","",MONTH(B2444))</f>
        <v/>
      </c>
      <c r="M2444" s="18">
        <f>IF(OR(B2444="",I2444=""),"",I2444-B2444)</f>
        <v/>
      </c>
      <c r="N2444" s="21">
        <f>IF(B2444="","",IF(I2444="",IF(H2444="","",IF(TODAY()&gt;H2444,"Atrasado (em aberto)","Em aberto")),IF(I2444&lt;=H2444,"No prazo","Fora do prazo")))</f>
        <v/>
      </c>
    </row>
    <row r="2445">
      <c r="B2445" s="22" t="n"/>
      <c r="E2445" s="23" t="n"/>
      <c r="F2445" s="24" t="n"/>
      <c r="H2445" s="22" t="n"/>
      <c r="I2445" s="22" t="n"/>
      <c r="J2445" s="21">
        <f>IF(C2445="","",IFERROR(INDEX(Clientes!$B:$B,MATCH(C2445,Clientes!$A:$A,0)),"Cód. não cadastrado"))</f>
        <v/>
      </c>
      <c r="K2445" s="18">
        <f>IF(B2445="","",YEAR(B2445))</f>
        <v/>
      </c>
      <c r="L2445" s="18">
        <f>IF(B2445="","",MONTH(B2445))</f>
        <v/>
      </c>
      <c r="M2445" s="18">
        <f>IF(OR(B2445="",I2445=""),"",I2445-B2445)</f>
        <v/>
      </c>
      <c r="N2445" s="21">
        <f>IF(B2445="","",IF(I2445="",IF(H2445="","",IF(TODAY()&gt;H2445,"Atrasado (em aberto)","Em aberto")),IF(I2445&lt;=H2445,"No prazo","Fora do prazo")))</f>
        <v/>
      </c>
    </row>
    <row r="2446">
      <c r="B2446" s="22" t="n"/>
      <c r="E2446" s="23" t="n"/>
      <c r="F2446" s="24" t="n"/>
      <c r="H2446" s="22" t="n"/>
      <c r="I2446" s="22" t="n"/>
      <c r="J2446" s="21">
        <f>IF(C2446="","",IFERROR(INDEX(Clientes!$B:$B,MATCH(C2446,Clientes!$A:$A,0)),"Cód. não cadastrado"))</f>
        <v/>
      </c>
      <c r="K2446" s="18">
        <f>IF(B2446="","",YEAR(B2446))</f>
        <v/>
      </c>
      <c r="L2446" s="18">
        <f>IF(B2446="","",MONTH(B2446))</f>
        <v/>
      </c>
      <c r="M2446" s="18">
        <f>IF(OR(B2446="",I2446=""),"",I2446-B2446)</f>
        <v/>
      </c>
      <c r="N2446" s="21">
        <f>IF(B2446="","",IF(I2446="",IF(H2446="","",IF(TODAY()&gt;H2446,"Atrasado (em aberto)","Em aberto")),IF(I2446&lt;=H2446,"No prazo","Fora do prazo")))</f>
        <v/>
      </c>
    </row>
    <row r="2447">
      <c r="B2447" s="22" t="n"/>
      <c r="E2447" s="23" t="n"/>
      <c r="F2447" s="24" t="n"/>
      <c r="H2447" s="22" t="n"/>
      <c r="I2447" s="22" t="n"/>
      <c r="J2447" s="21">
        <f>IF(C2447="","",IFERROR(INDEX(Clientes!$B:$B,MATCH(C2447,Clientes!$A:$A,0)),"Cód. não cadastrado"))</f>
        <v/>
      </c>
      <c r="K2447" s="18">
        <f>IF(B2447="","",YEAR(B2447))</f>
        <v/>
      </c>
      <c r="L2447" s="18">
        <f>IF(B2447="","",MONTH(B2447))</f>
        <v/>
      </c>
      <c r="M2447" s="18">
        <f>IF(OR(B2447="",I2447=""),"",I2447-B2447)</f>
        <v/>
      </c>
      <c r="N2447" s="21">
        <f>IF(B2447="","",IF(I2447="",IF(H2447="","",IF(TODAY()&gt;H2447,"Atrasado (em aberto)","Em aberto")),IF(I2447&lt;=H2447,"No prazo","Fora do prazo")))</f>
        <v/>
      </c>
    </row>
    <row r="2448">
      <c r="B2448" s="22" t="n"/>
      <c r="E2448" s="23" t="n"/>
      <c r="F2448" s="24" t="n"/>
      <c r="H2448" s="22" t="n"/>
      <c r="I2448" s="22" t="n"/>
      <c r="J2448" s="21">
        <f>IF(C2448="","",IFERROR(INDEX(Clientes!$B:$B,MATCH(C2448,Clientes!$A:$A,0)),"Cód. não cadastrado"))</f>
        <v/>
      </c>
      <c r="K2448" s="18">
        <f>IF(B2448="","",YEAR(B2448))</f>
        <v/>
      </c>
      <c r="L2448" s="18">
        <f>IF(B2448="","",MONTH(B2448))</f>
        <v/>
      </c>
      <c r="M2448" s="18">
        <f>IF(OR(B2448="",I2448=""),"",I2448-B2448)</f>
        <v/>
      </c>
      <c r="N2448" s="21">
        <f>IF(B2448="","",IF(I2448="",IF(H2448="","",IF(TODAY()&gt;H2448,"Atrasado (em aberto)","Em aberto")),IF(I2448&lt;=H2448,"No prazo","Fora do prazo")))</f>
        <v/>
      </c>
    </row>
    <row r="2449">
      <c r="B2449" s="22" t="n"/>
      <c r="E2449" s="23" t="n"/>
      <c r="F2449" s="24" t="n"/>
      <c r="H2449" s="22" t="n"/>
      <c r="I2449" s="22" t="n"/>
      <c r="J2449" s="21">
        <f>IF(C2449="","",IFERROR(INDEX(Clientes!$B:$B,MATCH(C2449,Clientes!$A:$A,0)),"Cód. não cadastrado"))</f>
        <v/>
      </c>
      <c r="K2449" s="18">
        <f>IF(B2449="","",YEAR(B2449))</f>
        <v/>
      </c>
      <c r="L2449" s="18">
        <f>IF(B2449="","",MONTH(B2449))</f>
        <v/>
      </c>
      <c r="M2449" s="18">
        <f>IF(OR(B2449="",I2449=""),"",I2449-B2449)</f>
        <v/>
      </c>
      <c r="N2449" s="21">
        <f>IF(B2449="","",IF(I2449="",IF(H2449="","",IF(TODAY()&gt;H2449,"Atrasado (em aberto)","Em aberto")),IF(I2449&lt;=H2449,"No prazo","Fora do prazo")))</f>
        <v/>
      </c>
    </row>
    <row r="2450">
      <c r="B2450" s="22" t="n"/>
      <c r="E2450" s="23" t="n"/>
      <c r="F2450" s="24" t="n"/>
      <c r="H2450" s="22" t="n"/>
      <c r="I2450" s="22" t="n"/>
      <c r="J2450" s="21">
        <f>IF(C2450="","",IFERROR(INDEX(Clientes!$B:$B,MATCH(C2450,Clientes!$A:$A,0)),"Cód. não cadastrado"))</f>
        <v/>
      </c>
      <c r="K2450" s="18">
        <f>IF(B2450="","",YEAR(B2450))</f>
        <v/>
      </c>
      <c r="L2450" s="18">
        <f>IF(B2450="","",MONTH(B2450))</f>
        <v/>
      </c>
      <c r="M2450" s="18">
        <f>IF(OR(B2450="",I2450=""),"",I2450-B2450)</f>
        <v/>
      </c>
      <c r="N2450" s="21">
        <f>IF(B2450="","",IF(I2450="",IF(H2450="","",IF(TODAY()&gt;H2450,"Atrasado (em aberto)","Em aberto")),IF(I2450&lt;=H2450,"No prazo","Fora do prazo")))</f>
        <v/>
      </c>
    </row>
    <row r="2451">
      <c r="B2451" s="22" t="n"/>
      <c r="E2451" s="23" t="n"/>
      <c r="F2451" s="24" t="n"/>
      <c r="H2451" s="22" t="n"/>
      <c r="I2451" s="22" t="n"/>
      <c r="J2451" s="21">
        <f>IF(C2451="","",IFERROR(INDEX(Clientes!$B:$B,MATCH(C2451,Clientes!$A:$A,0)),"Cód. não cadastrado"))</f>
        <v/>
      </c>
      <c r="K2451" s="18">
        <f>IF(B2451="","",YEAR(B2451))</f>
        <v/>
      </c>
      <c r="L2451" s="18">
        <f>IF(B2451="","",MONTH(B2451))</f>
        <v/>
      </c>
      <c r="M2451" s="18">
        <f>IF(OR(B2451="",I2451=""),"",I2451-B2451)</f>
        <v/>
      </c>
      <c r="N2451" s="21">
        <f>IF(B2451="","",IF(I2451="",IF(H2451="","",IF(TODAY()&gt;H2451,"Atrasado (em aberto)","Em aberto")),IF(I2451&lt;=H2451,"No prazo","Fora do prazo")))</f>
        <v/>
      </c>
    </row>
    <row r="2452">
      <c r="B2452" s="22" t="n"/>
      <c r="E2452" s="23" t="n"/>
      <c r="F2452" s="24" t="n"/>
      <c r="H2452" s="22" t="n"/>
      <c r="I2452" s="22" t="n"/>
      <c r="J2452" s="21">
        <f>IF(C2452="","",IFERROR(INDEX(Clientes!$B:$B,MATCH(C2452,Clientes!$A:$A,0)),"Cód. não cadastrado"))</f>
        <v/>
      </c>
      <c r="K2452" s="18">
        <f>IF(B2452="","",YEAR(B2452))</f>
        <v/>
      </c>
      <c r="L2452" s="18">
        <f>IF(B2452="","",MONTH(B2452))</f>
        <v/>
      </c>
      <c r="M2452" s="18">
        <f>IF(OR(B2452="",I2452=""),"",I2452-B2452)</f>
        <v/>
      </c>
      <c r="N2452" s="21">
        <f>IF(B2452="","",IF(I2452="",IF(H2452="","",IF(TODAY()&gt;H2452,"Atrasado (em aberto)","Em aberto")),IF(I2452&lt;=H2452,"No prazo","Fora do prazo")))</f>
        <v/>
      </c>
    </row>
    <row r="2453">
      <c r="B2453" s="22" t="n"/>
      <c r="E2453" s="23" t="n"/>
      <c r="F2453" s="24" t="n"/>
      <c r="H2453" s="22" t="n"/>
      <c r="I2453" s="22" t="n"/>
      <c r="J2453" s="21">
        <f>IF(C2453="","",IFERROR(INDEX(Clientes!$B:$B,MATCH(C2453,Clientes!$A:$A,0)),"Cód. não cadastrado"))</f>
        <v/>
      </c>
      <c r="K2453" s="18">
        <f>IF(B2453="","",YEAR(B2453))</f>
        <v/>
      </c>
      <c r="L2453" s="18">
        <f>IF(B2453="","",MONTH(B2453))</f>
        <v/>
      </c>
      <c r="M2453" s="18">
        <f>IF(OR(B2453="",I2453=""),"",I2453-B2453)</f>
        <v/>
      </c>
      <c r="N2453" s="21">
        <f>IF(B2453="","",IF(I2453="",IF(H2453="","",IF(TODAY()&gt;H2453,"Atrasado (em aberto)","Em aberto")),IF(I2453&lt;=H2453,"No prazo","Fora do prazo")))</f>
        <v/>
      </c>
    </row>
    <row r="2454">
      <c r="B2454" s="22" t="n"/>
      <c r="E2454" s="23" t="n"/>
      <c r="F2454" s="24" t="n"/>
      <c r="H2454" s="22" t="n"/>
      <c r="I2454" s="22" t="n"/>
      <c r="J2454" s="21">
        <f>IF(C2454="","",IFERROR(INDEX(Clientes!$B:$B,MATCH(C2454,Clientes!$A:$A,0)),"Cód. não cadastrado"))</f>
        <v/>
      </c>
      <c r="K2454" s="18">
        <f>IF(B2454="","",YEAR(B2454))</f>
        <v/>
      </c>
      <c r="L2454" s="18">
        <f>IF(B2454="","",MONTH(B2454))</f>
        <v/>
      </c>
      <c r="M2454" s="18">
        <f>IF(OR(B2454="",I2454=""),"",I2454-B2454)</f>
        <v/>
      </c>
      <c r="N2454" s="21">
        <f>IF(B2454="","",IF(I2454="",IF(H2454="","",IF(TODAY()&gt;H2454,"Atrasado (em aberto)","Em aberto")),IF(I2454&lt;=H2454,"No prazo","Fora do prazo")))</f>
        <v/>
      </c>
    </row>
    <row r="2455">
      <c r="B2455" s="22" t="n"/>
      <c r="E2455" s="23" t="n"/>
      <c r="F2455" s="24" t="n"/>
      <c r="H2455" s="22" t="n"/>
      <c r="I2455" s="22" t="n"/>
      <c r="J2455" s="21">
        <f>IF(C2455="","",IFERROR(INDEX(Clientes!$B:$B,MATCH(C2455,Clientes!$A:$A,0)),"Cód. não cadastrado"))</f>
        <v/>
      </c>
      <c r="K2455" s="18">
        <f>IF(B2455="","",YEAR(B2455))</f>
        <v/>
      </c>
      <c r="L2455" s="18">
        <f>IF(B2455="","",MONTH(B2455))</f>
        <v/>
      </c>
      <c r="M2455" s="18">
        <f>IF(OR(B2455="",I2455=""),"",I2455-B2455)</f>
        <v/>
      </c>
      <c r="N2455" s="21">
        <f>IF(B2455="","",IF(I2455="",IF(H2455="","",IF(TODAY()&gt;H2455,"Atrasado (em aberto)","Em aberto")),IF(I2455&lt;=H2455,"No prazo","Fora do prazo")))</f>
        <v/>
      </c>
    </row>
    <row r="2456">
      <c r="B2456" s="22" t="n"/>
      <c r="E2456" s="23" t="n"/>
      <c r="F2456" s="24" t="n"/>
      <c r="H2456" s="22" t="n"/>
      <c r="I2456" s="22" t="n"/>
      <c r="J2456" s="21">
        <f>IF(C2456="","",IFERROR(INDEX(Clientes!$B:$B,MATCH(C2456,Clientes!$A:$A,0)),"Cód. não cadastrado"))</f>
        <v/>
      </c>
      <c r="K2456" s="18">
        <f>IF(B2456="","",YEAR(B2456))</f>
        <v/>
      </c>
      <c r="L2456" s="18">
        <f>IF(B2456="","",MONTH(B2456))</f>
        <v/>
      </c>
      <c r="M2456" s="18">
        <f>IF(OR(B2456="",I2456=""),"",I2456-B2456)</f>
        <v/>
      </c>
      <c r="N2456" s="21">
        <f>IF(B2456="","",IF(I2456="",IF(H2456="","",IF(TODAY()&gt;H2456,"Atrasado (em aberto)","Em aberto")),IF(I2456&lt;=H2456,"No prazo","Fora do prazo")))</f>
        <v/>
      </c>
    </row>
    <row r="2457">
      <c r="B2457" s="22" t="n"/>
      <c r="E2457" s="23" t="n"/>
      <c r="F2457" s="24" t="n"/>
      <c r="H2457" s="22" t="n"/>
      <c r="I2457" s="22" t="n"/>
      <c r="J2457" s="21">
        <f>IF(C2457="","",IFERROR(INDEX(Clientes!$B:$B,MATCH(C2457,Clientes!$A:$A,0)),"Cód. não cadastrado"))</f>
        <v/>
      </c>
      <c r="K2457" s="18">
        <f>IF(B2457="","",YEAR(B2457))</f>
        <v/>
      </c>
      <c r="L2457" s="18">
        <f>IF(B2457="","",MONTH(B2457))</f>
        <v/>
      </c>
      <c r="M2457" s="18">
        <f>IF(OR(B2457="",I2457=""),"",I2457-B2457)</f>
        <v/>
      </c>
      <c r="N2457" s="21">
        <f>IF(B2457="","",IF(I2457="",IF(H2457="","",IF(TODAY()&gt;H2457,"Atrasado (em aberto)","Em aberto")),IF(I2457&lt;=H2457,"No prazo","Fora do prazo")))</f>
        <v/>
      </c>
    </row>
    <row r="2458">
      <c r="B2458" s="22" t="n"/>
      <c r="E2458" s="23" t="n"/>
      <c r="F2458" s="24" t="n"/>
      <c r="H2458" s="22" t="n"/>
      <c r="I2458" s="22" t="n"/>
      <c r="J2458" s="21">
        <f>IF(C2458="","",IFERROR(INDEX(Clientes!$B:$B,MATCH(C2458,Clientes!$A:$A,0)),"Cód. não cadastrado"))</f>
        <v/>
      </c>
      <c r="K2458" s="18">
        <f>IF(B2458="","",YEAR(B2458))</f>
        <v/>
      </c>
      <c r="L2458" s="18">
        <f>IF(B2458="","",MONTH(B2458))</f>
        <v/>
      </c>
      <c r="M2458" s="18">
        <f>IF(OR(B2458="",I2458=""),"",I2458-B2458)</f>
        <v/>
      </c>
      <c r="N2458" s="21">
        <f>IF(B2458="","",IF(I2458="",IF(H2458="","",IF(TODAY()&gt;H2458,"Atrasado (em aberto)","Em aberto")),IF(I2458&lt;=H2458,"No prazo","Fora do prazo")))</f>
        <v/>
      </c>
    </row>
    <row r="2459">
      <c r="B2459" s="22" t="n"/>
      <c r="E2459" s="23" t="n"/>
      <c r="F2459" s="24" t="n"/>
      <c r="H2459" s="22" t="n"/>
      <c r="I2459" s="22" t="n"/>
      <c r="J2459" s="21">
        <f>IF(C2459="","",IFERROR(INDEX(Clientes!$B:$B,MATCH(C2459,Clientes!$A:$A,0)),"Cód. não cadastrado"))</f>
        <v/>
      </c>
      <c r="K2459" s="18">
        <f>IF(B2459="","",YEAR(B2459))</f>
        <v/>
      </c>
      <c r="L2459" s="18">
        <f>IF(B2459="","",MONTH(B2459))</f>
        <v/>
      </c>
      <c r="M2459" s="18">
        <f>IF(OR(B2459="",I2459=""),"",I2459-B2459)</f>
        <v/>
      </c>
      <c r="N2459" s="21">
        <f>IF(B2459="","",IF(I2459="",IF(H2459="","",IF(TODAY()&gt;H2459,"Atrasado (em aberto)","Em aberto")),IF(I2459&lt;=H2459,"No prazo","Fora do prazo")))</f>
        <v/>
      </c>
    </row>
    <row r="2460">
      <c r="B2460" s="22" t="n"/>
      <c r="E2460" s="23" t="n"/>
      <c r="F2460" s="24" t="n"/>
      <c r="H2460" s="22" t="n"/>
      <c r="I2460" s="22" t="n"/>
      <c r="J2460" s="21">
        <f>IF(C2460="","",IFERROR(INDEX(Clientes!$B:$B,MATCH(C2460,Clientes!$A:$A,0)),"Cód. não cadastrado"))</f>
        <v/>
      </c>
      <c r="K2460" s="18">
        <f>IF(B2460="","",YEAR(B2460))</f>
        <v/>
      </c>
      <c r="L2460" s="18">
        <f>IF(B2460="","",MONTH(B2460))</f>
        <v/>
      </c>
      <c r="M2460" s="18">
        <f>IF(OR(B2460="",I2460=""),"",I2460-B2460)</f>
        <v/>
      </c>
      <c r="N2460" s="21">
        <f>IF(B2460="","",IF(I2460="",IF(H2460="","",IF(TODAY()&gt;H2460,"Atrasado (em aberto)","Em aberto")),IF(I2460&lt;=H2460,"No prazo","Fora do prazo")))</f>
        <v/>
      </c>
    </row>
    <row r="2461">
      <c r="B2461" s="22" t="n"/>
      <c r="E2461" s="23" t="n"/>
      <c r="F2461" s="24" t="n"/>
      <c r="H2461" s="22" t="n"/>
      <c r="I2461" s="22" t="n"/>
      <c r="J2461" s="21">
        <f>IF(C2461="","",IFERROR(INDEX(Clientes!$B:$B,MATCH(C2461,Clientes!$A:$A,0)),"Cód. não cadastrado"))</f>
        <v/>
      </c>
      <c r="K2461" s="18">
        <f>IF(B2461="","",YEAR(B2461))</f>
        <v/>
      </c>
      <c r="L2461" s="18">
        <f>IF(B2461="","",MONTH(B2461))</f>
        <v/>
      </c>
      <c r="M2461" s="18">
        <f>IF(OR(B2461="",I2461=""),"",I2461-B2461)</f>
        <v/>
      </c>
      <c r="N2461" s="21">
        <f>IF(B2461="","",IF(I2461="",IF(H2461="","",IF(TODAY()&gt;H2461,"Atrasado (em aberto)","Em aberto")),IF(I2461&lt;=H2461,"No prazo","Fora do prazo")))</f>
        <v/>
      </c>
    </row>
    <row r="2462">
      <c r="B2462" s="22" t="n"/>
      <c r="E2462" s="23" t="n"/>
      <c r="F2462" s="24" t="n"/>
      <c r="H2462" s="22" t="n"/>
      <c r="I2462" s="22" t="n"/>
      <c r="J2462" s="21">
        <f>IF(C2462="","",IFERROR(INDEX(Clientes!$B:$B,MATCH(C2462,Clientes!$A:$A,0)),"Cód. não cadastrado"))</f>
        <v/>
      </c>
      <c r="K2462" s="18">
        <f>IF(B2462="","",YEAR(B2462))</f>
        <v/>
      </c>
      <c r="L2462" s="18">
        <f>IF(B2462="","",MONTH(B2462))</f>
        <v/>
      </c>
      <c r="M2462" s="18">
        <f>IF(OR(B2462="",I2462=""),"",I2462-B2462)</f>
        <v/>
      </c>
      <c r="N2462" s="21">
        <f>IF(B2462="","",IF(I2462="",IF(H2462="","",IF(TODAY()&gt;H2462,"Atrasado (em aberto)","Em aberto")),IF(I2462&lt;=H2462,"No prazo","Fora do prazo")))</f>
        <v/>
      </c>
    </row>
    <row r="2463">
      <c r="B2463" s="22" t="n"/>
      <c r="E2463" s="23" t="n"/>
      <c r="F2463" s="24" t="n"/>
      <c r="H2463" s="22" t="n"/>
      <c r="I2463" s="22" t="n"/>
      <c r="J2463" s="21">
        <f>IF(C2463="","",IFERROR(INDEX(Clientes!$B:$B,MATCH(C2463,Clientes!$A:$A,0)),"Cód. não cadastrado"))</f>
        <v/>
      </c>
      <c r="K2463" s="18">
        <f>IF(B2463="","",YEAR(B2463))</f>
        <v/>
      </c>
      <c r="L2463" s="18">
        <f>IF(B2463="","",MONTH(B2463))</f>
        <v/>
      </c>
      <c r="M2463" s="18">
        <f>IF(OR(B2463="",I2463=""),"",I2463-B2463)</f>
        <v/>
      </c>
      <c r="N2463" s="21">
        <f>IF(B2463="","",IF(I2463="",IF(H2463="","",IF(TODAY()&gt;H2463,"Atrasado (em aberto)","Em aberto")),IF(I2463&lt;=H2463,"No prazo","Fora do prazo")))</f>
        <v/>
      </c>
    </row>
    <row r="2464">
      <c r="B2464" s="22" t="n"/>
      <c r="E2464" s="23" t="n"/>
      <c r="F2464" s="24" t="n"/>
      <c r="H2464" s="22" t="n"/>
      <c r="I2464" s="22" t="n"/>
      <c r="J2464" s="21">
        <f>IF(C2464="","",IFERROR(INDEX(Clientes!$B:$B,MATCH(C2464,Clientes!$A:$A,0)),"Cód. não cadastrado"))</f>
        <v/>
      </c>
      <c r="K2464" s="18">
        <f>IF(B2464="","",YEAR(B2464))</f>
        <v/>
      </c>
      <c r="L2464" s="18">
        <f>IF(B2464="","",MONTH(B2464))</f>
        <v/>
      </c>
      <c r="M2464" s="18">
        <f>IF(OR(B2464="",I2464=""),"",I2464-B2464)</f>
        <v/>
      </c>
      <c r="N2464" s="21">
        <f>IF(B2464="","",IF(I2464="",IF(H2464="","",IF(TODAY()&gt;H2464,"Atrasado (em aberto)","Em aberto")),IF(I2464&lt;=H2464,"No prazo","Fora do prazo")))</f>
        <v/>
      </c>
    </row>
    <row r="2465">
      <c r="B2465" s="22" t="n"/>
      <c r="E2465" s="23" t="n"/>
      <c r="F2465" s="24" t="n"/>
      <c r="H2465" s="22" t="n"/>
      <c r="I2465" s="22" t="n"/>
      <c r="J2465" s="21">
        <f>IF(C2465="","",IFERROR(INDEX(Clientes!$B:$B,MATCH(C2465,Clientes!$A:$A,0)),"Cód. não cadastrado"))</f>
        <v/>
      </c>
      <c r="K2465" s="18">
        <f>IF(B2465="","",YEAR(B2465))</f>
        <v/>
      </c>
      <c r="L2465" s="18">
        <f>IF(B2465="","",MONTH(B2465))</f>
        <v/>
      </c>
      <c r="M2465" s="18">
        <f>IF(OR(B2465="",I2465=""),"",I2465-B2465)</f>
        <v/>
      </c>
      <c r="N2465" s="21">
        <f>IF(B2465="","",IF(I2465="",IF(H2465="","",IF(TODAY()&gt;H2465,"Atrasado (em aberto)","Em aberto")),IF(I2465&lt;=H2465,"No prazo","Fora do prazo")))</f>
        <v/>
      </c>
    </row>
    <row r="2466">
      <c r="B2466" s="22" t="n"/>
      <c r="E2466" s="23" t="n"/>
      <c r="F2466" s="24" t="n"/>
      <c r="H2466" s="22" t="n"/>
      <c r="I2466" s="22" t="n"/>
      <c r="J2466" s="21">
        <f>IF(C2466="","",IFERROR(INDEX(Clientes!$B:$B,MATCH(C2466,Clientes!$A:$A,0)),"Cód. não cadastrado"))</f>
        <v/>
      </c>
      <c r="K2466" s="18">
        <f>IF(B2466="","",YEAR(B2466))</f>
        <v/>
      </c>
      <c r="L2466" s="18">
        <f>IF(B2466="","",MONTH(B2466))</f>
        <v/>
      </c>
      <c r="M2466" s="18">
        <f>IF(OR(B2466="",I2466=""),"",I2466-B2466)</f>
        <v/>
      </c>
      <c r="N2466" s="21">
        <f>IF(B2466="","",IF(I2466="",IF(H2466="","",IF(TODAY()&gt;H2466,"Atrasado (em aberto)","Em aberto")),IF(I2466&lt;=H2466,"No prazo","Fora do prazo")))</f>
        <v/>
      </c>
    </row>
    <row r="2467">
      <c r="B2467" s="22" t="n"/>
      <c r="E2467" s="23" t="n"/>
      <c r="F2467" s="24" t="n"/>
      <c r="H2467" s="22" t="n"/>
      <c r="I2467" s="22" t="n"/>
      <c r="J2467" s="21">
        <f>IF(C2467="","",IFERROR(INDEX(Clientes!$B:$B,MATCH(C2467,Clientes!$A:$A,0)),"Cód. não cadastrado"))</f>
        <v/>
      </c>
      <c r="K2467" s="18">
        <f>IF(B2467="","",YEAR(B2467))</f>
        <v/>
      </c>
      <c r="L2467" s="18">
        <f>IF(B2467="","",MONTH(B2467))</f>
        <v/>
      </c>
      <c r="M2467" s="18">
        <f>IF(OR(B2467="",I2467=""),"",I2467-B2467)</f>
        <v/>
      </c>
      <c r="N2467" s="21">
        <f>IF(B2467="","",IF(I2467="",IF(H2467="","",IF(TODAY()&gt;H2467,"Atrasado (em aberto)","Em aberto")),IF(I2467&lt;=H2467,"No prazo","Fora do prazo")))</f>
        <v/>
      </c>
    </row>
    <row r="2468">
      <c r="B2468" s="22" t="n"/>
      <c r="E2468" s="23" t="n"/>
      <c r="F2468" s="24" t="n"/>
      <c r="H2468" s="22" t="n"/>
      <c r="I2468" s="22" t="n"/>
      <c r="J2468" s="21">
        <f>IF(C2468="","",IFERROR(INDEX(Clientes!$B:$B,MATCH(C2468,Clientes!$A:$A,0)),"Cód. não cadastrado"))</f>
        <v/>
      </c>
      <c r="K2468" s="18">
        <f>IF(B2468="","",YEAR(B2468))</f>
        <v/>
      </c>
      <c r="L2468" s="18">
        <f>IF(B2468="","",MONTH(B2468))</f>
        <v/>
      </c>
      <c r="M2468" s="18">
        <f>IF(OR(B2468="",I2468=""),"",I2468-B2468)</f>
        <v/>
      </c>
      <c r="N2468" s="21">
        <f>IF(B2468="","",IF(I2468="",IF(H2468="","",IF(TODAY()&gt;H2468,"Atrasado (em aberto)","Em aberto")),IF(I2468&lt;=H2468,"No prazo","Fora do prazo")))</f>
        <v/>
      </c>
    </row>
    <row r="2469">
      <c r="B2469" s="22" t="n"/>
      <c r="E2469" s="23" t="n"/>
      <c r="F2469" s="24" t="n"/>
      <c r="H2469" s="22" t="n"/>
      <c r="I2469" s="22" t="n"/>
      <c r="J2469" s="21">
        <f>IF(C2469="","",IFERROR(INDEX(Clientes!$B:$B,MATCH(C2469,Clientes!$A:$A,0)),"Cód. não cadastrado"))</f>
        <v/>
      </c>
      <c r="K2469" s="18">
        <f>IF(B2469="","",YEAR(B2469))</f>
        <v/>
      </c>
      <c r="L2469" s="18">
        <f>IF(B2469="","",MONTH(B2469))</f>
        <v/>
      </c>
      <c r="M2469" s="18">
        <f>IF(OR(B2469="",I2469=""),"",I2469-B2469)</f>
        <v/>
      </c>
      <c r="N2469" s="21">
        <f>IF(B2469="","",IF(I2469="",IF(H2469="","",IF(TODAY()&gt;H2469,"Atrasado (em aberto)","Em aberto")),IF(I2469&lt;=H2469,"No prazo","Fora do prazo")))</f>
        <v/>
      </c>
    </row>
    <row r="2470">
      <c r="B2470" s="22" t="n"/>
      <c r="E2470" s="23" t="n"/>
      <c r="F2470" s="24" t="n"/>
      <c r="H2470" s="22" t="n"/>
      <c r="I2470" s="22" t="n"/>
      <c r="J2470" s="21">
        <f>IF(C2470="","",IFERROR(INDEX(Clientes!$B:$B,MATCH(C2470,Clientes!$A:$A,0)),"Cód. não cadastrado"))</f>
        <v/>
      </c>
      <c r="K2470" s="18">
        <f>IF(B2470="","",YEAR(B2470))</f>
        <v/>
      </c>
      <c r="L2470" s="18">
        <f>IF(B2470="","",MONTH(B2470))</f>
        <v/>
      </c>
      <c r="M2470" s="18">
        <f>IF(OR(B2470="",I2470=""),"",I2470-B2470)</f>
        <v/>
      </c>
      <c r="N2470" s="21">
        <f>IF(B2470="","",IF(I2470="",IF(H2470="","",IF(TODAY()&gt;H2470,"Atrasado (em aberto)","Em aberto")),IF(I2470&lt;=H2470,"No prazo","Fora do prazo")))</f>
        <v/>
      </c>
    </row>
    <row r="2471">
      <c r="B2471" s="22" t="n"/>
      <c r="E2471" s="23" t="n"/>
      <c r="F2471" s="24" t="n"/>
      <c r="H2471" s="22" t="n"/>
      <c r="I2471" s="22" t="n"/>
      <c r="J2471" s="21">
        <f>IF(C2471="","",IFERROR(INDEX(Clientes!$B:$B,MATCH(C2471,Clientes!$A:$A,0)),"Cód. não cadastrado"))</f>
        <v/>
      </c>
      <c r="K2471" s="18">
        <f>IF(B2471="","",YEAR(B2471))</f>
        <v/>
      </c>
      <c r="L2471" s="18">
        <f>IF(B2471="","",MONTH(B2471))</f>
        <v/>
      </c>
      <c r="M2471" s="18">
        <f>IF(OR(B2471="",I2471=""),"",I2471-B2471)</f>
        <v/>
      </c>
      <c r="N2471" s="21">
        <f>IF(B2471="","",IF(I2471="",IF(H2471="","",IF(TODAY()&gt;H2471,"Atrasado (em aberto)","Em aberto")),IF(I2471&lt;=H2471,"No prazo","Fora do prazo")))</f>
        <v/>
      </c>
    </row>
    <row r="2472">
      <c r="B2472" s="22" t="n"/>
      <c r="E2472" s="23" t="n"/>
      <c r="F2472" s="24" t="n"/>
      <c r="H2472" s="22" t="n"/>
      <c r="I2472" s="22" t="n"/>
      <c r="J2472" s="21">
        <f>IF(C2472="","",IFERROR(INDEX(Clientes!$B:$B,MATCH(C2472,Clientes!$A:$A,0)),"Cód. não cadastrado"))</f>
        <v/>
      </c>
      <c r="K2472" s="18">
        <f>IF(B2472="","",YEAR(B2472))</f>
        <v/>
      </c>
      <c r="L2472" s="18">
        <f>IF(B2472="","",MONTH(B2472))</f>
        <v/>
      </c>
      <c r="M2472" s="18">
        <f>IF(OR(B2472="",I2472=""),"",I2472-B2472)</f>
        <v/>
      </c>
      <c r="N2472" s="21">
        <f>IF(B2472="","",IF(I2472="",IF(H2472="","",IF(TODAY()&gt;H2472,"Atrasado (em aberto)","Em aberto")),IF(I2472&lt;=H2472,"No prazo","Fora do prazo")))</f>
        <v/>
      </c>
    </row>
    <row r="2473">
      <c r="B2473" s="22" t="n"/>
      <c r="E2473" s="23" t="n"/>
      <c r="F2473" s="24" t="n"/>
      <c r="H2473" s="22" t="n"/>
      <c r="I2473" s="22" t="n"/>
      <c r="J2473" s="21">
        <f>IF(C2473="","",IFERROR(INDEX(Clientes!$B:$B,MATCH(C2473,Clientes!$A:$A,0)),"Cód. não cadastrado"))</f>
        <v/>
      </c>
      <c r="K2473" s="18">
        <f>IF(B2473="","",YEAR(B2473))</f>
        <v/>
      </c>
      <c r="L2473" s="18">
        <f>IF(B2473="","",MONTH(B2473))</f>
        <v/>
      </c>
      <c r="M2473" s="18">
        <f>IF(OR(B2473="",I2473=""),"",I2473-B2473)</f>
        <v/>
      </c>
      <c r="N2473" s="21">
        <f>IF(B2473="","",IF(I2473="",IF(H2473="","",IF(TODAY()&gt;H2473,"Atrasado (em aberto)","Em aberto")),IF(I2473&lt;=H2473,"No prazo","Fora do prazo")))</f>
        <v/>
      </c>
    </row>
    <row r="2474">
      <c r="B2474" s="22" t="n"/>
      <c r="E2474" s="23" t="n"/>
      <c r="F2474" s="24" t="n"/>
      <c r="H2474" s="22" t="n"/>
      <c r="I2474" s="22" t="n"/>
      <c r="J2474" s="21">
        <f>IF(C2474="","",IFERROR(INDEX(Clientes!$B:$B,MATCH(C2474,Clientes!$A:$A,0)),"Cód. não cadastrado"))</f>
        <v/>
      </c>
      <c r="K2474" s="18">
        <f>IF(B2474="","",YEAR(B2474))</f>
        <v/>
      </c>
      <c r="L2474" s="18">
        <f>IF(B2474="","",MONTH(B2474))</f>
        <v/>
      </c>
      <c r="M2474" s="18">
        <f>IF(OR(B2474="",I2474=""),"",I2474-B2474)</f>
        <v/>
      </c>
      <c r="N2474" s="21">
        <f>IF(B2474="","",IF(I2474="",IF(H2474="","",IF(TODAY()&gt;H2474,"Atrasado (em aberto)","Em aberto")),IF(I2474&lt;=H2474,"No prazo","Fora do prazo")))</f>
        <v/>
      </c>
    </row>
    <row r="2475">
      <c r="B2475" s="22" t="n"/>
      <c r="E2475" s="23" t="n"/>
      <c r="F2475" s="24" t="n"/>
      <c r="H2475" s="22" t="n"/>
      <c r="I2475" s="22" t="n"/>
      <c r="J2475" s="21">
        <f>IF(C2475="","",IFERROR(INDEX(Clientes!$B:$B,MATCH(C2475,Clientes!$A:$A,0)),"Cód. não cadastrado"))</f>
        <v/>
      </c>
      <c r="K2475" s="18">
        <f>IF(B2475="","",YEAR(B2475))</f>
        <v/>
      </c>
      <c r="L2475" s="18">
        <f>IF(B2475="","",MONTH(B2475))</f>
        <v/>
      </c>
      <c r="M2475" s="18">
        <f>IF(OR(B2475="",I2475=""),"",I2475-B2475)</f>
        <v/>
      </c>
      <c r="N2475" s="21">
        <f>IF(B2475="","",IF(I2475="",IF(H2475="","",IF(TODAY()&gt;H2475,"Atrasado (em aberto)","Em aberto")),IF(I2475&lt;=H2475,"No prazo","Fora do prazo")))</f>
        <v/>
      </c>
    </row>
    <row r="2476">
      <c r="B2476" s="22" t="n"/>
      <c r="E2476" s="23" t="n"/>
      <c r="F2476" s="24" t="n"/>
      <c r="H2476" s="22" t="n"/>
      <c r="I2476" s="22" t="n"/>
      <c r="J2476" s="21">
        <f>IF(C2476="","",IFERROR(INDEX(Clientes!$B:$B,MATCH(C2476,Clientes!$A:$A,0)),"Cód. não cadastrado"))</f>
        <v/>
      </c>
      <c r="K2476" s="18">
        <f>IF(B2476="","",YEAR(B2476))</f>
        <v/>
      </c>
      <c r="L2476" s="18">
        <f>IF(B2476="","",MONTH(B2476))</f>
        <v/>
      </c>
      <c r="M2476" s="18">
        <f>IF(OR(B2476="",I2476=""),"",I2476-B2476)</f>
        <v/>
      </c>
      <c r="N2476" s="21">
        <f>IF(B2476="","",IF(I2476="",IF(H2476="","",IF(TODAY()&gt;H2476,"Atrasado (em aberto)","Em aberto")),IF(I2476&lt;=H2476,"No prazo","Fora do prazo")))</f>
        <v/>
      </c>
    </row>
    <row r="2477">
      <c r="B2477" s="22" t="n"/>
      <c r="E2477" s="23" t="n"/>
      <c r="F2477" s="24" t="n"/>
      <c r="H2477" s="22" t="n"/>
      <c r="I2477" s="22" t="n"/>
      <c r="J2477" s="21">
        <f>IF(C2477="","",IFERROR(INDEX(Clientes!$B:$B,MATCH(C2477,Clientes!$A:$A,0)),"Cód. não cadastrado"))</f>
        <v/>
      </c>
      <c r="K2477" s="18">
        <f>IF(B2477="","",YEAR(B2477))</f>
        <v/>
      </c>
      <c r="L2477" s="18">
        <f>IF(B2477="","",MONTH(B2477))</f>
        <v/>
      </c>
      <c r="M2477" s="18">
        <f>IF(OR(B2477="",I2477=""),"",I2477-B2477)</f>
        <v/>
      </c>
      <c r="N2477" s="21">
        <f>IF(B2477="","",IF(I2477="",IF(H2477="","",IF(TODAY()&gt;H2477,"Atrasado (em aberto)","Em aberto")),IF(I2477&lt;=H2477,"No prazo","Fora do prazo")))</f>
        <v/>
      </c>
    </row>
    <row r="2478">
      <c r="B2478" s="22" t="n"/>
      <c r="E2478" s="23" t="n"/>
      <c r="F2478" s="24" t="n"/>
      <c r="H2478" s="22" t="n"/>
      <c r="I2478" s="22" t="n"/>
      <c r="J2478" s="21">
        <f>IF(C2478="","",IFERROR(INDEX(Clientes!$B:$B,MATCH(C2478,Clientes!$A:$A,0)),"Cód. não cadastrado"))</f>
        <v/>
      </c>
      <c r="K2478" s="18">
        <f>IF(B2478="","",YEAR(B2478))</f>
        <v/>
      </c>
      <c r="L2478" s="18">
        <f>IF(B2478="","",MONTH(B2478))</f>
        <v/>
      </c>
      <c r="M2478" s="18">
        <f>IF(OR(B2478="",I2478=""),"",I2478-B2478)</f>
        <v/>
      </c>
      <c r="N2478" s="21">
        <f>IF(B2478="","",IF(I2478="",IF(H2478="","",IF(TODAY()&gt;H2478,"Atrasado (em aberto)","Em aberto")),IF(I2478&lt;=H2478,"No prazo","Fora do prazo")))</f>
        <v/>
      </c>
    </row>
    <row r="2479">
      <c r="B2479" s="22" t="n"/>
      <c r="E2479" s="23" t="n"/>
      <c r="F2479" s="24" t="n"/>
      <c r="H2479" s="22" t="n"/>
      <c r="I2479" s="22" t="n"/>
      <c r="J2479" s="21">
        <f>IF(C2479="","",IFERROR(INDEX(Clientes!$B:$B,MATCH(C2479,Clientes!$A:$A,0)),"Cód. não cadastrado"))</f>
        <v/>
      </c>
      <c r="K2479" s="18">
        <f>IF(B2479="","",YEAR(B2479))</f>
        <v/>
      </c>
      <c r="L2479" s="18">
        <f>IF(B2479="","",MONTH(B2479))</f>
        <v/>
      </c>
      <c r="M2479" s="18">
        <f>IF(OR(B2479="",I2479=""),"",I2479-B2479)</f>
        <v/>
      </c>
      <c r="N2479" s="21">
        <f>IF(B2479="","",IF(I2479="",IF(H2479="","",IF(TODAY()&gt;H2479,"Atrasado (em aberto)","Em aberto")),IF(I2479&lt;=H2479,"No prazo","Fora do prazo")))</f>
        <v/>
      </c>
    </row>
    <row r="2480">
      <c r="B2480" s="22" t="n"/>
      <c r="E2480" s="23" t="n"/>
      <c r="F2480" s="24" t="n"/>
      <c r="H2480" s="22" t="n"/>
      <c r="I2480" s="22" t="n"/>
      <c r="J2480" s="21">
        <f>IF(C2480="","",IFERROR(INDEX(Clientes!$B:$B,MATCH(C2480,Clientes!$A:$A,0)),"Cód. não cadastrado"))</f>
        <v/>
      </c>
      <c r="K2480" s="18">
        <f>IF(B2480="","",YEAR(B2480))</f>
        <v/>
      </c>
      <c r="L2480" s="18">
        <f>IF(B2480="","",MONTH(B2480))</f>
        <v/>
      </c>
      <c r="M2480" s="18">
        <f>IF(OR(B2480="",I2480=""),"",I2480-B2480)</f>
        <v/>
      </c>
      <c r="N2480" s="21">
        <f>IF(B2480="","",IF(I2480="",IF(H2480="","",IF(TODAY()&gt;H2480,"Atrasado (em aberto)","Em aberto")),IF(I2480&lt;=H2480,"No prazo","Fora do prazo")))</f>
        <v/>
      </c>
    </row>
    <row r="2481">
      <c r="B2481" s="22" t="n"/>
      <c r="E2481" s="23" t="n"/>
      <c r="F2481" s="24" t="n"/>
      <c r="H2481" s="22" t="n"/>
      <c r="I2481" s="22" t="n"/>
      <c r="J2481" s="21">
        <f>IF(C2481="","",IFERROR(INDEX(Clientes!$B:$B,MATCH(C2481,Clientes!$A:$A,0)),"Cód. não cadastrado"))</f>
        <v/>
      </c>
      <c r="K2481" s="18">
        <f>IF(B2481="","",YEAR(B2481))</f>
        <v/>
      </c>
      <c r="L2481" s="18">
        <f>IF(B2481="","",MONTH(B2481))</f>
        <v/>
      </c>
      <c r="M2481" s="18">
        <f>IF(OR(B2481="",I2481=""),"",I2481-B2481)</f>
        <v/>
      </c>
      <c r="N2481" s="21">
        <f>IF(B2481="","",IF(I2481="",IF(H2481="","",IF(TODAY()&gt;H2481,"Atrasado (em aberto)","Em aberto")),IF(I2481&lt;=H2481,"No prazo","Fora do prazo")))</f>
        <v/>
      </c>
    </row>
    <row r="2482">
      <c r="B2482" s="22" t="n"/>
      <c r="E2482" s="23" t="n"/>
      <c r="F2482" s="24" t="n"/>
      <c r="H2482" s="22" t="n"/>
      <c r="I2482" s="22" t="n"/>
      <c r="J2482" s="21">
        <f>IF(C2482="","",IFERROR(INDEX(Clientes!$B:$B,MATCH(C2482,Clientes!$A:$A,0)),"Cód. não cadastrado"))</f>
        <v/>
      </c>
      <c r="K2482" s="18">
        <f>IF(B2482="","",YEAR(B2482))</f>
        <v/>
      </c>
      <c r="L2482" s="18">
        <f>IF(B2482="","",MONTH(B2482))</f>
        <v/>
      </c>
      <c r="M2482" s="18">
        <f>IF(OR(B2482="",I2482=""),"",I2482-B2482)</f>
        <v/>
      </c>
      <c r="N2482" s="21">
        <f>IF(B2482="","",IF(I2482="",IF(H2482="","",IF(TODAY()&gt;H2482,"Atrasado (em aberto)","Em aberto")),IF(I2482&lt;=H2482,"No prazo","Fora do prazo")))</f>
        <v/>
      </c>
    </row>
    <row r="2483">
      <c r="B2483" s="22" t="n"/>
      <c r="E2483" s="23" t="n"/>
      <c r="F2483" s="24" t="n"/>
      <c r="H2483" s="22" t="n"/>
      <c r="I2483" s="22" t="n"/>
      <c r="J2483" s="21">
        <f>IF(C2483="","",IFERROR(INDEX(Clientes!$B:$B,MATCH(C2483,Clientes!$A:$A,0)),"Cód. não cadastrado"))</f>
        <v/>
      </c>
      <c r="K2483" s="18">
        <f>IF(B2483="","",YEAR(B2483))</f>
        <v/>
      </c>
      <c r="L2483" s="18">
        <f>IF(B2483="","",MONTH(B2483))</f>
        <v/>
      </c>
      <c r="M2483" s="18">
        <f>IF(OR(B2483="",I2483=""),"",I2483-B2483)</f>
        <v/>
      </c>
      <c r="N2483" s="21">
        <f>IF(B2483="","",IF(I2483="",IF(H2483="","",IF(TODAY()&gt;H2483,"Atrasado (em aberto)","Em aberto")),IF(I2483&lt;=H2483,"No prazo","Fora do prazo")))</f>
        <v/>
      </c>
    </row>
    <row r="2484">
      <c r="B2484" s="22" t="n"/>
      <c r="E2484" s="23" t="n"/>
      <c r="F2484" s="24" t="n"/>
      <c r="H2484" s="22" t="n"/>
      <c r="I2484" s="22" t="n"/>
      <c r="J2484" s="21">
        <f>IF(C2484="","",IFERROR(INDEX(Clientes!$B:$B,MATCH(C2484,Clientes!$A:$A,0)),"Cód. não cadastrado"))</f>
        <v/>
      </c>
      <c r="K2484" s="18">
        <f>IF(B2484="","",YEAR(B2484))</f>
        <v/>
      </c>
      <c r="L2484" s="18">
        <f>IF(B2484="","",MONTH(B2484))</f>
        <v/>
      </c>
      <c r="M2484" s="18">
        <f>IF(OR(B2484="",I2484=""),"",I2484-B2484)</f>
        <v/>
      </c>
      <c r="N2484" s="21">
        <f>IF(B2484="","",IF(I2484="",IF(H2484="","",IF(TODAY()&gt;H2484,"Atrasado (em aberto)","Em aberto")),IF(I2484&lt;=H2484,"No prazo","Fora do prazo")))</f>
        <v/>
      </c>
    </row>
    <row r="2485">
      <c r="B2485" s="22" t="n"/>
      <c r="E2485" s="23" t="n"/>
      <c r="F2485" s="24" t="n"/>
      <c r="H2485" s="22" t="n"/>
      <c r="I2485" s="22" t="n"/>
      <c r="J2485" s="21">
        <f>IF(C2485="","",IFERROR(INDEX(Clientes!$B:$B,MATCH(C2485,Clientes!$A:$A,0)),"Cód. não cadastrado"))</f>
        <v/>
      </c>
      <c r="K2485" s="18">
        <f>IF(B2485="","",YEAR(B2485))</f>
        <v/>
      </c>
      <c r="L2485" s="18">
        <f>IF(B2485="","",MONTH(B2485))</f>
        <v/>
      </c>
      <c r="M2485" s="18">
        <f>IF(OR(B2485="",I2485=""),"",I2485-B2485)</f>
        <v/>
      </c>
      <c r="N2485" s="21">
        <f>IF(B2485="","",IF(I2485="",IF(H2485="","",IF(TODAY()&gt;H2485,"Atrasado (em aberto)","Em aberto")),IF(I2485&lt;=H2485,"No prazo","Fora do prazo")))</f>
        <v/>
      </c>
    </row>
    <row r="2486">
      <c r="B2486" s="22" t="n"/>
      <c r="E2486" s="23" t="n"/>
      <c r="F2486" s="24" t="n"/>
      <c r="H2486" s="22" t="n"/>
      <c r="I2486" s="22" t="n"/>
      <c r="J2486" s="21">
        <f>IF(C2486="","",IFERROR(INDEX(Clientes!$B:$B,MATCH(C2486,Clientes!$A:$A,0)),"Cód. não cadastrado"))</f>
        <v/>
      </c>
      <c r="K2486" s="18">
        <f>IF(B2486="","",YEAR(B2486))</f>
        <v/>
      </c>
      <c r="L2486" s="18">
        <f>IF(B2486="","",MONTH(B2486))</f>
        <v/>
      </c>
      <c r="M2486" s="18">
        <f>IF(OR(B2486="",I2486=""),"",I2486-B2486)</f>
        <v/>
      </c>
      <c r="N2486" s="21">
        <f>IF(B2486="","",IF(I2486="",IF(H2486="","",IF(TODAY()&gt;H2486,"Atrasado (em aberto)","Em aberto")),IF(I2486&lt;=H2486,"No prazo","Fora do prazo")))</f>
        <v/>
      </c>
    </row>
    <row r="2487">
      <c r="B2487" s="22" t="n"/>
      <c r="E2487" s="23" t="n"/>
      <c r="F2487" s="24" t="n"/>
      <c r="H2487" s="22" t="n"/>
      <c r="I2487" s="22" t="n"/>
      <c r="J2487" s="21">
        <f>IF(C2487="","",IFERROR(INDEX(Clientes!$B:$B,MATCH(C2487,Clientes!$A:$A,0)),"Cód. não cadastrado"))</f>
        <v/>
      </c>
      <c r="K2487" s="18">
        <f>IF(B2487="","",YEAR(B2487))</f>
        <v/>
      </c>
      <c r="L2487" s="18">
        <f>IF(B2487="","",MONTH(B2487))</f>
        <v/>
      </c>
      <c r="M2487" s="18">
        <f>IF(OR(B2487="",I2487=""),"",I2487-B2487)</f>
        <v/>
      </c>
      <c r="N2487" s="21">
        <f>IF(B2487="","",IF(I2487="",IF(H2487="","",IF(TODAY()&gt;H2487,"Atrasado (em aberto)","Em aberto")),IF(I2487&lt;=H2487,"No prazo","Fora do prazo")))</f>
        <v/>
      </c>
    </row>
    <row r="2488">
      <c r="B2488" s="22" t="n"/>
      <c r="E2488" s="23" t="n"/>
      <c r="F2488" s="24" t="n"/>
      <c r="H2488" s="22" t="n"/>
      <c r="I2488" s="22" t="n"/>
      <c r="J2488" s="21">
        <f>IF(C2488="","",IFERROR(INDEX(Clientes!$B:$B,MATCH(C2488,Clientes!$A:$A,0)),"Cód. não cadastrado"))</f>
        <v/>
      </c>
      <c r="K2488" s="18">
        <f>IF(B2488="","",YEAR(B2488))</f>
        <v/>
      </c>
      <c r="L2488" s="18">
        <f>IF(B2488="","",MONTH(B2488))</f>
        <v/>
      </c>
      <c r="M2488" s="18">
        <f>IF(OR(B2488="",I2488=""),"",I2488-B2488)</f>
        <v/>
      </c>
      <c r="N2488" s="21">
        <f>IF(B2488="","",IF(I2488="",IF(H2488="","",IF(TODAY()&gt;H2488,"Atrasado (em aberto)","Em aberto")),IF(I2488&lt;=H2488,"No prazo","Fora do prazo")))</f>
        <v/>
      </c>
    </row>
    <row r="2489">
      <c r="B2489" s="22" t="n"/>
      <c r="E2489" s="23" t="n"/>
      <c r="F2489" s="24" t="n"/>
      <c r="H2489" s="22" t="n"/>
      <c r="I2489" s="22" t="n"/>
      <c r="J2489" s="21">
        <f>IF(C2489="","",IFERROR(INDEX(Clientes!$B:$B,MATCH(C2489,Clientes!$A:$A,0)),"Cód. não cadastrado"))</f>
        <v/>
      </c>
      <c r="K2489" s="18">
        <f>IF(B2489="","",YEAR(B2489))</f>
        <v/>
      </c>
      <c r="L2489" s="18">
        <f>IF(B2489="","",MONTH(B2489))</f>
        <v/>
      </c>
      <c r="M2489" s="18">
        <f>IF(OR(B2489="",I2489=""),"",I2489-B2489)</f>
        <v/>
      </c>
      <c r="N2489" s="21">
        <f>IF(B2489="","",IF(I2489="",IF(H2489="","",IF(TODAY()&gt;H2489,"Atrasado (em aberto)","Em aberto")),IF(I2489&lt;=H2489,"No prazo","Fora do prazo")))</f>
        <v/>
      </c>
    </row>
    <row r="2490">
      <c r="B2490" s="22" t="n"/>
      <c r="E2490" s="23" t="n"/>
      <c r="F2490" s="24" t="n"/>
      <c r="H2490" s="22" t="n"/>
      <c r="I2490" s="22" t="n"/>
      <c r="J2490" s="21">
        <f>IF(C2490="","",IFERROR(INDEX(Clientes!$B:$B,MATCH(C2490,Clientes!$A:$A,0)),"Cód. não cadastrado"))</f>
        <v/>
      </c>
      <c r="K2490" s="18">
        <f>IF(B2490="","",YEAR(B2490))</f>
        <v/>
      </c>
      <c r="L2490" s="18">
        <f>IF(B2490="","",MONTH(B2490))</f>
        <v/>
      </c>
      <c r="M2490" s="18">
        <f>IF(OR(B2490="",I2490=""),"",I2490-B2490)</f>
        <v/>
      </c>
      <c r="N2490" s="21">
        <f>IF(B2490="","",IF(I2490="",IF(H2490="","",IF(TODAY()&gt;H2490,"Atrasado (em aberto)","Em aberto")),IF(I2490&lt;=H2490,"No prazo","Fora do prazo")))</f>
        <v/>
      </c>
    </row>
    <row r="2491">
      <c r="B2491" s="22" t="n"/>
      <c r="E2491" s="23" t="n"/>
      <c r="F2491" s="24" t="n"/>
      <c r="H2491" s="22" t="n"/>
      <c r="I2491" s="22" t="n"/>
      <c r="J2491" s="21">
        <f>IF(C2491="","",IFERROR(INDEX(Clientes!$B:$B,MATCH(C2491,Clientes!$A:$A,0)),"Cód. não cadastrado"))</f>
        <v/>
      </c>
      <c r="K2491" s="18">
        <f>IF(B2491="","",YEAR(B2491))</f>
        <v/>
      </c>
      <c r="L2491" s="18">
        <f>IF(B2491="","",MONTH(B2491))</f>
        <v/>
      </c>
      <c r="M2491" s="18">
        <f>IF(OR(B2491="",I2491=""),"",I2491-B2491)</f>
        <v/>
      </c>
      <c r="N2491" s="21">
        <f>IF(B2491="","",IF(I2491="",IF(H2491="","",IF(TODAY()&gt;H2491,"Atrasado (em aberto)","Em aberto")),IF(I2491&lt;=H2491,"No prazo","Fora do prazo")))</f>
        <v/>
      </c>
    </row>
    <row r="2492">
      <c r="B2492" s="22" t="n"/>
      <c r="E2492" s="23" t="n"/>
      <c r="F2492" s="24" t="n"/>
      <c r="H2492" s="22" t="n"/>
      <c r="I2492" s="22" t="n"/>
      <c r="J2492" s="21">
        <f>IF(C2492="","",IFERROR(INDEX(Clientes!$B:$B,MATCH(C2492,Clientes!$A:$A,0)),"Cód. não cadastrado"))</f>
        <v/>
      </c>
      <c r="K2492" s="18">
        <f>IF(B2492="","",YEAR(B2492))</f>
        <v/>
      </c>
      <c r="L2492" s="18">
        <f>IF(B2492="","",MONTH(B2492))</f>
        <v/>
      </c>
      <c r="M2492" s="18">
        <f>IF(OR(B2492="",I2492=""),"",I2492-B2492)</f>
        <v/>
      </c>
      <c r="N2492" s="21">
        <f>IF(B2492="","",IF(I2492="",IF(H2492="","",IF(TODAY()&gt;H2492,"Atrasado (em aberto)","Em aberto")),IF(I2492&lt;=H2492,"No prazo","Fora do prazo")))</f>
        <v/>
      </c>
    </row>
    <row r="2493">
      <c r="B2493" s="22" t="n"/>
      <c r="E2493" s="23" t="n"/>
      <c r="F2493" s="24" t="n"/>
      <c r="H2493" s="22" t="n"/>
      <c r="I2493" s="22" t="n"/>
      <c r="J2493" s="21">
        <f>IF(C2493="","",IFERROR(INDEX(Clientes!$B:$B,MATCH(C2493,Clientes!$A:$A,0)),"Cód. não cadastrado"))</f>
        <v/>
      </c>
      <c r="K2493" s="18">
        <f>IF(B2493="","",YEAR(B2493))</f>
        <v/>
      </c>
      <c r="L2493" s="18">
        <f>IF(B2493="","",MONTH(B2493))</f>
        <v/>
      </c>
      <c r="M2493" s="18">
        <f>IF(OR(B2493="",I2493=""),"",I2493-B2493)</f>
        <v/>
      </c>
      <c r="N2493" s="21">
        <f>IF(B2493="","",IF(I2493="",IF(H2493="","",IF(TODAY()&gt;H2493,"Atrasado (em aberto)","Em aberto")),IF(I2493&lt;=H2493,"No prazo","Fora do prazo")))</f>
        <v/>
      </c>
    </row>
    <row r="2494">
      <c r="B2494" s="22" t="n"/>
      <c r="E2494" s="23" t="n"/>
      <c r="F2494" s="24" t="n"/>
      <c r="H2494" s="22" t="n"/>
      <c r="I2494" s="22" t="n"/>
      <c r="J2494" s="21">
        <f>IF(C2494="","",IFERROR(INDEX(Clientes!$B:$B,MATCH(C2494,Clientes!$A:$A,0)),"Cód. não cadastrado"))</f>
        <v/>
      </c>
      <c r="K2494" s="18">
        <f>IF(B2494="","",YEAR(B2494))</f>
        <v/>
      </c>
      <c r="L2494" s="18">
        <f>IF(B2494="","",MONTH(B2494))</f>
        <v/>
      </c>
      <c r="M2494" s="18">
        <f>IF(OR(B2494="",I2494=""),"",I2494-B2494)</f>
        <v/>
      </c>
      <c r="N2494" s="21">
        <f>IF(B2494="","",IF(I2494="",IF(H2494="","",IF(TODAY()&gt;H2494,"Atrasado (em aberto)","Em aberto")),IF(I2494&lt;=H2494,"No prazo","Fora do prazo")))</f>
        <v/>
      </c>
    </row>
    <row r="2495">
      <c r="B2495" s="22" t="n"/>
      <c r="E2495" s="23" t="n"/>
      <c r="F2495" s="24" t="n"/>
      <c r="H2495" s="22" t="n"/>
      <c r="I2495" s="22" t="n"/>
      <c r="J2495" s="21">
        <f>IF(C2495="","",IFERROR(INDEX(Clientes!$B:$B,MATCH(C2495,Clientes!$A:$A,0)),"Cód. não cadastrado"))</f>
        <v/>
      </c>
      <c r="K2495" s="18">
        <f>IF(B2495="","",YEAR(B2495))</f>
        <v/>
      </c>
      <c r="L2495" s="18">
        <f>IF(B2495="","",MONTH(B2495))</f>
        <v/>
      </c>
      <c r="M2495" s="18">
        <f>IF(OR(B2495="",I2495=""),"",I2495-B2495)</f>
        <v/>
      </c>
      <c r="N2495" s="21">
        <f>IF(B2495="","",IF(I2495="",IF(H2495="","",IF(TODAY()&gt;H2495,"Atrasado (em aberto)","Em aberto")),IF(I2495&lt;=H2495,"No prazo","Fora do prazo")))</f>
        <v/>
      </c>
    </row>
    <row r="2496">
      <c r="B2496" s="22" t="n"/>
      <c r="E2496" s="23" t="n"/>
      <c r="F2496" s="24" t="n"/>
      <c r="H2496" s="22" t="n"/>
      <c r="I2496" s="22" t="n"/>
      <c r="J2496" s="21">
        <f>IF(C2496="","",IFERROR(INDEX(Clientes!$B:$B,MATCH(C2496,Clientes!$A:$A,0)),"Cód. não cadastrado"))</f>
        <v/>
      </c>
      <c r="K2496" s="18">
        <f>IF(B2496="","",YEAR(B2496))</f>
        <v/>
      </c>
      <c r="L2496" s="18">
        <f>IF(B2496="","",MONTH(B2496))</f>
        <v/>
      </c>
      <c r="M2496" s="18">
        <f>IF(OR(B2496="",I2496=""),"",I2496-B2496)</f>
        <v/>
      </c>
      <c r="N2496" s="21">
        <f>IF(B2496="","",IF(I2496="",IF(H2496="","",IF(TODAY()&gt;H2496,"Atrasado (em aberto)","Em aberto")),IF(I2496&lt;=H2496,"No prazo","Fora do prazo")))</f>
        <v/>
      </c>
    </row>
    <row r="2497">
      <c r="B2497" s="22" t="n"/>
      <c r="E2497" s="23" t="n"/>
      <c r="F2497" s="24" t="n"/>
      <c r="H2497" s="22" t="n"/>
      <c r="I2497" s="22" t="n"/>
      <c r="J2497" s="21">
        <f>IF(C2497="","",IFERROR(INDEX(Clientes!$B:$B,MATCH(C2497,Clientes!$A:$A,0)),"Cód. não cadastrado"))</f>
        <v/>
      </c>
      <c r="K2497" s="18">
        <f>IF(B2497="","",YEAR(B2497))</f>
        <v/>
      </c>
      <c r="L2497" s="18">
        <f>IF(B2497="","",MONTH(B2497))</f>
        <v/>
      </c>
      <c r="M2497" s="18">
        <f>IF(OR(B2497="",I2497=""),"",I2497-B2497)</f>
        <v/>
      </c>
      <c r="N2497" s="21">
        <f>IF(B2497="","",IF(I2497="",IF(H2497="","",IF(TODAY()&gt;H2497,"Atrasado (em aberto)","Em aberto")),IF(I2497&lt;=H2497,"No prazo","Fora do prazo")))</f>
        <v/>
      </c>
    </row>
    <row r="2498">
      <c r="B2498" s="22" t="n"/>
      <c r="E2498" s="23" t="n"/>
      <c r="F2498" s="24" t="n"/>
      <c r="H2498" s="22" t="n"/>
      <c r="I2498" s="22" t="n"/>
      <c r="J2498" s="21">
        <f>IF(C2498="","",IFERROR(INDEX(Clientes!$B:$B,MATCH(C2498,Clientes!$A:$A,0)),"Cód. não cadastrado"))</f>
        <v/>
      </c>
      <c r="K2498" s="18">
        <f>IF(B2498="","",YEAR(B2498))</f>
        <v/>
      </c>
      <c r="L2498" s="18">
        <f>IF(B2498="","",MONTH(B2498))</f>
        <v/>
      </c>
      <c r="M2498" s="18">
        <f>IF(OR(B2498="",I2498=""),"",I2498-B2498)</f>
        <v/>
      </c>
      <c r="N2498" s="21">
        <f>IF(B2498="","",IF(I2498="",IF(H2498="","",IF(TODAY()&gt;H2498,"Atrasado (em aberto)","Em aberto")),IF(I2498&lt;=H2498,"No prazo","Fora do prazo")))</f>
        <v/>
      </c>
    </row>
    <row r="2499">
      <c r="B2499" s="22" t="n"/>
      <c r="E2499" s="23" t="n"/>
      <c r="F2499" s="24" t="n"/>
      <c r="H2499" s="22" t="n"/>
      <c r="I2499" s="22" t="n"/>
      <c r="J2499" s="21">
        <f>IF(C2499="","",IFERROR(INDEX(Clientes!$B:$B,MATCH(C2499,Clientes!$A:$A,0)),"Cód. não cadastrado"))</f>
        <v/>
      </c>
      <c r="K2499" s="18">
        <f>IF(B2499="","",YEAR(B2499))</f>
        <v/>
      </c>
      <c r="L2499" s="18">
        <f>IF(B2499="","",MONTH(B2499))</f>
        <v/>
      </c>
      <c r="M2499" s="18">
        <f>IF(OR(B2499="",I2499=""),"",I2499-B2499)</f>
        <v/>
      </c>
      <c r="N2499" s="21">
        <f>IF(B2499="","",IF(I2499="",IF(H2499="","",IF(TODAY()&gt;H2499,"Atrasado (em aberto)","Em aberto")),IF(I2499&lt;=H2499,"No prazo","Fora do prazo")))</f>
        <v/>
      </c>
    </row>
    <row r="2500">
      <c r="B2500" s="22" t="n"/>
      <c r="E2500" s="23" t="n"/>
      <c r="F2500" s="24" t="n"/>
      <c r="H2500" s="22" t="n"/>
      <c r="I2500" s="22" t="n"/>
      <c r="J2500" s="21">
        <f>IF(C2500="","",IFERROR(INDEX(Clientes!$B:$B,MATCH(C2500,Clientes!$A:$A,0)),"Cód. não cadastrado"))</f>
        <v/>
      </c>
      <c r="K2500" s="18">
        <f>IF(B2500="","",YEAR(B2500))</f>
        <v/>
      </c>
      <c r="L2500" s="18">
        <f>IF(B2500="","",MONTH(B2500))</f>
        <v/>
      </c>
      <c r="M2500" s="18">
        <f>IF(OR(B2500="",I2500=""),"",I2500-B2500)</f>
        <v/>
      </c>
      <c r="N2500" s="21">
        <f>IF(B2500="","",IF(I2500="",IF(H2500="","",IF(TODAY()&gt;H2500,"Atrasado (em aberto)","Em aberto")),IF(I2500&lt;=H2500,"No prazo","Fora do prazo")))</f>
        <v/>
      </c>
    </row>
    <row r="2501">
      <c r="B2501" s="22" t="n"/>
      <c r="E2501" s="23" t="n"/>
      <c r="F2501" s="24" t="n"/>
      <c r="H2501" s="22" t="n"/>
      <c r="I2501" s="22" t="n"/>
      <c r="J2501" s="21">
        <f>IF(C2501="","",IFERROR(INDEX(Clientes!$B:$B,MATCH(C2501,Clientes!$A:$A,0)),"Cód. não cadastrado"))</f>
        <v/>
      </c>
      <c r="K2501" s="18">
        <f>IF(B2501="","",YEAR(B2501))</f>
        <v/>
      </c>
      <c r="L2501" s="18">
        <f>IF(B2501="","",MONTH(B2501))</f>
        <v/>
      </c>
      <c r="M2501" s="18">
        <f>IF(OR(B2501="",I2501=""),"",I2501-B2501)</f>
        <v/>
      </c>
      <c r="N2501" s="21">
        <f>IF(B2501="","",IF(I2501="",IF(H2501="","",IF(TODAY()&gt;H2501,"Atrasado (em aberto)","Em aberto")),IF(I2501&lt;=H2501,"No prazo","Fora do prazo")))</f>
        <v/>
      </c>
    </row>
    <row r="2502">
      <c r="B2502" s="22" t="n"/>
      <c r="E2502" s="23" t="n"/>
      <c r="F2502" s="24" t="n"/>
      <c r="H2502" s="22" t="n"/>
      <c r="I2502" s="22" t="n"/>
      <c r="J2502" s="21">
        <f>IF(C2502="","",IFERROR(INDEX(Clientes!$B:$B,MATCH(C2502,Clientes!$A:$A,0)),"Cód. não cadastrado"))</f>
        <v/>
      </c>
      <c r="K2502" s="18">
        <f>IF(B2502="","",YEAR(B2502))</f>
        <v/>
      </c>
      <c r="L2502" s="18">
        <f>IF(B2502="","",MONTH(B2502))</f>
        <v/>
      </c>
      <c r="M2502" s="18">
        <f>IF(OR(B2502="",I2502=""),"",I2502-B2502)</f>
        <v/>
      </c>
      <c r="N2502" s="21">
        <f>IF(B2502="","",IF(I2502="",IF(H2502="","",IF(TODAY()&gt;H2502,"Atrasado (em aberto)","Em aberto")),IF(I2502&lt;=H2502,"No prazo","Fora do prazo")))</f>
        <v/>
      </c>
    </row>
    <row r="2503">
      <c r="B2503" s="22" t="n"/>
      <c r="E2503" s="23" t="n"/>
      <c r="F2503" s="24" t="n"/>
      <c r="H2503" s="22" t="n"/>
      <c r="I2503" s="22" t="n"/>
      <c r="J2503" s="21">
        <f>IF(C2503="","",IFERROR(INDEX(Clientes!$B:$B,MATCH(C2503,Clientes!$A:$A,0)),"Cód. não cadastrado"))</f>
        <v/>
      </c>
      <c r="K2503" s="18">
        <f>IF(B2503="","",YEAR(B2503))</f>
        <v/>
      </c>
      <c r="L2503" s="18">
        <f>IF(B2503="","",MONTH(B2503))</f>
        <v/>
      </c>
      <c r="M2503" s="18">
        <f>IF(OR(B2503="",I2503=""),"",I2503-B2503)</f>
        <v/>
      </c>
      <c r="N2503" s="21">
        <f>IF(B2503="","",IF(I2503="",IF(H2503="","",IF(TODAY()&gt;H2503,"Atrasado (em aberto)","Em aberto")),IF(I2503&lt;=H2503,"No prazo","Fora do prazo")))</f>
        <v/>
      </c>
    </row>
    <row r="2504">
      <c r="B2504" s="22" t="n"/>
      <c r="E2504" s="23" t="n"/>
      <c r="F2504" s="24" t="n"/>
      <c r="H2504" s="22" t="n"/>
      <c r="I2504" s="22" t="n"/>
      <c r="J2504" s="21">
        <f>IF(C2504="","",IFERROR(INDEX(Clientes!$B:$B,MATCH(C2504,Clientes!$A:$A,0)),"Cód. não cadastrado"))</f>
        <v/>
      </c>
      <c r="K2504" s="18">
        <f>IF(B2504="","",YEAR(B2504))</f>
        <v/>
      </c>
      <c r="L2504" s="18">
        <f>IF(B2504="","",MONTH(B2504))</f>
        <v/>
      </c>
      <c r="M2504" s="18">
        <f>IF(OR(B2504="",I2504=""),"",I2504-B2504)</f>
        <v/>
      </c>
      <c r="N2504" s="21">
        <f>IF(B2504="","",IF(I2504="",IF(H2504="","",IF(TODAY()&gt;H2504,"Atrasado (em aberto)","Em aberto")),IF(I2504&lt;=H2504,"No prazo","Fora do prazo")))</f>
        <v/>
      </c>
    </row>
    <row r="2505">
      <c r="B2505" s="22" t="n"/>
      <c r="E2505" s="23" t="n"/>
      <c r="F2505" s="24" t="n"/>
      <c r="H2505" s="22" t="n"/>
      <c r="I2505" s="22" t="n"/>
      <c r="J2505" s="21">
        <f>IF(C2505="","",IFERROR(INDEX(Clientes!$B:$B,MATCH(C2505,Clientes!$A:$A,0)),"Cód. não cadastrado"))</f>
        <v/>
      </c>
      <c r="K2505" s="18">
        <f>IF(B2505="","",YEAR(B2505))</f>
        <v/>
      </c>
      <c r="L2505" s="18">
        <f>IF(B2505="","",MONTH(B2505))</f>
        <v/>
      </c>
      <c r="M2505" s="18">
        <f>IF(OR(B2505="",I2505=""),"",I2505-B2505)</f>
        <v/>
      </c>
      <c r="N2505" s="21">
        <f>IF(B2505="","",IF(I2505="",IF(H2505="","",IF(TODAY()&gt;H2505,"Atrasado (em aberto)","Em aberto")),IF(I2505&lt;=H2505,"No prazo","Fora do prazo")))</f>
        <v/>
      </c>
    </row>
    <row r="2506">
      <c r="B2506" s="22" t="n"/>
      <c r="E2506" s="23" t="n"/>
      <c r="F2506" s="24" t="n"/>
      <c r="H2506" s="22" t="n"/>
      <c r="I2506" s="22" t="n"/>
      <c r="J2506" s="21">
        <f>IF(C2506="","",IFERROR(INDEX(Clientes!$B:$B,MATCH(C2506,Clientes!$A:$A,0)),"Cód. não cadastrado"))</f>
        <v/>
      </c>
      <c r="K2506" s="18">
        <f>IF(B2506="","",YEAR(B2506))</f>
        <v/>
      </c>
      <c r="L2506" s="18">
        <f>IF(B2506="","",MONTH(B2506))</f>
        <v/>
      </c>
      <c r="M2506" s="18">
        <f>IF(OR(B2506="",I2506=""),"",I2506-B2506)</f>
        <v/>
      </c>
      <c r="N2506" s="21">
        <f>IF(B2506="","",IF(I2506="",IF(H2506="","",IF(TODAY()&gt;H2506,"Atrasado (em aberto)","Em aberto")),IF(I2506&lt;=H2506,"No prazo","Fora do prazo")))</f>
        <v/>
      </c>
    </row>
    <row r="2507">
      <c r="B2507" s="22" t="n"/>
      <c r="E2507" s="23" t="n"/>
      <c r="F2507" s="24" t="n"/>
      <c r="H2507" s="22" t="n"/>
      <c r="I2507" s="22" t="n"/>
      <c r="J2507" s="21">
        <f>IF(C2507="","",IFERROR(INDEX(Clientes!$B:$B,MATCH(C2507,Clientes!$A:$A,0)),"Cód. não cadastrado"))</f>
        <v/>
      </c>
      <c r="K2507" s="18">
        <f>IF(B2507="","",YEAR(B2507))</f>
        <v/>
      </c>
      <c r="L2507" s="18">
        <f>IF(B2507="","",MONTH(B2507))</f>
        <v/>
      </c>
      <c r="M2507" s="18">
        <f>IF(OR(B2507="",I2507=""),"",I2507-B2507)</f>
        <v/>
      </c>
      <c r="N2507" s="21">
        <f>IF(B2507="","",IF(I2507="",IF(H2507="","",IF(TODAY()&gt;H2507,"Atrasado (em aberto)","Em aberto")),IF(I2507&lt;=H2507,"No prazo","Fora do prazo")))</f>
        <v/>
      </c>
    </row>
    <row r="2508">
      <c r="B2508" s="22" t="n"/>
      <c r="E2508" s="23" t="n"/>
      <c r="F2508" s="24" t="n"/>
      <c r="H2508" s="22" t="n"/>
      <c r="I2508" s="22" t="n"/>
      <c r="J2508" s="21">
        <f>IF(C2508="","",IFERROR(INDEX(Clientes!$B:$B,MATCH(C2508,Clientes!$A:$A,0)),"Cód. não cadastrado"))</f>
        <v/>
      </c>
      <c r="K2508" s="18">
        <f>IF(B2508="","",YEAR(B2508))</f>
        <v/>
      </c>
      <c r="L2508" s="18">
        <f>IF(B2508="","",MONTH(B2508))</f>
        <v/>
      </c>
      <c r="M2508" s="18">
        <f>IF(OR(B2508="",I2508=""),"",I2508-B2508)</f>
        <v/>
      </c>
      <c r="N2508" s="21">
        <f>IF(B2508="","",IF(I2508="",IF(H2508="","",IF(TODAY()&gt;H2508,"Atrasado (em aberto)","Em aberto")),IF(I2508&lt;=H2508,"No prazo","Fora do prazo")))</f>
        <v/>
      </c>
    </row>
    <row r="2509">
      <c r="B2509" s="22" t="n"/>
      <c r="E2509" s="23" t="n"/>
      <c r="F2509" s="24" t="n"/>
      <c r="H2509" s="22" t="n"/>
      <c r="I2509" s="22" t="n"/>
      <c r="J2509" s="21">
        <f>IF(C2509="","",IFERROR(INDEX(Clientes!$B:$B,MATCH(C2509,Clientes!$A:$A,0)),"Cód. não cadastrado"))</f>
        <v/>
      </c>
      <c r="K2509" s="18">
        <f>IF(B2509="","",YEAR(B2509))</f>
        <v/>
      </c>
      <c r="L2509" s="18">
        <f>IF(B2509="","",MONTH(B2509))</f>
        <v/>
      </c>
      <c r="M2509" s="18">
        <f>IF(OR(B2509="",I2509=""),"",I2509-B2509)</f>
        <v/>
      </c>
      <c r="N2509" s="21">
        <f>IF(B2509="","",IF(I2509="",IF(H2509="","",IF(TODAY()&gt;H2509,"Atrasado (em aberto)","Em aberto")),IF(I2509&lt;=H2509,"No prazo","Fora do prazo")))</f>
        <v/>
      </c>
    </row>
    <row r="2510">
      <c r="B2510" s="22" t="n"/>
      <c r="E2510" s="23" t="n"/>
      <c r="F2510" s="24" t="n"/>
      <c r="H2510" s="22" t="n"/>
      <c r="I2510" s="22" t="n"/>
      <c r="J2510" s="21">
        <f>IF(C2510="","",IFERROR(INDEX(Clientes!$B:$B,MATCH(C2510,Clientes!$A:$A,0)),"Cód. não cadastrado"))</f>
        <v/>
      </c>
      <c r="K2510" s="18">
        <f>IF(B2510="","",YEAR(B2510))</f>
        <v/>
      </c>
      <c r="L2510" s="18">
        <f>IF(B2510="","",MONTH(B2510))</f>
        <v/>
      </c>
      <c r="M2510" s="18">
        <f>IF(OR(B2510="",I2510=""),"",I2510-B2510)</f>
        <v/>
      </c>
      <c r="N2510" s="21">
        <f>IF(B2510="","",IF(I2510="",IF(H2510="","",IF(TODAY()&gt;H2510,"Atrasado (em aberto)","Em aberto")),IF(I2510&lt;=H2510,"No prazo","Fora do prazo")))</f>
        <v/>
      </c>
    </row>
    <row r="2511">
      <c r="B2511" s="22" t="n"/>
      <c r="E2511" s="23" t="n"/>
      <c r="F2511" s="24" t="n"/>
      <c r="H2511" s="22" t="n"/>
      <c r="I2511" s="22" t="n"/>
      <c r="J2511" s="21">
        <f>IF(C2511="","",IFERROR(INDEX(Clientes!$B:$B,MATCH(C2511,Clientes!$A:$A,0)),"Cód. não cadastrado"))</f>
        <v/>
      </c>
      <c r="K2511" s="18">
        <f>IF(B2511="","",YEAR(B2511))</f>
        <v/>
      </c>
      <c r="L2511" s="18">
        <f>IF(B2511="","",MONTH(B2511))</f>
        <v/>
      </c>
      <c r="M2511" s="18">
        <f>IF(OR(B2511="",I2511=""),"",I2511-B2511)</f>
        <v/>
      </c>
      <c r="N2511" s="21">
        <f>IF(B2511="","",IF(I2511="",IF(H2511="","",IF(TODAY()&gt;H2511,"Atrasado (em aberto)","Em aberto")),IF(I2511&lt;=H2511,"No prazo","Fora do prazo")))</f>
        <v/>
      </c>
    </row>
    <row r="2512">
      <c r="B2512" s="22" t="n"/>
      <c r="E2512" s="23" t="n"/>
      <c r="F2512" s="24" t="n"/>
      <c r="H2512" s="22" t="n"/>
      <c r="I2512" s="22" t="n"/>
      <c r="J2512" s="21">
        <f>IF(C2512="","",IFERROR(INDEX(Clientes!$B:$B,MATCH(C2512,Clientes!$A:$A,0)),"Cód. não cadastrado"))</f>
        <v/>
      </c>
      <c r="K2512" s="18">
        <f>IF(B2512="","",YEAR(B2512))</f>
        <v/>
      </c>
      <c r="L2512" s="18">
        <f>IF(B2512="","",MONTH(B2512))</f>
        <v/>
      </c>
      <c r="M2512" s="18">
        <f>IF(OR(B2512="",I2512=""),"",I2512-B2512)</f>
        <v/>
      </c>
      <c r="N2512" s="21">
        <f>IF(B2512="","",IF(I2512="",IF(H2512="","",IF(TODAY()&gt;H2512,"Atrasado (em aberto)","Em aberto")),IF(I2512&lt;=H2512,"No prazo","Fora do prazo")))</f>
        <v/>
      </c>
    </row>
    <row r="2513">
      <c r="B2513" s="22" t="n"/>
      <c r="E2513" s="23" t="n"/>
      <c r="F2513" s="24" t="n"/>
      <c r="H2513" s="22" t="n"/>
      <c r="I2513" s="22" t="n"/>
      <c r="J2513" s="21">
        <f>IF(C2513="","",IFERROR(INDEX(Clientes!$B:$B,MATCH(C2513,Clientes!$A:$A,0)),"Cód. não cadastrado"))</f>
        <v/>
      </c>
      <c r="K2513" s="18">
        <f>IF(B2513="","",YEAR(B2513))</f>
        <v/>
      </c>
      <c r="L2513" s="18">
        <f>IF(B2513="","",MONTH(B2513))</f>
        <v/>
      </c>
      <c r="M2513" s="18">
        <f>IF(OR(B2513="",I2513=""),"",I2513-B2513)</f>
        <v/>
      </c>
      <c r="N2513" s="21">
        <f>IF(B2513="","",IF(I2513="",IF(H2513="","",IF(TODAY()&gt;H2513,"Atrasado (em aberto)","Em aberto")),IF(I2513&lt;=H2513,"No prazo","Fora do prazo")))</f>
        <v/>
      </c>
    </row>
    <row r="2514">
      <c r="B2514" s="22" t="n"/>
      <c r="E2514" s="23" t="n"/>
      <c r="F2514" s="24" t="n"/>
      <c r="H2514" s="22" t="n"/>
      <c r="I2514" s="22" t="n"/>
      <c r="J2514" s="21">
        <f>IF(C2514="","",IFERROR(INDEX(Clientes!$B:$B,MATCH(C2514,Clientes!$A:$A,0)),"Cód. não cadastrado"))</f>
        <v/>
      </c>
      <c r="K2514" s="18">
        <f>IF(B2514="","",YEAR(B2514))</f>
        <v/>
      </c>
      <c r="L2514" s="18">
        <f>IF(B2514="","",MONTH(B2514))</f>
        <v/>
      </c>
      <c r="M2514" s="18">
        <f>IF(OR(B2514="",I2514=""),"",I2514-B2514)</f>
        <v/>
      </c>
      <c r="N2514" s="21">
        <f>IF(B2514="","",IF(I2514="",IF(H2514="","",IF(TODAY()&gt;H2514,"Atrasado (em aberto)","Em aberto")),IF(I2514&lt;=H2514,"No prazo","Fora do prazo")))</f>
        <v/>
      </c>
    </row>
    <row r="2515">
      <c r="B2515" s="22" t="n"/>
      <c r="E2515" s="23" t="n"/>
      <c r="F2515" s="24" t="n"/>
      <c r="H2515" s="22" t="n"/>
      <c r="I2515" s="22" t="n"/>
      <c r="J2515" s="21">
        <f>IF(C2515="","",IFERROR(INDEX(Clientes!$B:$B,MATCH(C2515,Clientes!$A:$A,0)),"Cód. não cadastrado"))</f>
        <v/>
      </c>
      <c r="K2515" s="18">
        <f>IF(B2515="","",YEAR(B2515))</f>
        <v/>
      </c>
      <c r="L2515" s="18">
        <f>IF(B2515="","",MONTH(B2515))</f>
        <v/>
      </c>
      <c r="M2515" s="18">
        <f>IF(OR(B2515="",I2515=""),"",I2515-B2515)</f>
        <v/>
      </c>
      <c r="N2515" s="21">
        <f>IF(B2515="","",IF(I2515="",IF(H2515="","",IF(TODAY()&gt;H2515,"Atrasado (em aberto)","Em aberto")),IF(I2515&lt;=H2515,"No prazo","Fora do prazo")))</f>
        <v/>
      </c>
    </row>
    <row r="2516">
      <c r="B2516" s="22" t="n"/>
      <c r="E2516" s="23" t="n"/>
      <c r="F2516" s="24" t="n"/>
      <c r="H2516" s="22" t="n"/>
      <c r="I2516" s="22" t="n"/>
      <c r="J2516" s="21">
        <f>IF(C2516="","",IFERROR(INDEX(Clientes!$B:$B,MATCH(C2516,Clientes!$A:$A,0)),"Cód. não cadastrado"))</f>
        <v/>
      </c>
      <c r="K2516" s="18">
        <f>IF(B2516="","",YEAR(B2516))</f>
        <v/>
      </c>
      <c r="L2516" s="18">
        <f>IF(B2516="","",MONTH(B2516))</f>
        <v/>
      </c>
      <c r="M2516" s="18">
        <f>IF(OR(B2516="",I2516=""),"",I2516-B2516)</f>
        <v/>
      </c>
      <c r="N2516" s="21">
        <f>IF(B2516="","",IF(I2516="",IF(H2516="","",IF(TODAY()&gt;H2516,"Atrasado (em aberto)","Em aberto")),IF(I2516&lt;=H2516,"No prazo","Fora do prazo")))</f>
        <v/>
      </c>
    </row>
    <row r="2517">
      <c r="B2517" s="22" t="n"/>
      <c r="E2517" s="23" t="n"/>
      <c r="F2517" s="24" t="n"/>
      <c r="H2517" s="22" t="n"/>
      <c r="I2517" s="22" t="n"/>
      <c r="J2517" s="21">
        <f>IF(C2517="","",IFERROR(INDEX(Clientes!$B:$B,MATCH(C2517,Clientes!$A:$A,0)),"Cód. não cadastrado"))</f>
        <v/>
      </c>
      <c r="K2517" s="18">
        <f>IF(B2517="","",YEAR(B2517))</f>
        <v/>
      </c>
      <c r="L2517" s="18">
        <f>IF(B2517="","",MONTH(B2517))</f>
        <v/>
      </c>
      <c r="M2517" s="18">
        <f>IF(OR(B2517="",I2517=""),"",I2517-B2517)</f>
        <v/>
      </c>
      <c r="N2517" s="21">
        <f>IF(B2517="","",IF(I2517="",IF(H2517="","",IF(TODAY()&gt;H2517,"Atrasado (em aberto)","Em aberto")),IF(I2517&lt;=H2517,"No prazo","Fora do prazo")))</f>
        <v/>
      </c>
    </row>
    <row r="2518">
      <c r="B2518" s="22" t="n"/>
      <c r="E2518" s="23" t="n"/>
      <c r="F2518" s="24" t="n"/>
      <c r="H2518" s="22" t="n"/>
      <c r="I2518" s="22" t="n"/>
      <c r="J2518" s="21">
        <f>IF(C2518="","",IFERROR(INDEX(Clientes!$B:$B,MATCH(C2518,Clientes!$A:$A,0)),"Cód. não cadastrado"))</f>
        <v/>
      </c>
      <c r="K2518" s="18">
        <f>IF(B2518="","",YEAR(B2518))</f>
        <v/>
      </c>
      <c r="L2518" s="18">
        <f>IF(B2518="","",MONTH(B2518))</f>
        <v/>
      </c>
      <c r="M2518" s="18">
        <f>IF(OR(B2518="",I2518=""),"",I2518-B2518)</f>
        <v/>
      </c>
      <c r="N2518" s="21">
        <f>IF(B2518="","",IF(I2518="",IF(H2518="","",IF(TODAY()&gt;H2518,"Atrasado (em aberto)","Em aberto")),IF(I2518&lt;=H2518,"No prazo","Fora do prazo")))</f>
        <v/>
      </c>
    </row>
    <row r="2519">
      <c r="B2519" s="22" t="n"/>
      <c r="E2519" s="23" t="n"/>
      <c r="F2519" s="24" t="n"/>
      <c r="H2519" s="22" t="n"/>
      <c r="I2519" s="22" t="n"/>
      <c r="J2519" s="21">
        <f>IF(C2519="","",IFERROR(INDEX(Clientes!$B:$B,MATCH(C2519,Clientes!$A:$A,0)),"Cód. não cadastrado"))</f>
        <v/>
      </c>
      <c r="K2519" s="18">
        <f>IF(B2519="","",YEAR(B2519))</f>
        <v/>
      </c>
      <c r="L2519" s="18">
        <f>IF(B2519="","",MONTH(B2519))</f>
        <v/>
      </c>
      <c r="M2519" s="18">
        <f>IF(OR(B2519="",I2519=""),"",I2519-B2519)</f>
        <v/>
      </c>
      <c r="N2519" s="21">
        <f>IF(B2519="","",IF(I2519="",IF(H2519="","",IF(TODAY()&gt;H2519,"Atrasado (em aberto)","Em aberto")),IF(I2519&lt;=H2519,"No prazo","Fora do prazo")))</f>
        <v/>
      </c>
    </row>
    <row r="2520">
      <c r="B2520" s="22" t="n"/>
      <c r="E2520" s="23" t="n"/>
      <c r="F2520" s="24" t="n"/>
      <c r="H2520" s="22" t="n"/>
      <c r="I2520" s="22" t="n"/>
      <c r="J2520" s="21">
        <f>IF(C2520="","",IFERROR(INDEX(Clientes!$B:$B,MATCH(C2520,Clientes!$A:$A,0)),"Cód. não cadastrado"))</f>
        <v/>
      </c>
      <c r="K2520" s="18">
        <f>IF(B2520="","",YEAR(B2520))</f>
        <v/>
      </c>
      <c r="L2520" s="18">
        <f>IF(B2520="","",MONTH(B2520))</f>
        <v/>
      </c>
      <c r="M2520" s="18">
        <f>IF(OR(B2520="",I2520=""),"",I2520-B2520)</f>
        <v/>
      </c>
      <c r="N2520" s="21">
        <f>IF(B2520="","",IF(I2520="",IF(H2520="","",IF(TODAY()&gt;H2520,"Atrasado (em aberto)","Em aberto")),IF(I2520&lt;=H2520,"No prazo","Fora do prazo")))</f>
        <v/>
      </c>
    </row>
    <row r="2521">
      <c r="B2521" s="22" t="n"/>
      <c r="E2521" s="23" t="n"/>
      <c r="F2521" s="24" t="n"/>
      <c r="H2521" s="22" t="n"/>
      <c r="I2521" s="22" t="n"/>
      <c r="J2521" s="21">
        <f>IF(C2521="","",IFERROR(INDEX(Clientes!$B:$B,MATCH(C2521,Clientes!$A:$A,0)),"Cód. não cadastrado"))</f>
        <v/>
      </c>
      <c r="K2521" s="18">
        <f>IF(B2521="","",YEAR(B2521))</f>
        <v/>
      </c>
      <c r="L2521" s="18">
        <f>IF(B2521="","",MONTH(B2521))</f>
        <v/>
      </c>
      <c r="M2521" s="18">
        <f>IF(OR(B2521="",I2521=""),"",I2521-B2521)</f>
        <v/>
      </c>
      <c r="N2521" s="21">
        <f>IF(B2521="","",IF(I2521="",IF(H2521="","",IF(TODAY()&gt;H2521,"Atrasado (em aberto)","Em aberto")),IF(I2521&lt;=H2521,"No prazo","Fora do prazo")))</f>
        <v/>
      </c>
    </row>
    <row r="2522">
      <c r="B2522" s="22" t="n"/>
      <c r="E2522" s="23" t="n"/>
      <c r="F2522" s="24" t="n"/>
      <c r="H2522" s="22" t="n"/>
      <c r="I2522" s="22" t="n"/>
      <c r="J2522" s="21">
        <f>IF(C2522="","",IFERROR(INDEX(Clientes!$B:$B,MATCH(C2522,Clientes!$A:$A,0)),"Cód. não cadastrado"))</f>
        <v/>
      </c>
      <c r="K2522" s="18">
        <f>IF(B2522="","",YEAR(B2522))</f>
        <v/>
      </c>
      <c r="L2522" s="18">
        <f>IF(B2522="","",MONTH(B2522))</f>
        <v/>
      </c>
      <c r="M2522" s="18">
        <f>IF(OR(B2522="",I2522=""),"",I2522-B2522)</f>
        <v/>
      </c>
      <c r="N2522" s="21">
        <f>IF(B2522="","",IF(I2522="",IF(H2522="","",IF(TODAY()&gt;H2522,"Atrasado (em aberto)","Em aberto")),IF(I2522&lt;=H2522,"No prazo","Fora do prazo")))</f>
        <v/>
      </c>
    </row>
    <row r="2523">
      <c r="B2523" s="22" t="n"/>
      <c r="E2523" s="23" t="n"/>
      <c r="F2523" s="24" t="n"/>
      <c r="H2523" s="22" t="n"/>
      <c r="I2523" s="22" t="n"/>
      <c r="J2523" s="21">
        <f>IF(C2523="","",IFERROR(INDEX(Clientes!$B:$B,MATCH(C2523,Clientes!$A:$A,0)),"Cód. não cadastrado"))</f>
        <v/>
      </c>
      <c r="K2523" s="18">
        <f>IF(B2523="","",YEAR(B2523))</f>
        <v/>
      </c>
      <c r="L2523" s="18">
        <f>IF(B2523="","",MONTH(B2523))</f>
        <v/>
      </c>
      <c r="M2523" s="18">
        <f>IF(OR(B2523="",I2523=""),"",I2523-B2523)</f>
        <v/>
      </c>
      <c r="N2523" s="21">
        <f>IF(B2523="","",IF(I2523="",IF(H2523="","",IF(TODAY()&gt;H2523,"Atrasado (em aberto)","Em aberto")),IF(I2523&lt;=H2523,"No prazo","Fora do prazo")))</f>
        <v/>
      </c>
    </row>
    <row r="2524">
      <c r="B2524" s="22" t="n"/>
      <c r="E2524" s="23" t="n"/>
      <c r="F2524" s="24" t="n"/>
      <c r="H2524" s="22" t="n"/>
      <c r="I2524" s="22" t="n"/>
      <c r="J2524" s="21">
        <f>IF(C2524="","",IFERROR(INDEX(Clientes!$B:$B,MATCH(C2524,Clientes!$A:$A,0)),"Cód. não cadastrado"))</f>
        <v/>
      </c>
      <c r="K2524" s="18">
        <f>IF(B2524="","",YEAR(B2524))</f>
        <v/>
      </c>
      <c r="L2524" s="18">
        <f>IF(B2524="","",MONTH(B2524))</f>
        <v/>
      </c>
      <c r="M2524" s="18">
        <f>IF(OR(B2524="",I2524=""),"",I2524-B2524)</f>
        <v/>
      </c>
      <c r="N2524" s="21">
        <f>IF(B2524="","",IF(I2524="",IF(H2524="","",IF(TODAY()&gt;H2524,"Atrasado (em aberto)","Em aberto")),IF(I2524&lt;=H2524,"No prazo","Fora do prazo")))</f>
        <v/>
      </c>
    </row>
    <row r="2525">
      <c r="B2525" s="22" t="n"/>
      <c r="E2525" s="23" t="n"/>
      <c r="F2525" s="24" t="n"/>
      <c r="H2525" s="22" t="n"/>
      <c r="I2525" s="22" t="n"/>
      <c r="J2525" s="21">
        <f>IF(C2525="","",IFERROR(INDEX(Clientes!$B:$B,MATCH(C2525,Clientes!$A:$A,0)),"Cód. não cadastrado"))</f>
        <v/>
      </c>
      <c r="K2525" s="18">
        <f>IF(B2525="","",YEAR(B2525))</f>
        <v/>
      </c>
      <c r="L2525" s="18">
        <f>IF(B2525="","",MONTH(B2525))</f>
        <v/>
      </c>
      <c r="M2525" s="18">
        <f>IF(OR(B2525="",I2525=""),"",I2525-B2525)</f>
        <v/>
      </c>
      <c r="N2525" s="21">
        <f>IF(B2525="","",IF(I2525="",IF(H2525="","",IF(TODAY()&gt;H2525,"Atrasado (em aberto)","Em aberto")),IF(I2525&lt;=H2525,"No prazo","Fora do prazo")))</f>
        <v/>
      </c>
    </row>
    <row r="2526">
      <c r="B2526" s="22" t="n"/>
      <c r="E2526" s="23" t="n"/>
      <c r="F2526" s="24" t="n"/>
      <c r="H2526" s="22" t="n"/>
      <c r="I2526" s="22" t="n"/>
      <c r="J2526" s="21">
        <f>IF(C2526="","",IFERROR(INDEX(Clientes!$B:$B,MATCH(C2526,Clientes!$A:$A,0)),"Cód. não cadastrado"))</f>
        <v/>
      </c>
      <c r="K2526" s="18">
        <f>IF(B2526="","",YEAR(B2526))</f>
        <v/>
      </c>
      <c r="L2526" s="18">
        <f>IF(B2526="","",MONTH(B2526))</f>
        <v/>
      </c>
      <c r="M2526" s="18">
        <f>IF(OR(B2526="",I2526=""),"",I2526-B2526)</f>
        <v/>
      </c>
      <c r="N2526" s="21">
        <f>IF(B2526="","",IF(I2526="",IF(H2526="","",IF(TODAY()&gt;H2526,"Atrasado (em aberto)","Em aberto")),IF(I2526&lt;=H2526,"No prazo","Fora do prazo")))</f>
        <v/>
      </c>
    </row>
    <row r="2527">
      <c r="B2527" s="22" t="n"/>
      <c r="E2527" s="23" t="n"/>
      <c r="F2527" s="24" t="n"/>
      <c r="H2527" s="22" t="n"/>
      <c r="I2527" s="22" t="n"/>
      <c r="J2527" s="21">
        <f>IF(C2527="","",IFERROR(INDEX(Clientes!$B:$B,MATCH(C2527,Clientes!$A:$A,0)),"Cód. não cadastrado"))</f>
        <v/>
      </c>
      <c r="K2527" s="18">
        <f>IF(B2527="","",YEAR(B2527))</f>
        <v/>
      </c>
      <c r="L2527" s="18">
        <f>IF(B2527="","",MONTH(B2527))</f>
        <v/>
      </c>
      <c r="M2527" s="18">
        <f>IF(OR(B2527="",I2527=""),"",I2527-B2527)</f>
        <v/>
      </c>
      <c r="N2527" s="21">
        <f>IF(B2527="","",IF(I2527="",IF(H2527="","",IF(TODAY()&gt;H2527,"Atrasado (em aberto)","Em aberto")),IF(I2527&lt;=H2527,"No prazo","Fora do prazo")))</f>
        <v/>
      </c>
    </row>
    <row r="2528">
      <c r="B2528" s="22" t="n"/>
      <c r="E2528" s="23" t="n"/>
      <c r="F2528" s="24" t="n"/>
      <c r="H2528" s="22" t="n"/>
      <c r="I2528" s="22" t="n"/>
      <c r="J2528" s="21">
        <f>IF(C2528="","",IFERROR(INDEX(Clientes!$B:$B,MATCH(C2528,Clientes!$A:$A,0)),"Cód. não cadastrado"))</f>
        <v/>
      </c>
      <c r="K2528" s="18">
        <f>IF(B2528="","",YEAR(B2528))</f>
        <v/>
      </c>
      <c r="L2528" s="18">
        <f>IF(B2528="","",MONTH(B2528))</f>
        <v/>
      </c>
      <c r="M2528" s="18">
        <f>IF(OR(B2528="",I2528=""),"",I2528-B2528)</f>
        <v/>
      </c>
      <c r="N2528" s="21">
        <f>IF(B2528="","",IF(I2528="",IF(H2528="","",IF(TODAY()&gt;H2528,"Atrasado (em aberto)","Em aberto")),IF(I2528&lt;=H2528,"No prazo","Fora do prazo")))</f>
        <v/>
      </c>
    </row>
    <row r="2529">
      <c r="B2529" s="22" t="n"/>
      <c r="E2529" s="23" t="n"/>
      <c r="F2529" s="24" t="n"/>
      <c r="H2529" s="22" t="n"/>
      <c r="I2529" s="22" t="n"/>
      <c r="J2529" s="21">
        <f>IF(C2529="","",IFERROR(INDEX(Clientes!$B:$B,MATCH(C2529,Clientes!$A:$A,0)),"Cód. não cadastrado"))</f>
        <v/>
      </c>
      <c r="K2529" s="18">
        <f>IF(B2529="","",YEAR(B2529))</f>
        <v/>
      </c>
      <c r="L2529" s="18">
        <f>IF(B2529="","",MONTH(B2529))</f>
        <v/>
      </c>
      <c r="M2529" s="18">
        <f>IF(OR(B2529="",I2529=""),"",I2529-B2529)</f>
        <v/>
      </c>
      <c r="N2529" s="21">
        <f>IF(B2529="","",IF(I2529="",IF(H2529="","",IF(TODAY()&gt;H2529,"Atrasado (em aberto)","Em aberto")),IF(I2529&lt;=H2529,"No prazo","Fora do prazo")))</f>
        <v/>
      </c>
    </row>
    <row r="2530">
      <c r="B2530" s="22" t="n"/>
      <c r="E2530" s="23" t="n"/>
      <c r="F2530" s="24" t="n"/>
      <c r="H2530" s="22" t="n"/>
      <c r="I2530" s="22" t="n"/>
      <c r="J2530" s="21">
        <f>IF(C2530="","",IFERROR(INDEX(Clientes!$B:$B,MATCH(C2530,Clientes!$A:$A,0)),"Cód. não cadastrado"))</f>
        <v/>
      </c>
      <c r="K2530" s="18">
        <f>IF(B2530="","",YEAR(B2530))</f>
        <v/>
      </c>
      <c r="L2530" s="18">
        <f>IF(B2530="","",MONTH(B2530))</f>
        <v/>
      </c>
      <c r="M2530" s="18">
        <f>IF(OR(B2530="",I2530=""),"",I2530-B2530)</f>
        <v/>
      </c>
      <c r="N2530" s="21">
        <f>IF(B2530="","",IF(I2530="",IF(H2530="","",IF(TODAY()&gt;H2530,"Atrasado (em aberto)","Em aberto")),IF(I2530&lt;=H2530,"No prazo","Fora do prazo")))</f>
        <v/>
      </c>
    </row>
    <row r="2531">
      <c r="B2531" s="22" t="n"/>
      <c r="E2531" s="23" t="n"/>
      <c r="F2531" s="24" t="n"/>
      <c r="H2531" s="22" t="n"/>
      <c r="I2531" s="22" t="n"/>
      <c r="J2531" s="21">
        <f>IF(C2531="","",IFERROR(INDEX(Clientes!$B:$B,MATCH(C2531,Clientes!$A:$A,0)),"Cód. não cadastrado"))</f>
        <v/>
      </c>
      <c r="K2531" s="18">
        <f>IF(B2531="","",YEAR(B2531))</f>
        <v/>
      </c>
      <c r="L2531" s="18">
        <f>IF(B2531="","",MONTH(B2531))</f>
        <v/>
      </c>
      <c r="M2531" s="18">
        <f>IF(OR(B2531="",I2531=""),"",I2531-B2531)</f>
        <v/>
      </c>
      <c r="N2531" s="21">
        <f>IF(B2531="","",IF(I2531="",IF(H2531="","",IF(TODAY()&gt;H2531,"Atrasado (em aberto)","Em aberto")),IF(I2531&lt;=H2531,"No prazo","Fora do prazo")))</f>
        <v/>
      </c>
    </row>
    <row r="2532">
      <c r="B2532" s="22" t="n"/>
      <c r="E2532" s="23" t="n"/>
      <c r="F2532" s="24" t="n"/>
      <c r="H2532" s="22" t="n"/>
      <c r="I2532" s="22" t="n"/>
      <c r="J2532" s="21">
        <f>IF(C2532="","",IFERROR(INDEX(Clientes!$B:$B,MATCH(C2532,Clientes!$A:$A,0)),"Cód. não cadastrado"))</f>
        <v/>
      </c>
      <c r="K2532" s="18">
        <f>IF(B2532="","",YEAR(B2532))</f>
        <v/>
      </c>
      <c r="L2532" s="18">
        <f>IF(B2532="","",MONTH(B2532))</f>
        <v/>
      </c>
      <c r="M2532" s="18">
        <f>IF(OR(B2532="",I2532=""),"",I2532-B2532)</f>
        <v/>
      </c>
      <c r="N2532" s="21">
        <f>IF(B2532="","",IF(I2532="",IF(H2532="","",IF(TODAY()&gt;H2532,"Atrasado (em aberto)","Em aberto")),IF(I2532&lt;=H2532,"No prazo","Fora do prazo")))</f>
        <v/>
      </c>
    </row>
    <row r="2533">
      <c r="B2533" s="22" t="n"/>
      <c r="E2533" s="23" t="n"/>
      <c r="F2533" s="24" t="n"/>
      <c r="H2533" s="22" t="n"/>
      <c r="I2533" s="22" t="n"/>
      <c r="J2533" s="21">
        <f>IF(C2533="","",IFERROR(INDEX(Clientes!$B:$B,MATCH(C2533,Clientes!$A:$A,0)),"Cód. não cadastrado"))</f>
        <v/>
      </c>
      <c r="K2533" s="18">
        <f>IF(B2533="","",YEAR(B2533))</f>
        <v/>
      </c>
      <c r="L2533" s="18">
        <f>IF(B2533="","",MONTH(B2533))</f>
        <v/>
      </c>
      <c r="M2533" s="18">
        <f>IF(OR(B2533="",I2533=""),"",I2533-B2533)</f>
        <v/>
      </c>
      <c r="N2533" s="21">
        <f>IF(B2533="","",IF(I2533="",IF(H2533="","",IF(TODAY()&gt;H2533,"Atrasado (em aberto)","Em aberto")),IF(I2533&lt;=H2533,"No prazo","Fora do prazo")))</f>
        <v/>
      </c>
    </row>
    <row r="2534">
      <c r="B2534" s="22" t="n"/>
      <c r="E2534" s="23" t="n"/>
      <c r="F2534" s="24" t="n"/>
      <c r="H2534" s="22" t="n"/>
      <c r="I2534" s="22" t="n"/>
      <c r="J2534" s="21">
        <f>IF(C2534="","",IFERROR(INDEX(Clientes!$B:$B,MATCH(C2534,Clientes!$A:$A,0)),"Cód. não cadastrado"))</f>
        <v/>
      </c>
      <c r="K2534" s="18">
        <f>IF(B2534="","",YEAR(B2534))</f>
        <v/>
      </c>
      <c r="L2534" s="18">
        <f>IF(B2534="","",MONTH(B2534))</f>
        <v/>
      </c>
      <c r="M2534" s="18">
        <f>IF(OR(B2534="",I2534=""),"",I2534-B2534)</f>
        <v/>
      </c>
      <c r="N2534" s="21">
        <f>IF(B2534="","",IF(I2534="",IF(H2534="","",IF(TODAY()&gt;H2534,"Atrasado (em aberto)","Em aberto")),IF(I2534&lt;=H2534,"No prazo","Fora do prazo")))</f>
        <v/>
      </c>
    </row>
    <row r="2535">
      <c r="B2535" s="22" t="n"/>
      <c r="E2535" s="23" t="n"/>
      <c r="F2535" s="24" t="n"/>
      <c r="H2535" s="22" t="n"/>
      <c r="I2535" s="22" t="n"/>
      <c r="J2535" s="21">
        <f>IF(C2535="","",IFERROR(INDEX(Clientes!$B:$B,MATCH(C2535,Clientes!$A:$A,0)),"Cód. não cadastrado"))</f>
        <v/>
      </c>
      <c r="K2535" s="18">
        <f>IF(B2535="","",YEAR(B2535))</f>
        <v/>
      </c>
      <c r="L2535" s="18">
        <f>IF(B2535="","",MONTH(B2535))</f>
        <v/>
      </c>
      <c r="M2535" s="18">
        <f>IF(OR(B2535="",I2535=""),"",I2535-B2535)</f>
        <v/>
      </c>
      <c r="N2535" s="21">
        <f>IF(B2535="","",IF(I2535="",IF(H2535="","",IF(TODAY()&gt;H2535,"Atrasado (em aberto)","Em aberto")),IF(I2535&lt;=H2535,"No prazo","Fora do prazo")))</f>
        <v/>
      </c>
    </row>
    <row r="2536">
      <c r="B2536" s="22" t="n"/>
      <c r="E2536" s="23" t="n"/>
      <c r="F2536" s="24" t="n"/>
      <c r="H2536" s="22" t="n"/>
      <c r="I2536" s="22" t="n"/>
      <c r="J2536" s="21">
        <f>IF(C2536="","",IFERROR(INDEX(Clientes!$B:$B,MATCH(C2536,Clientes!$A:$A,0)),"Cód. não cadastrado"))</f>
        <v/>
      </c>
      <c r="K2536" s="18">
        <f>IF(B2536="","",YEAR(B2536))</f>
        <v/>
      </c>
      <c r="L2536" s="18">
        <f>IF(B2536="","",MONTH(B2536))</f>
        <v/>
      </c>
      <c r="M2536" s="18">
        <f>IF(OR(B2536="",I2536=""),"",I2536-B2536)</f>
        <v/>
      </c>
      <c r="N2536" s="21">
        <f>IF(B2536="","",IF(I2536="",IF(H2536="","",IF(TODAY()&gt;H2536,"Atrasado (em aberto)","Em aberto")),IF(I2536&lt;=H2536,"No prazo","Fora do prazo")))</f>
        <v/>
      </c>
    </row>
    <row r="2537">
      <c r="B2537" s="22" t="n"/>
      <c r="E2537" s="23" t="n"/>
      <c r="F2537" s="24" t="n"/>
      <c r="H2537" s="22" t="n"/>
      <c r="I2537" s="22" t="n"/>
      <c r="J2537" s="21">
        <f>IF(C2537="","",IFERROR(INDEX(Clientes!$B:$B,MATCH(C2537,Clientes!$A:$A,0)),"Cód. não cadastrado"))</f>
        <v/>
      </c>
      <c r="K2537" s="18">
        <f>IF(B2537="","",YEAR(B2537))</f>
        <v/>
      </c>
      <c r="L2537" s="18">
        <f>IF(B2537="","",MONTH(B2537))</f>
        <v/>
      </c>
      <c r="M2537" s="18">
        <f>IF(OR(B2537="",I2537=""),"",I2537-B2537)</f>
        <v/>
      </c>
      <c r="N2537" s="21">
        <f>IF(B2537="","",IF(I2537="",IF(H2537="","",IF(TODAY()&gt;H2537,"Atrasado (em aberto)","Em aberto")),IF(I2537&lt;=H2537,"No prazo","Fora do prazo")))</f>
        <v/>
      </c>
    </row>
    <row r="2538">
      <c r="B2538" s="22" t="n"/>
      <c r="E2538" s="23" t="n"/>
      <c r="F2538" s="24" t="n"/>
      <c r="H2538" s="22" t="n"/>
      <c r="I2538" s="22" t="n"/>
      <c r="J2538" s="21">
        <f>IF(C2538="","",IFERROR(INDEX(Clientes!$B:$B,MATCH(C2538,Clientes!$A:$A,0)),"Cód. não cadastrado"))</f>
        <v/>
      </c>
      <c r="K2538" s="18">
        <f>IF(B2538="","",YEAR(B2538))</f>
        <v/>
      </c>
      <c r="L2538" s="18">
        <f>IF(B2538="","",MONTH(B2538))</f>
        <v/>
      </c>
      <c r="M2538" s="18">
        <f>IF(OR(B2538="",I2538=""),"",I2538-B2538)</f>
        <v/>
      </c>
      <c r="N2538" s="21">
        <f>IF(B2538="","",IF(I2538="",IF(H2538="","",IF(TODAY()&gt;H2538,"Atrasado (em aberto)","Em aberto")),IF(I2538&lt;=H2538,"No prazo","Fora do prazo")))</f>
        <v/>
      </c>
    </row>
    <row r="2539">
      <c r="B2539" s="22" t="n"/>
      <c r="E2539" s="23" t="n"/>
      <c r="F2539" s="24" t="n"/>
      <c r="H2539" s="22" t="n"/>
      <c r="I2539" s="22" t="n"/>
      <c r="J2539" s="21">
        <f>IF(C2539="","",IFERROR(INDEX(Clientes!$B:$B,MATCH(C2539,Clientes!$A:$A,0)),"Cód. não cadastrado"))</f>
        <v/>
      </c>
      <c r="K2539" s="18">
        <f>IF(B2539="","",YEAR(B2539))</f>
        <v/>
      </c>
      <c r="L2539" s="18">
        <f>IF(B2539="","",MONTH(B2539))</f>
        <v/>
      </c>
      <c r="M2539" s="18">
        <f>IF(OR(B2539="",I2539=""),"",I2539-B2539)</f>
        <v/>
      </c>
      <c r="N2539" s="21">
        <f>IF(B2539="","",IF(I2539="",IF(H2539="","",IF(TODAY()&gt;H2539,"Atrasado (em aberto)","Em aberto")),IF(I2539&lt;=H2539,"No prazo","Fora do prazo")))</f>
        <v/>
      </c>
    </row>
    <row r="2540">
      <c r="B2540" s="22" t="n"/>
      <c r="E2540" s="23" t="n"/>
      <c r="F2540" s="24" t="n"/>
      <c r="H2540" s="22" t="n"/>
      <c r="I2540" s="22" t="n"/>
      <c r="J2540" s="21">
        <f>IF(C2540="","",IFERROR(INDEX(Clientes!$B:$B,MATCH(C2540,Clientes!$A:$A,0)),"Cód. não cadastrado"))</f>
        <v/>
      </c>
      <c r="K2540" s="18">
        <f>IF(B2540="","",YEAR(B2540))</f>
        <v/>
      </c>
      <c r="L2540" s="18">
        <f>IF(B2540="","",MONTH(B2540))</f>
        <v/>
      </c>
      <c r="M2540" s="18">
        <f>IF(OR(B2540="",I2540=""),"",I2540-B2540)</f>
        <v/>
      </c>
      <c r="N2540" s="21">
        <f>IF(B2540="","",IF(I2540="",IF(H2540="","",IF(TODAY()&gt;H2540,"Atrasado (em aberto)","Em aberto")),IF(I2540&lt;=H2540,"No prazo","Fora do prazo")))</f>
        <v/>
      </c>
    </row>
    <row r="2541">
      <c r="B2541" s="22" t="n"/>
      <c r="E2541" s="23" t="n"/>
      <c r="F2541" s="24" t="n"/>
      <c r="H2541" s="22" t="n"/>
      <c r="I2541" s="22" t="n"/>
      <c r="J2541" s="21">
        <f>IF(C2541="","",IFERROR(INDEX(Clientes!$B:$B,MATCH(C2541,Clientes!$A:$A,0)),"Cód. não cadastrado"))</f>
        <v/>
      </c>
      <c r="K2541" s="18">
        <f>IF(B2541="","",YEAR(B2541))</f>
        <v/>
      </c>
      <c r="L2541" s="18">
        <f>IF(B2541="","",MONTH(B2541))</f>
        <v/>
      </c>
      <c r="M2541" s="18">
        <f>IF(OR(B2541="",I2541=""),"",I2541-B2541)</f>
        <v/>
      </c>
      <c r="N2541" s="21">
        <f>IF(B2541="","",IF(I2541="",IF(H2541="","",IF(TODAY()&gt;H2541,"Atrasado (em aberto)","Em aberto")),IF(I2541&lt;=H2541,"No prazo","Fora do prazo")))</f>
        <v/>
      </c>
    </row>
    <row r="2542">
      <c r="B2542" s="22" t="n"/>
      <c r="E2542" s="23" t="n"/>
      <c r="F2542" s="24" t="n"/>
      <c r="H2542" s="22" t="n"/>
      <c r="I2542" s="22" t="n"/>
      <c r="J2542" s="21">
        <f>IF(C2542="","",IFERROR(INDEX(Clientes!$B:$B,MATCH(C2542,Clientes!$A:$A,0)),"Cód. não cadastrado"))</f>
        <v/>
      </c>
      <c r="K2542" s="18">
        <f>IF(B2542="","",YEAR(B2542))</f>
        <v/>
      </c>
      <c r="L2542" s="18">
        <f>IF(B2542="","",MONTH(B2542))</f>
        <v/>
      </c>
      <c r="M2542" s="18">
        <f>IF(OR(B2542="",I2542=""),"",I2542-B2542)</f>
        <v/>
      </c>
      <c r="N2542" s="21">
        <f>IF(B2542="","",IF(I2542="",IF(H2542="","",IF(TODAY()&gt;H2542,"Atrasado (em aberto)","Em aberto")),IF(I2542&lt;=H2542,"No prazo","Fora do prazo")))</f>
        <v/>
      </c>
    </row>
    <row r="2543">
      <c r="B2543" s="22" t="n"/>
      <c r="E2543" s="23" t="n"/>
      <c r="F2543" s="24" t="n"/>
      <c r="H2543" s="22" t="n"/>
      <c r="I2543" s="22" t="n"/>
      <c r="J2543" s="21">
        <f>IF(C2543="","",IFERROR(INDEX(Clientes!$B:$B,MATCH(C2543,Clientes!$A:$A,0)),"Cód. não cadastrado"))</f>
        <v/>
      </c>
      <c r="K2543" s="18">
        <f>IF(B2543="","",YEAR(B2543))</f>
        <v/>
      </c>
      <c r="L2543" s="18">
        <f>IF(B2543="","",MONTH(B2543))</f>
        <v/>
      </c>
      <c r="M2543" s="18">
        <f>IF(OR(B2543="",I2543=""),"",I2543-B2543)</f>
        <v/>
      </c>
      <c r="N2543" s="21">
        <f>IF(B2543="","",IF(I2543="",IF(H2543="","",IF(TODAY()&gt;H2543,"Atrasado (em aberto)","Em aberto")),IF(I2543&lt;=H2543,"No prazo","Fora do prazo")))</f>
        <v/>
      </c>
    </row>
    <row r="2544">
      <c r="B2544" s="22" t="n"/>
      <c r="E2544" s="23" t="n"/>
      <c r="F2544" s="24" t="n"/>
      <c r="H2544" s="22" t="n"/>
      <c r="I2544" s="22" t="n"/>
      <c r="J2544" s="21">
        <f>IF(C2544="","",IFERROR(INDEX(Clientes!$B:$B,MATCH(C2544,Clientes!$A:$A,0)),"Cód. não cadastrado"))</f>
        <v/>
      </c>
      <c r="K2544" s="18">
        <f>IF(B2544="","",YEAR(B2544))</f>
        <v/>
      </c>
      <c r="L2544" s="18">
        <f>IF(B2544="","",MONTH(B2544))</f>
        <v/>
      </c>
      <c r="M2544" s="18">
        <f>IF(OR(B2544="",I2544=""),"",I2544-B2544)</f>
        <v/>
      </c>
      <c r="N2544" s="21">
        <f>IF(B2544="","",IF(I2544="",IF(H2544="","",IF(TODAY()&gt;H2544,"Atrasado (em aberto)","Em aberto")),IF(I2544&lt;=H2544,"No prazo","Fora do prazo")))</f>
        <v/>
      </c>
    </row>
    <row r="2545">
      <c r="B2545" s="22" t="n"/>
      <c r="E2545" s="23" t="n"/>
      <c r="F2545" s="24" t="n"/>
      <c r="H2545" s="22" t="n"/>
      <c r="I2545" s="22" t="n"/>
      <c r="J2545" s="21">
        <f>IF(C2545="","",IFERROR(INDEX(Clientes!$B:$B,MATCH(C2545,Clientes!$A:$A,0)),"Cód. não cadastrado"))</f>
        <v/>
      </c>
      <c r="K2545" s="18">
        <f>IF(B2545="","",YEAR(B2545))</f>
        <v/>
      </c>
      <c r="L2545" s="18">
        <f>IF(B2545="","",MONTH(B2545))</f>
        <v/>
      </c>
      <c r="M2545" s="18">
        <f>IF(OR(B2545="",I2545=""),"",I2545-B2545)</f>
        <v/>
      </c>
      <c r="N2545" s="21">
        <f>IF(B2545="","",IF(I2545="",IF(H2545="","",IF(TODAY()&gt;H2545,"Atrasado (em aberto)","Em aberto")),IF(I2545&lt;=H2545,"No prazo","Fora do prazo")))</f>
        <v/>
      </c>
    </row>
    <row r="2546">
      <c r="B2546" s="22" t="n"/>
      <c r="E2546" s="23" t="n"/>
      <c r="F2546" s="24" t="n"/>
      <c r="H2546" s="22" t="n"/>
      <c r="I2546" s="22" t="n"/>
      <c r="J2546" s="21">
        <f>IF(C2546="","",IFERROR(INDEX(Clientes!$B:$B,MATCH(C2546,Clientes!$A:$A,0)),"Cód. não cadastrado"))</f>
        <v/>
      </c>
      <c r="K2546" s="18">
        <f>IF(B2546="","",YEAR(B2546))</f>
        <v/>
      </c>
      <c r="L2546" s="18">
        <f>IF(B2546="","",MONTH(B2546))</f>
        <v/>
      </c>
      <c r="M2546" s="18">
        <f>IF(OR(B2546="",I2546=""),"",I2546-B2546)</f>
        <v/>
      </c>
      <c r="N2546" s="21">
        <f>IF(B2546="","",IF(I2546="",IF(H2546="","",IF(TODAY()&gt;H2546,"Atrasado (em aberto)","Em aberto")),IF(I2546&lt;=H2546,"No prazo","Fora do prazo")))</f>
        <v/>
      </c>
    </row>
    <row r="2547">
      <c r="B2547" s="22" t="n"/>
      <c r="E2547" s="23" t="n"/>
      <c r="F2547" s="24" t="n"/>
      <c r="H2547" s="22" t="n"/>
      <c r="I2547" s="22" t="n"/>
      <c r="J2547" s="21">
        <f>IF(C2547="","",IFERROR(INDEX(Clientes!$B:$B,MATCH(C2547,Clientes!$A:$A,0)),"Cód. não cadastrado"))</f>
        <v/>
      </c>
      <c r="K2547" s="18">
        <f>IF(B2547="","",YEAR(B2547))</f>
        <v/>
      </c>
      <c r="L2547" s="18">
        <f>IF(B2547="","",MONTH(B2547))</f>
        <v/>
      </c>
      <c r="M2547" s="18">
        <f>IF(OR(B2547="",I2547=""),"",I2547-B2547)</f>
        <v/>
      </c>
      <c r="N2547" s="21">
        <f>IF(B2547="","",IF(I2547="",IF(H2547="","",IF(TODAY()&gt;H2547,"Atrasado (em aberto)","Em aberto")),IF(I2547&lt;=H2547,"No prazo","Fora do prazo")))</f>
        <v/>
      </c>
    </row>
    <row r="2548">
      <c r="B2548" s="22" t="n"/>
      <c r="E2548" s="23" t="n"/>
      <c r="F2548" s="24" t="n"/>
      <c r="H2548" s="22" t="n"/>
      <c r="I2548" s="22" t="n"/>
      <c r="J2548" s="21">
        <f>IF(C2548="","",IFERROR(INDEX(Clientes!$B:$B,MATCH(C2548,Clientes!$A:$A,0)),"Cód. não cadastrado"))</f>
        <v/>
      </c>
      <c r="K2548" s="18">
        <f>IF(B2548="","",YEAR(B2548))</f>
        <v/>
      </c>
      <c r="L2548" s="18">
        <f>IF(B2548="","",MONTH(B2548))</f>
        <v/>
      </c>
      <c r="M2548" s="18">
        <f>IF(OR(B2548="",I2548=""),"",I2548-B2548)</f>
        <v/>
      </c>
      <c r="N2548" s="21">
        <f>IF(B2548="","",IF(I2548="",IF(H2548="","",IF(TODAY()&gt;H2548,"Atrasado (em aberto)","Em aberto")),IF(I2548&lt;=H2548,"No prazo","Fora do prazo")))</f>
        <v/>
      </c>
    </row>
    <row r="2549">
      <c r="B2549" s="22" t="n"/>
      <c r="E2549" s="23" t="n"/>
      <c r="F2549" s="24" t="n"/>
      <c r="H2549" s="22" t="n"/>
      <c r="I2549" s="22" t="n"/>
      <c r="J2549" s="21">
        <f>IF(C2549="","",IFERROR(INDEX(Clientes!$B:$B,MATCH(C2549,Clientes!$A:$A,0)),"Cód. não cadastrado"))</f>
        <v/>
      </c>
      <c r="K2549" s="18">
        <f>IF(B2549="","",YEAR(B2549))</f>
        <v/>
      </c>
      <c r="L2549" s="18">
        <f>IF(B2549="","",MONTH(B2549))</f>
        <v/>
      </c>
      <c r="M2549" s="18">
        <f>IF(OR(B2549="",I2549=""),"",I2549-B2549)</f>
        <v/>
      </c>
      <c r="N2549" s="21">
        <f>IF(B2549="","",IF(I2549="",IF(H2549="","",IF(TODAY()&gt;H2549,"Atrasado (em aberto)","Em aberto")),IF(I2549&lt;=H2549,"No prazo","Fora do prazo")))</f>
        <v/>
      </c>
    </row>
    <row r="2550">
      <c r="B2550" s="22" t="n"/>
      <c r="E2550" s="23" t="n"/>
      <c r="F2550" s="24" t="n"/>
      <c r="H2550" s="22" t="n"/>
      <c r="I2550" s="22" t="n"/>
      <c r="J2550" s="21">
        <f>IF(C2550="","",IFERROR(INDEX(Clientes!$B:$B,MATCH(C2550,Clientes!$A:$A,0)),"Cód. não cadastrado"))</f>
        <v/>
      </c>
      <c r="K2550" s="18">
        <f>IF(B2550="","",YEAR(B2550))</f>
        <v/>
      </c>
      <c r="L2550" s="18">
        <f>IF(B2550="","",MONTH(B2550))</f>
        <v/>
      </c>
      <c r="M2550" s="18">
        <f>IF(OR(B2550="",I2550=""),"",I2550-B2550)</f>
        <v/>
      </c>
      <c r="N2550" s="21">
        <f>IF(B2550="","",IF(I2550="",IF(H2550="","",IF(TODAY()&gt;H2550,"Atrasado (em aberto)","Em aberto")),IF(I2550&lt;=H2550,"No prazo","Fora do prazo")))</f>
        <v/>
      </c>
    </row>
    <row r="2551">
      <c r="B2551" s="22" t="n"/>
      <c r="E2551" s="23" t="n"/>
      <c r="F2551" s="24" t="n"/>
      <c r="H2551" s="22" t="n"/>
      <c r="I2551" s="22" t="n"/>
      <c r="J2551" s="21">
        <f>IF(C2551="","",IFERROR(INDEX(Clientes!$B:$B,MATCH(C2551,Clientes!$A:$A,0)),"Cód. não cadastrado"))</f>
        <v/>
      </c>
      <c r="K2551" s="18">
        <f>IF(B2551="","",YEAR(B2551))</f>
        <v/>
      </c>
      <c r="L2551" s="18">
        <f>IF(B2551="","",MONTH(B2551))</f>
        <v/>
      </c>
      <c r="M2551" s="18">
        <f>IF(OR(B2551="",I2551=""),"",I2551-B2551)</f>
        <v/>
      </c>
      <c r="N2551" s="21">
        <f>IF(B2551="","",IF(I2551="",IF(H2551="","",IF(TODAY()&gt;H2551,"Atrasado (em aberto)","Em aberto")),IF(I2551&lt;=H2551,"No prazo","Fora do prazo")))</f>
        <v/>
      </c>
    </row>
    <row r="2552">
      <c r="B2552" s="22" t="n"/>
      <c r="E2552" s="23" t="n"/>
      <c r="F2552" s="24" t="n"/>
      <c r="H2552" s="22" t="n"/>
      <c r="I2552" s="22" t="n"/>
      <c r="J2552" s="21">
        <f>IF(C2552="","",IFERROR(INDEX(Clientes!$B:$B,MATCH(C2552,Clientes!$A:$A,0)),"Cód. não cadastrado"))</f>
        <v/>
      </c>
      <c r="K2552" s="18">
        <f>IF(B2552="","",YEAR(B2552))</f>
        <v/>
      </c>
      <c r="L2552" s="18">
        <f>IF(B2552="","",MONTH(B2552))</f>
        <v/>
      </c>
      <c r="M2552" s="18">
        <f>IF(OR(B2552="",I2552=""),"",I2552-B2552)</f>
        <v/>
      </c>
      <c r="N2552" s="21">
        <f>IF(B2552="","",IF(I2552="",IF(H2552="","",IF(TODAY()&gt;H2552,"Atrasado (em aberto)","Em aberto")),IF(I2552&lt;=H2552,"No prazo","Fora do prazo")))</f>
        <v/>
      </c>
    </row>
    <row r="2553">
      <c r="B2553" s="22" t="n"/>
      <c r="E2553" s="23" t="n"/>
      <c r="F2553" s="24" t="n"/>
      <c r="H2553" s="22" t="n"/>
      <c r="I2553" s="22" t="n"/>
      <c r="J2553" s="21">
        <f>IF(C2553="","",IFERROR(INDEX(Clientes!$B:$B,MATCH(C2553,Clientes!$A:$A,0)),"Cód. não cadastrado"))</f>
        <v/>
      </c>
      <c r="K2553" s="18">
        <f>IF(B2553="","",YEAR(B2553))</f>
        <v/>
      </c>
      <c r="L2553" s="18">
        <f>IF(B2553="","",MONTH(B2553))</f>
        <v/>
      </c>
      <c r="M2553" s="18">
        <f>IF(OR(B2553="",I2553=""),"",I2553-B2553)</f>
        <v/>
      </c>
      <c r="N2553" s="21">
        <f>IF(B2553="","",IF(I2553="",IF(H2553="","",IF(TODAY()&gt;H2553,"Atrasado (em aberto)","Em aberto")),IF(I2553&lt;=H2553,"No prazo","Fora do prazo")))</f>
        <v/>
      </c>
    </row>
    <row r="2554">
      <c r="B2554" s="22" t="n"/>
      <c r="E2554" s="23" t="n"/>
      <c r="F2554" s="24" t="n"/>
      <c r="H2554" s="22" t="n"/>
      <c r="I2554" s="22" t="n"/>
      <c r="J2554" s="21">
        <f>IF(C2554="","",IFERROR(INDEX(Clientes!$B:$B,MATCH(C2554,Clientes!$A:$A,0)),"Cód. não cadastrado"))</f>
        <v/>
      </c>
      <c r="K2554" s="18">
        <f>IF(B2554="","",YEAR(B2554))</f>
        <v/>
      </c>
      <c r="L2554" s="18">
        <f>IF(B2554="","",MONTH(B2554))</f>
        <v/>
      </c>
      <c r="M2554" s="18">
        <f>IF(OR(B2554="",I2554=""),"",I2554-B2554)</f>
        <v/>
      </c>
      <c r="N2554" s="21">
        <f>IF(B2554="","",IF(I2554="",IF(H2554="","",IF(TODAY()&gt;H2554,"Atrasado (em aberto)","Em aberto")),IF(I2554&lt;=H2554,"No prazo","Fora do prazo")))</f>
        <v/>
      </c>
    </row>
    <row r="2555">
      <c r="B2555" s="22" t="n"/>
      <c r="E2555" s="23" t="n"/>
      <c r="F2555" s="24" t="n"/>
      <c r="H2555" s="22" t="n"/>
      <c r="I2555" s="22" t="n"/>
      <c r="J2555" s="21">
        <f>IF(C2555="","",IFERROR(INDEX(Clientes!$B:$B,MATCH(C2555,Clientes!$A:$A,0)),"Cód. não cadastrado"))</f>
        <v/>
      </c>
      <c r="K2555" s="18">
        <f>IF(B2555="","",YEAR(B2555))</f>
        <v/>
      </c>
      <c r="L2555" s="18">
        <f>IF(B2555="","",MONTH(B2555))</f>
        <v/>
      </c>
      <c r="M2555" s="18">
        <f>IF(OR(B2555="",I2555=""),"",I2555-B2555)</f>
        <v/>
      </c>
      <c r="N2555" s="21">
        <f>IF(B2555="","",IF(I2555="",IF(H2555="","",IF(TODAY()&gt;H2555,"Atrasado (em aberto)","Em aberto")),IF(I2555&lt;=H2555,"No prazo","Fora do prazo")))</f>
        <v/>
      </c>
    </row>
    <row r="2556">
      <c r="B2556" s="22" t="n"/>
      <c r="E2556" s="23" t="n"/>
      <c r="F2556" s="24" t="n"/>
      <c r="H2556" s="22" t="n"/>
      <c r="I2556" s="22" t="n"/>
      <c r="J2556" s="21">
        <f>IF(C2556="","",IFERROR(INDEX(Clientes!$B:$B,MATCH(C2556,Clientes!$A:$A,0)),"Cód. não cadastrado"))</f>
        <v/>
      </c>
      <c r="K2556" s="18">
        <f>IF(B2556="","",YEAR(B2556))</f>
        <v/>
      </c>
      <c r="L2556" s="18">
        <f>IF(B2556="","",MONTH(B2556))</f>
        <v/>
      </c>
      <c r="M2556" s="18">
        <f>IF(OR(B2556="",I2556=""),"",I2556-B2556)</f>
        <v/>
      </c>
      <c r="N2556" s="21">
        <f>IF(B2556="","",IF(I2556="",IF(H2556="","",IF(TODAY()&gt;H2556,"Atrasado (em aberto)","Em aberto")),IF(I2556&lt;=H2556,"No prazo","Fora do prazo")))</f>
        <v/>
      </c>
    </row>
    <row r="2557">
      <c r="B2557" s="22" t="n"/>
      <c r="E2557" s="23" t="n"/>
      <c r="F2557" s="24" t="n"/>
      <c r="H2557" s="22" t="n"/>
      <c r="I2557" s="22" t="n"/>
      <c r="J2557" s="21">
        <f>IF(C2557="","",IFERROR(INDEX(Clientes!$B:$B,MATCH(C2557,Clientes!$A:$A,0)),"Cód. não cadastrado"))</f>
        <v/>
      </c>
      <c r="K2557" s="18">
        <f>IF(B2557="","",YEAR(B2557))</f>
        <v/>
      </c>
      <c r="L2557" s="18">
        <f>IF(B2557="","",MONTH(B2557))</f>
        <v/>
      </c>
      <c r="M2557" s="18">
        <f>IF(OR(B2557="",I2557=""),"",I2557-B2557)</f>
        <v/>
      </c>
      <c r="N2557" s="21">
        <f>IF(B2557="","",IF(I2557="",IF(H2557="","",IF(TODAY()&gt;H2557,"Atrasado (em aberto)","Em aberto")),IF(I2557&lt;=H2557,"No prazo","Fora do prazo")))</f>
        <v/>
      </c>
    </row>
    <row r="2558">
      <c r="B2558" s="22" t="n"/>
      <c r="E2558" s="23" t="n"/>
      <c r="F2558" s="24" t="n"/>
      <c r="H2558" s="22" t="n"/>
      <c r="I2558" s="22" t="n"/>
      <c r="J2558" s="21">
        <f>IF(C2558="","",IFERROR(INDEX(Clientes!$B:$B,MATCH(C2558,Clientes!$A:$A,0)),"Cód. não cadastrado"))</f>
        <v/>
      </c>
      <c r="K2558" s="18">
        <f>IF(B2558="","",YEAR(B2558))</f>
        <v/>
      </c>
      <c r="L2558" s="18">
        <f>IF(B2558="","",MONTH(B2558))</f>
        <v/>
      </c>
      <c r="M2558" s="18">
        <f>IF(OR(B2558="",I2558=""),"",I2558-B2558)</f>
        <v/>
      </c>
      <c r="N2558" s="21">
        <f>IF(B2558="","",IF(I2558="",IF(H2558="","",IF(TODAY()&gt;H2558,"Atrasado (em aberto)","Em aberto")),IF(I2558&lt;=H2558,"No prazo","Fora do prazo")))</f>
        <v/>
      </c>
    </row>
    <row r="2559">
      <c r="B2559" s="22" t="n"/>
      <c r="E2559" s="23" t="n"/>
      <c r="F2559" s="24" t="n"/>
      <c r="H2559" s="22" t="n"/>
      <c r="I2559" s="22" t="n"/>
      <c r="J2559" s="21">
        <f>IF(C2559="","",IFERROR(INDEX(Clientes!$B:$B,MATCH(C2559,Clientes!$A:$A,0)),"Cód. não cadastrado"))</f>
        <v/>
      </c>
      <c r="K2559" s="18">
        <f>IF(B2559="","",YEAR(B2559))</f>
        <v/>
      </c>
      <c r="L2559" s="18">
        <f>IF(B2559="","",MONTH(B2559))</f>
        <v/>
      </c>
      <c r="M2559" s="18">
        <f>IF(OR(B2559="",I2559=""),"",I2559-B2559)</f>
        <v/>
      </c>
      <c r="N2559" s="21">
        <f>IF(B2559="","",IF(I2559="",IF(H2559="","",IF(TODAY()&gt;H2559,"Atrasado (em aberto)","Em aberto")),IF(I2559&lt;=H2559,"No prazo","Fora do prazo")))</f>
        <v/>
      </c>
    </row>
    <row r="2560">
      <c r="B2560" s="22" t="n"/>
      <c r="E2560" s="23" t="n"/>
      <c r="F2560" s="24" t="n"/>
      <c r="H2560" s="22" t="n"/>
      <c r="I2560" s="22" t="n"/>
      <c r="J2560" s="21">
        <f>IF(C2560="","",IFERROR(INDEX(Clientes!$B:$B,MATCH(C2560,Clientes!$A:$A,0)),"Cód. não cadastrado"))</f>
        <v/>
      </c>
      <c r="K2560" s="18">
        <f>IF(B2560="","",YEAR(B2560))</f>
        <v/>
      </c>
      <c r="L2560" s="18">
        <f>IF(B2560="","",MONTH(B2560))</f>
        <v/>
      </c>
      <c r="M2560" s="18">
        <f>IF(OR(B2560="",I2560=""),"",I2560-B2560)</f>
        <v/>
      </c>
      <c r="N2560" s="21">
        <f>IF(B2560="","",IF(I2560="",IF(H2560="","",IF(TODAY()&gt;H2560,"Atrasado (em aberto)","Em aberto")),IF(I2560&lt;=H2560,"No prazo","Fora do prazo")))</f>
        <v/>
      </c>
    </row>
    <row r="2561">
      <c r="B2561" s="22" t="n"/>
      <c r="E2561" s="23" t="n"/>
      <c r="F2561" s="24" t="n"/>
      <c r="H2561" s="22" t="n"/>
      <c r="I2561" s="22" t="n"/>
      <c r="J2561" s="21">
        <f>IF(C2561="","",IFERROR(INDEX(Clientes!$B:$B,MATCH(C2561,Clientes!$A:$A,0)),"Cód. não cadastrado"))</f>
        <v/>
      </c>
      <c r="K2561" s="18">
        <f>IF(B2561="","",YEAR(B2561))</f>
        <v/>
      </c>
      <c r="L2561" s="18">
        <f>IF(B2561="","",MONTH(B2561))</f>
        <v/>
      </c>
      <c r="M2561" s="18">
        <f>IF(OR(B2561="",I2561=""),"",I2561-B2561)</f>
        <v/>
      </c>
      <c r="N2561" s="21">
        <f>IF(B2561="","",IF(I2561="",IF(H2561="","",IF(TODAY()&gt;H2561,"Atrasado (em aberto)","Em aberto")),IF(I2561&lt;=H2561,"No prazo","Fora do prazo")))</f>
        <v/>
      </c>
    </row>
    <row r="2562">
      <c r="B2562" s="22" t="n"/>
      <c r="E2562" s="23" t="n"/>
      <c r="F2562" s="24" t="n"/>
      <c r="H2562" s="22" t="n"/>
      <c r="I2562" s="22" t="n"/>
      <c r="J2562" s="21">
        <f>IF(C2562="","",IFERROR(INDEX(Clientes!$B:$B,MATCH(C2562,Clientes!$A:$A,0)),"Cód. não cadastrado"))</f>
        <v/>
      </c>
      <c r="K2562" s="18">
        <f>IF(B2562="","",YEAR(B2562))</f>
        <v/>
      </c>
      <c r="L2562" s="18">
        <f>IF(B2562="","",MONTH(B2562))</f>
        <v/>
      </c>
      <c r="M2562" s="18">
        <f>IF(OR(B2562="",I2562=""),"",I2562-B2562)</f>
        <v/>
      </c>
      <c r="N2562" s="21">
        <f>IF(B2562="","",IF(I2562="",IF(H2562="","",IF(TODAY()&gt;H2562,"Atrasado (em aberto)","Em aberto")),IF(I2562&lt;=H2562,"No prazo","Fora do prazo")))</f>
        <v/>
      </c>
    </row>
    <row r="2563">
      <c r="B2563" s="22" t="n"/>
      <c r="E2563" s="23" t="n"/>
      <c r="F2563" s="24" t="n"/>
      <c r="H2563" s="22" t="n"/>
      <c r="I2563" s="22" t="n"/>
      <c r="J2563" s="21">
        <f>IF(C2563="","",IFERROR(INDEX(Clientes!$B:$B,MATCH(C2563,Clientes!$A:$A,0)),"Cód. não cadastrado"))</f>
        <v/>
      </c>
      <c r="K2563" s="18">
        <f>IF(B2563="","",YEAR(B2563))</f>
        <v/>
      </c>
      <c r="L2563" s="18">
        <f>IF(B2563="","",MONTH(B2563))</f>
        <v/>
      </c>
      <c r="M2563" s="18">
        <f>IF(OR(B2563="",I2563=""),"",I2563-B2563)</f>
        <v/>
      </c>
      <c r="N2563" s="21">
        <f>IF(B2563="","",IF(I2563="",IF(H2563="","",IF(TODAY()&gt;H2563,"Atrasado (em aberto)","Em aberto")),IF(I2563&lt;=H2563,"No prazo","Fora do prazo")))</f>
        <v/>
      </c>
    </row>
    <row r="2564">
      <c r="B2564" s="22" t="n"/>
      <c r="E2564" s="23" t="n"/>
      <c r="F2564" s="24" t="n"/>
      <c r="H2564" s="22" t="n"/>
      <c r="I2564" s="22" t="n"/>
      <c r="J2564" s="21">
        <f>IF(C2564="","",IFERROR(INDEX(Clientes!$B:$B,MATCH(C2564,Clientes!$A:$A,0)),"Cód. não cadastrado"))</f>
        <v/>
      </c>
      <c r="K2564" s="18">
        <f>IF(B2564="","",YEAR(B2564))</f>
        <v/>
      </c>
      <c r="L2564" s="18">
        <f>IF(B2564="","",MONTH(B2564))</f>
        <v/>
      </c>
      <c r="M2564" s="18">
        <f>IF(OR(B2564="",I2564=""),"",I2564-B2564)</f>
        <v/>
      </c>
      <c r="N2564" s="21">
        <f>IF(B2564="","",IF(I2564="",IF(H2564="","",IF(TODAY()&gt;H2564,"Atrasado (em aberto)","Em aberto")),IF(I2564&lt;=H2564,"No prazo","Fora do prazo")))</f>
        <v/>
      </c>
    </row>
    <row r="2565">
      <c r="B2565" s="22" t="n"/>
      <c r="E2565" s="23" t="n"/>
      <c r="F2565" s="24" t="n"/>
      <c r="H2565" s="22" t="n"/>
      <c r="I2565" s="22" t="n"/>
      <c r="J2565" s="21">
        <f>IF(C2565="","",IFERROR(INDEX(Clientes!$B:$B,MATCH(C2565,Clientes!$A:$A,0)),"Cód. não cadastrado"))</f>
        <v/>
      </c>
      <c r="K2565" s="18">
        <f>IF(B2565="","",YEAR(B2565))</f>
        <v/>
      </c>
      <c r="L2565" s="18">
        <f>IF(B2565="","",MONTH(B2565))</f>
        <v/>
      </c>
      <c r="M2565" s="18">
        <f>IF(OR(B2565="",I2565=""),"",I2565-B2565)</f>
        <v/>
      </c>
      <c r="N2565" s="21">
        <f>IF(B2565="","",IF(I2565="",IF(H2565="","",IF(TODAY()&gt;H2565,"Atrasado (em aberto)","Em aberto")),IF(I2565&lt;=H2565,"No prazo","Fora do prazo")))</f>
        <v/>
      </c>
    </row>
    <row r="2566">
      <c r="B2566" s="22" t="n"/>
      <c r="E2566" s="23" t="n"/>
      <c r="F2566" s="24" t="n"/>
      <c r="H2566" s="22" t="n"/>
      <c r="I2566" s="22" t="n"/>
      <c r="J2566" s="21">
        <f>IF(C2566="","",IFERROR(INDEX(Clientes!$B:$B,MATCH(C2566,Clientes!$A:$A,0)),"Cód. não cadastrado"))</f>
        <v/>
      </c>
      <c r="K2566" s="18">
        <f>IF(B2566="","",YEAR(B2566))</f>
        <v/>
      </c>
      <c r="L2566" s="18">
        <f>IF(B2566="","",MONTH(B2566))</f>
        <v/>
      </c>
      <c r="M2566" s="18">
        <f>IF(OR(B2566="",I2566=""),"",I2566-B2566)</f>
        <v/>
      </c>
      <c r="N2566" s="21">
        <f>IF(B2566="","",IF(I2566="",IF(H2566="","",IF(TODAY()&gt;H2566,"Atrasado (em aberto)","Em aberto")),IF(I2566&lt;=H2566,"No prazo","Fora do prazo")))</f>
        <v/>
      </c>
    </row>
    <row r="2567">
      <c r="B2567" s="22" t="n"/>
      <c r="E2567" s="23" t="n"/>
      <c r="F2567" s="24" t="n"/>
      <c r="H2567" s="22" t="n"/>
      <c r="I2567" s="22" t="n"/>
      <c r="J2567" s="21">
        <f>IF(C2567="","",IFERROR(INDEX(Clientes!$B:$B,MATCH(C2567,Clientes!$A:$A,0)),"Cód. não cadastrado"))</f>
        <v/>
      </c>
      <c r="K2567" s="18">
        <f>IF(B2567="","",YEAR(B2567))</f>
        <v/>
      </c>
      <c r="L2567" s="18">
        <f>IF(B2567="","",MONTH(B2567))</f>
        <v/>
      </c>
      <c r="M2567" s="18">
        <f>IF(OR(B2567="",I2567=""),"",I2567-B2567)</f>
        <v/>
      </c>
      <c r="N2567" s="21">
        <f>IF(B2567="","",IF(I2567="",IF(H2567="","",IF(TODAY()&gt;H2567,"Atrasado (em aberto)","Em aberto")),IF(I2567&lt;=H2567,"No prazo","Fora do prazo")))</f>
        <v/>
      </c>
    </row>
    <row r="2568">
      <c r="B2568" s="22" t="n"/>
      <c r="E2568" s="23" t="n"/>
      <c r="F2568" s="24" t="n"/>
      <c r="H2568" s="22" t="n"/>
      <c r="I2568" s="22" t="n"/>
      <c r="J2568" s="21">
        <f>IF(C2568="","",IFERROR(INDEX(Clientes!$B:$B,MATCH(C2568,Clientes!$A:$A,0)),"Cód. não cadastrado"))</f>
        <v/>
      </c>
      <c r="K2568" s="18">
        <f>IF(B2568="","",YEAR(B2568))</f>
        <v/>
      </c>
      <c r="L2568" s="18">
        <f>IF(B2568="","",MONTH(B2568))</f>
        <v/>
      </c>
      <c r="M2568" s="18">
        <f>IF(OR(B2568="",I2568=""),"",I2568-B2568)</f>
        <v/>
      </c>
      <c r="N2568" s="21">
        <f>IF(B2568="","",IF(I2568="",IF(H2568="","",IF(TODAY()&gt;H2568,"Atrasado (em aberto)","Em aberto")),IF(I2568&lt;=H2568,"No prazo","Fora do prazo")))</f>
        <v/>
      </c>
    </row>
    <row r="2569">
      <c r="B2569" s="22" t="n"/>
      <c r="E2569" s="23" t="n"/>
      <c r="F2569" s="24" t="n"/>
      <c r="H2569" s="22" t="n"/>
      <c r="I2569" s="22" t="n"/>
      <c r="J2569" s="21">
        <f>IF(C2569="","",IFERROR(INDEX(Clientes!$B:$B,MATCH(C2569,Clientes!$A:$A,0)),"Cód. não cadastrado"))</f>
        <v/>
      </c>
      <c r="K2569" s="18">
        <f>IF(B2569="","",YEAR(B2569))</f>
        <v/>
      </c>
      <c r="L2569" s="18">
        <f>IF(B2569="","",MONTH(B2569))</f>
        <v/>
      </c>
      <c r="M2569" s="18">
        <f>IF(OR(B2569="",I2569=""),"",I2569-B2569)</f>
        <v/>
      </c>
      <c r="N2569" s="21">
        <f>IF(B2569="","",IF(I2569="",IF(H2569="","",IF(TODAY()&gt;H2569,"Atrasado (em aberto)","Em aberto")),IF(I2569&lt;=H2569,"No prazo","Fora do prazo")))</f>
        <v/>
      </c>
    </row>
    <row r="2570">
      <c r="B2570" s="22" t="n"/>
      <c r="E2570" s="23" t="n"/>
      <c r="F2570" s="24" t="n"/>
      <c r="H2570" s="22" t="n"/>
      <c r="I2570" s="22" t="n"/>
      <c r="J2570" s="21">
        <f>IF(C2570="","",IFERROR(INDEX(Clientes!$B:$B,MATCH(C2570,Clientes!$A:$A,0)),"Cód. não cadastrado"))</f>
        <v/>
      </c>
      <c r="K2570" s="18">
        <f>IF(B2570="","",YEAR(B2570))</f>
        <v/>
      </c>
      <c r="L2570" s="18">
        <f>IF(B2570="","",MONTH(B2570))</f>
        <v/>
      </c>
      <c r="M2570" s="18">
        <f>IF(OR(B2570="",I2570=""),"",I2570-B2570)</f>
        <v/>
      </c>
      <c r="N2570" s="21">
        <f>IF(B2570="","",IF(I2570="",IF(H2570="","",IF(TODAY()&gt;H2570,"Atrasado (em aberto)","Em aberto")),IF(I2570&lt;=H2570,"No prazo","Fora do prazo")))</f>
        <v/>
      </c>
    </row>
    <row r="2571">
      <c r="B2571" s="22" t="n"/>
      <c r="E2571" s="23" t="n"/>
      <c r="F2571" s="24" t="n"/>
      <c r="H2571" s="22" t="n"/>
      <c r="I2571" s="22" t="n"/>
      <c r="J2571" s="21">
        <f>IF(C2571="","",IFERROR(INDEX(Clientes!$B:$B,MATCH(C2571,Clientes!$A:$A,0)),"Cód. não cadastrado"))</f>
        <v/>
      </c>
      <c r="K2571" s="18">
        <f>IF(B2571="","",YEAR(B2571))</f>
        <v/>
      </c>
      <c r="L2571" s="18">
        <f>IF(B2571="","",MONTH(B2571))</f>
        <v/>
      </c>
      <c r="M2571" s="18">
        <f>IF(OR(B2571="",I2571=""),"",I2571-B2571)</f>
        <v/>
      </c>
      <c r="N2571" s="21">
        <f>IF(B2571="","",IF(I2571="",IF(H2571="","",IF(TODAY()&gt;H2571,"Atrasado (em aberto)","Em aberto")),IF(I2571&lt;=H2571,"No prazo","Fora do prazo")))</f>
        <v/>
      </c>
    </row>
    <row r="2572">
      <c r="B2572" s="22" t="n"/>
      <c r="E2572" s="23" t="n"/>
      <c r="F2572" s="24" t="n"/>
      <c r="H2572" s="22" t="n"/>
      <c r="I2572" s="22" t="n"/>
      <c r="J2572" s="21">
        <f>IF(C2572="","",IFERROR(INDEX(Clientes!$B:$B,MATCH(C2572,Clientes!$A:$A,0)),"Cód. não cadastrado"))</f>
        <v/>
      </c>
      <c r="K2572" s="18">
        <f>IF(B2572="","",YEAR(B2572))</f>
        <v/>
      </c>
      <c r="L2572" s="18">
        <f>IF(B2572="","",MONTH(B2572))</f>
        <v/>
      </c>
      <c r="M2572" s="18">
        <f>IF(OR(B2572="",I2572=""),"",I2572-B2572)</f>
        <v/>
      </c>
      <c r="N2572" s="21">
        <f>IF(B2572="","",IF(I2572="",IF(H2572="","",IF(TODAY()&gt;H2572,"Atrasado (em aberto)","Em aberto")),IF(I2572&lt;=H2572,"No prazo","Fora do prazo")))</f>
        <v/>
      </c>
    </row>
    <row r="2573">
      <c r="B2573" s="22" t="n"/>
      <c r="E2573" s="23" t="n"/>
      <c r="F2573" s="24" t="n"/>
      <c r="H2573" s="22" t="n"/>
      <c r="I2573" s="22" t="n"/>
      <c r="J2573" s="21">
        <f>IF(C2573="","",IFERROR(INDEX(Clientes!$B:$B,MATCH(C2573,Clientes!$A:$A,0)),"Cód. não cadastrado"))</f>
        <v/>
      </c>
      <c r="K2573" s="18">
        <f>IF(B2573="","",YEAR(B2573))</f>
        <v/>
      </c>
      <c r="L2573" s="18">
        <f>IF(B2573="","",MONTH(B2573))</f>
        <v/>
      </c>
      <c r="M2573" s="18">
        <f>IF(OR(B2573="",I2573=""),"",I2573-B2573)</f>
        <v/>
      </c>
      <c r="N2573" s="21">
        <f>IF(B2573="","",IF(I2573="",IF(H2573="","",IF(TODAY()&gt;H2573,"Atrasado (em aberto)","Em aberto")),IF(I2573&lt;=H2573,"No prazo","Fora do prazo")))</f>
        <v/>
      </c>
    </row>
    <row r="2574">
      <c r="B2574" s="22" t="n"/>
      <c r="E2574" s="23" t="n"/>
      <c r="F2574" s="24" t="n"/>
      <c r="H2574" s="22" t="n"/>
      <c r="I2574" s="22" t="n"/>
      <c r="J2574" s="21">
        <f>IF(C2574="","",IFERROR(INDEX(Clientes!$B:$B,MATCH(C2574,Clientes!$A:$A,0)),"Cód. não cadastrado"))</f>
        <v/>
      </c>
      <c r="K2574" s="18">
        <f>IF(B2574="","",YEAR(B2574))</f>
        <v/>
      </c>
      <c r="L2574" s="18">
        <f>IF(B2574="","",MONTH(B2574))</f>
        <v/>
      </c>
      <c r="M2574" s="18">
        <f>IF(OR(B2574="",I2574=""),"",I2574-B2574)</f>
        <v/>
      </c>
      <c r="N2574" s="21">
        <f>IF(B2574="","",IF(I2574="",IF(H2574="","",IF(TODAY()&gt;H2574,"Atrasado (em aberto)","Em aberto")),IF(I2574&lt;=H2574,"No prazo","Fora do prazo")))</f>
        <v/>
      </c>
    </row>
    <row r="2575">
      <c r="B2575" s="22" t="n"/>
      <c r="E2575" s="23" t="n"/>
      <c r="F2575" s="24" t="n"/>
      <c r="H2575" s="22" t="n"/>
      <c r="I2575" s="22" t="n"/>
      <c r="J2575" s="21">
        <f>IF(C2575="","",IFERROR(INDEX(Clientes!$B:$B,MATCH(C2575,Clientes!$A:$A,0)),"Cód. não cadastrado"))</f>
        <v/>
      </c>
      <c r="K2575" s="18">
        <f>IF(B2575="","",YEAR(B2575))</f>
        <v/>
      </c>
      <c r="L2575" s="18">
        <f>IF(B2575="","",MONTH(B2575))</f>
        <v/>
      </c>
      <c r="M2575" s="18">
        <f>IF(OR(B2575="",I2575=""),"",I2575-B2575)</f>
        <v/>
      </c>
      <c r="N2575" s="21">
        <f>IF(B2575="","",IF(I2575="",IF(H2575="","",IF(TODAY()&gt;H2575,"Atrasado (em aberto)","Em aberto")),IF(I2575&lt;=H2575,"No prazo","Fora do prazo")))</f>
        <v/>
      </c>
    </row>
    <row r="2576">
      <c r="B2576" s="22" t="n"/>
      <c r="E2576" s="23" t="n"/>
      <c r="F2576" s="24" t="n"/>
      <c r="H2576" s="22" t="n"/>
      <c r="I2576" s="22" t="n"/>
      <c r="J2576" s="21">
        <f>IF(C2576="","",IFERROR(INDEX(Clientes!$B:$B,MATCH(C2576,Clientes!$A:$A,0)),"Cód. não cadastrado"))</f>
        <v/>
      </c>
      <c r="K2576" s="18">
        <f>IF(B2576="","",YEAR(B2576))</f>
        <v/>
      </c>
      <c r="L2576" s="18">
        <f>IF(B2576="","",MONTH(B2576))</f>
        <v/>
      </c>
      <c r="M2576" s="18">
        <f>IF(OR(B2576="",I2576=""),"",I2576-B2576)</f>
        <v/>
      </c>
      <c r="N2576" s="21">
        <f>IF(B2576="","",IF(I2576="",IF(H2576="","",IF(TODAY()&gt;H2576,"Atrasado (em aberto)","Em aberto")),IF(I2576&lt;=H2576,"No prazo","Fora do prazo")))</f>
        <v/>
      </c>
    </row>
    <row r="2577">
      <c r="B2577" s="22" t="n"/>
      <c r="E2577" s="23" t="n"/>
      <c r="F2577" s="24" t="n"/>
      <c r="H2577" s="22" t="n"/>
      <c r="I2577" s="22" t="n"/>
      <c r="J2577" s="21">
        <f>IF(C2577="","",IFERROR(INDEX(Clientes!$B:$B,MATCH(C2577,Clientes!$A:$A,0)),"Cód. não cadastrado"))</f>
        <v/>
      </c>
      <c r="K2577" s="18">
        <f>IF(B2577="","",YEAR(B2577))</f>
        <v/>
      </c>
      <c r="L2577" s="18">
        <f>IF(B2577="","",MONTH(B2577))</f>
        <v/>
      </c>
      <c r="M2577" s="18">
        <f>IF(OR(B2577="",I2577=""),"",I2577-B2577)</f>
        <v/>
      </c>
      <c r="N2577" s="21">
        <f>IF(B2577="","",IF(I2577="",IF(H2577="","",IF(TODAY()&gt;H2577,"Atrasado (em aberto)","Em aberto")),IF(I2577&lt;=H2577,"No prazo","Fora do prazo")))</f>
        <v/>
      </c>
    </row>
    <row r="2578">
      <c r="B2578" s="22" t="n"/>
      <c r="E2578" s="23" t="n"/>
      <c r="F2578" s="24" t="n"/>
      <c r="H2578" s="22" t="n"/>
      <c r="I2578" s="22" t="n"/>
      <c r="J2578" s="21">
        <f>IF(C2578="","",IFERROR(INDEX(Clientes!$B:$B,MATCH(C2578,Clientes!$A:$A,0)),"Cód. não cadastrado"))</f>
        <v/>
      </c>
      <c r="K2578" s="18">
        <f>IF(B2578="","",YEAR(B2578))</f>
        <v/>
      </c>
      <c r="L2578" s="18">
        <f>IF(B2578="","",MONTH(B2578))</f>
        <v/>
      </c>
      <c r="M2578" s="18">
        <f>IF(OR(B2578="",I2578=""),"",I2578-B2578)</f>
        <v/>
      </c>
      <c r="N2578" s="21">
        <f>IF(B2578="","",IF(I2578="",IF(H2578="","",IF(TODAY()&gt;H2578,"Atrasado (em aberto)","Em aberto")),IF(I2578&lt;=H2578,"No prazo","Fora do prazo")))</f>
        <v/>
      </c>
    </row>
    <row r="2579">
      <c r="B2579" s="22" t="n"/>
      <c r="E2579" s="23" t="n"/>
      <c r="F2579" s="24" t="n"/>
      <c r="H2579" s="22" t="n"/>
      <c r="I2579" s="22" t="n"/>
      <c r="J2579" s="21">
        <f>IF(C2579="","",IFERROR(INDEX(Clientes!$B:$B,MATCH(C2579,Clientes!$A:$A,0)),"Cód. não cadastrado"))</f>
        <v/>
      </c>
      <c r="K2579" s="18">
        <f>IF(B2579="","",YEAR(B2579))</f>
        <v/>
      </c>
      <c r="L2579" s="18">
        <f>IF(B2579="","",MONTH(B2579))</f>
        <v/>
      </c>
      <c r="M2579" s="18">
        <f>IF(OR(B2579="",I2579=""),"",I2579-B2579)</f>
        <v/>
      </c>
      <c r="N2579" s="21">
        <f>IF(B2579="","",IF(I2579="",IF(H2579="","",IF(TODAY()&gt;H2579,"Atrasado (em aberto)","Em aberto")),IF(I2579&lt;=H2579,"No prazo","Fora do prazo")))</f>
        <v/>
      </c>
    </row>
    <row r="2580">
      <c r="B2580" s="22" t="n"/>
      <c r="E2580" s="23" t="n"/>
      <c r="F2580" s="24" t="n"/>
      <c r="H2580" s="22" t="n"/>
      <c r="I2580" s="22" t="n"/>
      <c r="J2580" s="21">
        <f>IF(C2580="","",IFERROR(INDEX(Clientes!$B:$B,MATCH(C2580,Clientes!$A:$A,0)),"Cód. não cadastrado"))</f>
        <v/>
      </c>
      <c r="K2580" s="18">
        <f>IF(B2580="","",YEAR(B2580))</f>
        <v/>
      </c>
      <c r="L2580" s="18">
        <f>IF(B2580="","",MONTH(B2580))</f>
        <v/>
      </c>
      <c r="M2580" s="18">
        <f>IF(OR(B2580="",I2580=""),"",I2580-B2580)</f>
        <v/>
      </c>
      <c r="N2580" s="21">
        <f>IF(B2580="","",IF(I2580="",IF(H2580="","",IF(TODAY()&gt;H2580,"Atrasado (em aberto)","Em aberto")),IF(I2580&lt;=H2580,"No prazo","Fora do prazo")))</f>
        <v/>
      </c>
    </row>
    <row r="2581">
      <c r="B2581" s="22" t="n"/>
      <c r="E2581" s="23" t="n"/>
      <c r="F2581" s="24" t="n"/>
      <c r="H2581" s="22" t="n"/>
      <c r="I2581" s="22" t="n"/>
      <c r="J2581" s="21">
        <f>IF(C2581="","",IFERROR(INDEX(Clientes!$B:$B,MATCH(C2581,Clientes!$A:$A,0)),"Cód. não cadastrado"))</f>
        <v/>
      </c>
      <c r="K2581" s="18">
        <f>IF(B2581="","",YEAR(B2581))</f>
        <v/>
      </c>
      <c r="L2581" s="18">
        <f>IF(B2581="","",MONTH(B2581))</f>
        <v/>
      </c>
      <c r="M2581" s="18">
        <f>IF(OR(B2581="",I2581=""),"",I2581-B2581)</f>
        <v/>
      </c>
      <c r="N2581" s="21">
        <f>IF(B2581="","",IF(I2581="",IF(H2581="","",IF(TODAY()&gt;H2581,"Atrasado (em aberto)","Em aberto")),IF(I2581&lt;=H2581,"No prazo","Fora do prazo")))</f>
        <v/>
      </c>
    </row>
    <row r="2582">
      <c r="B2582" s="22" t="n"/>
      <c r="E2582" s="23" t="n"/>
      <c r="F2582" s="24" t="n"/>
      <c r="H2582" s="22" t="n"/>
      <c r="I2582" s="22" t="n"/>
      <c r="J2582" s="21">
        <f>IF(C2582="","",IFERROR(INDEX(Clientes!$B:$B,MATCH(C2582,Clientes!$A:$A,0)),"Cód. não cadastrado"))</f>
        <v/>
      </c>
      <c r="K2582" s="18">
        <f>IF(B2582="","",YEAR(B2582))</f>
        <v/>
      </c>
      <c r="L2582" s="18">
        <f>IF(B2582="","",MONTH(B2582))</f>
        <v/>
      </c>
      <c r="M2582" s="18">
        <f>IF(OR(B2582="",I2582=""),"",I2582-B2582)</f>
        <v/>
      </c>
      <c r="N2582" s="21">
        <f>IF(B2582="","",IF(I2582="",IF(H2582="","",IF(TODAY()&gt;H2582,"Atrasado (em aberto)","Em aberto")),IF(I2582&lt;=H2582,"No prazo","Fora do prazo")))</f>
        <v/>
      </c>
    </row>
    <row r="2583">
      <c r="B2583" s="22" t="n"/>
      <c r="E2583" s="23" t="n"/>
      <c r="F2583" s="24" t="n"/>
      <c r="H2583" s="22" t="n"/>
      <c r="I2583" s="22" t="n"/>
      <c r="J2583" s="21">
        <f>IF(C2583="","",IFERROR(INDEX(Clientes!$B:$B,MATCH(C2583,Clientes!$A:$A,0)),"Cód. não cadastrado"))</f>
        <v/>
      </c>
      <c r="K2583" s="18">
        <f>IF(B2583="","",YEAR(B2583))</f>
        <v/>
      </c>
      <c r="L2583" s="18">
        <f>IF(B2583="","",MONTH(B2583))</f>
        <v/>
      </c>
      <c r="M2583" s="18">
        <f>IF(OR(B2583="",I2583=""),"",I2583-B2583)</f>
        <v/>
      </c>
      <c r="N2583" s="21">
        <f>IF(B2583="","",IF(I2583="",IF(H2583="","",IF(TODAY()&gt;H2583,"Atrasado (em aberto)","Em aberto")),IF(I2583&lt;=H2583,"No prazo","Fora do prazo")))</f>
        <v/>
      </c>
    </row>
    <row r="2584">
      <c r="B2584" s="22" t="n"/>
      <c r="E2584" s="23" t="n"/>
      <c r="F2584" s="24" t="n"/>
      <c r="H2584" s="22" t="n"/>
      <c r="I2584" s="22" t="n"/>
      <c r="J2584" s="21">
        <f>IF(C2584="","",IFERROR(INDEX(Clientes!$B:$B,MATCH(C2584,Clientes!$A:$A,0)),"Cód. não cadastrado"))</f>
        <v/>
      </c>
      <c r="K2584" s="18">
        <f>IF(B2584="","",YEAR(B2584))</f>
        <v/>
      </c>
      <c r="L2584" s="18">
        <f>IF(B2584="","",MONTH(B2584))</f>
        <v/>
      </c>
      <c r="M2584" s="18">
        <f>IF(OR(B2584="",I2584=""),"",I2584-B2584)</f>
        <v/>
      </c>
      <c r="N2584" s="21">
        <f>IF(B2584="","",IF(I2584="",IF(H2584="","",IF(TODAY()&gt;H2584,"Atrasado (em aberto)","Em aberto")),IF(I2584&lt;=H2584,"No prazo","Fora do prazo")))</f>
        <v/>
      </c>
    </row>
    <row r="2585">
      <c r="B2585" s="22" t="n"/>
      <c r="E2585" s="23" t="n"/>
      <c r="F2585" s="24" t="n"/>
      <c r="H2585" s="22" t="n"/>
      <c r="I2585" s="22" t="n"/>
      <c r="J2585" s="21">
        <f>IF(C2585="","",IFERROR(INDEX(Clientes!$B:$B,MATCH(C2585,Clientes!$A:$A,0)),"Cód. não cadastrado"))</f>
        <v/>
      </c>
      <c r="K2585" s="18">
        <f>IF(B2585="","",YEAR(B2585))</f>
        <v/>
      </c>
      <c r="L2585" s="18">
        <f>IF(B2585="","",MONTH(B2585))</f>
        <v/>
      </c>
      <c r="M2585" s="18">
        <f>IF(OR(B2585="",I2585=""),"",I2585-B2585)</f>
        <v/>
      </c>
      <c r="N2585" s="21">
        <f>IF(B2585="","",IF(I2585="",IF(H2585="","",IF(TODAY()&gt;H2585,"Atrasado (em aberto)","Em aberto")),IF(I2585&lt;=H2585,"No prazo","Fora do prazo")))</f>
        <v/>
      </c>
    </row>
    <row r="2586">
      <c r="B2586" s="22" t="n"/>
      <c r="E2586" s="23" t="n"/>
      <c r="F2586" s="24" t="n"/>
      <c r="H2586" s="22" t="n"/>
      <c r="I2586" s="22" t="n"/>
      <c r="J2586" s="21">
        <f>IF(C2586="","",IFERROR(INDEX(Clientes!$B:$B,MATCH(C2586,Clientes!$A:$A,0)),"Cód. não cadastrado"))</f>
        <v/>
      </c>
      <c r="K2586" s="18">
        <f>IF(B2586="","",YEAR(B2586))</f>
        <v/>
      </c>
      <c r="L2586" s="18">
        <f>IF(B2586="","",MONTH(B2586))</f>
        <v/>
      </c>
      <c r="M2586" s="18">
        <f>IF(OR(B2586="",I2586=""),"",I2586-B2586)</f>
        <v/>
      </c>
      <c r="N2586" s="21">
        <f>IF(B2586="","",IF(I2586="",IF(H2586="","",IF(TODAY()&gt;H2586,"Atrasado (em aberto)","Em aberto")),IF(I2586&lt;=H2586,"No prazo","Fora do prazo")))</f>
        <v/>
      </c>
    </row>
    <row r="2587">
      <c r="B2587" s="22" t="n"/>
      <c r="E2587" s="23" t="n"/>
      <c r="F2587" s="24" t="n"/>
      <c r="H2587" s="22" t="n"/>
      <c r="I2587" s="22" t="n"/>
      <c r="J2587" s="21">
        <f>IF(C2587="","",IFERROR(INDEX(Clientes!$B:$B,MATCH(C2587,Clientes!$A:$A,0)),"Cód. não cadastrado"))</f>
        <v/>
      </c>
      <c r="K2587" s="18">
        <f>IF(B2587="","",YEAR(B2587))</f>
        <v/>
      </c>
      <c r="L2587" s="18">
        <f>IF(B2587="","",MONTH(B2587))</f>
        <v/>
      </c>
      <c r="M2587" s="18">
        <f>IF(OR(B2587="",I2587=""),"",I2587-B2587)</f>
        <v/>
      </c>
      <c r="N2587" s="21">
        <f>IF(B2587="","",IF(I2587="",IF(H2587="","",IF(TODAY()&gt;H2587,"Atrasado (em aberto)","Em aberto")),IF(I2587&lt;=H2587,"No prazo","Fora do prazo")))</f>
        <v/>
      </c>
    </row>
    <row r="2588">
      <c r="B2588" s="22" t="n"/>
      <c r="E2588" s="23" t="n"/>
      <c r="F2588" s="24" t="n"/>
      <c r="H2588" s="22" t="n"/>
      <c r="I2588" s="22" t="n"/>
      <c r="J2588" s="21">
        <f>IF(C2588="","",IFERROR(INDEX(Clientes!$B:$B,MATCH(C2588,Clientes!$A:$A,0)),"Cód. não cadastrado"))</f>
        <v/>
      </c>
      <c r="K2588" s="18">
        <f>IF(B2588="","",YEAR(B2588))</f>
        <v/>
      </c>
      <c r="L2588" s="18">
        <f>IF(B2588="","",MONTH(B2588))</f>
        <v/>
      </c>
      <c r="M2588" s="18">
        <f>IF(OR(B2588="",I2588=""),"",I2588-B2588)</f>
        <v/>
      </c>
      <c r="N2588" s="21">
        <f>IF(B2588="","",IF(I2588="",IF(H2588="","",IF(TODAY()&gt;H2588,"Atrasado (em aberto)","Em aberto")),IF(I2588&lt;=H2588,"No prazo","Fora do prazo")))</f>
        <v/>
      </c>
    </row>
    <row r="2589">
      <c r="B2589" s="22" t="n"/>
      <c r="E2589" s="23" t="n"/>
      <c r="F2589" s="24" t="n"/>
      <c r="H2589" s="22" t="n"/>
      <c r="I2589" s="22" t="n"/>
      <c r="J2589" s="21">
        <f>IF(C2589="","",IFERROR(INDEX(Clientes!$B:$B,MATCH(C2589,Clientes!$A:$A,0)),"Cód. não cadastrado"))</f>
        <v/>
      </c>
      <c r="K2589" s="18">
        <f>IF(B2589="","",YEAR(B2589))</f>
        <v/>
      </c>
      <c r="L2589" s="18">
        <f>IF(B2589="","",MONTH(B2589))</f>
        <v/>
      </c>
      <c r="M2589" s="18">
        <f>IF(OR(B2589="",I2589=""),"",I2589-B2589)</f>
        <v/>
      </c>
      <c r="N2589" s="21">
        <f>IF(B2589="","",IF(I2589="",IF(H2589="","",IF(TODAY()&gt;H2589,"Atrasado (em aberto)","Em aberto")),IF(I2589&lt;=H2589,"No prazo","Fora do prazo")))</f>
        <v/>
      </c>
    </row>
    <row r="2590">
      <c r="B2590" s="22" t="n"/>
      <c r="E2590" s="23" t="n"/>
      <c r="F2590" s="24" t="n"/>
      <c r="H2590" s="22" t="n"/>
      <c r="I2590" s="22" t="n"/>
      <c r="J2590" s="21">
        <f>IF(C2590="","",IFERROR(INDEX(Clientes!$B:$B,MATCH(C2590,Clientes!$A:$A,0)),"Cód. não cadastrado"))</f>
        <v/>
      </c>
      <c r="K2590" s="18">
        <f>IF(B2590="","",YEAR(B2590))</f>
        <v/>
      </c>
      <c r="L2590" s="18">
        <f>IF(B2590="","",MONTH(B2590))</f>
        <v/>
      </c>
      <c r="M2590" s="18">
        <f>IF(OR(B2590="",I2590=""),"",I2590-B2590)</f>
        <v/>
      </c>
      <c r="N2590" s="21">
        <f>IF(B2590="","",IF(I2590="",IF(H2590="","",IF(TODAY()&gt;H2590,"Atrasado (em aberto)","Em aberto")),IF(I2590&lt;=H2590,"No prazo","Fora do prazo")))</f>
        <v/>
      </c>
    </row>
    <row r="2591">
      <c r="B2591" s="22" t="n"/>
      <c r="E2591" s="23" t="n"/>
      <c r="F2591" s="24" t="n"/>
      <c r="H2591" s="22" t="n"/>
      <c r="I2591" s="22" t="n"/>
      <c r="J2591" s="21">
        <f>IF(C2591="","",IFERROR(INDEX(Clientes!$B:$B,MATCH(C2591,Clientes!$A:$A,0)),"Cód. não cadastrado"))</f>
        <v/>
      </c>
      <c r="K2591" s="18">
        <f>IF(B2591="","",YEAR(B2591))</f>
        <v/>
      </c>
      <c r="L2591" s="18">
        <f>IF(B2591="","",MONTH(B2591))</f>
        <v/>
      </c>
      <c r="M2591" s="18">
        <f>IF(OR(B2591="",I2591=""),"",I2591-B2591)</f>
        <v/>
      </c>
      <c r="N2591" s="21">
        <f>IF(B2591="","",IF(I2591="",IF(H2591="","",IF(TODAY()&gt;H2591,"Atrasado (em aberto)","Em aberto")),IF(I2591&lt;=H2591,"No prazo","Fora do prazo")))</f>
        <v/>
      </c>
    </row>
    <row r="2592">
      <c r="B2592" s="22" t="n"/>
      <c r="E2592" s="23" t="n"/>
      <c r="F2592" s="24" t="n"/>
      <c r="H2592" s="22" t="n"/>
      <c r="I2592" s="22" t="n"/>
      <c r="J2592" s="21">
        <f>IF(C2592="","",IFERROR(INDEX(Clientes!$B:$B,MATCH(C2592,Clientes!$A:$A,0)),"Cód. não cadastrado"))</f>
        <v/>
      </c>
      <c r="K2592" s="18">
        <f>IF(B2592="","",YEAR(B2592))</f>
        <v/>
      </c>
      <c r="L2592" s="18">
        <f>IF(B2592="","",MONTH(B2592))</f>
        <v/>
      </c>
      <c r="M2592" s="18">
        <f>IF(OR(B2592="",I2592=""),"",I2592-B2592)</f>
        <v/>
      </c>
      <c r="N2592" s="21">
        <f>IF(B2592="","",IF(I2592="",IF(H2592="","",IF(TODAY()&gt;H2592,"Atrasado (em aberto)","Em aberto")),IF(I2592&lt;=H2592,"No prazo","Fora do prazo")))</f>
        <v/>
      </c>
    </row>
    <row r="2593">
      <c r="B2593" s="22" t="n"/>
      <c r="E2593" s="23" t="n"/>
      <c r="F2593" s="24" t="n"/>
      <c r="H2593" s="22" t="n"/>
      <c r="I2593" s="22" t="n"/>
      <c r="J2593" s="21">
        <f>IF(C2593="","",IFERROR(INDEX(Clientes!$B:$B,MATCH(C2593,Clientes!$A:$A,0)),"Cód. não cadastrado"))</f>
        <v/>
      </c>
      <c r="K2593" s="18">
        <f>IF(B2593="","",YEAR(B2593))</f>
        <v/>
      </c>
      <c r="L2593" s="18">
        <f>IF(B2593="","",MONTH(B2593))</f>
        <v/>
      </c>
      <c r="M2593" s="18">
        <f>IF(OR(B2593="",I2593=""),"",I2593-B2593)</f>
        <v/>
      </c>
      <c r="N2593" s="21">
        <f>IF(B2593="","",IF(I2593="",IF(H2593="","",IF(TODAY()&gt;H2593,"Atrasado (em aberto)","Em aberto")),IF(I2593&lt;=H2593,"No prazo","Fora do prazo")))</f>
        <v/>
      </c>
    </row>
    <row r="2594">
      <c r="B2594" s="22" t="n"/>
      <c r="E2594" s="23" t="n"/>
      <c r="F2594" s="24" t="n"/>
      <c r="H2594" s="22" t="n"/>
      <c r="I2594" s="22" t="n"/>
      <c r="J2594" s="21">
        <f>IF(C2594="","",IFERROR(INDEX(Clientes!$B:$B,MATCH(C2594,Clientes!$A:$A,0)),"Cód. não cadastrado"))</f>
        <v/>
      </c>
      <c r="K2594" s="18">
        <f>IF(B2594="","",YEAR(B2594))</f>
        <v/>
      </c>
      <c r="L2594" s="18">
        <f>IF(B2594="","",MONTH(B2594))</f>
        <v/>
      </c>
      <c r="M2594" s="18">
        <f>IF(OR(B2594="",I2594=""),"",I2594-B2594)</f>
        <v/>
      </c>
      <c r="N2594" s="21">
        <f>IF(B2594="","",IF(I2594="",IF(H2594="","",IF(TODAY()&gt;H2594,"Atrasado (em aberto)","Em aberto")),IF(I2594&lt;=H2594,"No prazo","Fora do prazo")))</f>
        <v/>
      </c>
    </row>
    <row r="2595">
      <c r="B2595" s="22" t="n"/>
      <c r="E2595" s="23" t="n"/>
      <c r="F2595" s="24" t="n"/>
      <c r="H2595" s="22" t="n"/>
      <c r="I2595" s="22" t="n"/>
      <c r="J2595" s="21">
        <f>IF(C2595="","",IFERROR(INDEX(Clientes!$B:$B,MATCH(C2595,Clientes!$A:$A,0)),"Cód. não cadastrado"))</f>
        <v/>
      </c>
      <c r="K2595" s="18">
        <f>IF(B2595="","",YEAR(B2595))</f>
        <v/>
      </c>
      <c r="L2595" s="18">
        <f>IF(B2595="","",MONTH(B2595))</f>
        <v/>
      </c>
      <c r="M2595" s="18">
        <f>IF(OR(B2595="",I2595=""),"",I2595-B2595)</f>
        <v/>
      </c>
      <c r="N2595" s="21">
        <f>IF(B2595="","",IF(I2595="",IF(H2595="","",IF(TODAY()&gt;H2595,"Atrasado (em aberto)","Em aberto")),IF(I2595&lt;=H2595,"No prazo","Fora do prazo")))</f>
        <v/>
      </c>
    </row>
    <row r="2596">
      <c r="B2596" s="22" t="n"/>
      <c r="E2596" s="23" t="n"/>
      <c r="F2596" s="24" t="n"/>
      <c r="H2596" s="22" t="n"/>
      <c r="I2596" s="22" t="n"/>
      <c r="J2596" s="21">
        <f>IF(C2596="","",IFERROR(INDEX(Clientes!$B:$B,MATCH(C2596,Clientes!$A:$A,0)),"Cód. não cadastrado"))</f>
        <v/>
      </c>
      <c r="K2596" s="18">
        <f>IF(B2596="","",YEAR(B2596))</f>
        <v/>
      </c>
      <c r="L2596" s="18">
        <f>IF(B2596="","",MONTH(B2596))</f>
        <v/>
      </c>
      <c r="M2596" s="18">
        <f>IF(OR(B2596="",I2596=""),"",I2596-B2596)</f>
        <v/>
      </c>
      <c r="N2596" s="21">
        <f>IF(B2596="","",IF(I2596="",IF(H2596="","",IF(TODAY()&gt;H2596,"Atrasado (em aberto)","Em aberto")),IF(I2596&lt;=H2596,"No prazo","Fora do prazo")))</f>
        <v/>
      </c>
    </row>
    <row r="2597">
      <c r="B2597" s="22" t="n"/>
      <c r="E2597" s="23" t="n"/>
      <c r="F2597" s="24" t="n"/>
      <c r="H2597" s="22" t="n"/>
      <c r="I2597" s="22" t="n"/>
      <c r="J2597" s="21">
        <f>IF(C2597="","",IFERROR(INDEX(Clientes!$B:$B,MATCH(C2597,Clientes!$A:$A,0)),"Cód. não cadastrado"))</f>
        <v/>
      </c>
      <c r="K2597" s="18">
        <f>IF(B2597="","",YEAR(B2597))</f>
        <v/>
      </c>
      <c r="L2597" s="18">
        <f>IF(B2597="","",MONTH(B2597))</f>
        <v/>
      </c>
      <c r="M2597" s="18">
        <f>IF(OR(B2597="",I2597=""),"",I2597-B2597)</f>
        <v/>
      </c>
      <c r="N2597" s="21">
        <f>IF(B2597="","",IF(I2597="",IF(H2597="","",IF(TODAY()&gt;H2597,"Atrasado (em aberto)","Em aberto")),IF(I2597&lt;=H2597,"No prazo","Fora do prazo")))</f>
        <v/>
      </c>
    </row>
    <row r="2598">
      <c r="B2598" s="22" t="n"/>
      <c r="E2598" s="23" t="n"/>
      <c r="F2598" s="24" t="n"/>
      <c r="H2598" s="22" t="n"/>
      <c r="I2598" s="22" t="n"/>
      <c r="J2598" s="21">
        <f>IF(C2598="","",IFERROR(INDEX(Clientes!$B:$B,MATCH(C2598,Clientes!$A:$A,0)),"Cód. não cadastrado"))</f>
        <v/>
      </c>
      <c r="K2598" s="18">
        <f>IF(B2598="","",YEAR(B2598))</f>
        <v/>
      </c>
      <c r="L2598" s="18">
        <f>IF(B2598="","",MONTH(B2598))</f>
        <v/>
      </c>
      <c r="M2598" s="18">
        <f>IF(OR(B2598="",I2598=""),"",I2598-B2598)</f>
        <v/>
      </c>
      <c r="N2598" s="21">
        <f>IF(B2598="","",IF(I2598="",IF(H2598="","",IF(TODAY()&gt;H2598,"Atrasado (em aberto)","Em aberto")),IF(I2598&lt;=H2598,"No prazo","Fora do prazo")))</f>
        <v/>
      </c>
    </row>
    <row r="2599">
      <c r="B2599" s="22" t="n"/>
      <c r="E2599" s="23" t="n"/>
      <c r="F2599" s="24" t="n"/>
      <c r="H2599" s="22" t="n"/>
      <c r="I2599" s="22" t="n"/>
      <c r="J2599" s="21">
        <f>IF(C2599="","",IFERROR(INDEX(Clientes!$B:$B,MATCH(C2599,Clientes!$A:$A,0)),"Cód. não cadastrado"))</f>
        <v/>
      </c>
      <c r="K2599" s="18">
        <f>IF(B2599="","",YEAR(B2599))</f>
        <v/>
      </c>
      <c r="L2599" s="18">
        <f>IF(B2599="","",MONTH(B2599))</f>
        <v/>
      </c>
      <c r="M2599" s="18">
        <f>IF(OR(B2599="",I2599=""),"",I2599-B2599)</f>
        <v/>
      </c>
      <c r="N2599" s="21">
        <f>IF(B2599="","",IF(I2599="",IF(H2599="","",IF(TODAY()&gt;H2599,"Atrasado (em aberto)","Em aberto")),IF(I2599&lt;=H2599,"No prazo","Fora do prazo")))</f>
        <v/>
      </c>
    </row>
    <row r="2600">
      <c r="B2600" s="22" t="n"/>
      <c r="E2600" s="23" t="n"/>
      <c r="F2600" s="24" t="n"/>
      <c r="H2600" s="22" t="n"/>
      <c r="I2600" s="22" t="n"/>
      <c r="J2600" s="21">
        <f>IF(C2600="","",IFERROR(INDEX(Clientes!$B:$B,MATCH(C2600,Clientes!$A:$A,0)),"Cód. não cadastrado"))</f>
        <v/>
      </c>
      <c r="K2600" s="18">
        <f>IF(B2600="","",YEAR(B2600))</f>
        <v/>
      </c>
      <c r="L2600" s="18">
        <f>IF(B2600="","",MONTH(B2600))</f>
        <v/>
      </c>
      <c r="M2600" s="18">
        <f>IF(OR(B2600="",I2600=""),"",I2600-B2600)</f>
        <v/>
      </c>
      <c r="N2600" s="21">
        <f>IF(B2600="","",IF(I2600="",IF(H2600="","",IF(TODAY()&gt;H2600,"Atrasado (em aberto)","Em aberto")),IF(I2600&lt;=H2600,"No prazo","Fora do prazo")))</f>
        <v/>
      </c>
    </row>
    <row r="2601">
      <c r="B2601" s="22" t="n"/>
      <c r="E2601" s="23" t="n"/>
      <c r="F2601" s="24" t="n"/>
      <c r="H2601" s="22" t="n"/>
      <c r="I2601" s="22" t="n"/>
      <c r="J2601" s="21">
        <f>IF(C2601="","",IFERROR(INDEX(Clientes!$B:$B,MATCH(C2601,Clientes!$A:$A,0)),"Cód. não cadastrado"))</f>
        <v/>
      </c>
      <c r="K2601" s="18">
        <f>IF(B2601="","",YEAR(B2601))</f>
        <v/>
      </c>
      <c r="L2601" s="18">
        <f>IF(B2601="","",MONTH(B2601))</f>
        <v/>
      </c>
      <c r="M2601" s="18">
        <f>IF(OR(B2601="",I2601=""),"",I2601-B2601)</f>
        <v/>
      </c>
      <c r="N2601" s="21">
        <f>IF(B2601="","",IF(I2601="",IF(H2601="","",IF(TODAY()&gt;H2601,"Atrasado (em aberto)","Em aberto")),IF(I2601&lt;=H2601,"No prazo","Fora do prazo")))</f>
        <v/>
      </c>
    </row>
    <row r="2602">
      <c r="B2602" s="22" t="n"/>
      <c r="E2602" s="23" t="n"/>
      <c r="F2602" s="24" t="n"/>
      <c r="H2602" s="22" t="n"/>
      <c r="I2602" s="22" t="n"/>
      <c r="J2602" s="21">
        <f>IF(C2602="","",IFERROR(INDEX(Clientes!$B:$B,MATCH(C2602,Clientes!$A:$A,0)),"Cód. não cadastrado"))</f>
        <v/>
      </c>
      <c r="K2602" s="18">
        <f>IF(B2602="","",YEAR(B2602))</f>
        <v/>
      </c>
      <c r="L2602" s="18">
        <f>IF(B2602="","",MONTH(B2602))</f>
        <v/>
      </c>
      <c r="M2602" s="18">
        <f>IF(OR(B2602="",I2602=""),"",I2602-B2602)</f>
        <v/>
      </c>
      <c r="N2602" s="21">
        <f>IF(B2602="","",IF(I2602="",IF(H2602="","",IF(TODAY()&gt;H2602,"Atrasado (em aberto)","Em aberto")),IF(I2602&lt;=H2602,"No prazo","Fora do prazo")))</f>
        <v/>
      </c>
    </row>
    <row r="2603">
      <c r="B2603" s="22" t="n"/>
      <c r="E2603" s="23" t="n"/>
      <c r="F2603" s="24" t="n"/>
      <c r="H2603" s="22" t="n"/>
      <c r="I2603" s="22" t="n"/>
      <c r="J2603" s="21">
        <f>IF(C2603="","",IFERROR(INDEX(Clientes!$B:$B,MATCH(C2603,Clientes!$A:$A,0)),"Cód. não cadastrado"))</f>
        <v/>
      </c>
      <c r="K2603" s="18">
        <f>IF(B2603="","",YEAR(B2603))</f>
        <v/>
      </c>
      <c r="L2603" s="18">
        <f>IF(B2603="","",MONTH(B2603))</f>
        <v/>
      </c>
      <c r="M2603" s="18">
        <f>IF(OR(B2603="",I2603=""),"",I2603-B2603)</f>
        <v/>
      </c>
      <c r="N2603" s="21">
        <f>IF(B2603="","",IF(I2603="",IF(H2603="","",IF(TODAY()&gt;H2603,"Atrasado (em aberto)","Em aberto")),IF(I2603&lt;=H2603,"No prazo","Fora do prazo")))</f>
        <v/>
      </c>
    </row>
    <row r="2604">
      <c r="B2604" s="22" t="n"/>
      <c r="E2604" s="23" t="n"/>
      <c r="F2604" s="24" t="n"/>
      <c r="H2604" s="22" t="n"/>
      <c r="I2604" s="22" t="n"/>
      <c r="J2604" s="21">
        <f>IF(C2604="","",IFERROR(INDEX(Clientes!$B:$B,MATCH(C2604,Clientes!$A:$A,0)),"Cód. não cadastrado"))</f>
        <v/>
      </c>
      <c r="K2604" s="18">
        <f>IF(B2604="","",YEAR(B2604))</f>
        <v/>
      </c>
      <c r="L2604" s="18">
        <f>IF(B2604="","",MONTH(B2604))</f>
        <v/>
      </c>
      <c r="M2604" s="18">
        <f>IF(OR(B2604="",I2604=""),"",I2604-B2604)</f>
        <v/>
      </c>
      <c r="N2604" s="21">
        <f>IF(B2604="","",IF(I2604="",IF(H2604="","",IF(TODAY()&gt;H2604,"Atrasado (em aberto)","Em aberto")),IF(I2604&lt;=H2604,"No prazo","Fora do prazo")))</f>
        <v/>
      </c>
    </row>
    <row r="2605">
      <c r="B2605" s="22" t="n"/>
      <c r="E2605" s="23" t="n"/>
      <c r="F2605" s="24" t="n"/>
      <c r="H2605" s="22" t="n"/>
      <c r="I2605" s="22" t="n"/>
      <c r="J2605" s="21">
        <f>IF(C2605="","",IFERROR(INDEX(Clientes!$B:$B,MATCH(C2605,Clientes!$A:$A,0)),"Cód. não cadastrado"))</f>
        <v/>
      </c>
      <c r="K2605" s="18">
        <f>IF(B2605="","",YEAR(B2605))</f>
        <v/>
      </c>
      <c r="L2605" s="18">
        <f>IF(B2605="","",MONTH(B2605))</f>
        <v/>
      </c>
      <c r="M2605" s="18">
        <f>IF(OR(B2605="",I2605=""),"",I2605-B2605)</f>
        <v/>
      </c>
      <c r="N2605" s="21">
        <f>IF(B2605="","",IF(I2605="",IF(H2605="","",IF(TODAY()&gt;H2605,"Atrasado (em aberto)","Em aberto")),IF(I2605&lt;=H2605,"No prazo","Fora do prazo")))</f>
        <v/>
      </c>
    </row>
    <row r="2606">
      <c r="B2606" s="22" t="n"/>
      <c r="E2606" s="23" t="n"/>
      <c r="F2606" s="24" t="n"/>
      <c r="H2606" s="22" t="n"/>
      <c r="I2606" s="22" t="n"/>
      <c r="J2606" s="21">
        <f>IF(C2606="","",IFERROR(INDEX(Clientes!$B:$B,MATCH(C2606,Clientes!$A:$A,0)),"Cód. não cadastrado"))</f>
        <v/>
      </c>
      <c r="K2606" s="18">
        <f>IF(B2606="","",YEAR(B2606))</f>
        <v/>
      </c>
      <c r="L2606" s="18">
        <f>IF(B2606="","",MONTH(B2606))</f>
        <v/>
      </c>
      <c r="M2606" s="18">
        <f>IF(OR(B2606="",I2606=""),"",I2606-B2606)</f>
        <v/>
      </c>
      <c r="N2606" s="21">
        <f>IF(B2606="","",IF(I2606="",IF(H2606="","",IF(TODAY()&gt;H2606,"Atrasado (em aberto)","Em aberto")),IF(I2606&lt;=H2606,"No prazo","Fora do prazo")))</f>
        <v/>
      </c>
    </row>
    <row r="2607">
      <c r="B2607" s="22" t="n"/>
      <c r="E2607" s="23" t="n"/>
      <c r="F2607" s="24" t="n"/>
      <c r="H2607" s="22" t="n"/>
      <c r="I2607" s="22" t="n"/>
      <c r="J2607" s="21">
        <f>IF(C2607="","",IFERROR(INDEX(Clientes!$B:$B,MATCH(C2607,Clientes!$A:$A,0)),"Cód. não cadastrado"))</f>
        <v/>
      </c>
      <c r="K2607" s="18">
        <f>IF(B2607="","",YEAR(B2607))</f>
        <v/>
      </c>
      <c r="L2607" s="18">
        <f>IF(B2607="","",MONTH(B2607))</f>
        <v/>
      </c>
      <c r="M2607" s="18">
        <f>IF(OR(B2607="",I2607=""),"",I2607-B2607)</f>
        <v/>
      </c>
      <c r="N2607" s="21">
        <f>IF(B2607="","",IF(I2607="",IF(H2607="","",IF(TODAY()&gt;H2607,"Atrasado (em aberto)","Em aberto")),IF(I2607&lt;=H2607,"No prazo","Fora do prazo")))</f>
        <v/>
      </c>
    </row>
    <row r="2608">
      <c r="B2608" s="22" t="n"/>
      <c r="E2608" s="23" t="n"/>
      <c r="F2608" s="24" t="n"/>
      <c r="H2608" s="22" t="n"/>
      <c r="I2608" s="22" t="n"/>
      <c r="J2608" s="21">
        <f>IF(C2608="","",IFERROR(INDEX(Clientes!$B:$B,MATCH(C2608,Clientes!$A:$A,0)),"Cód. não cadastrado"))</f>
        <v/>
      </c>
      <c r="K2608" s="18">
        <f>IF(B2608="","",YEAR(B2608))</f>
        <v/>
      </c>
      <c r="L2608" s="18">
        <f>IF(B2608="","",MONTH(B2608))</f>
        <v/>
      </c>
      <c r="M2608" s="18">
        <f>IF(OR(B2608="",I2608=""),"",I2608-B2608)</f>
        <v/>
      </c>
      <c r="N2608" s="21">
        <f>IF(B2608="","",IF(I2608="",IF(H2608="","",IF(TODAY()&gt;H2608,"Atrasado (em aberto)","Em aberto")),IF(I2608&lt;=H2608,"No prazo","Fora do prazo")))</f>
        <v/>
      </c>
    </row>
    <row r="2609">
      <c r="B2609" s="22" t="n"/>
      <c r="E2609" s="23" t="n"/>
      <c r="F2609" s="24" t="n"/>
      <c r="H2609" s="22" t="n"/>
      <c r="I2609" s="22" t="n"/>
      <c r="J2609" s="21">
        <f>IF(C2609="","",IFERROR(INDEX(Clientes!$B:$B,MATCH(C2609,Clientes!$A:$A,0)),"Cód. não cadastrado"))</f>
        <v/>
      </c>
      <c r="K2609" s="18">
        <f>IF(B2609="","",YEAR(B2609))</f>
        <v/>
      </c>
      <c r="L2609" s="18">
        <f>IF(B2609="","",MONTH(B2609))</f>
        <v/>
      </c>
      <c r="M2609" s="18">
        <f>IF(OR(B2609="",I2609=""),"",I2609-B2609)</f>
        <v/>
      </c>
      <c r="N2609" s="21">
        <f>IF(B2609="","",IF(I2609="",IF(H2609="","",IF(TODAY()&gt;H2609,"Atrasado (em aberto)","Em aberto")),IF(I2609&lt;=H2609,"No prazo","Fora do prazo")))</f>
        <v/>
      </c>
    </row>
    <row r="2610">
      <c r="B2610" s="22" t="n"/>
      <c r="E2610" s="23" t="n"/>
      <c r="F2610" s="24" t="n"/>
      <c r="H2610" s="22" t="n"/>
      <c r="I2610" s="22" t="n"/>
      <c r="J2610" s="21">
        <f>IF(C2610="","",IFERROR(INDEX(Clientes!$B:$B,MATCH(C2610,Clientes!$A:$A,0)),"Cód. não cadastrado"))</f>
        <v/>
      </c>
      <c r="K2610" s="18">
        <f>IF(B2610="","",YEAR(B2610))</f>
        <v/>
      </c>
      <c r="L2610" s="18">
        <f>IF(B2610="","",MONTH(B2610))</f>
        <v/>
      </c>
      <c r="M2610" s="18">
        <f>IF(OR(B2610="",I2610=""),"",I2610-B2610)</f>
        <v/>
      </c>
      <c r="N2610" s="21">
        <f>IF(B2610="","",IF(I2610="",IF(H2610="","",IF(TODAY()&gt;H2610,"Atrasado (em aberto)","Em aberto")),IF(I2610&lt;=H2610,"No prazo","Fora do prazo")))</f>
        <v/>
      </c>
    </row>
    <row r="2611">
      <c r="B2611" s="22" t="n"/>
      <c r="E2611" s="23" t="n"/>
      <c r="F2611" s="24" t="n"/>
      <c r="H2611" s="22" t="n"/>
      <c r="I2611" s="22" t="n"/>
      <c r="J2611" s="21">
        <f>IF(C2611="","",IFERROR(INDEX(Clientes!$B:$B,MATCH(C2611,Clientes!$A:$A,0)),"Cód. não cadastrado"))</f>
        <v/>
      </c>
      <c r="K2611" s="18">
        <f>IF(B2611="","",YEAR(B2611))</f>
        <v/>
      </c>
      <c r="L2611" s="18">
        <f>IF(B2611="","",MONTH(B2611))</f>
        <v/>
      </c>
      <c r="M2611" s="18">
        <f>IF(OR(B2611="",I2611=""),"",I2611-B2611)</f>
        <v/>
      </c>
      <c r="N2611" s="21">
        <f>IF(B2611="","",IF(I2611="",IF(H2611="","",IF(TODAY()&gt;H2611,"Atrasado (em aberto)","Em aberto")),IF(I2611&lt;=H2611,"No prazo","Fora do prazo")))</f>
        <v/>
      </c>
    </row>
    <row r="2612">
      <c r="B2612" s="22" t="n"/>
      <c r="E2612" s="23" t="n"/>
      <c r="F2612" s="24" t="n"/>
      <c r="H2612" s="22" t="n"/>
      <c r="I2612" s="22" t="n"/>
      <c r="J2612" s="21">
        <f>IF(C2612="","",IFERROR(INDEX(Clientes!$B:$B,MATCH(C2612,Clientes!$A:$A,0)),"Cód. não cadastrado"))</f>
        <v/>
      </c>
      <c r="K2612" s="18">
        <f>IF(B2612="","",YEAR(B2612))</f>
        <v/>
      </c>
      <c r="L2612" s="18">
        <f>IF(B2612="","",MONTH(B2612))</f>
        <v/>
      </c>
      <c r="M2612" s="18">
        <f>IF(OR(B2612="",I2612=""),"",I2612-B2612)</f>
        <v/>
      </c>
      <c r="N2612" s="21">
        <f>IF(B2612="","",IF(I2612="",IF(H2612="","",IF(TODAY()&gt;H2612,"Atrasado (em aberto)","Em aberto")),IF(I2612&lt;=H2612,"No prazo","Fora do prazo")))</f>
        <v/>
      </c>
    </row>
    <row r="2613">
      <c r="B2613" s="22" t="n"/>
      <c r="E2613" s="23" t="n"/>
      <c r="F2613" s="24" t="n"/>
      <c r="H2613" s="22" t="n"/>
      <c r="I2613" s="22" t="n"/>
      <c r="J2613" s="21">
        <f>IF(C2613="","",IFERROR(INDEX(Clientes!$B:$B,MATCH(C2613,Clientes!$A:$A,0)),"Cód. não cadastrado"))</f>
        <v/>
      </c>
      <c r="K2613" s="18">
        <f>IF(B2613="","",YEAR(B2613))</f>
        <v/>
      </c>
      <c r="L2613" s="18">
        <f>IF(B2613="","",MONTH(B2613))</f>
        <v/>
      </c>
      <c r="M2613" s="18">
        <f>IF(OR(B2613="",I2613=""),"",I2613-B2613)</f>
        <v/>
      </c>
      <c r="N2613" s="21">
        <f>IF(B2613="","",IF(I2613="",IF(H2613="","",IF(TODAY()&gt;H2613,"Atrasado (em aberto)","Em aberto")),IF(I2613&lt;=H2613,"No prazo","Fora do prazo")))</f>
        <v/>
      </c>
    </row>
    <row r="2614">
      <c r="B2614" s="22" t="n"/>
      <c r="E2614" s="23" t="n"/>
      <c r="F2614" s="24" t="n"/>
      <c r="H2614" s="22" t="n"/>
      <c r="I2614" s="22" t="n"/>
      <c r="J2614" s="21">
        <f>IF(C2614="","",IFERROR(INDEX(Clientes!$B:$B,MATCH(C2614,Clientes!$A:$A,0)),"Cód. não cadastrado"))</f>
        <v/>
      </c>
      <c r="K2614" s="18">
        <f>IF(B2614="","",YEAR(B2614))</f>
        <v/>
      </c>
      <c r="L2614" s="18">
        <f>IF(B2614="","",MONTH(B2614))</f>
        <v/>
      </c>
      <c r="M2614" s="18">
        <f>IF(OR(B2614="",I2614=""),"",I2614-B2614)</f>
        <v/>
      </c>
      <c r="N2614" s="21">
        <f>IF(B2614="","",IF(I2614="",IF(H2614="","",IF(TODAY()&gt;H2614,"Atrasado (em aberto)","Em aberto")),IF(I2614&lt;=H2614,"No prazo","Fora do prazo")))</f>
        <v/>
      </c>
    </row>
    <row r="2615">
      <c r="B2615" s="22" t="n"/>
      <c r="E2615" s="23" t="n"/>
      <c r="F2615" s="24" t="n"/>
      <c r="H2615" s="22" t="n"/>
      <c r="I2615" s="22" t="n"/>
      <c r="J2615" s="21">
        <f>IF(C2615="","",IFERROR(INDEX(Clientes!$B:$B,MATCH(C2615,Clientes!$A:$A,0)),"Cód. não cadastrado"))</f>
        <v/>
      </c>
      <c r="K2615" s="18">
        <f>IF(B2615="","",YEAR(B2615))</f>
        <v/>
      </c>
      <c r="L2615" s="18">
        <f>IF(B2615="","",MONTH(B2615))</f>
        <v/>
      </c>
      <c r="M2615" s="18">
        <f>IF(OR(B2615="",I2615=""),"",I2615-B2615)</f>
        <v/>
      </c>
      <c r="N2615" s="21">
        <f>IF(B2615="","",IF(I2615="",IF(H2615="","",IF(TODAY()&gt;H2615,"Atrasado (em aberto)","Em aberto")),IF(I2615&lt;=H2615,"No prazo","Fora do prazo")))</f>
        <v/>
      </c>
    </row>
    <row r="2616">
      <c r="B2616" s="22" t="n"/>
      <c r="E2616" s="23" t="n"/>
      <c r="F2616" s="24" t="n"/>
      <c r="H2616" s="22" t="n"/>
      <c r="I2616" s="22" t="n"/>
      <c r="J2616" s="21">
        <f>IF(C2616="","",IFERROR(INDEX(Clientes!$B:$B,MATCH(C2616,Clientes!$A:$A,0)),"Cód. não cadastrado"))</f>
        <v/>
      </c>
      <c r="K2616" s="18">
        <f>IF(B2616="","",YEAR(B2616))</f>
        <v/>
      </c>
      <c r="L2616" s="18">
        <f>IF(B2616="","",MONTH(B2616))</f>
        <v/>
      </c>
      <c r="M2616" s="18">
        <f>IF(OR(B2616="",I2616=""),"",I2616-B2616)</f>
        <v/>
      </c>
      <c r="N2616" s="21">
        <f>IF(B2616="","",IF(I2616="",IF(H2616="","",IF(TODAY()&gt;H2616,"Atrasado (em aberto)","Em aberto")),IF(I2616&lt;=H2616,"No prazo","Fora do prazo")))</f>
        <v/>
      </c>
    </row>
    <row r="2617">
      <c r="B2617" s="22" t="n"/>
      <c r="E2617" s="23" t="n"/>
      <c r="F2617" s="24" t="n"/>
      <c r="H2617" s="22" t="n"/>
      <c r="I2617" s="22" t="n"/>
      <c r="J2617" s="21">
        <f>IF(C2617="","",IFERROR(INDEX(Clientes!$B:$B,MATCH(C2617,Clientes!$A:$A,0)),"Cód. não cadastrado"))</f>
        <v/>
      </c>
      <c r="K2617" s="18">
        <f>IF(B2617="","",YEAR(B2617))</f>
        <v/>
      </c>
      <c r="L2617" s="18">
        <f>IF(B2617="","",MONTH(B2617))</f>
        <v/>
      </c>
      <c r="M2617" s="18">
        <f>IF(OR(B2617="",I2617=""),"",I2617-B2617)</f>
        <v/>
      </c>
      <c r="N2617" s="21">
        <f>IF(B2617="","",IF(I2617="",IF(H2617="","",IF(TODAY()&gt;H2617,"Atrasado (em aberto)","Em aberto")),IF(I2617&lt;=H2617,"No prazo","Fora do prazo")))</f>
        <v/>
      </c>
    </row>
    <row r="2618">
      <c r="B2618" s="22" t="n"/>
      <c r="E2618" s="23" t="n"/>
      <c r="F2618" s="24" t="n"/>
      <c r="H2618" s="22" t="n"/>
      <c r="I2618" s="22" t="n"/>
      <c r="J2618" s="21">
        <f>IF(C2618="","",IFERROR(INDEX(Clientes!$B:$B,MATCH(C2618,Clientes!$A:$A,0)),"Cód. não cadastrado"))</f>
        <v/>
      </c>
      <c r="K2618" s="18">
        <f>IF(B2618="","",YEAR(B2618))</f>
        <v/>
      </c>
      <c r="L2618" s="18">
        <f>IF(B2618="","",MONTH(B2618))</f>
        <v/>
      </c>
      <c r="M2618" s="18">
        <f>IF(OR(B2618="",I2618=""),"",I2618-B2618)</f>
        <v/>
      </c>
      <c r="N2618" s="21">
        <f>IF(B2618="","",IF(I2618="",IF(H2618="","",IF(TODAY()&gt;H2618,"Atrasado (em aberto)","Em aberto")),IF(I2618&lt;=H2618,"No prazo","Fora do prazo")))</f>
        <v/>
      </c>
    </row>
    <row r="2619">
      <c r="B2619" s="22" t="n"/>
      <c r="E2619" s="23" t="n"/>
      <c r="F2619" s="24" t="n"/>
      <c r="H2619" s="22" t="n"/>
      <c r="I2619" s="22" t="n"/>
      <c r="J2619" s="21">
        <f>IF(C2619="","",IFERROR(INDEX(Clientes!$B:$B,MATCH(C2619,Clientes!$A:$A,0)),"Cód. não cadastrado"))</f>
        <v/>
      </c>
      <c r="K2619" s="18">
        <f>IF(B2619="","",YEAR(B2619))</f>
        <v/>
      </c>
      <c r="L2619" s="18">
        <f>IF(B2619="","",MONTH(B2619))</f>
        <v/>
      </c>
      <c r="M2619" s="18">
        <f>IF(OR(B2619="",I2619=""),"",I2619-B2619)</f>
        <v/>
      </c>
      <c r="N2619" s="21">
        <f>IF(B2619="","",IF(I2619="",IF(H2619="","",IF(TODAY()&gt;H2619,"Atrasado (em aberto)","Em aberto")),IF(I2619&lt;=H2619,"No prazo","Fora do prazo")))</f>
        <v/>
      </c>
    </row>
    <row r="2620">
      <c r="B2620" s="22" t="n"/>
      <c r="E2620" s="23" t="n"/>
      <c r="F2620" s="24" t="n"/>
      <c r="H2620" s="22" t="n"/>
      <c r="I2620" s="22" t="n"/>
      <c r="J2620" s="21">
        <f>IF(C2620="","",IFERROR(INDEX(Clientes!$B:$B,MATCH(C2620,Clientes!$A:$A,0)),"Cód. não cadastrado"))</f>
        <v/>
      </c>
      <c r="K2620" s="18">
        <f>IF(B2620="","",YEAR(B2620))</f>
        <v/>
      </c>
      <c r="L2620" s="18">
        <f>IF(B2620="","",MONTH(B2620))</f>
        <v/>
      </c>
      <c r="M2620" s="18">
        <f>IF(OR(B2620="",I2620=""),"",I2620-B2620)</f>
        <v/>
      </c>
      <c r="N2620" s="21">
        <f>IF(B2620="","",IF(I2620="",IF(H2620="","",IF(TODAY()&gt;H2620,"Atrasado (em aberto)","Em aberto")),IF(I2620&lt;=H2620,"No prazo","Fora do prazo")))</f>
        <v/>
      </c>
    </row>
    <row r="2621">
      <c r="B2621" s="22" t="n"/>
      <c r="E2621" s="23" t="n"/>
      <c r="F2621" s="24" t="n"/>
      <c r="H2621" s="22" t="n"/>
      <c r="I2621" s="22" t="n"/>
      <c r="J2621" s="21">
        <f>IF(C2621="","",IFERROR(INDEX(Clientes!$B:$B,MATCH(C2621,Clientes!$A:$A,0)),"Cód. não cadastrado"))</f>
        <v/>
      </c>
      <c r="K2621" s="18">
        <f>IF(B2621="","",YEAR(B2621))</f>
        <v/>
      </c>
      <c r="L2621" s="18">
        <f>IF(B2621="","",MONTH(B2621))</f>
        <v/>
      </c>
      <c r="M2621" s="18">
        <f>IF(OR(B2621="",I2621=""),"",I2621-B2621)</f>
        <v/>
      </c>
      <c r="N2621" s="21">
        <f>IF(B2621="","",IF(I2621="",IF(H2621="","",IF(TODAY()&gt;H2621,"Atrasado (em aberto)","Em aberto")),IF(I2621&lt;=H2621,"No prazo","Fora do prazo")))</f>
        <v/>
      </c>
    </row>
    <row r="2622">
      <c r="B2622" s="22" t="n"/>
      <c r="E2622" s="23" t="n"/>
      <c r="F2622" s="24" t="n"/>
      <c r="H2622" s="22" t="n"/>
      <c r="I2622" s="22" t="n"/>
      <c r="J2622" s="21">
        <f>IF(C2622="","",IFERROR(INDEX(Clientes!$B:$B,MATCH(C2622,Clientes!$A:$A,0)),"Cód. não cadastrado"))</f>
        <v/>
      </c>
      <c r="K2622" s="18">
        <f>IF(B2622="","",YEAR(B2622))</f>
        <v/>
      </c>
      <c r="L2622" s="18">
        <f>IF(B2622="","",MONTH(B2622))</f>
        <v/>
      </c>
      <c r="M2622" s="18">
        <f>IF(OR(B2622="",I2622=""),"",I2622-B2622)</f>
        <v/>
      </c>
      <c r="N2622" s="21">
        <f>IF(B2622="","",IF(I2622="",IF(H2622="","",IF(TODAY()&gt;H2622,"Atrasado (em aberto)","Em aberto")),IF(I2622&lt;=H2622,"No prazo","Fora do prazo")))</f>
        <v/>
      </c>
    </row>
    <row r="2623">
      <c r="B2623" s="22" t="n"/>
      <c r="E2623" s="23" t="n"/>
      <c r="F2623" s="24" t="n"/>
      <c r="H2623" s="22" t="n"/>
      <c r="I2623" s="22" t="n"/>
      <c r="J2623" s="21">
        <f>IF(C2623="","",IFERROR(INDEX(Clientes!$B:$B,MATCH(C2623,Clientes!$A:$A,0)),"Cód. não cadastrado"))</f>
        <v/>
      </c>
      <c r="K2623" s="18">
        <f>IF(B2623="","",YEAR(B2623))</f>
        <v/>
      </c>
      <c r="L2623" s="18">
        <f>IF(B2623="","",MONTH(B2623))</f>
        <v/>
      </c>
      <c r="M2623" s="18">
        <f>IF(OR(B2623="",I2623=""),"",I2623-B2623)</f>
        <v/>
      </c>
      <c r="N2623" s="21">
        <f>IF(B2623="","",IF(I2623="",IF(H2623="","",IF(TODAY()&gt;H2623,"Atrasado (em aberto)","Em aberto")),IF(I2623&lt;=H2623,"No prazo","Fora do prazo")))</f>
        <v/>
      </c>
    </row>
    <row r="2624">
      <c r="B2624" s="22" t="n"/>
      <c r="E2624" s="23" t="n"/>
      <c r="F2624" s="24" t="n"/>
      <c r="H2624" s="22" t="n"/>
      <c r="I2624" s="22" t="n"/>
      <c r="J2624" s="21">
        <f>IF(C2624="","",IFERROR(INDEX(Clientes!$B:$B,MATCH(C2624,Clientes!$A:$A,0)),"Cód. não cadastrado"))</f>
        <v/>
      </c>
      <c r="K2624" s="18">
        <f>IF(B2624="","",YEAR(B2624))</f>
        <v/>
      </c>
      <c r="L2624" s="18">
        <f>IF(B2624="","",MONTH(B2624))</f>
        <v/>
      </c>
      <c r="M2624" s="18">
        <f>IF(OR(B2624="",I2624=""),"",I2624-B2624)</f>
        <v/>
      </c>
      <c r="N2624" s="21">
        <f>IF(B2624="","",IF(I2624="",IF(H2624="","",IF(TODAY()&gt;H2624,"Atrasado (em aberto)","Em aberto")),IF(I2624&lt;=H2624,"No prazo","Fora do prazo")))</f>
        <v/>
      </c>
    </row>
    <row r="2625">
      <c r="B2625" s="22" t="n"/>
      <c r="E2625" s="23" t="n"/>
      <c r="F2625" s="24" t="n"/>
      <c r="H2625" s="22" t="n"/>
      <c r="I2625" s="22" t="n"/>
      <c r="J2625" s="21">
        <f>IF(C2625="","",IFERROR(INDEX(Clientes!$B:$B,MATCH(C2625,Clientes!$A:$A,0)),"Cód. não cadastrado"))</f>
        <v/>
      </c>
      <c r="K2625" s="18">
        <f>IF(B2625="","",YEAR(B2625))</f>
        <v/>
      </c>
      <c r="L2625" s="18">
        <f>IF(B2625="","",MONTH(B2625))</f>
        <v/>
      </c>
      <c r="M2625" s="18">
        <f>IF(OR(B2625="",I2625=""),"",I2625-B2625)</f>
        <v/>
      </c>
      <c r="N2625" s="21">
        <f>IF(B2625="","",IF(I2625="",IF(H2625="","",IF(TODAY()&gt;H2625,"Atrasado (em aberto)","Em aberto")),IF(I2625&lt;=H2625,"No prazo","Fora do prazo")))</f>
        <v/>
      </c>
    </row>
    <row r="2626">
      <c r="B2626" s="22" t="n"/>
      <c r="E2626" s="23" t="n"/>
      <c r="F2626" s="24" t="n"/>
      <c r="H2626" s="22" t="n"/>
      <c r="I2626" s="22" t="n"/>
      <c r="J2626" s="21">
        <f>IF(C2626="","",IFERROR(INDEX(Clientes!$B:$B,MATCH(C2626,Clientes!$A:$A,0)),"Cód. não cadastrado"))</f>
        <v/>
      </c>
      <c r="K2626" s="18">
        <f>IF(B2626="","",YEAR(B2626))</f>
        <v/>
      </c>
      <c r="L2626" s="18">
        <f>IF(B2626="","",MONTH(B2626))</f>
        <v/>
      </c>
      <c r="M2626" s="18">
        <f>IF(OR(B2626="",I2626=""),"",I2626-B2626)</f>
        <v/>
      </c>
      <c r="N2626" s="21">
        <f>IF(B2626="","",IF(I2626="",IF(H2626="","",IF(TODAY()&gt;H2626,"Atrasado (em aberto)","Em aberto")),IF(I2626&lt;=H2626,"No prazo","Fora do prazo")))</f>
        <v/>
      </c>
    </row>
    <row r="2627">
      <c r="B2627" s="22" t="n"/>
      <c r="E2627" s="23" t="n"/>
      <c r="F2627" s="24" t="n"/>
      <c r="H2627" s="22" t="n"/>
      <c r="I2627" s="22" t="n"/>
      <c r="J2627" s="21">
        <f>IF(C2627="","",IFERROR(INDEX(Clientes!$B:$B,MATCH(C2627,Clientes!$A:$A,0)),"Cód. não cadastrado"))</f>
        <v/>
      </c>
      <c r="K2627" s="18">
        <f>IF(B2627="","",YEAR(B2627))</f>
        <v/>
      </c>
      <c r="L2627" s="18">
        <f>IF(B2627="","",MONTH(B2627))</f>
        <v/>
      </c>
      <c r="M2627" s="18">
        <f>IF(OR(B2627="",I2627=""),"",I2627-B2627)</f>
        <v/>
      </c>
      <c r="N2627" s="21">
        <f>IF(B2627="","",IF(I2627="",IF(H2627="","",IF(TODAY()&gt;H2627,"Atrasado (em aberto)","Em aberto")),IF(I2627&lt;=H2627,"No prazo","Fora do prazo")))</f>
        <v/>
      </c>
    </row>
    <row r="2628">
      <c r="B2628" s="22" t="n"/>
      <c r="E2628" s="23" t="n"/>
      <c r="F2628" s="24" t="n"/>
      <c r="H2628" s="22" t="n"/>
      <c r="I2628" s="22" t="n"/>
      <c r="J2628" s="21">
        <f>IF(C2628="","",IFERROR(INDEX(Clientes!$B:$B,MATCH(C2628,Clientes!$A:$A,0)),"Cód. não cadastrado"))</f>
        <v/>
      </c>
      <c r="K2628" s="18">
        <f>IF(B2628="","",YEAR(B2628))</f>
        <v/>
      </c>
      <c r="L2628" s="18">
        <f>IF(B2628="","",MONTH(B2628))</f>
        <v/>
      </c>
      <c r="M2628" s="18">
        <f>IF(OR(B2628="",I2628=""),"",I2628-B2628)</f>
        <v/>
      </c>
      <c r="N2628" s="21">
        <f>IF(B2628="","",IF(I2628="",IF(H2628="","",IF(TODAY()&gt;H2628,"Atrasado (em aberto)","Em aberto")),IF(I2628&lt;=H2628,"No prazo","Fora do prazo")))</f>
        <v/>
      </c>
    </row>
    <row r="2629">
      <c r="B2629" s="22" t="n"/>
      <c r="E2629" s="23" t="n"/>
      <c r="F2629" s="24" t="n"/>
      <c r="H2629" s="22" t="n"/>
      <c r="I2629" s="22" t="n"/>
      <c r="J2629" s="21">
        <f>IF(C2629="","",IFERROR(INDEX(Clientes!$B:$B,MATCH(C2629,Clientes!$A:$A,0)),"Cód. não cadastrado"))</f>
        <v/>
      </c>
      <c r="K2629" s="18">
        <f>IF(B2629="","",YEAR(B2629))</f>
        <v/>
      </c>
      <c r="L2629" s="18">
        <f>IF(B2629="","",MONTH(B2629))</f>
        <v/>
      </c>
      <c r="M2629" s="18">
        <f>IF(OR(B2629="",I2629=""),"",I2629-B2629)</f>
        <v/>
      </c>
      <c r="N2629" s="21">
        <f>IF(B2629="","",IF(I2629="",IF(H2629="","",IF(TODAY()&gt;H2629,"Atrasado (em aberto)","Em aberto")),IF(I2629&lt;=H2629,"No prazo","Fora do prazo")))</f>
        <v/>
      </c>
    </row>
    <row r="2630">
      <c r="B2630" s="22" t="n"/>
      <c r="E2630" s="23" t="n"/>
      <c r="F2630" s="24" t="n"/>
      <c r="H2630" s="22" t="n"/>
      <c r="I2630" s="22" t="n"/>
      <c r="J2630" s="21">
        <f>IF(C2630="","",IFERROR(INDEX(Clientes!$B:$B,MATCH(C2630,Clientes!$A:$A,0)),"Cód. não cadastrado"))</f>
        <v/>
      </c>
      <c r="K2630" s="18">
        <f>IF(B2630="","",YEAR(B2630))</f>
        <v/>
      </c>
      <c r="L2630" s="18">
        <f>IF(B2630="","",MONTH(B2630))</f>
        <v/>
      </c>
      <c r="M2630" s="18">
        <f>IF(OR(B2630="",I2630=""),"",I2630-B2630)</f>
        <v/>
      </c>
      <c r="N2630" s="21">
        <f>IF(B2630="","",IF(I2630="",IF(H2630="","",IF(TODAY()&gt;H2630,"Atrasado (em aberto)","Em aberto")),IF(I2630&lt;=H2630,"No prazo","Fora do prazo")))</f>
        <v/>
      </c>
    </row>
    <row r="2631">
      <c r="B2631" s="22" t="n"/>
      <c r="E2631" s="23" t="n"/>
      <c r="F2631" s="24" t="n"/>
      <c r="H2631" s="22" t="n"/>
      <c r="I2631" s="22" t="n"/>
      <c r="J2631" s="21">
        <f>IF(C2631="","",IFERROR(INDEX(Clientes!$B:$B,MATCH(C2631,Clientes!$A:$A,0)),"Cód. não cadastrado"))</f>
        <v/>
      </c>
      <c r="K2631" s="18">
        <f>IF(B2631="","",YEAR(B2631))</f>
        <v/>
      </c>
      <c r="L2631" s="18">
        <f>IF(B2631="","",MONTH(B2631))</f>
        <v/>
      </c>
      <c r="M2631" s="18">
        <f>IF(OR(B2631="",I2631=""),"",I2631-B2631)</f>
        <v/>
      </c>
      <c r="N2631" s="21">
        <f>IF(B2631="","",IF(I2631="",IF(H2631="","",IF(TODAY()&gt;H2631,"Atrasado (em aberto)","Em aberto")),IF(I2631&lt;=H2631,"No prazo","Fora do prazo")))</f>
        <v/>
      </c>
    </row>
    <row r="2632">
      <c r="B2632" s="22" t="n"/>
      <c r="E2632" s="23" t="n"/>
      <c r="F2632" s="24" t="n"/>
      <c r="H2632" s="22" t="n"/>
      <c r="I2632" s="22" t="n"/>
      <c r="J2632" s="21">
        <f>IF(C2632="","",IFERROR(INDEX(Clientes!$B:$B,MATCH(C2632,Clientes!$A:$A,0)),"Cód. não cadastrado"))</f>
        <v/>
      </c>
      <c r="K2632" s="18">
        <f>IF(B2632="","",YEAR(B2632))</f>
        <v/>
      </c>
      <c r="L2632" s="18">
        <f>IF(B2632="","",MONTH(B2632))</f>
        <v/>
      </c>
      <c r="M2632" s="18">
        <f>IF(OR(B2632="",I2632=""),"",I2632-B2632)</f>
        <v/>
      </c>
      <c r="N2632" s="21">
        <f>IF(B2632="","",IF(I2632="",IF(H2632="","",IF(TODAY()&gt;H2632,"Atrasado (em aberto)","Em aberto")),IF(I2632&lt;=H2632,"No prazo","Fora do prazo")))</f>
        <v/>
      </c>
    </row>
    <row r="2633">
      <c r="B2633" s="22" t="n"/>
      <c r="E2633" s="23" t="n"/>
      <c r="F2633" s="24" t="n"/>
      <c r="H2633" s="22" t="n"/>
      <c r="I2633" s="22" t="n"/>
      <c r="J2633" s="21">
        <f>IF(C2633="","",IFERROR(INDEX(Clientes!$B:$B,MATCH(C2633,Clientes!$A:$A,0)),"Cód. não cadastrado"))</f>
        <v/>
      </c>
      <c r="K2633" s="18">
        <f>IF(B2633="","",YEAR(B2633))</f>
        <v/>
      </c>
      <c r="L2633" s="18">
        <f>IF(B2633="","",MONTH(B2633))</f>
        <v/>
      </c>
      <c r="M2633" s="18">
        <f>IF(OR(B2633="",I2633=""),"",I2633-B2633)</f>
        <v/>
      </c>
      <c r="N2633" s="21">
        <f>IF(B2633="","",IF(I2633="",IF(H2633="","",IF(TODAY()&gt;H2633,"Atrasado (em aberto)","Em aberto")),IF(I2633&lt;=H2633,"No prazo","Fora do prazo")))</f>
        <v/>
      </c>
    </row>
    <row r="2634">
      <c r="B2634" s="22" t="n"/>
      <c r="E2634" s="23" t="n"/>
      <c r="F2634" s="24" t="n"/>
      <c r="H2634" s="22" t="n"/>
      <c r="I2634" s="22" t="n"/>
      <c r="J2634" s="21">
        <f>IF(C2634="","",IFERROR(INDEX(Clientes!$B:$B,MATCH(C2634,Clientes!$A:$A,0)),"Cód. não cadastrado"))</f>
        <v/>
      </c>
      <c r="K2634" s="18">
        <f>IF(B2634="","",YEAR(B2634))</f>
        <v/>
      </c>
      <c r="L2634" s="18">
        <f>IF(B2634="","",MONTH(B2634))</f>
        <v/>
      </c>
      <c r="M2634" s="18">
        <f>IF(OR(B2634="",I2634=""),"",I2634-B2634)</f>
        <v/>
      </c>
      <c r="N2634" s="21">
        <f>IF(B2634="","",IF(I2634="",IF(H2634="","",IF(TODAY()&gt;H2634,"Atrasado (em aberto)","Em aberto")),IF(I2634&lt;=H2634,"No prazo","Fora do prazo")))</f>
        <v/>
      </c>
    </row>
    <row r="2635">
      <c r="B2635" s="22" t="n"/>
      <c r="E2635" s="23" t="n"/>
      <c r="F2635" s="24" t="n"/>
      <c r="H2635" s="22" t="n"/>
      <c r="I2635" s="22" t="n"/>
      <c r="J2635" s="21">
        <f>IF(C2635="","",IFERROR(INDEX(Clientes!$B:$B,MATCH(C2635,Clientes!$A:$A,0)),"Cód. não cadastrado"))</f>
        <v/>
      </c>
      <c r="K2635" s="18">
        <f>IF(B2635="","",YEAR(B2635))</f>
        <v/>
      </c>
      <c r="L2635" s="18">
        <f>IF(B2635="","",MONTH(B2635))</f>
        <v/>
      </c>
      <c r="M2635" s="18">
        <f>IF(OR(B2635="",I2635=""),"",I2635-B2635)</f>
        <v/>
      </c>
      <c r="N2635" s="21">
        <f>IF(B2635="","",IF(I2635="",IF(H2635="","",IF(TODAY()&gt;H2635,"Atrasado (em aberto)","Em aberto")),IF(I2635&lt;=H2635,"No prazo","Fora do prazo")))</f>
        <v/>
      </c>
    </row>
    <row r="2636">
      <c r="B2636" s="22" t="n"/>
      <c r="E2636" s="23" t="n"/>
      <c r="F2636" s="24" t="n"/>
      <c r="H2636" s="22" t="n"/>
      <c r="I2636" s="22" t="n"/>
      <c r="J2636" s="21">
        <f>IF(C2636="","",IFERROR(INDEX(Clientes!$B:$B,MATCH(C2636,Clientes!$A:$A,0)),"Cód. não cadastrado"))</f>
        <v/>
      </c>
      <c r="K2636" s="18">
        <f>IF(B2636="","",YEAR(B2636))</f>
        <v/>
      </c>
      <c r="L2636" s="18">
        <f>IF(B2636="","",MONTH(B2636))</f>
        <v/>
      </c>
      <c r="M2636" s="18">
        <f>IF(OR(B2636="",I2636=""),"",I2636-B2636)</f>
        <v/>
      </c>
      <c r="N2636" s="21">
        <f>IF(B2636="","",IF(I2636="",IF(H2636="","",IF(TODAY()&gt;H2636,"Atrasado (em aberto)","Em aberto")),IF(I2636&lt;=H2636,"No prazo","Fora do prazo")))</f>
        <v/>
      </c>
    </row>
    <row r="2637">
      <c r="B2637" s="22" t="n"/>
      <c r="E2637" s="23" t="n"/>
      <c r="F2637" s="24" t="n"/>
      <c r="H2637" s="22" t="n"/>
      <c r="I2637" s="22" t="n"/>
      <c r="J2637" s="21">
        <f>IF(C2637="","",IFERROR(INDEX(Clientes!$B:$B,MATCH(C2637,Clientes!$A:$A,0)),"Cód. não cadastrado"))</f>
        <v/>
      </c>
      <c r="K2637" s="18">
        <f>IF(B2637="","",YEAR(B2637))</f>
        <v/>
      </c>
      <c r="L2637" s="18">
        <f>IF(B2637="","",MONTH(B2637))</f>
        <v/>
      </c>
      <c r="M2637" s="18">
        <f>IF(OR(B2637="",I2637=""),"",I2637-B2637)</f>
        <v/>
      </c>
      <c r="N2637" s="21">
        <f>IF(B2637="","",IF(I2637="",IF(H2637="","",IF(TODAY()&gt;H2637,"Atrasado (em aberto)","Em aberto")),IF(I2637&lt;=H2637,"No prazo","Fora do prazo")))</f>
        <v/>
      </c>
    </row>
    <row r="2638">
      <c r="B2638" s="22" t="n"/>
      <c r="E2638" s="23" t="n"/>
      <c r="F2638" s="24" t="n"/>
      <c r="H2638" s="22" t="n"/>
      <c r="I2638" s="22" t="n"/>
      <c r="J2638" s="21">
        <f>IF(C2638="","",IFERROR(INDEX(Clientes!$B:$B,MATCH(C2638,Clientes!$A:$A,0)),"Cód. não cadastrado"))</f>
        <v/>
      </c>
      <c r="K2638" s="18">
        <f>IF(B2638="","",YEAR(B2638))</f>
        <v/>
      </c>
      <c r="L2638" s="18">
        <f>IF(B2638="","",MONTH(B2638))</f>
        <v/>
      </c>
      <c r="M2638" s="18">
        <f>IF(OR(B2638="",I2638=""),"",I2638-B2638)</f>
        <v/>
      </c>
      <c r="N2638" s="21">
        <f>IF(B2638="","",IF(I2638="",IF(H2638="","",IF(TODAY()&gt;H2638,"Atrasado (em aberto)","Em aberto")),IF(I2638&lt;=H2638,"No prazo","Fora do prazo")))</f>
        <v/>
      </c>
    </row>
    <row r="2639">
      <c r="B2639" s="22" t="n"/>
      <c r="E2639" s="23" t="n"/>
      <c r="F2639" s="24" t="n"/>
      <c r="H2639" s="22" t="n"/>
      <c r="I2639" s="22" t="n"/>
      <c r="J2639" s="21">
        <f>IF(C2639="","",IFERROR(INDEX(Clientes!$B:$B,MATCH(C2639,Clientes!$A:$A,0)),"Cód. não cadastrado"))</f>
        <v/>
      </c>
      <c r="K2639" s="18">
        <f>IF(B2639="","",YEAR(B2639))</f>
        <v/>
      </c>
      <c r="L2639" s="18">
        <f>IF(B2639="","",MONTH(B2639))</f>
        <v/>
      </c>
      <c r="M2639" s="18">
        <f>IF(OR(B2639="",I2639=""),"",I2639-B2639)</f>
        <v/>
      </c>
      <c r="N2639" s="21">
        <f>IF(B2639="","",IF(I2639="",IF(H2639="","",IF(TODAY()&gt;H2639,"Atrasado (em aberto)","Em aberto")),IF(I2639&lt;=H2639,"No prazo","Fora do prazo")))</f>
        <v/>
      </c>
    </row>
    <row r="2640">
      <c r="B2640" s="22" t="n"/>
      <c r="E2640" s="23" t="n"/>
      <c r="F2640" s="24" t="n"/>
      <c r="H2640" s="22" t="n"/>
      <c r="I2640" s="22" t="n"/>
      <c r="J2640" s="21">
        <f>IF(C2640="","",IFERROR(INDEX(Clientes!$B:$B,MATCH(C2640,Clientes!$A:$A,0)),"Cód. não cadastrado"))</f>
        <v/>
      </c>
      <c r="K2640" s="18">
        <f>IF(B2640="","",YEAR(B2640))</f>
        <v/>
      </c>
      <c r="L2640" s="18">
        <f>IF(B2640="","",MONTH(B2640))</f>
        <v/>
      </c>
      <c r="M2640" s="18">
        <f>IF(OR(B2640="",I2640=""),"",I2640-B2640)</f>
        <v/>
      </c>
      <c r="N2640" s="21">
        <f>IF(B2640="","",IF(I2640="",IF(H2640="","",IF(TODAY()&gt;H2640,"Atrasado (em aberto)","Em aberto")),IF(I2640&lt;=H2640,"No prazo","Fora do prazo")))</f>
        <v/>
      </c>
    </row>
    <row r="2641">
      <c r="B2641" s="22" t="n"/>
      <c r="E2641" s="23" t="n"/>
      <c r="F2641" s="24" t="n"/>
      <c r="H2641" s="22" t="n"/>
      <c r="I2641" s="22" t="n"/>
      <c r="J2641" s="21">
        <f>IF(C2641="","",IFERROR(INDEX(Clientes!$B:$B,MATCH(C2641,Clientes!$A:$A,0)),"Cód. não cadastrado"))</f>
        <v/>
      </c>
      <c r="K2641" s="18">
        <f>IF(B2641="","",YEAR(B2641))</f>
        <v/>
      </c>
      <c r="L2641" s="18">
        <f>IF(B2641="","",MONTH(B2641))</f>
        <v/>
      </c>
      <c r="M2641" s="18">
        <f>IF(OR(B2641="",I2641=""),"",I2641-B2641)</f>
        <v/>
      </c>
      <c r="N2641" s="21">
        <f>IF(B2641="","",IF(I2641="",IF(H2641="","",IF(TODAY()&gt;H2641,"Atrasado (em aberto)","Em aberto")),IF(I2641&lt;=H2641,"No prazo","Fora do prazo")))</f>
        <v/>
      </c>
    </row>
    <row r="2642">
      <c r="B2642" s="22" t="n"/>
      <c r="E2642" s="23" t="n"/>
      <c r="F2642" s="24" t="n"/>
      <c r="H2642" s="22" t="n"/>
      <c r="I2642" s="22" t="n"/>
      <c r="J2642" s="21">
        <f>IF(C2642="","",IFERROR(INDEX(Clientes!$B:$B,MATCH(C2642,Clientes!$A:$A,0)),"Cód. não cadastrado"))</f>
        <v/>
      </c>
      <c r="K2642" s="18">
        <f>IF(B2642="","",YEAR(B2642))</f>
        <v/>
      </c>
      <c r="L2642" s="18">
        <f>IF(B2642="","",MONTH(B2642))</f>
        <v/>
      </c>
      <c r="M2642" s="18">
        <f>IF(OR(B2642="",I2642=""),"",I2642-B2642)</f>
        <v/>
      </c>
      <c r="N2642" s="21">
        <f>IF(B2642="","",IF(I2642="",IF(H2642="","",IF(TODAY()&gt;H2642,"Atrasado (em aberto)","Em aberto")),IF(I2642&lt;=H2642,"No prazo","Fora do prazo")))</f>
        <v/>
      </c>
    </row>
    <row r="2643">
      <c r="B2643" s="22" t="n"/>
      <c r="E2643" s="23" t="n"/>
      <c r="F2643" s="24" t="n"/>
      <c r="H2643" s="22" t="n"/>
      <c r="I2643" s="22" t="n"/>
      <c r="J2643" s="21">
        <f>IF(C2643="","",IFERROR(INDEX(Clientes!$B:$B,MATCH(C2643,Clientes!$A:$A,0)),"Cód. não cadastrado"))</f>
        <v/>
      </c>
      <c r="K2643" s="18">
        <f>IF(B2643="","",YEAR(B2643))</f>
        <v/>
      </c>
      <c r="L2643" s="18">
        <f>IF(B2643="","",MONTH(B2643))</f>
        <v/>
      </c>
      <c r="M2643" s="18">
        <f>IF(OR(B2643="",I2643=""),"",I2643-B2643)</f>
        <v/>
      </c>
      <c r="N2643" s="21">
        <f>IF(B2643="","",IF(I2643="",IF(H2643="","",IF(TODAY()&gt;H2643,"Atrasado (em aberto)","Em aberto")),IF(I2643&lt;=H2643,"No prazo","Fora do prazo")))</f>
        <v/>
      </c>
    </row>
    <row r="2644">
      <c r="B2644" s="22" t="n"/>
      <c r="E2644" s="23" t="n"/>
      <c r="F2644" s="24" t="n"/>
      <c r="H2644" s="22" t="n"/>
      <c r="I2644" s="22" t="n"/>
      <c r="J2644" s="21">
        <f>IF(C2644="","",IFERROR(INDEX(Clientes!$B:$B,MATCH(C2644,Clientes!$A:$A,0)),"Cód. não cadastrado"))</f>
        <v/>
      </c>
      <c r="K2644" s="18">
        <f>IF(B2644="","",YEAR(B2644))</f>
        <v/>
      </c>
      <c r="L2644" s="18">
        <f>IF(B2644="","",MONTH(B2644))</f>
        <v/>
      </c>
      <c r="M2644" s="18">
        <f>IF(OR(B2644="",I2644=""),"",I2644-B2644)</f>
        <v/>
      </c>
      <c r="N2644" s="21">
        <f>IF(B2644="","",IF(I2644="",IF(H2644="","",IF(TODAY()&gt;H2644,"Atrasado (em aberto)","Em aberto")),IF(I2644&lt;=H2644,"No prazo","Fora do prazo")))</f>
        <v/>
      </c>
    </row>
    <row r="2645">
      <c r="B2645" s="22" t="n"/>
      <c r="E2645" s="23" t="n"/>
      <c r="F2645" s="24" t="n"/>
      <c r="H2645" s="22" t="n"/>
      <c r="I2645" s="22" t="n"/>
      <c r="J2645" s="21">
        <f>IF(C2645="","",IFERROR(INDEX(Clientes!$B:$B,MATCH(C2645,Clientes!$A:$A,0)),"Cód. não cadastrado"))</f>
        <v/>
      </c>
      <c r="K2645" s="18">
        <f>IF(B2645="","",YEAR(B2645))</f>
        <v/>
      </c>
      <c r="L2645" s="18">
        <f>IF(B2645="","",MONTH(B2645))</f>
        <v/>
      </c>
      <c r="M2645" s="18">
        <f>IF(OR(B2645="",I2645=""),"",I2645-B2645)</f>
        <v/>
      </c>
      <c r="N2645" s="21">
        <f>IF(B2645="","",IF(I2645="",IF(H2645="","",IF(TODAY()&gt;H2645,"Atrasado (em aberto)","Em aberto")),IF(I2645&lt;=H2645,"No prazo","Fora do prazo")))</f>
        <v/>
      </c>
    </row>
    <row r="2646">
      <c r="B2646" s="22" t="n"/>
      <c r="E2646" s="23" t="n"/>
      <c r="F2646" s="24" t="n"/>
      <c r="H2646" s="22" t="n"/>
      <c r="I2646" s="22" t="n"/>
      <c r="J2646" s="21">
        <f>IF(C2646="","",IFERROR(INDEX(Clientes!$B:$B,MATCH(C2646,Clientes!$A:$A,0)),"Cód. não cadastrado"))</f>
        <v/>
      </c>
      <c r="K2646" s="18">
        <f>IF(B2646="","",YEAR(B2646))</f>
        <v/>
      </c>
      <c r="L2646" s="18">
        <f>IF(B2646="","",MONTH(B2646))</f>
        <v/>
      </c>
      <c r="M2646" s="18">
        <f>IF(OR(B2646="",I2646=""),"",I2646-B2646)</f>
        <v/>
      </c>
      <c r="N2646" s="21">
        <f>IF(B2646="","",IF(I2646="",IF(H2646="","",IF(TODAY()&gt;H2646,"Atrasado (em aberto)","Em aberto")),IF(I2646&lt;=H2646,"No prazo","Fora do prazo")))</f>
        <v/>
      </c>
    </row>
    <row r="2647">
      <c r="B2647" s="22" t="n"/>
      <c r="E2647" s="23" t="n"/>
      <c r="F2647" s="24" t="n"/>
      <c r="H2647" s="22" t="n"/>
      <c r="I2647" s="22" t="n"/>
      <c r="J2647" s="21">
        <f>IF(C2647="","",IFERROR(INDEX(Clientes!$B:$B,MATCH(C2647,Clientes!$A:$A,0)),"Cód. não cadastrado"))</f>
        <v/>
      </c>
      <c r="K2647" s="18">
        <f>IF(B2647="","",YEAR(B2647))</f>
        <v/>
      </c>
      <c r="L2647" s="18">
        <f>IF(B2647="","",MONTH(B2647))</f>
        <v/>
      </c>
      <c r="M2647" s="18">
        <f>IF(OR(B2647="",I2647=""),"",I2647-B2647)</f>
        <v/>
      </c>
      <c r="N2647" s="21">
        <f>IF(B2647="","",IF(I2647="",IF(H2647="","",IF(TODAY()&gt;H2647,"Atrasado (em aberto)","Em aberto")),IF(I2647&lt;=H2647,"No prazo","Fora do prazo")))</f>
        <v/>
      </c>
    </row>
    <row r="2648">
      <c r="B2648" s="22" t="n"/>
      <c r="E2648" s="23" t="n"/>
      <c r="F2648" s="24" t="n"/>
      <c r="H2648" s="22" t="n"/>
      <c r="I2648" s="22" t="n"/>
      <c r="J2648" s="21">
        <f>IF(C2648="","",IFERROR(INDEX(Clientes!$B:$B,MATCH(C2648,Clientes!$A:$A,0)),"Cód. não cadastrado"))</f>
        <v/>
      </c>
      <c r="K2648" s="18">
        <f>IF(B2648="","",YEAR(B2648))</f>
        <v/>
      </c>
      <c r="L2648" s="18">
        <f>IF(B2648="","",MONTH(B2648))</f>
        <v/>
      </c>
      <c r="M2648" s="18">
        <f>IF(OR(B2648="",I2648=""),"",I2648-B2648)</f>
        <v/>
      </c>
      <c r="N2648" s="21">
        <f>IF(B2648="","",IF(I2648="",IF(H2648="","",IF(TODAY()&gt;H2648,"Atrasado (em aberto)","Em aberto")),IF(I2648&lt;=H2648,"No prazo","Fora do prazo")))</f>
        <v/>
      </c>
    </row>
    <row r="2649">
      <c r="B2649" s="22" t="n"/>
      <c r="E2649" s="23" t="n"/>
      <c r="F2649" s="24" t="n"/>
      <c r="H2649" s="22" t="n"/>
      <c r="I2649" s="22" t="n"/>
      <c r="J2649" s="21">
        <f>IF(C2649="","",IFERROR(INDEX(Clientes!$B:$B,MATCH(C2649,Clientes!$A:$A,0)),"Cód. não cadastrado"))</f>
        <v/>
      </c>
      <c r="K2649" s="18">
        <f>IF(B2649="","",YEAR(B2649))</f>
        <v/>
      </c>
      <c r="L2649" s="18">
        <f>IF(B2649="","",MONTH(B2649))</f>
        <v/>
      </c>
      <c r="M2649" s="18">
        <f>IF(OR(B2649="",I2649=""),"",I2649-B2649)</f>
        <v/>
      </c>
      <c r="N2649" s="21">
        <f>IF(B2649="","",IF(I2649="",IF(H2649="","",IF(TODAY()&gt;H2649,"Atrasado (em aberto)","Em aberto")),IF(I2649&lt;=H2649,"No prazo","Fora do prazo")))</f>
        <v/>
      </c>
    </row>
    <row r="2650">
      <c r="B2650" s="22" t="n"/>
      <c r="E2650" s="23" t="n"/>
      <c r="F2650" s="24" t="n"/>
      <c r="H2650" s="22" t="n"/>
      <c r="I2650" s="22" t="n"/>
      <c r="J2650" s="21">
        <f>IF(C2650="","",IFERROR(INDEX(Clientes!$B:$B,MATCH(C2650,Clientes!$A:$A,0)),"Cód. não cadastrado"))</f>
        <v/>
      </c>
      <c r="K2650" s="18">
        <f>IF(B2650="","",YEAR(B2650))</f>
        <v/>
      </c>
      <c r="L2650" s="18">
        <f>IF(B2650="","",MONTH(B2650))</f>
        <v/>
      </c>
      <c r="M2650" s="18">
        <f>IF(OR(B2650="",I2650=""),"",I2650-B2650)</f>
        <v/>
      </c>
      <c r="N2650" s="21">
        <f>IF(B2650="","",IF(I2650="",IF(H2650="","",IF(TODAY()&gt;H2650,"Atrasado (em aberto)","Em aberto")),IF(I2650&lt;=H2650,"No prazo","Fora do prazo")))</f>
        <v/>
      </c>
    </row>
    <row r="2651">
      <c r="B2651" s="22" t="n"/>
      <c r="E2651" s="23" t="n"/>
      <c r="F2651" s="24" t="n"/>
      <c r="H2651" s="22" t="n"/>
      <c r="I2651" s="22" t="n"/>
      <c r="J2651" s="21">
        <f>IF(C2651="","",IFERROR(INDEX(Clientes!$B:$B,MATCH(C2651,Clientes!$A:$A,0)),"Cód. não cadastrado"))</f>
        <v/>
      </c>
      <c r="K2651" s="18">
        <f>IF(B2651="","",YEAR(B2651))</f>
        <v/>
      </c>
      <c r="L2651" s="18">
        <f>IF(B2651="","",MONTH(B2651))</f>
        <v/>
      </c>
      <c r="M2651" s="18">
        <f>IF(OR(B2651="",I2651=""),"",I2651-B2651)</f>
        <v/>
      </c>
      <c r="N2651" s="21">
        <f>IF(B2651="","",IF(I2651="",IF(H2651="","",IF(TODAY()&gt;H2651,"Atrasado (em aberto)","Em aberto")),IF(I2651&lt;=H2651,"No prazo","Fora do prazo")))</f>
        <v/>
      </c>
    </row>
    <row r="2652">
      <c r="B2652" s="22" t="n"/>
      <c r="E2652" s="23" t="n"/>
      <c r="F2652" s="24" t="n"/>
      <c r="H2652" s="22" t="n"/>
      <c r="I2652" s="22" t="n"/>
      <c r="J2652" s="21">
        <f>IF(C2652="","",IFERROR(INDEX(Clientes!$B:$B,MATCH(C2652,Clientes!$A:$A,0)),"Cód. não cadastrado"))</f>
        <v/>
      </c>
      <c r="K2652" s="18">
        <f>IF(B2652="","",YEAR(B2652))</f>
        <v/>
      </c>
      <c r="L2652" s="18">
        <f>IF(B2652="","",MONTH(B2652))</f>
        <v/>
      </c>
      <c r="M2652" s="18">
        <f>IF(OR(B2652="",I2652=""),"",I2652-B2652)</f>
        <v/>
      </c>
      <c r="N2652" s="21">
        <f>IF(B2652="","",IF(I2652="",IF(H2652="","",IF(TODAY()&gt;H2652,"Atrasado (em aberto)","Em aberto")),IF(I2652&lt;=H2652,"No prazo","Fora do prazo")))</f>
        <v/>
      </c>
    </row>
    <row r="2653">
      <c r="B2653" s="22" t="n"/>
      <c r="E2653" s="23" t="n"/>
      <c r="F2653" s="24" t="n"/>
      <c r="H2653" s="22" t="n"/>
      <c r="I2653" s="22" t="n"/>
      <c r="J2653" s="21">
        <f>IF(C2653="","",IFERROR(INDEX(Clientes!$B:$B,MATCH(C2653,Clientes!$A:$A,0)),"Cód. não cadastrado"))</f>
        <v/>
      </c>
      <c r="K2653" s="18">
        <f>IF(B2653="","",YEAR(B2653))</f>
        <v/>
      </c>
      <c r="L2653" s="18">
        <f>IF(B2653="","",MONTH(B2653))</f>
        <v/>
      </c>
      <c r="M2653" s="18">
        <f>IF(OR(B2653="",I2653=""),"",I2653-B2653)</f>
        <v/>
      </c>
      <c r="N2653" s="21">
        <f>IF(B2653="","",IF(I2653="",IF(H2653="","",IF(TODAY()&gt;H2653,"Atrasado (em aberto)","Em aberto")),IF(I2653&lt;=H2653,"No prazo","Fora do prazo")))</f>
        <v/>
      </c>
    </row>
    <row r="2654">
      <c r="B2654" s="22" t="n"/>
      <c r="E2654" s="23" t="n"/>
      <c r="F2654" s="24" t="n"/>
      <c r="H2654" s="22" t="n"/>
      <c r="I2654" s="22" t="n"/>
      <c r="J2654" s="21">
        <f>IF(C2654="","",IFERROR(INDEX(Clientes!$B:$B,MATCH(C2654,Clientes!$A:$A,0)),"Cód. não cadastrado"))</f>
        <v/>
      </c>
      <c r="K2654" s="18">
        <f>IF(B2654="","",YEAR(B2654))</f>
        <v/>
      </c>
      <c r="L2654" s="18">
        <f>IF(B2654="","",MONTH(B2654))</f>
        <v/>
      </c>
      <c r="M2654" s="18">
        <f>IF(OR(B2654="",I2654=""),"",I2654-B2654)</f>
        <v/>
      </c>
      <c r="N2654" s="21">
        <f>IF(B2654="","",IF(I2654="",IF(H2654="","",IF(TODAY()&gt;H2654,"Atrasado (em aberto)","Em aberto")),IF(I2654&lt;=H2654,"No prazo","Fora do prazo")))</f>
        <v/>
      </c>
    </row>
    <row r="2655">
      <c r="B2655" s="22" t="n"/>
      <c r="E2655" s="23" t="n"/>
      <c r="F2655" s="24" t="n"/>
      <c r="H2655" s="22" t="n"/>
      <c r="I2655" s="22" t="n"/>
      <c r="J2655" s="21">
        <f>IF(C2655="","",IFERROR(INDEX(Clientes!$B:$B,MATCH(C2655,Clientes!$A:$A,0)),"Cód. não cadastrado"))</f>
        <v/>
      </c>
      <c r="K2655" s="18">
        <f>IF(B2655="","",YEAR(B2655))</f>
        <v/>
      </c>
      <c r="L2655" s="18">
        <f>IF(B2655="","",MONTH(B2655))</f>
        <v/>
      </c>
      <c r="M2655" s="18">
        <f>IF(OR(B2655="",I2655=""),"",I2655-B2655)</f>
        <v/>
      </c>
      <c r="N2655" s="21">
        <f>IF(B2655="","",IF(I2655="",IF(H2655="","",IF(TODAY()&gt;H2655,"Atrasado (em aberto)","Em aberto")),IF(I2655&lt;=H2655,"No prazo","Fora do prazo")))</f>
        <v/>
      </c>
    </row>
    <row r="2656">
      <c r="B2656" s="22" t="n"/>
      <c r="E2656" s="23" t="n"/>
      <c r="F2656" s="24" t="n"/>
      <c r="H2656" s="22" t="n"/>
      <c r="I2656" s="22" t="n"/>
      <c r="J2656" s="21">
        <f>IF(C2656="","",IFERROR(INDEX(Clientes!$B:$B,MATCH(C2656,Clientes!$A:$A,0)),"Cód. não cadastrado"))</f>
        <v/>
      </c>
      <c r="K2656" s="18">
        <f>IF(B2656="","",YEAR(B2656))</f>
        <v/>
      </c>
      <c r="L2656" s="18">
        <f>IF(B2656="","",MONTH(B2656))</f>
        <v/>
      </c>
      <c r="M2656" s="18">
        <f>IF(OR(B2656="",I2656=""),"",I2656-B2656)</f>
        <v/>
      </c>
      <c r="N2656" s="21">
        <f>IF(B2656="","",IF(I2656="",IF(H2656="","",IF(TODAY()&gt;H2656,"Atrasado (em aberto)","Em aberto")),IF(I2656&lt;=H2656,"No prazo","Fora do prazo")))</f>
        <v/>
      </c>
    </row>
    <row r="2657">
      <c r="B2657" s="22" t="n"/>
      <c r="E2657" s="23" t="n"/>
      <c r="F2657" s="24" t="n"/>
      <c r="H2657" s="22" t="n"/>
      <c r="I2657" s="22" t="n"/>
      <c r="J2657" s="21">
        <f>IF(C2657="","",IFERROR(INDEX(Clientes!$B:$B,MATCH(C2657,Clientes!$A:$A,0)),"Cód. não cadastrado"))</f>
        <v/>
      </c>
      <c r="K2657" s="18">
        <f>IF(B2657="","",YEAR(B2657))</f>
        <v/>
      </c>
      <c r="L2657" s="18">
        <f>IF(B2657="","",MONTH(B2657))</f>
        <v/>
      </c>
      <c r="M2657" s="18">
        <f>IF(OR(B2657="",I2657=""),"",I2657-B2657)</f>
        <v/>
      </c>
      <c r="N2657" s="21">
        <f>IF(B2657="","",IF(I2657="",IF(H2657="","",IF(TODAY()&gt;H2657,"Atrasado (em aberto)","Em aberto")),IF(I2657&lt;=H2657,"No prazo","Fora do prazo")))</f>
        <v/>
      </c>
    </row>
    <row r="2658">
      <c r="B2658" s="22" t="n"/>
      <c r="E2658" s="23" t="n"/>
      <c r="F2658" s="24" t="n"/>
      <c r="H2658" s="22" t="n"/>
      <c r="I2658" s="22" t="n"/>
      <c r="J2658" s="21">
        <f>IF(C2658="","",IFERROR(INDEX(Clientes!$B:$B,MATCH(C2658,Clientes!$A:$A,0)),"Cód. não cadastrado"))</f>
        <v/>
      </c>
      <c r="K2658" s="18">
        <f>IF(B2658="","",YEAR(B2658))</f>
        <v/>
      </c>
      <c r="L2658" s="18">
        <f>IF(B2658="","",MONTH(B2658))</f>
        <v/>
      </c>
      <c r="M2658" s="18">
        <f>IF(OR(B2658="",I2658=""),"",I2658-B2658)</f>
        <v/>
      </c>
      <c r="N2658" s="21">
        <f>IF(B2658="","",IF(I2658="",IF(H2658="","",IF(TODAY()&gt;H2658,"Atrasado (em aberto)","Em aberto")),IF(I2658&lt;=H2658,"No prazo","Fora do prazo")))</f>
        <v/>
      </c>
    </row>
    <row r="2659">
      <c r="B2659" s="22" t="n"/>
      <c r="E2659" s="23" t="n"/>
      <c r="F2659" s="24" t="n"/>
      <c r="H2659" s="22" t="n"/>
      <c r="I2659" s="22" t="n"/>
      <c r="J2659" s="21">
        <f>IF(C2659="","",IFERROR(INDEX(Clientes!$B:$B,MATCH(C2659,Clientes!$A:$A,0)),"Cód. não cadastrado"))</f>
        <v/>
      </c>
      <c r="K2659" s="18">
        <f>IF(B2659="","",YEAR(B2659))</f>
        <v/>
      </c>
      <c r="L2659" s="18">
        <f>IF(B2659="","",MONTH(B2659))</f>
        <v/>
      </c>
      <c r="M2659" s="18">
        <f>IF(OR(B2659="",I2659=""),"",I2659-B2659)</f>
        <v/>
      </c>
      <c r="N2659" s="21">
        <f>IF(B2659="","",IF(I2659="",IF(H2659="","",IF(TODAY()&gt;H2659,"Atrasado (em aberto)","Em aberto")),IF(I2659&lt;=H2659,"No prazo","Fora do prazo")))</f>
        <v/>
      </c>
    </row>
    <row r="2660">
      <c r="B2660" s="22" t="n"/>
      <c r="E2660" s="23" t="n"/>
      <c r="F2660" s="24" t="n"/>
      <c r="H2660" s="22" t="n"/>
      <c r="I2660" s="22" t="n"/>
      <c r="J2660" s="21">
        <f>IF(C2660="","",IFERROR(INDEX(Clientes!$B:$B,MATCH(C2660,Clientes!$A:$A,0)),"Cód. não cadastrado"))</f>
        <v/>
      </c>
      <c r="K2660" s="18">
        <f>IF(B2660="","",YEAR(B2660))</f>
        <v/>
      </c>
      <c r="L2660" s="18">
        <f>IF(B2660="","",MONTH(B2660))</f>
        <v/>
      </c>
      <c r="M2660" s="18">
        <f>IF(OR(B2660="",I2660=""),"",I2660-B2660)</f>
        <v/>
      </c>
      <c r="N2660" s="21">
        <f>IF(B2660="","",IF(I2660="",IF(H2660="","",IF(TODAY()&gt;H2660,"Atrasado (em aberto)","Em aberto")),IF(I2660&lt;=H2660,"No prazo","Fora do prazo")))</f>
        <v/>
      </c>
    </row>
    <row r="2661">
      <c r="B2661" s="22" t="n"/>
      <c r="E2661" s="23" t="n"/>
      <c r="F2661" s="24" t="n"/>
      <c r="H2661" s="22" t="n"/>
      <c r="I2661" s="22" t="n"/>
      <c r="J2661" s="21">
        <f>IF(C2661="","",IFERROR(INDEX(Clientes!$B:$B,MATCH(C2661,Clientes!$A:$A,0)),"Cód. não cadastrado"))</f>
        <v/>
      </c>
      <c r="K2661" s="18">
        <f>IF(B2661="","",YEAR(B2661))</f>
        <v/>
      </c>
      <c r="L2661" s="18">
        <f>IF(B2661="","",MONTH(B2661))</f>
        <v/>
      </c>
      <c r="M2661" s="18">
        <f>IF(OR(B2661="",I2661=""),"",I2661-B2661)</f>
        <v/>
      </c>
      <c r="N2661" s="21">
        <f>IF(B2661="","",IF(I2661="",IF(H2661="","",IF(TODAY()&gt;H2661,"Atrasado (em aberto)","Em aberto")),IF(I2661&lt;=H2661,"No prazo","Fora do prazo")))</f>
        <v/>
      </c>
    </row>
    <row r="2662">
      <c r="B2662" s="22" t="n"/>
      <c r="E2662" s="23" t="n"/>
      <c r="F2662" s="24" t="n"/>
      <c r="H2662" s="22" t="n"/>
      <c r="I2662" s="22" t="n"/>
      <c r="J2662" s="21">
        <f>IF(C2662="","",IFERROR(INDEX(Clientes!$B:$B,MATCH(C2662,Clientes!$A:$A,0)),"Cód. não cadastrado"))</f>
        <v/>
      </c>
      <c r="K2662" s="18">
        <f>IF(B2662="","",YEAR(B2662))</f>
        <v/>
      </c>
      <c r="L2662" s="18">
        <f>IF(B2662="","",MONTH(B2662))</f>
        <v/>
      </c>
      <c r="M2662" s="18">
        <f>IF(OR(B2662="",I2662=""),"",I2662-B2662)</f>
        <v/>
      </c>
      <c r="N2662" s="21">
        <f>IF(B2662="","",IF(I2662="",IF(H2662="","",IF(TODAY()&gt;H2662,"Atrasado (em aberto)","Em aberto")),IF(I2662&lt;=H2662,"No prazo","Fora do prazo")))</f>
        <v/>
      </c>
    </row>
    <row r="2663">
      <c r="B2663" s="22" t="n"/>
      <c r="E2663" s="23" t="n"/>
      <c r="F2663" s="24" t="n"/>
      <c r="H2663" s="22" t="n"/>
      <c r="I2663" s="22" t="n"/>
      <c r="J2663" s="21">
        <f>IF(C2663="","",IFERROR(INDEX(Clientes!$B:$B,MATCH(C2663,Clientes!$A:$A,0)),"Cód. não cadastrado"))</f>
        <v/>
      </c>
      <c r="K2663" s="18">
        <f>IF(B2663="","",YEAR(B2663))</f>
        <v/>
      </c>
      <c r="L2663" s="18">
        <f>IF(B2663="","",MONTH(B2663))</f>
        <v/>
      </c>
      <c r="M2663" s="18">
        <f>IF(OR(B2663="",I2663=""),"",I2663-B2663)</f>
        <v/>
      </c>
      <c r="N2663" s="21">
        <f>IF(B2663="","",IF(I2663="",IF(H2663="","",IF(TODAY()&gt;H2663,"Atrasado (em aberto)","Em aberto")),IF(I2663&lt;=H2663,"No prazo","Fora do prazo")))</f>
        <v/>
      </c>
    </row>
    <row r="2664">
      <c r="B2664" s="22" t="n"/>
      <c r="E2664" s="23" t="n"/>
      <c r="F2664" s="24" t="n"/>
      <c r="H2664" s="22" t="n"/>
      <c r="I2664" s="22" t="n"/>
      <c r="J2664" s="21">
        <f>IF(C2664="","",IFERROR(INDEX(Clientes!$B:$B,MATCH(C2664,Clientes!$A:$A,0)),"Cód. não cadastrado"))</f>
        <v/>
      </c>
      <c r="K2664" s="18">
        <f>IF(B2664="","",YEAR(B2664))</f>
        <v/>
      </c>
      <c r="L2664" s="18">
        <f>IF(B2664="","",MONTH(B2664))</f>
        <v/>
      </c>
      <c r="M2664" s="18">
        <f>IF(OR(B2664="",I2664=""),"",I2664-B2664)</f>
        <v/>
      </c>
      <c r="N2664" s="21">
        <f>IF(B2664="","",IF(I2664="",IF(H2664="","",IF(TODAY()&gt;H2664,"Atrasado (em aberto)","Em aberto")),IF(I2664&lt;=H2664,"No prazo","Fora do prazo")))</f>
        <v/>
      </c>
    </row>
    <row r="2665">
      <c r="B2665" s="22" t="n"/>
      <c r="E2665" s="23" t="n"/>
      <c r="F2665" s="24" t="n"/>
      <c r="H2665" s="22" t="n"/>
      <c r="I2665" s="22" t="n"/>
      <c r="J2665" s="21">
        <f>IF(C2665="","",IFERROR(INDEX(Clientes!$B:$B,MATCH(C2665,Clientes!$A:$A,0)),"Cód. não cadastrado"))</f>
        <v/>
      </c>
      <c r="K2665" s="18">
        <f>IF(B2665="","",YEAR(B2665))</f>
        <v/>
      </c>
      <c r="L2665" s="18">
        <f>IF(B2665="","",MONTH(B2665))</f>
        <v/>
      </c>
      <c r="M2665" s="18">
        <f>IF(OR(B2665="",I2665=""),"",I2665-B2665)</f>
        <v/>
      </c>
      <c r="N2665" s="21">
        <f>IF(B2665="","",IF(I2665="",IF(H2665="","",IF(TODAY()&gt;H2665,"Atrasado (em aberto)","Em aberto")),IF(I2665&lt;=H2665,"No prazo","Fora do prazo")))</f>
        <v/>
      </c>
    </row>
    <row r="2666">
      <c r="B2666" s="22" t="n"/>
      <c r="E2666" s="23" t="n"/>
      <c r="F2666" s="24" t="n"/>
      <c r="H2666" s="22" t="n"/>
      <c r="I2666" s="22" t="n"/>
      <c r="J2666" s="21">
        <f>IF(C2666="","",IFERROR(INDEX(Clientes!$B:$B,MATCH(C2666,Clientes!$A:$A,0)),"Cód. não cadastrado"))</f>
        <v/>
      </c>
      <c r="K2666" s="18">
        <f>IF(B2666="","",YEAR(B2666))</f>
        <v/>
      </c>
      <c r="L2666" s="18">
        <f>IF(B2666="","",MONTH(B2666))</f>
        <v/>
      </c>
      <c r="M2666" s="18">
        <f>IF(OR(B2666="",I2666=""),"",I2666-B2666)</f>
        <v/>
      </c>
      <c r="N2666" s="21">
        <f>IF(B2666="","",IF(I2666="",IF(H2666="","",IF(TODAY()&gt;H2666,"Atrasado (em aberto)","Em aberto")),IF(I2666&lt;=H2666,"No prazo","Fora do prazo")))</f>
        <v/>
      </c>
    </row>
    <row r="2667">
      <c r="B2667" s="22" t="n"/>
      <c r="E2667" s="23" t="n"/>
      <c r="F2667" s="24" t="n"/>
      <c r="H2667" s="22" t="n"/>
      <c r="I2667" s="22" t="n"/>
      <c r="J2667" s="21">
        <f>IF(C2667="","",IFERROR(INDEX(Clientes!$B:$B,MATCH(C2667,Clientes!$A:$A,0)),"Cód. não cadastrado"))</f>
        <v/>
      </c>
      <c r="K2667" s="18">
        <f>IF(B2667="","",YEAR(B2667))</f>
        <v/>
      </c>
      <c r="L2667" s="18">
        <f>IF(B2667="","",MONTH(B2667))</f>
        <v/>
      </c>
      <c r="M2667" s="18">
        <f>IF(OR(B2667="",I2667=""),"",I2667-B2667)</f>
        <v/>
      </c>
      <c r="N2667" s="21">
        <f>IF(B2667="","",IF(I2667="",IF(H2667="","",IF(TODAY()&gt;H2667,"Atrasado (em aberto)","Em aberto")),IF(I2667&lt;=H2667,"No prazo","Fora do prazo")))</f>
        <v/>
      </c>
    </row>
    <row r="2668">
      <c r="B2668" s="22" t="n"/>
      <c r="E2668" s="23" t="n"/>
      <c r="F2668" s="24" t="n"/>
      <c r="H2668" s="22" t="n"/>
      <c r="I2668" s="22" t="n"/>
      <c r="J2668" s="21">
        <f>IF(C2668="","",IFERROR(INDEX(Clientes!$B:$B,MATCH(C2668,Clientes!$A:$A,0)),"Cód. não cadastrado"))</f>
        <v/>
      </c>
      <c r="K2668" s="18">
        <f>IF(B2668="","",YEAR(B2668))</f>
        <v/>
      </c>
      <c r="L2668" s="18">
        <f>IF(B2668="","",MONTH(B2668))</f>
        <v/>
      </c>
      <c r="M2668" s="18">
        <f>IF(OR(B2668="",I2668=""),"",I2668-B2668)</f>
        <v/>
      </c>
      <c r="N2668" s="21">
        <f>IF(B2668="","",IF(I2668="",IF(H2668="","",IF(TODAY()&gt;H2668,"Atrasado (em aberto)","Em aberto")),IF(I2668&lt;=H2668,"No prazo","Fora do prazo")))</f>
        <v/>
      </c>
    </row>
    <row r="2669">
      <c r="B2669" s="22" t="n"/>
      <c r="E2669" s="23" t="n"/>
      <c r="F2669" s="24" t="n"/>
      <c r="H2669" s="22" t="n"/>
      <c r="I2669" s="22" t="n"/>
      <c r="J2669" s="21">
        <f>IF(C2669="","",IFERROR(INDEX(Clientes!$B:$B,MATCH(C2669,Clientes!$A:$A,0)),"Cód. não cadastrado"))</f>
        <v/>
      </c>
      <c r="K2669" s="18">
        <f>IF(B2669="","",YEAR(B2669))</f>
        <v/>
      </c>
      <c r="L2669" s="18">
        <f>IF(B2669="","",MONTH(B2669))</f>
        <v/>
      </c>
      <c r="M2669" s="18">
        <f>IF(OR(B2669="",I2669=""),"",I2669-B2669)</f>
        <v/>
      </c>
      <c r="N2669" s="21">
        <f>IF(B2669="","",IF(I2669="",IF(H2669="","",IF(TODAY()&gt;H2669,"Atrasado (em aberto)","Em aberto")),IF(I2669&lt;=H2669,"No prazo","Fora do prazo")))</f>
        <v/>
      </c>
    </row>
    <row r="2670">
      <c r="B2670" s="22" t="n"/>
      <c r="E2670" s="23" t="n"/>
      <c r="F2670" s="24" t="n"/>
      <c r="H2670" s="22" t="n"/>
      <c r="I2670" s="22" t="n"/>
      <c r="J2670" s="21">
        <f>IF(C2670="","",IFERROR(INDEX(Clientes!$B:$B,MATCH(C2670,Clientes!$A:$A,0)),"Cód. não cadastrado"))</f>
        <v/>
      </c>
      <c r="K2670" s="18">
        <f>IF(B2670="","",YEAR(B2670))</f>
        <v/>
      </c>
      <c r="L2670" s="18">
        <f>IF(B2670="","",MONTH(B2670))</f>
        <v/>
      </c>
      <c r="M2670" s="18">
        <f>IF(OR(B2670="",I2670=""),"",I2670-B2670)</f>
        <v/>
      </c>
      <c r="N2670" s="21">
        <f>IF(B2670="","",IF(I2670="",IF(H2670="","",IF(TODAY()&gt;H2670,"Atrasado (em aberto)","Em aberto")),IF(I2670&lt;=H2670,"No prazo","Fora do prazo")))</f>
        <v/>
      </c>
    </row>
    <row r="2671">
      <c r="B2671" s="22" t="n"/>
      <c r="E2671" s="23" t="n"/>
      <c r="F2671" s="24" t="n"/>
      <c r="H2671" s="22" t="n"/>
      <c r="I2671" s="22" t="n"/>
      <c r="J2671" s="21">
        <f>IF(C2671="","",IFERROR(INDEX(Clientes!$B:$B,MATCH(C2671,Clientes!$A:$A,0)),"Cód. não cadastrado"))</f>
        <v/>
      </c>
      <c r="K2671" s="18">
        <f>IF(B2671="","",YEAR(B2671))</f>
        <v/>
      </c>
      <c r="L2671" s="18">
        <f>IF(B2671="","",MONTH(B2671))</f>
        <v/>
      </c>
      <c r="M2671" s="18">
        <f>IF(OR(B2671="",I2671=""),"",I2671-B2671)</f>
        <v/>
      </c>
      <c r="N2671" s="21">
        <f>IF(B2671="","",IF(I2671="",IF(H2671="","",IF(TODAY()&gt;H2671,"Atrasado (em aberto)","Em aberto")),IF(I2671&lt;=H2671,"No prazo","Fora do prazo")))</f>
        <v/>
      </c>
    </row>
    <row r="2672">
      <c r="B2672" s="22" t="n"/>
      <c r="E2672" s="23" t="n"/>
      <c r="F2672" s="24" t="n"/>
      <c r="H2672" s="22" t="n"/>
      <c r="I2672" s="22" t="n"/>
      <c r="J2672" s="21">
        <f>IF(C2672="","",IFERROR(INDEX(Clientes!$B:$B,MATCH(C2672,Clientes!$A:$A,0)),"Cód. não cadastrado"))</f>
        <v/>
      </c>
      <c r="K2672" s="18">
        <f>IF(B2672="","",YEAR(B2672))</f>
        <v/>
      </c>
      <c r="L2672" s="18">
        <f>IF(B2672="","",MONTH(B2672))</f>
        <v/>
      </c>
      <c r="M2672" s="18">
        <f>IF(OR(B2672="",I2672=""),"",I2672-B2672)</f>
        <v/>
      </c>
      <c r="N2672" s="21">
        <f>IF(B2672="","",IF(I2672="",IF(H2672="","",IF(TODAY()&gt;H2672,"Atrasado (em aberto)","Em aberto")),IF(I2672&lt;=H2672,"No prazo","Fora do prazo")))</f>
        <v/>
      </c>
    </row>
    <row r="2673">
      <c r="B2673" s="22" t="n"/>
      <c r="E2673" s="23" t="n"/>
      <c r="F2673" s="24" t="n"/>
      <c r="H2673" s="22" t="n"/>
      <c r="I2673" s="22" t="n"/>
      <c r="J2673" s="21">
        <f>IF(C2673="","",IFERROR(INDEX(Clientes!$B:$B,MATCH(C2673,Clientes!$A:$A,0)),"Cód. não cadastrado"))</f>
        <v/>
      </c>
      <c r="K2673" s="18">
        <f>IF(B2673="","",YEAR(B2673))</f>
        <v/>
      </c>
      <c r="L2673" s="18">
        <f>IF(B2673="","",MONTH(B2673))</f>
        <v/>
      </c>
      <c r="M2673" s="18">
        <f>IF(OR(B2673="",I2673=""),"",I2673-B2673)</f>
        <v/>
      </c>
      <c r="N2673" s="21">
        <f>IF(B2673="","",IF(I2673="",IF(H2673="","",IF(TODAY()&gt;H2673,"Atrasado (em aberto)","Em aberto")),IF(I2673&lt;=H2673,"No prazo","Fora do prazo")))</f>
        <v/>
      </c>
    </row>
    <row r="2674">
      <c r="B2674" s="22" t="n"/>
      <c r="E2674" s="23" t="n"/>
      <c r="F2674" s="24" t="n"/>
      <c r="H2674" s="22" t="n"/>
      <c r="I2674" s="22" t="n"/>
      <c r="J2674" s="21">
        <f>IF(C2674="","",IFERROR(INDEX(Clientes!$B:$B,MATCH(C2674,Clientes!$A:$A,0)),"Cód. não cadastrado"))</f>
        <v/>
      </c>
      <c r="K2674" s="18">
        <f>IF(B2674="","",YEAR(B2674))</f>
        <v/>
      </c>
      <c r="L2674" s="18">
        <f>IF(B2674="","",MONTH(B2674))</f>
        <v/>
      </c>
      <c r="M2674" s="18">
        <f>IF(OR(B2674="",I2674=""),"",I2674-B2674)</f>
        <v/>
      </c>
      <c r="N2674" s="21">
        <f>IF(B2674="","",IF(I2674="",IF(H2674="","",IF(TODAY()&gt;H2674,"Atrasado (em aberto)","Em aberto")),IF(I2674&lt;=H2674,"No prazo","Fora do prazo")))</f>
        <v/>
      </c>
    </row>
    <row r="2675">
      <c r="B2675" s="22" t="n"/>
      <c r="E2675" s="23" t="n"/>
      <c r="F2675" s="24" t="n"/>
      <c r="H2675" s="22" t="n"/>
      <c r="I2675" s="22" t="n"/>
      <c r="J2675" s="21">
        <f>IF(C2675="","",IFERROR(INDEX(Clientes!$B:$B,MATCH(C2675,Clientes!$A:$A,0)),"Cód. não cadastrado"))</f>
        <v/>
      </c>
      <c r="K2675" s="18">
        <f>IF(B2675="","",YEAR(B2675))</f>
        <v/>
      </c>
      <c r="L2675" s="18">
        <f>IF(B2675="","",MONTH(B2675))</f>
        <v/>
      </c>
      <c r="M2675" s="18">
        <f>IF(OR(B2675="",I2675=""),"",I2675-B2675)</f>
        <v/>
      </c>
      <c r="N2675" s="21">
        <f>IF(B2675="","",IF(I2675="",IF(H2675="","",IF(TODAY()&gt;H2675,"Atrasado (em aberto)","Em aberto")),IF(I2675&lt;=H2675,"No prazo","Fora do prazo")))</f>
        <v/>
      </c>
    </row>
    <row r="2676">
      <c r="B2676" s="22" t="n"/>
      <c r="E2676" s="23" t="n"/>
      <c r="F2676" s="24" t="n"/>
      <c r="H2676" s="22" t="n"/>
      <c r="I2676" s="22" t="n"/>
      <c r="J2676" s="21">
        <f>IF(C2676="","",IFERROR(INDEX(Clientes!$B:$B,MATCH(C2676,Clientes!$A:$A,0)),"Cód. não cadastrado"))</f>
        <v/>
      </c>
      <c r="K2676" s="18">
        <f>IF(B2676="","",YEAR(B2676))</f>
        <v/>
      </c>
      <c r="L2676" s="18">
        <f>IF(B2676="","",MONTH(B2676))</f>
        <v/>
      </c>
      <c r="M2676" s="18">
        <f>IF(OR(B2676="",I2676=""),"",I2676-B2676)</f>
        <v/>
      </c>
      <c r="N2676" s="21">
        <f>IF(B2676="","",IF(I2676="",IF(H2676="","",IF(TODAY()&gt;H2676,"Atrasado (em aberto)","Em aberto")),IF(I2676&lt;=H2676,"No prazo","Fora do prazo")))</f>
        <v/>
      </c>
    </row>
    <row r="2677">
      <c r="B2677" s="22" t="n"/>
      <c r="E2677" s="23" t="n"/>
      <c r="F2677" s="24" t="n"/>
      <c r="H2677" s="22" t="n"/>
      <c r="I2677" s="22" t="n"/>
      <c r="J2677" s="21">
        <f>IF(C2677="","",IFERROR(INDEX(Clientes!$B:$B,MATCH(C2677,Clientes!$A:$A,0)),"Cód. não cadastrado"))</f>
        <v/>
      </c>
      <c r="K2677" s="18">
        <f>IF(B2677="","",YEAR(B2677))</f>
        <v/>
      </c>
      <c r="L2677" s="18">
        <f>IF(B2677="","",MONTH(B2677))</f>
        <v/>
      </c>
      <c r="M2677" s="18">
        <f>IF(OR(B2677="",I2677=""),"",I2677-B2677)</f>
        <v/>
      </c>
      <c r="N2677" s="21">
        <f>IF(B2677="","",IF(I2677="",IF(H2677="","",IF(TODAY()&gt;H2677,"Atrasado (em aberto)","Em aberto")),IF(I2677&lt;=H2677,"No prazo","Fora do prazo")))</f>
        <v/>
      </c>
    </row>
    <row r="2678">
      <c r="B2678" s="22" t="n"/>
      <c r="E2678" s="23" t="n"/>
      <c r="F2678" s="24" t="n"/>
      <c r="H2678" s="22" t="n"/>
      <c r="I2678" s="22" t="n"/>
      <c r="J2678" s="21">
        <f>IF(C2678="","",IFERROR(INDEX(Clientes!$B:$B,MATCH(C2678,Clientes!$A:$A,0)),"Cód. não cadastrado"))</f>
        <v/>
      </c>
      <c r="K2678" s="18">
        <f>IF(B2678="","",YEAR(B2678))</f>
        <v/>
      </c>
      <c r="L2678" s="18">
        <f>IF(B2678="","",MONTH(B2678))</f>
        <v/>
      </c>
      <c r="M2678" s="18">
        <f>IF(OR(B2678="",I2678=""),"",I2678-B2678)</f>
        <v/>
      </c>
      <c r="N2678" s="21">
        <f>IF(B2678="","",IF(I2678="",IF(H2678="","",IF(TODAY()&gt;H2678,"Atrasado (em aberto)","Em aberto")),IF(I2678&lt;=H2678,"No prazo","Fora do prazo")))</f>
        <v/>
      </c>
    </row>
    <row r="2679">
      <c r="B2679" s="22" t="n"/>
      <c r="E2679" s="23" t="n"/>
      <c r="F2679" s="24" t="n"/>
      <c r="H2679" s="22" t="n"/>
      <c r="I2679" s="22" t="n"/>
      <c r="J2679" s="21">
        <f>IF(C2679="","",IFERROR(INDEX(Clientes!$B:$B,MATCH(C2679,Clientes!$A:$A,0)),"Cód. não cadastrado"))</f>
        <v/>
      </c>
      <c r="K2679" s="18">
        <f>IF(B2679="","",YEAR(B2679))</f>
        <v/>
      </c>
      <c r="L2679" s="18">
        <f>IF(B2679="","",MONTH(B2679))</f>
        <v/>
      </c>
      <c r="M2679" s="18">
        <f>IF(OR(B2679="",I2679=""),"",I2679-B2679)</f>
        <v/>
      </c>
      <c r="N2679" s="21">
        <f>IF(B2679="","",IF(I2679="",IF(H2679="","",IF(TODAY()&gt;H2679,"Atrasado (em aberto)","Em aberto")),IF(I2679&lt;=H2679,"No prazo","Fora do prazo")))</f>
        <v/>
      </c>
    </row>
    <row r="2680">
      <c r="B2680" s="22" t="n"/>
      <c r="E2680" s="23" t="n"/>
      <c r="F2680" s="24" t="n"/>
      <c r="H2680" s="22" t="n"/>
      <c r="I2680" s="22" t="n"/>
      <c r="J2680" s="21">
        <f>IF(C2680="","",IFERROR(INDEX(Clientes!$B:$B,MATCH(C2680,Clientes!$A:$A,0)),"Cód. não cadastrado"))</f>
        <v/>
      </c>
      <c r="K2680" s="18">
        <f>IF(B2680="","",YEAR(B2680))</f>
        <v/>
      </c>
      <c r="L2680" s="18">
        <f>IF(B2680="","",MONTH(B2680))</f>
        <v/>
      </c>
      <c r="M2680" s="18">
        <f>IF(OR(B2680="",I2680=""),"",I2680-B2680)</f>
        <v/>
      </c>
      <c r="N2680" s="21">
        <f>IF(B2680="","",IF(I2680="",IF(H2680="","",IF(TODAY()&gt;H2680,"Atrasado (em aberto)","Em aberto")),IF(I2680&lt;=H2680,"No prazo","Fora do prazo")))</f>
        <v/>
      </c>
    </row>
    <row r="2681">
      <c r="B2681" s="22" t="n"/>
      <c r="E2681" s="23" t="n"/>
      <c r="F2681" s="24" t="n"/>
      <c r="H2681" s="22" t="n"/>
      <c r="I2681" s="22" t="n"/>
      <c r="J2681" s="21">
        <f>IF(C2681="","",IFERROR(INDEX(Clientes!$B:$B,MATCH(C2681,Clientes!$A:$A,0)),"Cód. não cadastrado"))</f>
        <v/>
      </c>
      <c r="K2681" s="18">
        <f>IF(B2681="","",YEAR(B2681))</f>
        <v/>
      </c>
      <c r="L2681" s="18">
        <f>IF(B2681="","",MONTH(B2681))</f>
        <v/>
      </c>
      <c r="M2681" s="18">
        <f>IF(OR(B2681="",I2681=""),"",I2681-B2681)</f>
        <v/>
      </c>
      <c r="N2681" s="21">
        <f>IF(B2681="","",IF(I2681="",IF(H2681="","",IF(TODAY()&gt;H2681,"Atrasado (em aberto)","Em aberto")),IF(I2681&lt;=H2681,"No prazo","Fora do prazo")))</f>
        <v/>
      </c>
    </row>
    <row r="2682">
      <c r="B2682" s="22" t="n"/>
      <c r="E2682" s="23" t="n"/>
      <c r="F2682" s="24" t="n"/>
      <c r="H2682" s="22" t="n"/>
      <c r="I2682" s="22" t="n"/>
      <c r="J2682" s="21">
        <f>IF(C2682="","",IFERROR(INDEX(Clientes!$B:$B,MATCH(C2682,Clientes!$A:$A,0)),"Cód. não cadastrado"))</f>
        <v/>
      </c>
      <c r="K2682" s="18">
        <f>IF(B2682="","",YEAR(B2682))</f>
        <v/>
      </c>
      <c r="L2682" s="18">
        <f>IF(B2682="","",MONTH(B2682))</f>
        <v/>
      </c>
      <c r="M2682" s="18">
        <f>IF(OR(B2682="",I2682=""),"",I2682-B2682)</f>
        <v/>
      </c>
      <c r="N2682" s="21">
        <f>IF(B2682="","",IF(I2682="",IF(H2682="","",IF(TODAY()&gt;H2682,"Atrasado (em aberto)","Em aberto")),IF(I2682&lt;=H2682,"No prazo","Fora do prazo")))</f>
        <v/>
      </c>
    </row>
    <row r="2683">
      <c r="B2683" s="22" t="n"/>
      <c r="E2683" s="23" t="n"/>
      <c r="F2683" s="24" t="n"/>
      <c r="H2683" s="22" t="n"/>
      <c r="I2683" s="22" t="n"/>
      <c r="J2683" s="21">
        <f>IF(C2683="","",IFERROR(INDEX(Clientes!$B:$B,MATCH(C2683,Clientes!$A:$A,0)),"Cód. não cadastrado"))</f>
        <v/>
      </c>
      <c r="K2683" s="18">
        <f>IF(B2683="","",YEAR(B2683))</f>
        <v/>
      </c>
      <c r="L2683" s="18">
        <f>IF(B2683="","",MONTH(B2683))</f>
        <v/>
      </c>
      <c r="M2683" s="18">
        <f>IF(OR(B2683="",I2683=""),"",I2683-B2683)</f>
        <v/>
      </c>
      <c r="N2683" s="21">
        <f>IF(B2683="","",IF(I2683="",IF(H2683="","",IF(TODAY()&gt;H2683,"Atrasado (em aberto)","Em aberto")),IF(I2683&lt;=H2683,"No prazo","Fora do prazo")))</f>
        <v/>
      </c>
    </row>
    <row r="2684">
      <c r="B2684" s="22" t="n"/>
      <c r="E2684" s="23" t="n"/>
      <c r="F2684" s="24" t="n"/>
      <c r="H2684" s="22" t="n"/>
      <c r="I2684" s="22" t="n"/>
      <c r="J2684" s="21">
        <f>IF(C2684="","",IFERROR(INDEX(Clientes!$B:$B,MATCH(C2684,Clientes!$A:$A,0)),"Cód. não cadastrado"))</f>
        <v/>
      </c>
      <c r="K2684" s="18">
        <f>IF(B2684="","",YEAR(B2684))</f>
        <v/>
      </c>
      <c r="L2684" s="18">
        <f>IF(B2684="","",MONTH(B2684))</f>
        <v/>
      </c>
      <c r="M2684" s="18">
        <f>IF(OR(B2684="",I2684=""),"",I2684-B2684)</f>
        <v/>
      </c>
      <c r="N2684" s="21">
        <f>IF(B2684="","",IF(I2684="",IF(H2684="","",IF(TODAY()&gt;H2684,"Atrasado (em aberto)","Em aberto")),IF(I2684&lt;=H2684,"No prazo","Fora do prazo")))</f>
        <v/>
      </c>
    </row>
    <row r="2685">
      <c r="B2685" s="22" t="n"/>
      <c r="E2685" s="23" t="n"/>
      <c r="F2685" s="24" t="n"/>
      <c r="H2685" s="22" t="n"/>
      <c r="I2685" s="22" t="n"/>
      <c r="J2685" s="21">
        <f>IF(C2685="","",IFERROR(INDEX(Clientes!$B:$B,MATCH(C2685,Clientes!$A:$A,0)),"Cód. não cadastrado"))</f>
        <v/>
      </c>
      <c r="K2685" s="18">
        <f>IF(B2685="","",YEAR(B2685))</f>
        <v/>
      </c>
      <c r="L2685" s="18">
        <f>IF(B2685="","",MONTH(B2685))</f>
        <v/>
      </c>
      <c r="M2685" s="18">
        <f>IF(OR(B2685="",I2685=""),"",I2685-B2685)</f>
        <v/>
      </c>
      <c r="N2685" s="21">
        <f>IF(B2685="","",IF(I2685="",IF(H2685="","",IF(TODAY()&gt;H2685,"Atrasado (em aberto)","Em aberto")),IF(I2685&lt;=H2685,"No prazo","Fora do prazo")))</f>
        <v/>
      </c>
    </row>
    <row r="2686">
      <c r="B2686" s="22" t="n"/>
      <c r="E2686" s="23" t="n"/>
      <c r="F2686" s="24" t="n"/>
      <c r="H2686" s="22" t="n"/>
      <c r="I2686" s="22" t="n"/>
      <c r="J2686" s="21">
        <f>IF(C2686="","",IFERROR(INDEX(Clientes!$B:$B,MATCH(C2686,Clientes!$A:$A,0)),"Cód. não cadastrado"))</f>
        <v/>
      </c>
      <c r="K2686" s="18">
        <f>IF(B2686="","",YEAR(B2686))</f>
        <v/>
      </c>
      <c r="L2686" s="18">
        <f>IF(B2686="","",MONTH(B2686))</f>
        <v/>
      </c>
      <c r="M2686" s="18">
        <f>IF(OR(B2686="",I2686=""),"",I2686-B2686)</f>
        <v/>
      </c>
      <c r="N2686" s="21">
        <f>IF(B2686="","",IF(I2686="",IF(H2686="","",IF(TODAY()&gt;H2686,"Atrasado (em aberto)","Em aberto")),IF(I2686&lt;=H2686,"No prazo","Fora do prazo")))</f>
        <v/>
      </c>
    </row>
    <row r="2687">
      <c r="B2687" s="22" t="n"/>
      <c r="E2687" s="23" t="n"/>
      <c r="F2687" s="24" t="n"/>
      <c r="H2687" s="22" t="n"/>
      <c r="I2687" s="22" t="n"/>
      <c r="J2687" s="21">
        <f>IF(C2687="","",IFERROR(INDEX(Clientes!$B:$B,MATCH(C2687,Clientes!$A:$A,0)),"Cód. não cadastrado"))</f>
        <v/>
      </c>
      <c r="K2687" s="18">
        <f>IF(B2687="","",YEAR(B2687))</f>
        <v/>
      </c>
      <c r="L2687" s="18">
        <f>IF(B2687="","",MONTH(B2687))</f>
        <v/>
      </c>
      <c r="M2687" s="18">
        <f>IF(OR(B2687="",I2687=""),"",I2687-B2687)</f>
        <v/>
      </c>
      <c r="N2687" s="21">
        <f>IF(B2687="","",IF(I2687="",IF(H2687="","",IF(TODAY()&gt;H2687,"Atrasado (em aberto)","Em aberto")),IF(I2687&lt;=H2687,"No prazo","Fora do prazo")))</f>
        <v/>
      </c>
    </row>
    <row r="2688">
      <c r="B2688" s="22" t="n"/>
      <c r="E2688" s="23" t="n"/>
      <c r="F2688" s="24" t="n"/>
      <c r="H2688" s="22" t="n"/>
      <c r="I2688" s="22" t="n"/>
      <c r="J2688" s="21">
        <f>IF(C2688="","",IFERROR(INDEX(Clientes!$B:$B,MATCH(C2688,Clientes!$A:$A,0)),"Cód. não cadastrado"))</f>
        <v/>
      </c>
      <c r="K2688" s="18">
        <f>IF(B2688="","",YEAR(B2688))</f>
        <v/>
      </c>
      <c r="L2688" s="18">
        <f>IF(B2688="","",MONTH(B2688))</f>
        <v/>
      </c>
      <c r="M2688" s="18">
        <f>IF(OR(B2688="",I2688=""),"",I2688-B2688)</f>
        <v/>
      </c>
      <c r="N2688" s="21">
        <f>IF(B2688="","",IF(I2688="",IF(H2688="","",IF(TODAY()&gt;H2688,"Atrasado (em aberto)","Em aberto")),IF(I2688&lt;=H2688,"No prazo","Fora do prazo")))</f>
        <v/>
      </c>
    </row>
    <row r="2689">
      <c r="B2689" s="22" t="n"/>
      <c r="E2689" s="23" t="n"/>
      <c r="F2689" s="24" t="n"/>
      <c r="H2689" s="22" t="n"/>
      <c r="I2689" s="22" t="n"/>
      <c r="J2689" s="21">
        <f>IF(C2689="","",IFERROR(INDEX(Clientes!$B:$B,MATCH(C2689,Clientes!$A:$A,0)),"Cód. não cadastrado"))</f>
        <v/>
      </c>
      <c r="K2689" s="18">
        <f>IF(B2689="","",YEAR(B2689))</f>
        <v/>
      </c>
      <c r="L2689" s="18">
        <f>IF(B2689="","",MONTH(B2689))</f>
        <v/>
      </c>
      <c r="M2689" s="18">
        <f>IF(OR(B2689="",I2689=""),"",I2689-B2689)</f>
        <v/>
      </c>
      <c r="N2689" s="21">
        <f>IF(B2689="","",IF(I2689="",IF(H2689="","",IF(TODAY()&gt;H2689,"Atrasado (em aberto)","Em aberto")),IF(I2689&lt;=H2689,"No prazo","Fora do prazo")))</f>
        <v/>
      </c>
    </row>
    <row r="2690">
      <c r="B2690" s="22" t="n"/>
      <c r="E2690" s="23" t="n"/>
      <c r="F2690" s="24" t="n"/>
      <c r="H2690" s="22" t="n"/>
      <c r="I2690" s="22" t="n"/>
      <c r="J2690" s="21">
        <f>IF(C2690="","",IFERROR(INDEX(Clientes!$B:$B,MATCH(C2690,Clientes!$A:$A,0)),"Cód. não cadastrado"))</f>
        <v/>
      </c>
      <c r="K2690" s="18">
        <f>IF(B2690="","",YEAR(B2690))</f>
        <v/>
      </c>
      <c r="L2690" s="18">
        <f>IF(B2690="","",MONTH(B2690))</f>
        <v/>
      </c>
      <c r="M2690" s="18">
        <f>IF(OR(B2690="",I2690=""),"",I2690-B2690)</f>
        <v/>
      </c>
      <c r="N2690" s="21">
        <f>IF(B2690="","",IF(I2690="",IF(H2690="","",IF(TODAY()&gt;H2690,"Atrasado (em aberto)","Em aberto")),IF(I2690&lt;=H2690,"No prazo","Fora do prazo")))</f>
        <v/>
      </c>
    </row>
    <row r="2691">
      <c r="B2691" s="22" t="n"/>
      <c r="E2691" s="23" t="n"/>
      <c r="F2691" s="24" t="n"/>
      <c r="H2691" s="22" t="n"/>
      <c r="I2691" s="22" t="n"/>
      <c r="J2691" s="21">
        <f>IF(C2691="","",IFERROR(INDEX(Clientes!$B:$B,MATCH(C2691,Clientes!$A:$A,0)),"Cód. não cadastrado"))</f>
        <v/>
      </c>
      <c r="K2691" s="18">
        <f>IF(B2691="","",YEAR(B2691))</f>
        <v/>
      </c>
      <c r="L2691" s="18">
        <f>IF(B2691="","",MONTH(B2691))</f>
        <v/>
      </c>
      <c r="M2691" s="18">
        <f>IF(OR(B2691="",I2691=""),"",I2691-B2691)</f>
        <v/>
      </c>
      <c r="N2691" s="21">
        <f>IF(B2691="","",IF(I2691="",IF(H2691="","",IF(TODAY()&gt;H2691,"Atrasado (em aberto)","Em aberto")),IF(I2691&lt;=H2691,"No prazo","Fora do prazo")))</f>
        <v/>
      </c>
    </row>
    <row r="2692">
      <c r="B2692" s="22" t="n"/>
      <c r="E2692" s="23" t="n"/>
      <c r="F2692" s="24" t="n"/>
      <c r="H2692" s="22" t="n"/>
      <c r="I2692" s="22" t="n"/>
      <c r="J2692" s="21">
        <f>IF(C2692="","",IFERROR(INDEX(Clientes!$B:$B,MATCH(C2692,Clientes!$A:$A,0)),"Cód. não cadastrado"))</f>
        <v/>
      </c>
      <c r="K2692" s="18">
        <f>IF(B2692="","",YEAR(B2692))</f>
        <v/>
      </c>
      <c r="L2692" s="18">
        <f>IF(B2692="","",MONTH(B2692))</f>
        <v/>
      </c>
      <c r="M2692" s="18">
        <f>IF(OR(B2692="",I2692=""),"",I2692-B2692)</f>
        <v/>
      </c>
      <c r="N2692" s="21">
        <f>IF(B2692="","",IF(I2692="",IF(H2692="","",IF(TODAY()&gt;H2692,"Atrasado (em aberto)","Em aberto")),IF(I2692&lt;=H2692,"No prazo","Fora do prazo")))</f>
        <v/>
      </c>
    </row>
    <row r="2693">
      <c r="B2693" s="22" t="n"/>
      <c r="E2693" s="23" t="n"/>
      <c r="F2693" s="24" t="n"/>
      <c r="H2693" s="22" t="n"/>
      <c r="I2693" s="22" t="n"/>
      <c r="J2693" s="21">
        <f>IF(C2693="","",IFERROR(INDEX(Clientes!$B:$B,MATCH(C2693,Clientes!$A:$A,0)),"Cód. não cadastrado"))</f>
        <v/>
      </c>
      <c r="K2693" s="18">
        <f>IF(B2693="","",YEAR(B2693))</f>
        <v/>
      </c>
      <c r="L2693" s="18">
        <f>IF(B2693="","",MONTH(B2693))</f>
        <v/>
      </c>
      <c r="M2693" s="18">
        <f>IF(OR(B2693="",I2693=""),"",I2693-B2693)</f>
        <v/>
      </c>
      <c r="N2693" s="21">
        <f>IF(B2693="","",IF(I2693="",IF(H2693="","",IF(TODAY()&gt;H2693,"Atrasado (em aberto)","Em aberto")),IF(I2693&lt;=H2693,"No prazo","Fora do prazo")))</f>
        <v/>
      </c>
    </row>
    <row r="2694">
      <c r="B2694" s="22" t="n"/>
      <c r="E2694" s="23" t="n"/>
      <c r="F2694" s="24" t="n"/>
      <c r="H2694" s="22" t="n"/>
      <c r="I2694" s="22" t="n"/>
      <c r="J2694" s="21">
        <f>IF(C2694="","",IFERROR(INDEX(Clientes!$B:$B,MATCH(C2694,Clientes!$A:$A,0)),"Cód. não cadastrado"))</f>
        <v/>
      </c>
      <c r="K2694" s="18">
        <f>IF(B2694="","",YEAR(B2694))</f>
        <v/>
      </c>
      <c r="L2694" s="18">
        <f>IF(B2694="","",MONTH(B2694))</f>
        <v/>
      </c>
      <c r="M2694" s="18">
        <f>IF(OR(B2694="",I2694=""),"",I2694-B2694)</f>
        <v/>
      </c>
      <c r="N2694" s="21">
        <f>IF(B2694="","",IF(I2694="",IF(H2694="","",IF(TODAY()&gt;H2694,"Atrasado (em aberto)","Em aberto")),IF(I2694&lt;=H2694,"No prazo","Fora do prazo")))</f>
        <v/>
      </c>
    </row>
    <row r="2695">
      <c r="B2695" s="22" t="n"/>
      <c r="E2695" s="23" t="n"/>
      <c r="F2695" s="24" t="n"/>
      <c r="H2695" s="22" t="n"/>
      <c r="I2695" s="22" t="n"/>
      <c r="J2695" s="21">
        <f>IF(C2695="","",IFERROR(INDEX(Clientes!$B:$B,MATCH(C2695,Clientes!$A:$A,0)),"Cód. não cadastrado"))</f>
        <v/>
      </c>
      <c r="K2695" s="18">
        <f>IF(B2695="","",YEAR(B2695))</f>
        <v/>
      </c>
      <c r="L2695" s="18">
        <f>IF(B2695="","",MONTH(B2695))</f>
        <v/>
      </c>
      <c r="M2695" s="18">
        <f>IF(OR(B2695="",I2695=""),"",I2695-B2695)</f>
        <v/>
      </c>
      <c r="N2695" s="21">
        <f>IF(B2695="","",IF(I2695="",IF(H2695="","",IF(TODAY()&gt;H2695,"Atrasado (em aberto)","Em aberto")),IF(I2695&lt;=H2695,"No prazo","Fora do prazo")))</f>
        <v/>
      </c>
    </row>
    <row r="2696">
      <c r="B2696" s="22" t="n"/>
      <c r="E2696" s="23" t="n"/>
      <c r="F2696" s="24" t="n"/>
      <c r="H2696" s="22" t="n"/>
      <c r="I2696" s="22" t="n"/>
      <c r="J2696" s="21">
        <f>IF(C2696="","",IFERROR(INDEX(Clientes!$B:$B,MATCH(C2696,Clientes!$A:$A,0)),"Cód. não cadastrado"))</f>
        <v/>
      </c>
      <c r="K2696" s="18">
        <f>IF(B2696="","",YEAR(B2696))</f>
        <v/>
      </c>
      <c r="L2696" s="18">
        <f>IF(B2696="","",MONTH(B2696))</f>
        <v/>
      </c>
      <c r="M2696" s="18">
        <f>IF(OR(B2696="",I2696=""),"",I2696-B2696)</f>
        <v/>
      </c>
      <c r="N2696" s="21">
        <f>IF(B2696="","",IF(I2696="",IF(H2696="","",IF(TODAY()&gt;H2696,"Atrasado (em aberto)","Em aberto")),IF(I2696&lt;=H2696,"No prazo","Fora do prazo")))</f>
        <v/>
      </c>
    </row>
    <row r="2697">
      <c r="B2697" s="22" t="n"/>
      <c r="E2697" s="23" t="n"/>
      <c r="F2697" s="24" t="n"/>
      <c r="H2697" s="22" t="n"/>
      <c r="I2697" s="22" t="n"/>
      <c r="J2697" s="21">
        <f>IF(C2697="","",IFERROR(INDEX(Clientes!$B:$B,MATCH(C2697,Clientes!$A:$A,0)),"Cód. não cadastrado"))</f>
        <v/>
      </c>
      <c r="K2697" s="18">
        <f>IF(B2697="","",YEAR(B2697))</f>
        <v/>
      </c>
      <c r="L2697" s="18">
        <f>IF(B2697="","",MONTH(B2697))</f>
        <v/>
      </c>
      <c r="M2697" s="18">
        <f>IF(OR(B2697="",I2697=""),"",I2697-B2697)</f>
        <v/>
      </c>
      <c r="N2697" s="21">
        <f>IF(B2697="","",IF(I2697="",IF(H2697="","",IF(TODAY()&gt;H2697,"Atrasado (em aberto)","Em aberto")),IF(I2697&lt;=H2697,"No prazo","Fora do prazo")))</f>
        <v/>
      </c>
    </row>
    <row r="2698">
      <c r="B2698" s="22" t="n"/>
      <c r="E2698" s="23" t="n"/>
      <c r="F2698" s="24" t="n"/>
      <c r="H2698" s="22" t="n"/>
      <c r="I2698" s="22" t="n"/>
      <c r="J2698" s="21">
        <f>IF(C2698="","",IFERROR(INDEX(Clientes!$B:$B,MATCH(C2698,Clientes!$A:$A,0)),"Cód. não cadastrado"))</f>
        <v/>
      </c>
      <c r="K2698" s="18">
        <f>IF(B2698="","",YEAR(B2698))</f>
        <v/>
      </c>
      <c r="L2698" s="18">
        <f>IF(B2698="","",MONTH(B2698))</f>
        <v/>
      </c>
      <c r="M2698" s="18">
        <f>IF(OR(B2698="",I2698=""),"",I2698-B2698)</f>
        <v/>
      </c>
      <c r="N2698" s="21">
        <f>IF(B2698="","",IF(I2698="",IF(H2698="","",IF(TODAY()&gt;H2698,"Atrasado (em aberto)","Em aberto")),IF(I2698&lt;=H2698,"No prazo","Fora do prazo")))</f>
        <v/>
      </c>
    </row>
    <row r="2699">
      <c r="B2699" s="22" t="n"/>
      <c r="E2699" s="23" t="n"/>
      <c r="F2699" s="24" t="n"/>
      <c r="H2699" s="22" t="n"/>
      <c r="I2699" s="22" t="n"/>
      <c r="J2699" s="21">
        <f>IF(C2699="","",IFERROR(INDEX(Clientes!$B:$B,MATCH(C2699,Clientes!$A:$A,0)),"Cód. não cadastrado"))</f>
        <v/>
      </c>
      <c r="K2699" s="18">
        <f>IF(B2699="","",YEAR(B2699))</f>
        <v/>
      </c>
      <c r="L2699" s="18">
        <f>IF(B2699="","",MONTH(B2699))</f>
        <v/>
      </c>
      <c r="M2699" s="18">
        <f>IF(OR(B2699="",I2699=""),"",I2699-B2699)</f>
        <v/>
      </c>
      <c r="N2699" s="21">
        <f>IF(B2699="","",IF(I2699="",IF(H2699="","",IF(TODAY()&gt;H2699,"Atrasado (em aberto)","Em aberto")),IF(I2699&lt;=H2699,"No prazo","Fora do prazo")))</f>
        <v/>
      </c>
    </row>
    <row r="2700">
      <c r="B2700" s="22" t="n"/>
      <c r="E2700" s="23" t="n"/>
      <c r="F2700" s="24" t="n"/>
      <c r="H2700" s="22" t="n"/>
      <c r="I2700" s="22" t="n"/>
      <c r="J2700" s="21">
        <f>IF(C2700="","",IFERROR(INDEX(Clientes!$B:$B,MATCH(C2700,Clientes!$A:$A,0)),"Cód. não cadastrado"))</f>
        <v/>
      </c>
      <c r="K2700" s="18">
        <f>IF(B2700="","",YEAR(B2700))</f>
        <v/>
      </c>
      <c r="L2700" s="18">
        <f>IF(B2700="","",MONTH(B2700))</f>
        <v/>
      </c>
      <c r="M2700" s="18">
        <f>IF(OR(B2700="",I2700=""),"",I2700-B2700)</f>
        <v/>
      </c>
      <c r="N2700" s="21">
        <f>IF(B2700="","",IF(I2700="",IF(H2700="","",IF(TODAY()&gt;H2700,"Atrasado (em aberto)","Em aberto")),IF(I2700&lt;=H2700,"No prazo","Fora do prazo")))</f>
        <v/>
      </c>
    </row>
    <row r="2701">
      <c r="B2701" s="22" t="n"/>
      <c r="E2701" s="23" t="n"/>
      <c r="F2701" s="24" t="n"/>
      <c r="H2701" s="22" t="n"/>
      <c r="I2701" s="22" t="n"/>
      <c r="J2701" s="21">
        <f>IF(C2701="","",IFERROR(INDEX(Clientes!$B:$B,MATCH(C2701,Clientes!$A:$A,0)),"Cód. não cadastrado"))</f>
        <v/>
      </c>
      <c r="K2701" s="18">
        <f>IF(B2701="","",YEAR(B2701))</f>
        <v/>
      </c>
      <c r="L2701" s="18">
        <f>IF(B2701="","",MONTH(B2701))</f>
        <v/>
      </c>
      <c r="M2701" s="18">
        <f>IF(OR(B2701="",I2701=""),"",I2701-B2701)</f>
        <v/>
      </c>
      <c r="N2701" s="21">
        <f>IF(B2701="","",IF(I2701="",IF(H2701="","",IF(TODAY()&gt;H2701,"Atrasado (em aberto)","Em aberto")),IF(I2701&lt;=H2701,"No prazo","Fora do prazo")))</f>
        <v/>
      </c>
    </row>
    <row r="2702">
      <c r="B2702" s="22" t="n"/>
      <c r="E2702" s="23" t="n"/>
      <c r="F2702" s="24" t="n"/>
      <c r="H2702" s="22" t="n"/>
      <c r="I2702" s="22" t="n"/>
      <c r="J2702" s="21">
        <f>IF(C2702="","",IFERROR(INDEX(Clientes!$B:$B,MATCH(C2702,Clientes!$A:$A,0)),"Cód. não cadastrado"))</f>
        <v/>
      </c>
      <c r="K2702" s="18">
        <f>IF(B2702="","",YEAR(B2702))</f>
        <v/>
      </c>
      <c r="L2702" s="18">
        <f>IF(B2702="","",MONTH(B2702))</f>
        <v/>
      </c>
      <c r="M2702" s="18">
        <f>IF(OR(B2702="",I2702=""),"",I2702-B2702)</f>
        <v/>
      </c>
      <c r="N2702" s="21">
        <f>IF(B2702="","",IF(I2702="",IF(H2702="","",IF(TODAY()&gt;H2702,"Atrasado (em aberto)","Em aberto")),IF(I2702&lt;=H2702,"No prazo","Fora do prazo")))</f>
        <v/>
      </c>
    </row>
    <row r="2703">
      <c r="B2703" s="22" t="n"/>
      <c r="E2703" s="23" t="n"/>
      <c r="F2703" s="24" t="n"/>
      <c r="H2703" s="22" t="n"/>
      <c r="I2703" s="22" t="n"/>
      <c r="J2703" s="21">
        <f>IF(C2703="","",IFERROR(INDEX(Clientes!$B:$B,MATCH(C2703,Clientes!$A:$A,0)),"Cód. não cadastrado"))</f>
        <v/>
      </c>
      <c r="K2703" s="18">
        <f>IF(B2703="","",YEAR(B2703))</f>
        <v/>
      </c>
      <c r="L2703" s="18">
        <f>IF(B2703="","",MONTH(B2703))</f>
        <v/>
      </c>
      <c r="M2703" s="18">
        <f>IF(OR(B2703="",I2703=""),"",I2703-B2703)</f>
        <v/>
      </c>
      <c r="N2703" s="21">
        <f>IF(B2703="","",IF(I2703="",IF(H2703="","",IF(TODAY()&gt;H2703,"Atrasado (em aberto)","Em aberto")),IF(I2703&lt;=H2703,"No prazo","Fora do prazo")))</f>
        <v/>
      </c>
    </row>
    <row r="2704">
      <c r="B2704" s="22" t="n"/>
      <c r="E2704" s="23" t="n"/>
      <c r="F2704" s="24" t="n"/>
      <c r="H2704" s="22" t="n"/>
      <c r="I2704" s="22" t="n"/>
      <c r="J2704" s="21">
        <f>IF(C2704="","",IFERROR(INDEX(Clientes!$B:$B,MATCH(C2704,Clientes!$A:$A,0)),"Cód. não cadastrado"))</f>
        <v/>
      </c>
      <c r="K2704" s="18">
        <f>IF(B2704="","",YEAR(B2704))</f>
        <v/>
      </c>
      <c r="L2704" s="18">
        <f>IF(B2704="","",MONTH(B2704))</f>
        <v/>
      </c>
      <c r="M2704" s="18">
        <f>IF(OR(B2704="",I2704=""),"",I2704-B2704)</f>
        <v/>
      </c>
      <c r="N2704" s="21">
        <f>IF(B2704="","",IF(I2704="",IF(H2704="","",IF(TODAY()&gt;H2704,"Atrasado (em aberto)","Em aberto")),IF(I2704&lt;=H2704,"No prazo","Fora do prazo")))</f>
        <v/>
      </c>
    </row>
    <row r="2705">
      <c r="B2705" s="22" t="n"/>
      <c r="E2705" s="23" t="n"/>
      <c r="F2705" s="24" t="n"/>
      <c r="H2705" s="22" t="n"/>
      <c r="I2705" s="22" t="n"/>
      <c r="J2705" s="21">
        <f>IF(C2705="","",IFERROR(INDEX(Clientes!$B:$B,MATCH(C2705,Clientes!$A:$A,0)),"Cód. não cadastrado"))</f>
        <v/>
      </c>
      <c r="K2705" s="18">
        <f>IF(B2705="","",YEAR(B2705))</f>
        <v/>
      </c>
      <c r="L2705" s="18">
        <f>IF(B2705="","",MONTH(B2705))</f>
        <v/>
      </c>
      <c r="M2705" s="18">
        <f>IF(OR(B2705="",I2705=""),"",I2705-B2705)</f>
        <v/>
      </c>
      <c r="N2705" s="21">
        <f>IF(B2705="","",IF(I2705="",IF(H2705="","",IF(TODAY()&gt;H2705,"Atrasado (em aberto)","Em aberto")),IF(I2705&lt;=H2705,"No prazo","Fora do prazo")))</f>
        <v/>
      </c>
    </row>
    <row r="2706">
      <c r="B2706" s="22" t="n"/>
      <c r="E2706" s="23" t="n"/>
      <c r="F2706" s="24" t="n"/>
      <c r="H2706" s="22" t="n"/>
      <c r="I2706" s="22" t="n"/>
      <c r="J2706" s="21">
        <f>IF(C2706="","",IFERROR(INDEX(Clientes!$B:$B,MATCH(C2706,Clientes!$A:$A,0)),"Cód. não cadastrado"))</f>
        <v/>
      </c>
      <c r="K2706" s="18">
        <f>IF(B2706="","",YEAR(B2706))</f>
        <v/>
      </c>
      <c r="L2706" s="18">
        <f>IF(B2706="","",MONTH(B2706))</f>
        <v/>
      </c>
      <c r="M2706" s="18">
        <f>IF(OR(B2706="",I2706=""),"",I2706-B2706)</f>
        <v/>
      </c>
      <c r="N2706" s="21">
        <f>IF(B2706="","",IF(I2706="",IF(H2706="","",IF(TODAY()&gt;H2706,"Atrasado (em aberto)","Em aberto")),IF(I2706&lt;=H2706,"No prazo","Fora do prazo")))</f>
        <v/>
      </c>
    </row>
    <row r="2707">
      <c r="B2707" s="22" t="n"/>
      <c r="E2707" s="23" t="n"/>
      <c r="F2707" s="24" t="n"/>
      <c r="H2707" s="22" t="n"/>
      <c r="I2707" s="22" t="n"/>
      <c r="J2707" s="21">
        <f>IF(C2707="","",IFERROR(INDEX(Clientes!$B:$B,MATCH(C2707,Clientes!$A:$A,0)),"Cód. não cadastrado"))</f>
        <v/>
      </c>
      <c r="K2707" s="18">
        <f>IF(B2707="","",YEAR(B2707))</f>
        <v/>
      </c>
      <c r="L2707" s="18">
        <f>IF(B2707="","",MONTH(B2707))</f>
        <v/>
      </c>
      <c r="M2707" s="18">
        <f>IF(OR(B2707="",I2707=""),"",I2707-B2707)</f>
        <v/>
      </c>
      <c r="N2707" s="21">
        <f>IF(B2707="","",IF(I2707="",IF(H2707="","",IF(TODAY()&gt;H2707,"Atrasado (em aberto)","Em aberto")),IF(I2707&lt;=H2707,"No prazo","Fora do prazo")))</f>
        <v/>
      </c>
    </row>
    <row r="2708">
      <c r="B2708" s="22" t="n"/>
      <c r="E2708" s="23" t="n"/>
      <c r="F2708" s="24" t="n"/>
      <c r="H2708" s="22" t="n"/>
      <c r="I2708" s="22" t="n"/>
      <c r="J2708" s="21">
        <f>IF(C2708="","",IFERROR(INDEX(Clientes!$B:$B,MATCH(C2708,Clientes!$A:$A,0)),"Cód. não cadastrado"))</f>
        <v/>
      </c>
      <c r="K2708" s="18">
        <f>IF(B2708="","",YEAR(B2708))</f>
        <v/>
      </c>
      <c r="L2708" s="18">
        <f>IF(B2708="","",MONTH(B2708))</f>
        <v/>
      </c>
      <c r="M2708" s="18">
        <f>IF(OR(B2708="",I2708=""),"",I2708-B2708)</f>
        <v/>
      </c>
      <c r="N2708" s="21">
        <f>IF(B2708="","",IF(I2708="",IF(H2708="","",IF(TODAY()&gt;H2708,"Atrasado (em aberto)","Em aberto")),IF(I2708&lt;=H2708,"No prazo","Fora do prazo")))</f>
        <v/>
      </c>
    </row>
    <row r="2709">
      <c r="B2709" s="22" t="n"/>
      <c r="E2709" s="23" t="n"/>
      <c r="F2709" s="24" t="n"/>
      <c r="H2709" s="22" t="n"/>
      <c r="I2709" s="22" t="n"/>
      <c r="J2709" s="21">
        <f>IF(C2709="","",IFERROR(INDEX(Clientes!$B:$B,MATCH(C2709,Clientes!$A:$A,0)),"Cód. não cadastrado"))</f>
        <v/>
      </c>
      <c r="K2709" s="18">
        <f>IF(B2709="","",YEAR(B2709))</f>
        <v/>
      </c>
      <c r="L2709" s="18">
        <f>IF(B2709="","",MONTH(B2709))</f>
        <v/>
      </c>
      <c r="M2709" s="18">
        <f>IF(OR(B2709="",I2709=""),"",I2709-B2709)</f>
        <v/>
      </c>
      <c r="N2709" s="21">
        <f>IF(B2709="","",IF(I2709="",IF(H2709="","",IF(TODAY()&gt;H2709,"Atrasado (em aberto)","Em aberto")),IF(I2709&lt;=H2709,"No prazo","Fora do prazo")))</f>
        <v/>
      </c>
    </row>
    <row r="2710">
      <c r="B2710" s="22" t="n"/>
      <c r="E2710" s="23" t="n"/>
      <c r="F2710" s="24" t="n"/>
      <c r="H2710" s="22" t="n"/>
      <c r="I2710" s="22" t="n"/>
      <c r="J2710" s="21">
        <f>IF(C2710="","",IFERROR(INDEX(Clientes!$B:$B,MATCH(C2710,Clientes!$A:$A,0)),"Cód. não cadastrado"))</f>
        <v/>
      </c>
      <c r="K2710" s="18">
        <f>IF(B2710="","",YEAR(B2710))</f>
        <v/>
      </c>
      <c r="L2710" s="18">
        <f>IF(B2710="","",MONTH(B2710))</f>
        <v/>
      </c>
      <c r="M2710" s="18">
        <f>IF(OR(B2710="",I2710=""),"",I2710-B2710)</f>
        <v/>
      </c>
      <c r="N2710" s="21">
        <f>IF(B2710="","",IF(I2710="",IF(H2710="","",IF(TODAY()&gt;H2710,"Atrasado (em aberto)","Em aberto")),IF(I2710&lt;=H2710,"No prazo","Fora do prazo")))</f>
        <v/>
      </c>
    </row>
    <row r="2711">
      <c r="B2711" s="22" t="n"/>
      <c r="E2711" s="23" t="n"/>
      <c r="F2711" s="24" t="n"/>
      <c r="H2711" s="22" t="n"/>
      <c r="I2711" s="22" t="n"/>
      <c r="J2711" s="21">
        <f>IF(C2711="","",IFERROR(INDEX(Clientes!$B:$B,MATCH(C2711,Clientes!$A:$A,0)),"Cód. não cadastrado"))</f>
        <v/>
      </c>
      <c r="K2711" s="18">
        <f>IF(B2711="","",YEAR(B2711))</f>
        <v/>
      </c>
      <c r="L2711" s="18">
        <f>IF(B2711="","",MONTH(B2711))</f>
        <v/>
      </c>
      <c r="M2711" s="18">
        <f>IF(OR(B2711="",I2711=""),"",I2711-B2711)</f>
        <v/>
      </c>
      <c r="N2711" s="21">
        <f>IF(B2711="","",IF(I2711="",IF(H2711="","",IF(TODAY()&gt;H2711,"Atrasado (em aberto)","Em aberto")),IF(I2711&lt;=H2711,"No prazo","Fora do prazo")))</f>
        <v/>
      </c>
    </row>
    <row r="2712">
      <c r="B2712" s="22" t="n"/>
      <c r="E2712" s="23" t="n"/>
      <c r="F2712" s="24" t="n"/>
      <c r="H2712" s="22" t="n"/>
      <c r="I2712" s="22" t="n"/>
      <c r="J2712" s="21">
        <f>IF(C2712="","",IFERROR(INDEX(Clientes!$B:$B,MATCH(C2712,Clientes!$A:$A,0)),"Cód. não cadastrado"))</f>
        <v/>
      </c>
      <c r="K2712" s="18">
        <f>IF(B2712="","",YEAR(B2712))</f>
        <v/>
      </c>
      <c r="L2712" s="18">
        <f>IF(B2712="","",MONTH(B2712))</f>
        <v/>
      </c>
      <c r="M2712" s="18">
        <f>IF(OR(B2712="",I2712=""),"",I2712-B2712)</f>
        <v/>
      </c>
      <c r="N2712" s="21">
        <f>IF(B2712="","",IF(I2712="",IF(H2712="","",IF(TODAY()&gt;H2712,"Atrasado (em aberto)","Em aberto")),IF(I2712&lt;=H2712,"No prazo","Fora do prazo")))</f>
        <v/>
      </c>
    </row>
    <row r="2713">
      <c r="B2713" s="22" t="n"/>
      <c r="E2713" s="23" t="n"/>
      <c r="F2713" s="24" t="n"/>
      <c r="H2713" s="22" t="n"/>
      <c r="I2713" s="22" t="n"/>
      <c r="J2713" s="21">
        <f>IF(C2713="","",IFERROR(INDEX(Clientes!$B:$B,MATCH(C2713,Clientes!$A:$A,0)),"Cód. não cadastrado"))</f>
        <v/>
      </c>
      <c r="K2713" s="18">
        <f>IF(B2713="","",YEAR(B2713))</f>
        <v/>
      </c>
      <c r="L2713" s="18">
        <f>IF(B2713="","",MONTH(B2713))</f>
        <v/>
      </c>
      <c r="M2713" s="18">
        <f>IF(OR(B2713="",I2713=""),"",I2713-B2713)</f>
        <v/>
      </c>
      <c r="N2713" s="21">
        <f>IF(B2713="","",IF(I2713="",IF(H2713="","",IF(TODAY()&gt;H2713,"Atrasado (em aberto)","Em aberto")),IF(I2713&lt;=H2713,"No prazo","Fora do prazo")))</f>
        <v/>
      </c>
    </row>
    <row r="2714">
      <c r="B2714" s="22" t="n"/>
      <c r="E2714" s="23" t="n"/>
      <c r="F2714" s="24" t="n"/>
      <c r="H2714" s="22" t="n"/>
      <c r="I2714" s="22" t="n"/>
      <c r="J2714" s="21">
        <f>IF(C2714="","",IFERROR(INDEX(Clientes!$B:$B,MATCH(C2714,Clientes!$A:$A,0)),"Cód. não cadastrado"))</f>
        <v/>
      </c>
      <c r="K2714" s="18">
        <f>IF(B2714="","",YEAR(B2714))</f>
        <v/>
      </c>
      <c r="L2714" s="18">
        <f>IF(B2714="","",MONTH(B2714))</f>
        <v/>
      </c>
      <c r="M2714" s="18">
        <f>IF(OR(B2714="",I2714=""),"",I2714-B2714)</f>
        <v/>
      </c>
      <c r="N2714" s="21">
        <f>IF(B2714="","",IF(I2714="",IF(H2714="","",IF(TODAY()&gt;H2714,"Atrasado (em aberto)","Em aberto")),IF(I2714&lt;=H2714,"No prazo","Fora do prazo")))</f>
        <v/>
      </c>
    </row>
    <row r="2715">
      <c r="B2715" s="22" t="n"/>
      <c r="E2715" s="23" t="n"/>
      <c r="F2715" s="24" t="n"/>
      <c r="H2715" s="22" t="n"/>
      <c r="I2715" s="22" t="n"/>
      <c r="J2715" s="21">
        <f>IF(C2715="","",IFERROR(INDEX(Clientes!$B:$B,MATCH(C2715,Clientes!$A:$A,0)),"Cód. não cadastrado"))</f>
        <v/>
      </c>
      <c r="K2715" s="18">
        <f>IF(B2715="","",YEAR(B2715))</f>
        <v/>
      </c>
      <c r="L2715" s="18">
        <f>IF(B2715="","",MONTH(B2715))</f>
        <v/>
      </c>
      <c r="M2715" s="18">
        <f>IF(OR(B2715="",I2715=""),"",I2715-B2715)</f>
        <v/>
      </c>
      <c r="N2715" s="21">
        <f>IF(B2715="","",IF(I2715="",IF(H2715="","",IF(TODAY()&gt;H2715,"Atrasado (em aberto)","Em aberto")),IF(I2715&lt;=H2715,"No prazo","Fora do prazo")))</f>
        <v/>
      </c>
    </row>
    <row r="2716">
      <c r="B2716" s="22" t="n"/>
      <c r="E2716" s="23" t="n"/>
      <c r="F2716" s="24" t="n"/>
      <c r="H2716" s="22" t="n"/>
      <c r="I2716" s="22" t="n"/>
      <c r="J2716" s="21">
        <f>IF(C2716="","",IFERROR(INDEX(Clientes!$B:$B,MATCH(C2716,Clientes!$A:$A,0)),"Cód. não cadastrado"))</f>
        <v/>
      </c>
      <c r="K2716" s="18">
        <f>IF(B2716="","",YEAR(B2716))</f>
        <v/>
      </c>
      <c r="L2716" s="18">
        <f>IF(B2716="","",MONTH(B2716))</f>
        <v/>
      </c>
      <c r="M2716" s="18">
        <f>IF(OR(B2716="",I2716=""),"",I2716-B2716)</f>
        <v/>
      </c>
      <c r="N2716" s="21">
        <f>IF(B2716="","",IF(I2716="",IF(H2716="","",IF(TODAY()&gt;H2716,"Atrasado (em aberto)","Em aberto")),IF(I2716&lt;=H2716,"No prazo","Fora do prazo")))</f>
        <v/>
      </c>
    </row>
    <row r="2717">
      <c r="B2717" s="22" t="n"/>
      <c r="E2717" s="23" t="n"/>
      <c r="F2717" s="24" t="n"/>
      <c r="H2717" s="22" t="n"/>
      <c r="I2717" s="22" t="n"/>
      <c r="J2717" s="21">
        <f>IF(C2717="","",IFERROR(INDEX(Clientes!$B:$B,MATCH(C2717,Clientes!$A:$A,0)),"Cód. não cadastrado"))</f>
        <v/>
      </c>
      <c r="K2717" s="18">
        <f>IF(B2717="","",YEAR(B2717))</f>
        <v/>
      </c>
      <c r="L2717" s="18">
        <f>IF(B2717="","",MONTH(B2717))</f>
        <v/>
      </c>
      <c r="M2717" s="18">
        <f>IF(OR(B2717="",I2717=""),"",I2717-B2717)</f>
        <v/>
      </c>
      <c r="N2717" s="21">
        <f>IF(B2717="","",IF(I2717="",IF(H2717="","",IF(TODAY()&gt;H2717,"Atrasado (em aberto)","Em aberto")),IF(I2717&lt;=H2717,"No prazo","Fora do prazo")))</f>
        <v/>
      </c>
    </row>
    <row r="2718">
      <c r="B2718" s="22" t="n"/>
      <c r="E2718" s="23" t="n"/>
      <c r="F2718" s="24" t="n"/>
      <c r="H2718" s="22" t="n"/>
      <c r="I2718" s="22" t="n"/>
      <c r="J2718" s="21">
        <f>IF(C2718="","",IFERROR(INDEX(Clientes!$B:$B,MATCH(C2718,Clientes!$A:$A,0)),"Cód. não cadastrado"))</f>
        <v/>
      </c>
      <c r="K2718" s="18">
        <f>IF(B2718="","",YEAR(B2718))</f>
        <v/>
      </c>
      <c r="L2718" s="18">
        <f>IF(B2718="","",MONTH(B2718))</f>
        <v/>
      </c>
      <c r="M2718" s="18">
        <f>IF(OR(B2718="",I2718=""),"",I2718-B2718)</f>
        <v/>
      </c>
      <c r="N2718" s="21">
        <f>IF(B2718="","",IF(I2718="",IF(H2718="","",IF(TODAY()&gt;H2718,"Atrasado (em aberto)","Em aberto")),IF(I2718&lt;=H2718,"No prazo","Fora do prazo")))</f>
        <v/>
      </c>
    </row>
    <row r="2719">
      <c r="B2719" s="22" t="n"/>
      <c r="E2719" s="23" t="n"/>
      <c r="F2719" s="24" t="n"/>
      <c r="H2719" s="22" t="n"/>
      <c r="I2719" s="22" t="n"/>
      <c r="J2719" s="21">
        <f>IF(C2719="","",IFERROR(INDEX(Clientes!$B:$B,MATCH(C2719,Clientes!$A:$A,0)),"Cód. não cadastrado"))</f>
        <v/>
      </c>
      <c r="K2719" s="18">
        <f>IF(B2719="","",YEAR(B2719))</f>
        <v/>
      </c>
      <c r="L2719" s="18">
        <f>IF(B2719="","",MONTH(B2719))</f>
        <v/>
      </c>
      <c r="M2719" s="18">
        <f>IF(OR(B2719="",I2719=""),"",I2719-B2719)</f>
        <v/>
      </c>
      <c r="N2719" s="21">
        <f>IF(B2719="","",IF(I2719="",IF(H2719="","",IF(TODAY()&gt;H2719,"Atrasado (em aberto)","Em aberto")),IF(I2719&lt;=H2719,"No prazo","Fora do prazo")))</f>
        <v/>
      </c>
    </row>
    <row r="2720">
      <c r="B2720" s="22" t="n"/>
      <c r="E2720" s="23" t="n"/>
      <c r="F2720" s="24" t="n"/>
      <c r="H2720" s="22" t="n"/>
      <c r="I2720" s="22" t="n"/>
      <c r="J2720" s="21">
        <f>IF(C2720="","",IFERROR(INDEX(Clientes!$B:$B,MATCH(C2720,Clientes!$A:$A,0)),"Cód. não cadastrado"))</f>
        <v/>
      </c>
      <c r="K2720" s="18">
        <f>IF(B2720="","",YEAR(B2720))</f>
        <v/>
      </c>
      <c r="L2720" s="18">
        <f>IF(B2720="","",MONTH(B2720))</f>
        <v/>
      </c>
      <c r="M2720" s="18">
        <f>IF(OR(B2720="",I2720=""),"",I2720-B2720)</f>
        <v/>
      </c>
      <c r="N2720" s="21">
        <f>IF(B2720="","",IF(I2720="",IF(H2720="","",IF(TODAY()&gt;H2720,"Atrasado (em aberto)","Em aberto")),IF(I2720&lt;=H2720,"No prazo","Fora do prazo")))</f>
        <v/>
      </c>
    </row>
    <row r="2721">
      <c r="B2721" s="22" t="n"/>
      <c r="E2721" s="23" t="n"/>
      <c r="F2721" s="24" t="n"/>
      <c r="H2721" s="22" t="n"/>
      <c r="I2721" s="22" t="n"/>
      <c r="J2721" s="21">
        <f>IF(C2721="","",IFERROR(INDEX(Clientes!$B:$B,MATCH(C2721,Clientes!$A:$A,0)),"Cód. não cadastrado"))</f>
        <v/>
      </c>
      <c r="K2721" s="18">
        <f>IF(B2721="","",YEAR(B2721))</f>
        <v/>
      </c>
      <c r="L2721" s="18">
        <f>IF(B2721="","",MONTH(B2721))</f>
        <v/>
      </c>
      <c r="M2721" s="18">
        <f>IF(OR(B2721="",I2721=""),"",I2721-B2721)</f>
        <v/>
      </c>
      <c r="N2721" s="21">
        <f>IF(B2721="","",IF(I2721="",IF(H2721="","",IF(TODAY()&gt;H2721,"Atrasado (em aberto)","Em aberto")),IF(I2721&lt;=H2721,"No prazo","Fora do prazo")))</f>
        <v/>
      </c>
    </row>
    <row r="2722">
      <c r="B2722" s="22" t="n"/>
      <c r="E2722" s="23" t="n"/>
      <c r="F2722" s="24" t="n"/>
      <c r="H2722" s="22" t="n"/>
      <c r="I2722" s="22" t="n"/>
      <c r="J2722" s="21">
        <f>IF(C2722="","",IFERROR(INDEX(Clientes!$B:$B,MATCH(C2722,Clientes!$A:$A,0)),"Cód. não cadastrado"))</f>
        <v/>
      </c>
      <c r="K2722" s="18">
        <f>IF(B2722="","",YEAR(B2722))</f>
        <v/>
      </c>
      <c r="L2722" s="18">
        <f>IF(B2722="","",MONTH(B2722))</f>
        <v/>
      </c>
      <c r="M2722" s="18">
        <f>IF(OR(B2722="",I2722=""),"",I2722-B2722)</f>
        <v/>
      </c>
      <c r="N2722" s="21">
        <f>IF(B2722="","",IF(I2722="",IF(H2722="","",IF(TODAY()&gt;H2722,"Atrasado (em aberto)","Em aberto")),IF(I2722&lt;=H2722,"No prazo","Fora do prazo")))</f>
        <v/>
      </c>
    </row>
    <row r="2723">
      <c r="B2723" s="22" t="n"/>
      <c r="E2723" s="23" t="n"/>
      <c r="F2723" s="24" t="n"/>
      <c r="H2723" s="22" t="n"/>
      <c r="I2723" s="22" t="n"/>
      <c r="J2723" s="21">
        <f>IF(C2723="","",IFERROR(INDEX(Clientes!$B:$B,MATCH(C2723,Clientes!$A:$A,0)),"Cód. não cadastrado"))</f>
        <v/>
      </c>
      <c r="K2723" s="18">
        <f>IF(B2723="","",YEAR(B2723))</f>
        <v/>
      </c>
      <c r="L2723" s="18">
        <f>IF(B2723="","",MONTH(B2723))</f>
        <v/>
      </c>
      <c r="M2723" s="18">
        <f>IF(OR(B2723="",I2723=""),"",I2723-B2723)</f>
        <v/>
      </c>
      <c r="N2723" s="21">
        <f>IF(B2723="","",IF(I2723="",IF(H2723="","",IF(TODAY()&gt;H2723,"Atrasado (em aberto)","Em aberto")),IF(I2723&lt;=H2723,"No prazo","Fora do prazo")))</f>
        <v/>
      </c>
    </row>
    <row r="2724">
      <c r="B2724" s="22" t="n"/>
      <c r="E2724" s="23" t="n"/>
      <c r="F2724" s="24" t="n"/>
      <c r="H2724" s="22" t="n"/>
      <c r="I2724" s="22" t="n"/>
      <c r="J2724" s="21">
        <f>IF(C2724="","",IFERROR(INDEX(Clientes!$B:$B,MATCH(C2724,Clientes!$A:$A,0)),"Cód. não cadastrado"))</f>
        <v/>
      </c>
      <c r="K2724" s="18">
        <f>IF(B2724="","",YEAR(B2724))</f>
        <v/>
      </c>
      <c r="L2724" s="18">
        <f>IF(B2724="","",MONTH(B2724))</f>
        <v/>
      </c>
      <c r="M2724" s="18">
        <f>IF(OR(B2724="",I2724=""),"",I2724-B2724)</f>
        <v/>
      </c>
      <c r="N2724" s="21">
        <f>IF(B2724="","",IF(I2724="",IF(H2724="","",IF(TODAY()&gt;H2724,"Atrasado (em aberto)","Em aberto")),IF(I2724&lt;=H2724,"No prazo","Fora do prazo")))</f>
        <v/>
      </c>
    </row>
    <row r="2725">
      <c r="B2725" s="22" t="n"/>
      <c r="E2725" s="23" t="n"/>
      <c r="F2725" s="24" t="n"/>
      <c r="H2725" s="22" t="n"/>
      <c r="I2725" s="22" t="n"/>
      <c r="J2725" s="21">
        <f>IF(C2725="","",IFERROR(INDEX(Clientes!$B:$B,MATCH(C2725,Clientes!$A:$A,0)),"Cód. não cadastrado"))</f>
        <v/>
      </c>
      <c r="K2725" s="18">
        <f>IF(B2725="","",YEAR(B2725))</f>
        <v/>
      </c>
      <c r="L2725" s="18">
        <f>IF(B2725="","",MONTH(B2725))</f>
        <v/>
      </c>
      <c r="M2725" s="18">
        <f>IF(OR(B2725="",I2725=""),"",I2725-B2725)</f>
        <v/>
      </c>
      <c r="N2725" s="21">
        <f>IF(B2725="","",IF(I2725="",IF(H2725="","",IF(TODAY()&gt;H2725,"Atrasado (em aberto)","Em aberto")),IF(I2725&lt;=H2725,"No prazo","Fora do prazo")))</f>
        <v/>
      </c>
    </row>
    <row r="2726">
      <c r="B2726" s="22" t="n"/>
      <c r="E2726" s="23" t="n"/>
      <c r="F2726" s="24" t="n"/>
      <c r="H2726" s="22" t="n"/>
      <c r="I2726" s="22" t="n"/>
      <c r="J2726" s="21">
        <f>IF(C2726="","",IFERROR(INDEX(Clientes!$B:$B,MATCH(C2726,Clientes!$A:$A,0)),"Cód. não cadastrado"))</f>
        <v/>
      </c>
      <c r="K2726" s="18">
        <f>IF(B2726="","",YEAR(B2726))</f>
        <v/>
      </c>
      <c r="L2726" s="18">
        <f>IF(B2726="","",MONTH(B2726))</f>
        <v/>
      </c>
      <c r="M2726" s="18">
        <f>IF(OR(B2726="",I2726=""),"",I2726-B2726)</f>
        <v/>
      </c>
      <c r="N2726" s="21">
        <f>IF(B2726="","",IF(I2726="",IF(H2726="","",IF(TODAY()&gt;H2726,"Atrasado (em aberto)","Em aberto")),IF(I2726&lt;=H2726,"No prazo","Fora do prazo")))</f>
        <v/>
      </c>
    </row>
    <row r="2727">
      <c r="B2727" s="22" t="n"/>
      <c r="E2727" s="23" t="n"/>
      <c r="F2727" s="24" t="n"/>
      <c r="H2727" s="22" t="n"/>
      <c r="I2727" s="22" t="n"/>
      <c r="J2727" s="21">
        <f>IF(C2727="","",IFERROR(INDEX(Clientes!$B:$B,MATCH(C2727,Clientes!$A:$A,0)),"Cód. não cadastrado"))</f>
        <v/>
      </c>
      <c r="K2727" s="18">
        <f>IF(B2727="","",YEAR(B2727))</f>
        <v/>
      </c>
      <c r="L2727" s="18">
        <f>IF(B2727="","",MONTH(B2727))</f>
        <v/>
      </c>
      <c r="M2727" s="18">
        <f>IF(OR(B2727="",I2727=""),"",I2727-B2727)</f>
        <v/>
      </c>
      <c r="N2727" s="21">
        <f>IF(B2727="","",IF(I2727="",IF(H2727="","",IF(TODAY()&gt;H2727,"Atrasado (em aberto)","Em aberto")),IF(I2727&lt;=H2727,"No prazo","Fora do prazo")))</f>
        <v/>
      </c>
    </row>
    <row r="2728">
      <c r="B2728" s="22" t="n"/>
      <c r="E2728" s="23" t="n"/>
      <c r="F2728" s="24" t="n"/>
      <c r="H2728" s="22" t="n"/>
      <c r="I2728" s="22" t="n"/>
      <c r="J2728" s="21">
        <f>IF(C2728="","",IFERROR(INDEX(Clientes!$B:$B,MATCH(C2728,Clientes!$A:$A,0)),"Cód. não cadastrado"))</f>
        <v/>
      </c>
      <c r="K2728" s="18">
        <f>IF(B2728="","",YEAR(B2728))</f>
        <v/>
      </c>
      <c r="L2728" s="18">
        <f>IF(B2728="","",MONTH(B2728))</f>
        <v/>
      </c>
      <c r="M2728" s="18">
        <f>IF(OR(B2728="",I2728=""),"",I2728-B2728)</f>
        <v/>
      </c>
      <c r="N2728" s="21">
        <f>IF(B2728="","",IF(I2728="",IF(H2728="","",IF(TODAY()&gt;H2728,"Atrasado (em aberto)","Em aberto")),IF(I2728&lt;=H2728,"No prazo","Fora do prazo")))</f>
        <v/>
      </c>
    </row>
    <row r="2729">
      <c r="B2729" s="22" t="n"/>
      <c r="E2729" s="23" t="n"/>
      <c r="F2729" s="24" t="n"/>
      <c r="H2729" s="22" t="n"/>
      <c r="I2729" s="22" t="n"/>
      <c r="J2729" s="21">
        <f>IF(C2729="","",IFERROR(INDEX(Clientes!$B:$B,MATCH(C2729,Clientes!$A:$A,0)),"Cód. não cadastrado"))</f>
        <v/>
      </c>
      <c r="K2729" s="18">
        <f>IF(B2729="","",YEAR(B2729))</f>
        <v/>
      </c>
      <c r="L2729" s="18">
        <f>IF(B2729="","",MONTH(B2729))</f>
        <v/>
      </c>
      <c r="M2729" s="18">
        <f>IF(OR(B2729="",I2729=""),"",I2729-B2729)</f>
        <v/>
      </c>
      <c r="N2729" s="21">
        <f>IF(B2729="","",IF(I2729="",IF(H2729="","",IF(TODAY()&gt;H2729,"Atrasado (em aberto)","Em aberto")),IF(I2729&lt;=H2729,"No prazo","Fora do prazo")))</f>
        <v/>
      </c>
    </row>
    <row r="2730">
      <c r="B2730" s="22" t="n"/>
      <c r="E2730" s="23" t="n"/>
      <c r="F2730" s="24" t="n"/>
      <c r="H2730" s="22" t="n"/>
      <c r="I2730" s="22" t="n"/>
      <c r="J2730" s="21">
        <f>IF(C2730="","",IFERROR(INDEX(Clientes!$B:$B,MATCH(C2730,Clientes!$A:$A,0)),"Cód. não cadastrado"))</f>
        <v/>
      </c>
      <c r="K2730" s="18">
        <f>IF(B2730="","",YEAR(B2730))</f>
        <v/>
      </c>
      <c r="L2730" s="18">
        <f>IF(B2730="","",MONTH(B2730))</f>
        <v/>
      </c>
      <c r="M2730" s="18">
        <f>IF(OR(B2730="",I2730=""),"",I2730-B2730)</f>
        <v/>
      </c>
      <c r="N2730" s="21">
        <f>IF(B2730="","",IF(I2730="",IF(H2730="","",IF(TODAY()&gt;H2730,"Atrasado (em aberto)","Em aberto")),IF(I2730&lt;=H2730,"No prazo","Fora do prazo")))</f>
        <v/>
      </c>
    </row>
    <row r="2731">
      <c r="B2731" s="22" t="n"/>
      <c r="E2731" s="23" t="n"/>
      <c r="F2731" s="24" t="n"/>
      <c r="H2731" s="22" t="n"/>
      <c r="I2731" s="22" t="n"/>
      <c r="J2731" s="21">
        <f>IF(C2731="","",IFERROR(INDEX(Clientes!$B:$B,MATCH(C2731,Clientes!$A:$A,0)),"Cód. não cadastrado"))</f>
        <v/>
      </c>
      <c r="K2731" s="18">
        <f>IF(B2731="","",YEAR(B2731))</f>
        <v/>
      </c>
      <c r="L2731" s="18">
        <f>IF(B2731="","",MONTH(B2731))</f>
        <v/>
      </c>
      <c r="M2731" s="18">
        <f>IF(OR(B2731="",I2731=""),"",I2731-B2731)</f>
        <v/>
      </c>
      <c r="N2731" s="21">
        <f>IF(B2731="","",IF(I2731="",IF(H2731="","",IF(TODAY()&gt;H2731,"Atrasado (em aberto)","Em aberto")),IF(I2731&lt;=H2731,"No prazo","Fora do prazo")))</f>
        <v/>
      </c>
    </row>
    <row r="2732">
      <c r="B2732" s="22" t="n"/>
      <c r="E2732" s="23" t="n"/>
      <c r="F2732" s="24" t="n"/>
      <c r="H2732" s="22" t="n"/>
      <c r="I2732" s="22" t="n"/>
      <c r="J2732" s="21">
        <f>IF(C2732="","",IFERROR(INDEX(Clientes!$B:$B,MATCH(C2732,Clientes!$A:$A,0)),"Cód. não cadastrado"))</f>
        <v/>
      </c>
      <c r="K2732" s="18">
        <f>IF(B2732="","",YEAR(B2732))</f>
        <v/>
      </c>
      <c r="L2732" s="18">
        <f>IF(B2732="","",MONTH(B2732))</f>
        <v/>
      </c>
      <c r="M2732" s="18">
        <f>IF(OR(B2732="",I2732=""),"",I2732-B2732)</f>
        <v/>
      </c>
      <c r="N2732" s="21">
        <f>IF(B2732="","",IF(I2732="",IF(H2732="","",IF(TODAY()&gt;H2732,"Atrasado (em aberto)","Em aberto")),IF(I2732&lt;=H2732,"No prazo","Fora do prazo")))</f>
        <v/>
      </c>
    </row>
    <row r="2733">
      <c r="B2733" s="22" t="n"/>
      <c r="E2733" s="23" t="n"/>
      <c r="F2733" s="24" t="n"/>
      <c r="H2733" s="22" t="n"/>
      <c r="I2733" s="22" t="n"/>
      <c r="J2733" s="21">
        <f>IF(C2733="","",IFERROR(INDEX(Clientes!$B:$B,MATCH(C2733,Clientes!$A:$A,0)),"Cód. não cadastrado"))</f>
        <v/>
      </c>
      <c r="K2733" s="18">
        <f>IF(B2733="","",YEAR(B2733))</f>
        <v/>
      </c>
      <c r="L2733" s="18">
        <f>IF(B2733="","",MONTH(B2733))</f>
        <v/>
      </c>
      <c r="M2733" s="18">
        <f>IF(OR(B2733="",I2733=""),"",I2733-B2733)</f>
        <v/>
      </c>
      <c r="N2733" s="21">
        <f>IF(B2733="","",IF(I2733="",IF(H2733="","",IF(TODAY()&gt;H2733,"Atrasado (em aberto)","Em aberto")),IF(I2733&lt;=H2733,"No prazo","Fora do prazo")))</f>
        <v/>
      </c>
    </row>
    <row r="2734">
      <c r="B2734" s="22" t="n"/>
      <c r="E2734" s="23" t="n"/>
      <c r="F2734" s="24" t="n"/>
      <c r="H2734" s="22" t="n"/>
      <c r="I2734" s="22" t="n"/>
      <c r="J2734" s="21">
        <f>IF(C2734="","",IFERROR(INDEX(Clientes!$B:$B,MATCH(C2734,Clientes!$A:$A,0)),"Cód. não cadastrado"))</f>
        <v/>
      </c>
      <c r="K2734" s="18">
        <f>IF(B2734="","",YEAR(B2734))</f>
        <v/>
      </c>
      <c r="L2734" s="18">
        <f>IF(B2734="","",MONTH(B2734))</f>
        <v/>
      </c>
      <c r="M2734" s="18">
        <f>IF(OR(B2734="",I2734=""),"",I2734-B2734)</f>
        <v/>
      </c>
      <c r="N2734" s="21">
        <f>IF(B2734="","",IF(I2734="",IF(H2734="","",IF(TODAY()&gt;H2734,"Atrasado (em aberto)","Em aberto")),IF(I2734&lt;=H2734,"No prazo","Fora do prazo")))</f>
        <v/>
      </c>
    </row>
    <row r="2735">
      <c r="B2735" s="22" t="n"/>
      <c r="E2735" s="23" t="n"/>
      <c r="F2735" s="24" t="n"/>
      <c r="H2735" s="22" t="n"/>
      <c r="I2735" s="22" t="n"/>
      <c r="J2735" s="21">
        <f>IF(C2735="","",IFERROR(INDEX(Clientes!$B:$B,MATCH(C2735,Clientes!$A:$A,0)),"Cód. não cadastrado"))</f>
        <v/>
      </c>
      <c r="K2735" s="18">
        <f>IF(B2735="","",YEAR(B2735))</f>
        <v/>
      </c>
      <c r="L2735" s="18">
        <f>IF(B2735="","",MONTH(B2735))</f>
        <v/>
      </c>
      <c r="M2735" s="18">
        <f>IF(OR(B2735="",I2735=""),"",I2735-B2735)</f>
        <v/>
      </c>
      <c r="N2735" s="21">
        <f>IF(B2735="","",IF(I2735="",IF(H2735="","",IF(TODAY()&gt;H2735,"Atrasado (em aberto)","Em aberto")),IF(I2735&lt;=H2735,"No prazo","Fora do prazo")))</f>
        <v/>
      </c>
    </row>
    <row r="2736">
      <c r="B2736" s="22" t="n"/>
      <c r="E2736" s="23" t="n"/>
      <c r="F2736" s="24" t="n"/>
      <c r="H2736" s="22" t="n"/>
      <c r="I2736" s="22" t="n"/>
      <c r="J2736" s="21">
        <f>IF(C2736="","",IFERROR(INDEX(Clientes!$B:$B,MATCH(C2736,Clientes!$A:$A,0)),"Cód. não cadastrado"))</f>
        <v/>
      </c>
      <c r="K2736" s="18">
        <f>IF(B2736="","",YEAR(B2736))</f>
        <v/>
      </c>
      <c r="L2736" s="18">
        <f>IF(B2736="","",MONTH(B2736))</f>
        <v/>
      </c>
      <c r="M2736" s="18">
        <f>IF(OR(B2736="",I2736=""),"",I2736-B2736)</f>
        <v/>
      </c>
      <c r="N2736" s="21">
        <f>IF(B2736="","",IF(I2736="",IF(H2736="","",IF(TODAY()&gt;H2736,"Atrasado (em aberto)","Em aberto")),IF(I2736&lt;=H2736,"No prazo","Fora do prazo")))</f>
        <v/>
      </c>
    </row>
    <row r="2737">
      <c r="B2737" s="22" t="n"/>
      <c r="E2737" s="23" t="n"/>
      <c r="F2737" s="24" t="n"/>
      <c r="H2737" s="22" t="n"/>
      <c r="I2737" s="22" t="n"/>
      <c r="J2737" s="21">
        <f>IF(C2737="","",IFERROR(INDEX(Clientes!$B:$B,MATCH(C2737,Clientes!$A:$A,0)),"Cód. não cadastrado"))</f>
        <v/>
      </c>
      <c r="K2737" s="18">
        <f>IF(B2737="","",YEAR(B2737))</f>
        <v/>
      </c>
      <c r="L2737" s="18">
        <f>IF(B2737="","",MONTH(B2737))</f>
        <v/>
      </c>
      <c r="M2737" s="18">
        <f>IF(OR(B2737="",I2737=""),"",I2737-B2737)</f>
        <v/>
      </c>
      <c r="N2737" s="21">
        <f>IF(B2737="","",IF(I2737="",IF(H2737="","",IF(TODAY()&gt;H2737,"Atrasado (em aberto)","Em aberto")),IF(I2737&lt;=H2737,"No prazo","Fora do prazo")))</f>
        <v/>
      </c>
    </row>
    <row r="2738">
      <c r="B2738" s="22" t="n"/>
      <c r="E2738" s="23" t="n"/>
      <c r="F2738" s="24" t="n"/>
      <c r="H2738" s="22" t="n"/>
      <c r="I2738" s="22" t="n"/>
      <c r="J2738" s="21">
        <f>IF(C2738="","",IFERROR(INDEX(Clientes!$B:$B,MATCH(C2738,Clientes!$A:$A,0)),"Cód. não cadastrado"))</f>
        <v/>
      </c>
      <c r="K2738" s="18">
        <f>IF(B2738="","",YEAR(B2738))</f>
        <v/>
      </c>
      <c r="L2738" s="18">
        <f>IF(B2738="","",MONTH(B2738))</f>
        <v/>
      </c>
      <c r="M2738" s="18">
        <f>IF(OR(B2738="",I2738=""),"",I2738-B2738)</f>
        <v/>
      </c>
      <c r="N2738" s="21">
        <f>IF(B2738="","",IF(I2738="",IF(H2738="","",IF(TODAY()&gt;H2738,"Atrasado (em aberto)","Em aberto")),IF(I2738&lt;=H2738,"No prazo","Fora do prazo")))</f>
        <v/>
      </c>
    </row>
    <row r="2739">
      <c r="B2739" s="22" t="n"/>
      <c r="E2739" s="23" t="n"/>
      <c r="F2739" s="24" t="n"/>
      <c r="H2739" s="22" t="n"/>
      <c r="I2739" s="22" t="n"/>
      <c r="J2739" s="21">
        <f>IF(C2739="","",IFERROR(INDEX(Clientes!$B:$B,MATCH(C2739,Clientes!$A:$A,0)),"Cód. não cadastrado"))</f>
        <v/>
      </c>
      <c r="K2739" s="18">
        <f>IF(B2739="","",YEAR(B2739))</f>
        <v/>
      </c>
      <c r="L2739" s="18">
        <f>IF(B2739="","",MONTH(B2739))</f>
        <v/>
      </c>
      <c r="M2739" s="18">
        <f>IF(OR(B2739="",I2739=""),"",I2739-B2739)</f>
        <v/>
      </c>
      <c r="N2739" s="21">
        <f>IF(B2739="","",IF(I2739="",IF(H2739="","",IF(TODAY()&gt;H2739,"Atrasado (em aberto)","Em aberto")),IF(I2739&lt;=H2739,"No prazo","Fora do prazo")))</f>
        <v/>
      </c>
    </row>
    <row r="2740">
      <c r="B2740" s="22" t="n"/>
      <c r="E2740" s="23" t="n"/>
      <c r="F2740" s="24" t="n"/>
      <c r="H2740" s="22" t="n"/>
      <c r="I2740" s="22" t="n"/>
      <c r="J2740" s="21">
        <f>IF(C2740="","",IFERROR(INDEX(Clientes!$B:$B,MATCH(C2740,Clientes!$A:$A,0)),"Cód. não cadastrado"))</f>
        <v/>
      </c>
      <c r="K2740" s="18">
        <f>IF(B2740="","",YEAR(B2740))</f>
        <v/>
      </c>
      <c r="L2740" s="18">
        <f>IF(B2740="","",MONTH(B2740))</f>
        <v/>
      </c>
      <c r="M2740" s="18">
        <f>IF(OR(B2740="",I2740=""),"",I2740-B2740)</f>
        <v/>
      </c>
      <c r="N2740" s="21">
        <f>IF(B2740="","",IF(I2740="",IF(H2740="","",IF(TODAY()&gt;H2740,"Atrasado (em aberto)","Em aberto")),IF(I2740&lt;=H2740,"No prazo","Fora do prazo")))</f>
        <v/>
      </c>
    </row>
    <row r="2741">
      <c r="B2741" s="22" t="n"/>
      <c r="E2741" s="23" t="n"/>
      <c r="F2741" s="24" t="n"/>
      <c r="H2741" s="22" t="n"/>
      <c r="I2741" s="22" t="n"/>
      <c r="J2741" s="21">
        <f>IF(C2741="","",IFERROR(INDEX(Clientes!$B:$B,MATCH(C2741,Clientes!$A:$A,0)),"Cód. não cadastrado"))</f>
        <v/>
      </c>
      <c r="K2741" s="18">
        <f>IF(B2741="","",YEAR(B2741))</f>
        <v/>
      </c>
      <c r="L2741" s="18">
        <f>IF(B2741="","",MONTH(B2741))</f>
        <v/>
      </c>
      <c r="M2741" s="18">
        <f>IF(OR(B2741="",I2741=""),"",I2741-B2741)</f>
        <v/>
      </c>
      <c r="N2741" s="21">
        <f>IF(B2741="","",IF(I2741="",IF(H2741="","",IF(TODAY()&gt;H2741,"Atrasado (em aberto)","Em aberto")),IF(I2741&lt;=H2741,"No prazo","Fora do prazo")))</f>
        <v/>
      </c>
    </row>
    <row r="2742">
      <c r="B2742" s="22" t="n"/>
      <c r="E2742" s="23" t="n"/>
      <c r="F2742" s="24" t="n"/>
      <c r="H2742" s="22" t="n"/>
      <c r="I2742" s="22" t="n"/>
      <c r="J2742" s="21">
        <f>IF(C2742="","",IFERROR(INDEX(Clientes!$B:$B,MATCH(C2742,Clientes!$A:$A,0)),"Cód. não cadastrado"))</f>
        <v/>
      </c>
      <c r="K2742" s="18">
        <f>IF(B2742="","",YEAR(B2742))</f>
        <v/>
      </c>
      <c r="L2742" s="18">
        <f>IF(B2742="","",MONTH(B2742))</f>
        <v/>
      </c>
      <c r="M2742" s="18">
        <f>IF(OR(B2742="",I2742=""),"",I2742-B2742)</f>
        <v/>
      </c>
      <c r="N2742" s="21">
        <f>IF(B2742="","",IF(I2742="",IF(H2742="","",IF(TODAY()&gt;H2742,"Atrasado (em aberto)","Em aberto")),IF(I2742&lt;=H2742,"No prazo","Fora do prazo")))</f>
        <v/>
      </c>
    </row>
    <row r="2743">
      <c r="B2743" s="22" t="n"/>
      <c r="E2743" s="23" t="n"/>
      <c r="F2743" s="24" t="n"/>
      <c r="H2743" s="22" t="n"/>
      <c r="I2743" s="22" t="n"/>
      <c r="J2743" s="21">
        <f>IF(C2743="","",IFERROR(INDEX(Clientes!$B:$B,MATCH(C2743,Clientes!$A:$A,0)),"Cód. não cadastrado"))</f>
        <v/>
      </c>
      <c r="K2743" s="18">
        <f>IF(B2743="","",YEAR(B2743))</f>
        <v/>
      </c>
      <c r="L2743" s="18">
        <f>IF(B2743="","",MONTH(B2743))</f>
        <v/>
      </c>
      <c r="M2743" s="18">
        <f>IF(OR(B2743="",I2743=""),"",I2743-B2743)</f>
        <v/>
      </c>
      <c r="N2743" s="21">
        <f>IF(B2743="","",IF(I2743="",IF(H2743="","",IF(TODAY()&gt;H2743,"Atrasado (em aberto)","Em aberto")),IF(I2743&lt;=H2743,"No prazo","Fora do prazo")))</f>
        <v/>
      </c>
    </row>
    <row r="2744">
      <c r="B2744" s="22" t="n"/>
      <c r="E2744" s="23" t="n"/>
      <c r="F2744" s="24" t="n"/>
      <c r="H2744" s="22" t="n"/>
      <c r="I2744" s="22" t="n"/>
      <c r="J2744" s="21">
        <f>IF(C2744="","",IFERROR(INDEX(Clientes!$B:$B,MATCH(C2744,Clientes!$A:$A,0)),"Cód. não cadastrado"))</f>
        <v/>
      </c>
      <c r="K2744" s="18">
        <f>IF(B2744="","",YEAR(B2744))</f>
        <v/>
      </c>
      <c r="L2744" s="18">
        <f>IF(B2744="","",MONTH(B2744))</f>
        <v/>
      </c>
      <c r="M2744" s="18">
        <f>IF(OR(B2744="",I2744=""),"",I2744-B2744)</f>
        <v/>
      </c>
      <c r="N2744" s="21">
        <f>IF(B2744="","",IF(I2744="",IF(H2744="","",IF(TODAY()&gt;H2744,"Atrasado (em aberto)","Em aberto")),IF(I2744&lt;=H2744,"No prazo","Fora do prazo")))</f>
        <v/>
      </c>
    </row>
    <row r="2745">
      <c r="B2745" s="22" t="n"/>
      <c r="E2745" s="23" t="n"/>
      <c r="F2745" s="24" t="n"/>
      <c r="H2745" s="22" t="n"/>
      <c r="I2745" s="22" t="n"/>
      <c r="J2745" s="21">
        <f>IF(C2745="","",IFERROR(INDEX(Clientes!$B:$B,MATCH(C2745,Clientes!$A:$A,0)),"Cód. não cadastrado"))</f>
        <v/>
      </c>
      <c r="K2745" s="18">
        <f>IF(B2745="","",YEAR(B2745))</f>
        <v/>
      </c>
      <c r="L2745" s="18">
        <f>IF(B2745="","",MONTH(B2745))</f>
        <v/>
      </c>
      <c r="M2745" s="18">
        <f>IF(OR(B2745="",I2745=""),"",I2745-B2745)</f>
        <v/>
      </c>
      <c r="N2745" s="21">
        <f>IF(B2745="","",IF(I2745="",IF(H2745="","",IF(TODAY()&gt;H2745,"Atrasado (em aberto)","Em aberto")),IF(I2745&lt;=H2745,"No prazo","Fora do prazo")))</f>
        <v/>
      </c>
    </row>
    <row r="2746">
      <c r="B2746" s="22" t="n"/>
      <c r="E2746" s="23" t="n"/>
      <c r="F2746" s="24" t="n"/>
      <c r="H2746" s="22" t="n"/>
      <c r="I2746" s="22" t="n"/>
      <c r="J2746" s="21">
        <f>IF(C2746="","",IFERROR(INDEX(Clientes!$B:$B,MATCH(C2746,Clientes!$A:$A,0)),"Cód. não cadastrado"))</f>
        <v/>
      </c>
      <c r="K2746" s="18">
        <f>IF(B2746="","",YEAR(B2746))</f>
        <v/>
      </c>
      <c r="L2746" s="18">
        <f>IF(B2746="","",MONTH(B2746))</f>
        <v/>
      </c>
      <c r="M2746" s="18">
        <f>IF(OR(B2746="",I2746=""),"",I2746-B2746)</f>
        <v/>
      </c>
      <c r="N2746" s="21">
        <f>IF(B2746="","",IF(I2746="",IF(H2746="","",IF(TODAY()&gt;H2746,"Atrasado (em aberto)","Em aberto")),IF(I2746&lt;=H2746,"No prazo","Fora do prazo")))</f>
        <v/>
      </c>
    </row>
    <row r="2747">
      <c r="B2747" s="22" t="n"/>
      <c r="E2747" s="23" t="n"/>
      <c r="F2747" s="24" t="n"/>
      <c r="H2747" s="22" t="n"/>
      <c r="I2747" s="22" t="n"/>
      <c r="J2747" s="21">
        <f>IF(C2747="","",IFERROR(INDEX(Clientes!$B:$B,MATCH(C2747,Clientes!$A:$A,0)),"Cód. não cadastrado"))</f>
        <v/>
      </c>
      <c r="K2747" s="18">
        <f>IF(B2747="","",YEAR(B2747))</f>
        <v/>
      </c>
      <c r="L2747" s="18">
        <f>IF(B2747="","",MONTH(B2747))</f>
        <v/>
      </c>
      <c r="M2747" s="18">
        <f>IF(OR(B2747="",I2747=""),"",I2747-B2747)</f>
        <v/>
      </c>
      <c r="N2747" s="21">
        <f>IF(B2747="","",IF(I2747="",IF(H2747="","",IF(TODAY()&gt;H2747,"Atrasado (em aberto)","Em aberto")),IF(I2747&lt;=H2747,"No prazo","Fora do prazo")))</f>
        <v/>
      </c>
    </row>
    <row r="2748">
      <c r="B2748" s="22" t="n"/>
      <c r="E2748" s="23" t="n"/>
      <c r="F2748" s="24" t="n"/>
      <c r="H2748" s="22" t="n"/>
      <c r="I2748" s="22" t="n"/>
      <c r="J2748" s="21">
        <f>IF(C2748="","",IFERROR(INDEX(Clientes!$B:$B,MATCH(C2748,Clientes!$A:$A,0)),"Cód. não cadastrado"))</f>
        <v/>
      </c>
      <c r="K2748" s="18">
        <f>IF(B2748="","",YEAR(B2748))</f>
        <v/>
      </c>
      <c r="L2748" s="18">
        <f>IF(B2748="","",MONTH(B2748))</f>
        <v/>
      </c>
      <c r="M2748" s="18">
        <f>IF(OR(B2748="",I2748=""),"",I2748-B2748)</f>
        <v/>
      </c>
      <c r="N2748" s="21">
        <f>IF(B2748="","",IF(I2748="",IF(H2748="","",IF(TODAY()&gt;H2748,"Atrasado (em aberto)","Em aberto")),IF(I2748&lt;=H2748,"No prazo","Fora do prazo")))</f>
        <v/>
      </c>
    </row>
    <row r="2749">
      <c r="B2749" s="22" t="n"/>
      <c r="E2749" s="23" t="n"/>
      <c r="F2749" s="24" t="n"/>
      <c r="H2749" s="22" t="n"/>
      <c r="I2749" s="22" t="n"/>
      <c r="J2749" s="21">
        <f>IF(C2749="","",IFERROR(INDEX(Clientes!$B:$B,MATCH(C2749,Clientes!$A:$A,0)),"Cód. não cadastrado"))</f>
        <v/>
      </c>
      <c r="K2749" s="18">
        <f>IF(B2749="","",YEAR(B2749))</f>
        <v/>
      </c>
      <c r="L2749" s="18">
        <f>IF(B2749="","",MONTH(B2749))</f>
        <v/>
      </c>
      <c r="M2749" s="18">
        <f>IF(OR(B2749="",I2749=""),"",I2749-B2749)</f>
        <v/>
      </c>
      <c r="N2749" s="21">
        <f>IF(B2749="","",IF(I2749="",IF(H2749="","",IF(TODAY()&gt;H2749,"Atrasado (em aberto)","Em aberto")),IF(I2749&lt;=H2749,"No prazo","Fora do prazo")))</f>
        <v/>
      </c>
    </row>
    <row r="2750">
      <c r="B2750" s="22" t="n"/>
      <c r="E2750" s="23" t="n"/>
      <c r="F2750" s="24" t="n"/>
      <c r="H2750" s="22" t="n"/>
      <c r="I2750" s="22" t="n"/>
      <c r="J2750" s="21">
        <f>IF(C2750="","",IFERROR(INDEX(Clientes!$B:$B,MATCH(C2750,Clientes!$A:$A,0)),"Cód. não cadastrado"))</f>
        <v/>
      </c>
      <c r="K2750" s="18">
        <f>IF(B2750="","",YEAR(B2750))</f>
        <v/>
      </c>
      <c r="L2750" s="18">
        <f>IF(B2750="","",MONTH(B2750))</f>
        <v/>
      </c>
      <c r="M2750" s="18">
        <f>IF(OR(B2750="",I2750=""),"",I2750-B2750)</f>
        <v/>
      </c>
      <c r="N2750" s="21">
        <f>IF(B2750="","",IF(I2750="",IF(H2750="","",IF(TODAY()&gt;H2750,"Atrasado (em aberto)","Em aberto")),IF(I2750&lt;=H2750,"No prazo","Fora do prazo")))</f>
        <v/>
      </c>
    </row>
    <row r="2751">
      <c r="B2751" s="22" t="n"/>
      <c r="E2751" s="23" t="n"/>
      <c r="F2751" s="24" t="n"/>
      <c r="H2751" s="22" t="n"/>
      <c r="I2751" s="22" t="n"/>
      <c r="J2751" s="21">
        <f>IF(C2751="","",IFERROR(INDEX(Clientes!$B:$B,MATCH(C2751,Clientes!$A:$A,0)),"Cód. não cadastrado"))</f>
        <v/>
      </c>
      <c r="K2751" s="18">
        <f>IF(B2751="","",YEAR(B2751))</f>
        <v/>
      </c>
      <c r="L2751" s="18">
        <f>IF(B2751="","",MONTH(B2751))</f>
        <v/>
      </c>
      <c r="M2751" s="18">
        <f>IF(OR(B2751="",I2751=""),"",I2751-B2751)</f>
        <v/>
      </c>
      <c r="N2751" s="21">
        <f>IF(B2751="","",IF(I2751="",IF(H2751="","",IF(TODAY()&gt;H2751,"Atrasado (em aberto)","Em aberto")),IF(I2751&lt;=H2751,"No prazo","Fora do prazo")))</f>
        <v/>
      </c>
    </row>
    <row r="2752">
      <c r="B2752" s="22" t="n"/>
      <c r="E2752" s="23" t="n"/>
      <c r="F2752" s="24" t="n"/>
      <c r="H2752" s="22" t="n"/>
      <c r="I2752" s="22" t="n"/>
      <c r="J2752" s="21">
        <f>IF(C2752="","",IFERROR(INDEX(Clientes!$B:$B,MATCH(C2752,Clientes!$A:$A,0)),"Cód. não cadastrado"))</f>
        <v/>
      </c>
      <c r="K2752" s="18">
        <f>IF(B2752="","",YEAR(B2752))</f>
        <v/>
      </c>
      <c r="L2752" s="18">
        <f>IF(B2752="","",MONTH(B2752))</f>
        <v/>
      </c>
      <c r="M2752" s="18">
        <f>IF(OR(B2752="",I2752=""),"",I2752-B2752)</f>
        <v/>
      </c>
      <c r="N2752" s="21">
        <f>IF(B2752="","",IF(I2752="",IF(H2752="","",IF(TODAY()&gt;H2752,"Atrasado (em aberto)","Em aberto")),IF(I2752&lt;=H2752,"No prazo","Fora do prazo")))</f>
        <v/>
      </c>
    </row>
    <row r="2753">
      <c r="B2753" s="22" t="n"/>
      <c r="E2753" s="23" t="n"/>
      <c r="F2753" s="24" t="n"/>
      <c r="H2753" s="22" t="n"/>
      <c r="I2753" s="22" t="n"/>
      <c r="J2753" s="21">
        <f>IF(C2753="","",IFERROR(INDEX(Clientes!$B:$B,MATCH(C2753,Clientes!$A:$A,0)),"Cód. não cadastrado"))</f>
        <v/>
      </c>
      <c r="K2753" s="18">
        <f>IF(B2753="","",YEAR(B2753))</f>
        <v/>
      </c>
      <c r="L2753" s="18">
        <f>IF(B2753="","",MONTH(B2753))</f>
        <v/>
      </c>
      <c r="M2753" s="18">
        <f>IF(OR(B2753="",I2753=""),"",I2753-B2753)</f>
        <v/>
      </c>
      <c r="N2753" s="21">
        <f>IF(B2753="","",IF(I2753="",IF(H2753="","",IF(TODAY()&gt;H2753,"Atrasado (em aberto)","Em aberto")),IF(I2753&lt;=H2753,"No prazo","Fora do prazo")))</f>
        <v/>
      </c>
    </row>
    <row r="2754">
      <c r="B2754" s="22" t="n"/>
      <c r="E2754" s="23" t="n"/>
      <c r="F2754" s="24" t="n"/>
      <c r="H2754" s="22" t="n"/>
      <c r="I2754" s="22" t="n"/>
      <c r="J2754" s="21">
        <f>IF(C2754="","",IFERROR(INDEX(Clientes!$B:$B,MATCH(C2754,Clientes!$A:$A,0)),"Cód. não cadastrado"))</f>
        <v/>
      </c>
      <c r="K2754" s="18">
        <f>IF(B2754="","",YEAR(B2754))</f>
        <v/>
      </c>
      <c r="L2754" s="18">
        <f>IF(B2754="","",MONTH(B2754))</f>
        <v/>
      </c>
      <c r="M2754" s="18">
        <f>IF(OR(B2754="",I2754=""),"",I2754-B2754)</f>
        <v/>
      </c>
      <c r="N2754" s="21">
        <f>IF(B2754="","",IF(I2754="",IF(H2754="","",IF(TODAY()&gt;H2754,"Atrasado (em aberto)","Em aberto")),IF(I2754&lt;=H2754,"No prazo","Fora do prazo")))</f>
        <v/>
      </c>
    </row>
    <row r="2755">
      <c r="B2755" s="22" t="n"/>
      <c r="E2755" s="23" t="n"/>
      <c r="F2755" s="24" t="n"/>
      <c r="H2755" s="22" t="n"/>
      <c r="I2755" s="22" t="n"/>
      <c r="J2755" s="21">
        <f>IF(C2755="","",IFERROR(INDEX(Clientes!$B:$B,MATCH(C2755,Clientes!$A:$A,0)),"Cód. não cadastrado"))</f>
        <v/>
      </c>
      <c r="K2755" s="18">
        <f>IF(B2755="","",YEAR(B2755))</f>
        <v/>
      </c>
      <c r="L2755" s="18">
        <f>IF(B2755="","",MONTH(B2755))</f>
        <v/>
      </c>
      <c r="M2755" s="18">
        <f>IF(OR(B2755="",I2755=""),"",I2755-B2755)</f>
        <v/>
      </c>
      <c r="N2755" s="21">
        <f>IF(B2755="","",IF(I2755="",IF(H2755="","",IF(TODAY()&gt;H2755,"Atrasado (em aberto)","Em aberto")),IF(I2755&lt;=H2755,"No prazo","Fora do prazo")))</f>
        <v/>
      </c>
    </row>
    <row r="2756">
      <c r="B2756" s="22" t="n"/>
      <c r="E2756" s="23" t="n"/>
      <c r="F2756" s="24" t="n"/>
      <c r="H2756" s="22" t="n"/>
      <c r="I2756" s="22" t="n"/>
      <c r="J2756" s="21">
        <f>IF(C2756="","",IFERROR(INDEX(Clientes!$B:$B,MATCH(C2756,Clientes!$A:$A,0)),"Cód. não cadastrado"))</f>
        <v/>
      </c>
      <c r="K2756" s="18">
        <f>IF(B2756="","",YEAR(B2756))</f>
        <v/>
      </c>
      <c r="L2756" s="18">
        <f>IF(B2756="","",MONTH(B2756))</f>
        <v/>
      </c>
      <c r="M2756" s="18">
        <f>IF(OR(B2756="",I2756=""),"",I2756-B2756)</f>
        <v/>
      </c>
      <c r="N2756" s="21">
        <f>IF(B2756="","",IF(I2756="",IF(H2756="","",IF(TODAY()&gt;H2756,"Atrasado (em aberto)","Em aberto")),IF(I2756&lt;=H2756,"No prazo","Fora do prazo")))</f>
        <v/>
      </c>
    </row>
    <row r="2757">
      <c r="B2757" s="22" t="n"/>
      <c r="E2757" s="23" t="n"/>
      <c r="F2757" s="24" t="n"/>
      <c r="H2757" s="22" t="n"/>
      <c r="I2757" s="22" t="n"/>
      <c r="J2757" s="21">
        <f>IF(C2757="","",IFERROR(INDEX(Clientes!$B:$B,MATCH(C2757,Clientes!$A:$A,0)),"Cód. não cadastrado"))</f>
        <v/>
      </c>
      <c r="K2757" s="18">
        <f>IF(B2757="","",YEAR(B2757))</f>
        <v/>
      </c>
      <c r="L2757" s="18">
        <f>IF(B2757="","",MONTH(B2757))</f>
        <v/>
      </c>
      <c r="M2757" s="18">
        <f>IF(OR(B2757="",I2757=""),"",I2757-B2757)</f>
        <v/>
      </c>
      <c r="N2757" s="21">
        <f>IF(B2757="","",IF(I2757="",IF(H2757="","",IF(TODAY()&gt;H2757,"Atrasado (em aberto)","Em aberto")),IF(I2757&lt;=H2757,"No prazo","Fora do prazo")))</f>
        <v/>
      </c>
    </row>
    <row r="2758">
      <c r="B2758" s="22" t="n"/>
      <c r="E2758" s="23" t="n"/>
      <c r="F2758" s="24" t="n"/>
      <c r="H2758" s="22" t="n"/>
      <c r="I2758" s="22" t="n"/>
      <c r="J2758" s="21">
        <f>IF(C2758="","",IFERROR(INDEX(Clientes!$B:$B,MATCH(C2758,Clientes!$A:$A,0)),"Cód. não cadastrado"))</f>
        <v/>
      </c>
      <c r="K2758" s="18">
        <f>IF(B2758="","",YEAR(B2758))</f>
        <v/>
      </c>
      <c r="L2758" s="18">
        <f>IF(B2758="","",MONTH(B2758))</f>
        <v/>
      </c>
      <c r="M2758" s="18">
        <f>IF(OR(B2758="",I2758=""),"",I2758-B2758)</f>
        <v/>
      </c>
      <c r="N2758" s="21">
        <f>IF(B2758="","",IF(I2758="",IF(H2758="","",IF(TODAY()&gt;H2758,"Atrasado (em aberto)","Em aberto")),IF(I2758&lt;=H2758,"No prazo","Fora do prazo")))</f>
        <v/>
      </c>
    </row>
    <row r="2759">
      <c r="B2759" s="22" t="n"/>
      <c r="E2759" s="23" t="n"/>
      <c r="F2759" s="24" t="n"/>
      <c r="H2759" s="22" t="n"/>
      <c r="I2759" s="22" t="n"/>
      <c r="J2759" s="21">
        <f>IF(C2759="","",IFERROR(INDEX(Clientes!$B:$B,MATCH(C2759,Clientes!$A:$A,0)),"Cód. não cadastrado"))</f>
        <v/>
      </c>
      <c r="K2759" s="18">
        <f>IF(B2759="","",YEAR(B2759))</f>
        <v/>
      </c>
      <c r="L2759" s="18">
        <f>IF(B2759="","",MONTH(B2759))</f>
        <v/>
      </c>
      <c r="M2759" s="18">
        <f>IF(OR(B2759="",I2759=""),"",I2759-B2759)</f>
        <v/>
      </c>
      <c r="N2759" s="21">
        <f>IF(B2759="","",IF(I2759="",IF(H2759="","",IF(TODAY()&gt;H2759,"Atrasado (em aberto)","Em aberto")),IF(I2759&lt;=H2759,"No prazo","Fora do prazo")))</f>
        <v/>
      </c>
    </row>
    <row r="2760">
      <c r="B2760" s="22" t="n"/>
      <c r="E2760" s="23" t="n"/>
      <c r="F2760" s="24" t="n"/>
      <c r="H2760" s="22" t="n"/>
      <c r="I2760" s="22" t="n"/>
      <c r="J2760" s="21">
        <f>IF(C2760="","",IFERROR(INDEX(Clientes!$B:$B,MATCH(C2760,Clientes!$A:$A,0)),"Cód. não cadastrado"))</f>
        <v/>
      </c>
      <c r="K2760" s="18">
        <f>IF(B2760="","",YEAR(B2760))</f>
        <v/>
      </c>
      <c r="L2760" s="18">
        <f>IF(B2760="","",MONTH(B2760))</f>
        <v/>
      </c>
      <c r="M2760" s="18">
        <f>IF(OR(B2760="",I2760=""),"",I2760-B2760)</f>
        <v/>
      </c>
      <c r="N2760" s="21">
        <f>IF(B2760="","",IF(I2760="",IF(H2760="","",IF(TODAY()&gt;H2760,"Atrasado (em aberto)","Em aberto")),IF(I2760&lt;=H2760,"No prazo","Fora do prazo")))</f>
        <v/>
      </c>
    </row>
    <row r="2761">
      <c r="B2761" s="22" t="n"/>
      <c r="E2761" s="23" t="n"/>
      <c r="F2761" s="24" t="n"/>
      <c r="H2761" s="22" t="n"/>
      <c r="I2761" s="22" t="n"/>
      <c r="J2761" s="21">
        <f>IF(C2761="","",IFERROR(INDEX(Clientes!$B:$B,MATCH(C2761,Clientes!$A:$A,0)),"Cód. não cadastrado"))</f>
        <v/>
      </c>
      <c r="K2761" s="18">
        <f>IF(B2761="","",YEAR(B2761))</f>
        <v/>
      </c>
      <c r="L2761" s="18">
        <f>IF(B2761="","",MONTH(B2761))</f>
        <v/>
      </c>
      <c r="M2761" s="18">
        <f>IF(OR(B2761="",I2761=""),"",I2761-B2761)</f>
        <v/>
      </c>
      <c r="N2761" s="21">
        <f>IF(B2761="","",IF(I2761="",IF(H2761="","",IF(TODAY()&gt;H2761,"Atrasado (em aberto)","Em aberto")),IF(I2761&lt;=H2761,"No prazo","Fora do prazo")))</f>
        <v/>
      </c>
    </row>
    <row r="2762">
      <c r="B2762" s="22" t="n"/>
      <c r="E2762" s="23" t="n"/>
      <c r="F2762" s="24" t="n"/>
      <c r="H2762" s="22" t="n"/>
      <c r="I2762" s="22" t="n"/>
      <c r="J2762" s="21">
        <f>IF(C2762="","",IFERROR(INDEX(Clientes!$B:$B,MATCH(C2762,Clientes!$A:$A,0)),"Cód. não cadastrado"))</f>
        <v/>
      </c>
      <c r="K2762" s="18">
        <f>IF(B2762="","",YEAR(B2762))</f>
        <v/>
      </c>
      <c r="L2762" s="18">
        <f>IF(B2762="","",MONTH(B2762))</f>
        <v/>
      </c>
      <c r="M2762" s="18">
        <f>IF(OR(B2762="",I2762=""),"",I2762-B2762)</f>
        <v/>
      </c>
      <c r="N2762" s="21">
        <f>IF(B2762="","",IF(I2762="",IF(H2762="","",IF(TODAY()&gt;H2762,"Atrasado (em aberto)","Em aberto")),IF(I2762&lt;=H2762,"No prazo","Fora do prazo")))</f>
        <v/>
      </c>
    </row>
    <row r="2763">
      <c r="B2763" s="22" t="n"/>
      <c r="E2763" s="23" t="n"/>
      <c r="F2763" s="24" t="n"/>
      <c r="H2763" s="22" t="n"/>
      <c r="I2763" s="22" t="n"/>
      <c r="J2763" s="21">
        <f>IF(C2763="","",IFERROR(INDEX(Clientes!$B:$B,MATCH(C2763,Clientes!$A:$A,0)),"Cód. não cadastrado"))</f>
        <v/>
      </c>
      <c r="K2763" s="18">
        <f>IF(B2763="","",YEAR(B2763))</f>
        <v/>
      </c>
      <c r="L2763" s="18">
        <f>IF(B2763="","",MONTH(B2763))</f>
        <v/>
      </c>
      <c r="M2763" s="18">
        <f>IF(OR(B2763="",I2763=""),"",I2763-B2763)</f>
        <v/>
      </c>
      <c r="N2763" s="21">
        <f>IF(B2763="","",IF(I2763="",IF(H2763="","",IF(TODAY()&gt;H2763,"Atrasado (em aberto)","Em aberto")),IF(I2763&lt;=H2763,"No prazo","Fora do prazo")))</f>
        <v/>
      </c>
    </row>
    <row r="2764">
      <c r="B2764" s="22" t="n"/>
      <c r="E2764" s="23" t="n"/>
      <c r="F2764" s="24" t="n"/>
      <c r="H2764" s="22" t="n"/>
      <c r="I2764" s="22" t="n"/>
      <c r="J2764" s="21">
        <f>IF(C2764="","",IFERROR(INDEX(Clientes!$B:$B,MATCH(C2764,Clientes!$A:$A,0)),"Cód. não cadastrado"))</f>
        <v/>
      </c>
      <c r="K2764" s="18">
        <f>IF(B2764="","",YEAR(B2764))</f>
        <v/>
      </c>
      <c r="L2764" s="18">
        <f>IF(B2764="","",MONTH(B2764))</f>
        <v/>
      </c>
      <c r="M2764" s="18">
        <f>IF(OR(B2764="",I2764=""),"",I2764-B2764)</f>
        <v/>
      </c>
      <c r="N2764" s="21">
        <f>IF(B2764="","",IF(I2764="",IF(H2764="","",IF(TODAY()&gt;H2764,"Atrasado (em aberto)","Em aberto")),IF(I2764&lt;=H2764,"No prazo","Fora do prazo")))</f>
        <v/>
      </c>
    </row>
    <row r="2765">
      <c r="B2765" s="22" t="n"/>
      <c r="E2765" s="23" t="n"/>
      <c r="F2765" s="24" t="n"/>
      <c r="H2765" s="22" t="n"/>
      <c r="I2765" s="22" t="n"/>
      <c r="J2765" s="21">
        <f>IF(C2765="","",IFERROR(INDEX(Clientes!$B:$B,MATCH(C2765,Clientes!$A:$A,0)),"Cód. não cadastrado"))</f>
        <v/>
      </c>
      <c r="K2765" s="18">
        <f>IF(B2765="","",YEAR(B2765))</f>
        <v/>
      </c>
      <c r="L2765" s="18">
        <f>IF(B2765="","",MONTH(B2765))</f>
        <v/>
      </c>
      <c r="M2765" s="18">
        <f>IF(OR(B2765="",I2765=""),"",I2765-B2765)</f>
        <v/>
      </c>
      <c r="N2765" s="21">
        <f>IF(B2765="","",IF(I2765="",IF(H2765="","",IF(TODAY()&gt;H2765,"Atrasado (em aberto)","Em aberto")),IF(I2765&lt;=H2765,"No prazo","Fora do prazo")))</f>
        <v/>
      </c>
    </row>
    <row r="2766">
      <c r="B2766" s="22" t="n"/>
      <c r="E2766" s="23" t="n"/>
      <c r="F2766" s="24" t="n"/>
      <c r="H2766" s="22" t="n"/>
      <c r="I2766" s="22" t="n"/>
      <c r="J2766" s="21">
        <f>IF(C2766="","",IFERROR(INDEX(Clientes!$B:$B,MATCH(C2766,Clientes!$A:$A,0)),"Cód. não cadastrado"))</f>
        <v/>
      </c>
      <c r="K2766" s="18">
        <f>IF(B2766="","",YEAR(B2766))</f>
        <v/>
      </c>
      <c r="L2766" s="18">
        <f>IF(B2766="","",MONTH(B2766))</f>
        <v/>
      </c>
      <c r="M2766" s="18">
        <f>IF(OR(B2766="",I2766=""),"",I2766-B2766)</f>
        <v/>
      </c>
      <c r="N2766" s="21">
        <f>IF(B2766="","",IF(I2766="",IF(H2766="","",IF(TODAY()&gt;H2766,"Atrasado (em aberto)","Em aberto")),IF(I2766&lt;=H2766,"No prazo","Fora do prazo")))</f>
        <v/>
      </c>
    </row>
    <row r="2767">
      <c r="B2767" s="22" t="n"/>
      <c r="E2767" s="23" t="n"/>
      <c r="F2767" s="24" t="n"/>
      <c r="H2767" s="22" t="n"/>
      <c r="I2767" s="22" t="n"/>
      <c r="J2767" s="21">
        <f>IF(C2767="","",IFERROR(INDEX(Clientes!$B:$B,MATCH(C2767,Clientes!$A:$A,0)),"Cód. não cadastrado"))</f>
        <v/>
      </c>
      <c r="K2767" s="18">
        <f>IF(B2767="","",YEAR(B2767))</f>
        <v/>
      </c>
      <c r="L2767" s="18">
        <f>IF(B2767="","",MONTH(B2767))</f>
        <v/>
      </c>
      <c r="M2767" s="18">
        <f>IF(OR(B2767="",I2767=""),"",I2767-B2767)</f>
        <v/>
      </c>
      <c r="N2767" s="21">
        <f>IF(B2767="","",IF(I2767="",IF(H2767="","",IF(TODAY()&gt;H2767,"Atrasado (em aberto)","Em aberto")),IF(I2767&lt;=H2767,"No prazo","Fora do prazo")))</f>
        <v/>
      </c>
    </row>
    <row r="2768">
      <c r="B2768" s="22" t="n"/>
      <c r="E2768" s="23" t="n"/>
      <c r="F2768" s="24" t="n"/>
      <c r="H2768" s="22" t="n"/>
      <c r="I2768" s="22" t="n"/>
      <c r="J2768" s="21">
        <f>IF(C2768="","",IFERROR(INDEX(Clientes!$B:$B,MATCH(C2768,Clientes!$A:$A,0)),"Cód. não cadastrado"))</f>
        <v/>
      </c>
      <c r="K2768" s="18">
        <f>IF(B2768="","",YEAR(B2768))</f>
        <v/>
      </c>
      <c r="L2768" s="18">
        <f>IF(B2768="","",MONTH(B2768))</f>
        <v/>
      </c>
      <c r="M2768" s="18">
        <f>IF(OR(B2768="",I2768=""),"",I2768-B2768)</f>
        <v/>
      </c>
      <c r="N2768" s="21">
        <f>IF(B2768="","",IF(I2768="",IF(H2768="","",IF(TODAY()&gt;H2768,"Atrasado (em aberto)","Em aberto")),IF(I2768&lt;=H2768,"No prazo","Fora do prazo")))</f>
        <v/>
      </c>
    </row>
    <row r="2769">
      <c r="B2769" s="22" t="n"/>
      <c r="E2769" s="23" t="n"/>
      <c r="F2769" s="24" t="n"/>
      <c r="H2769" s="22" t="n"/>
      <c r="I2769" s="22" t="n"/>
      <c r="J2769" s="21">
        <f>IF(C2769="","",IFERROR(INDEX(Clientes!$B:$B,MATCH(C2769,Clientes!$A:$A,0)),"Cód. não cadastrado"))</f>
        <v/>
      </c>
      <c r="K2769" s="18">
        <f>IF(B2769="","",YEAR(B2769))</f>
        <v/>
      </c>
      <c r="L2769" s="18">
        <f>IF(B2769="","",MONTH(B2769))</f>
        <v/>
      </c>
      <c r="M2769" s="18">
        <f>IF(OR(B2769="",I2769=""),"",I2769-B2769)</f>
        <v/>
      </c>
      <c r="N2769" s="21">
        <f>IF(B2769="","",IF(I2769="",IF(H2769="","",IF(TODAY()&gt;H2769,"Atrasado (em aberto)","Em aberto")),IF(I2769&lt;=H2769,"No prazo","Fora do prazo")))</f>
        <v/>
      </c>
    </row>
    <row r="2770">
      <c r="B2770" s="22" t="n"/>
      <c r="E2770" s="23" t="n"/>
      <c r="F2770" s="24" t="n"/>
      <c r="H2770" s="22" t="n"/>
      <c r="I2770" s="22" t="n"/>
      <c r="J2770" s="21">
        <f>IF(C2770="","",IFERROR(INDEX(Clientes!$B:$B,MATCH(C2770,Clientes!$A:$A,0)),"Cód. não cadastrado"))</f>
        <v/>
      </c>
      <c r="K2770" s="18">
        <f>IF(B2770="","",YEAR(B2770))</f>
        <v/>
      </c>
      <c r="L2770" s="18">
        <f>IF(B2770="","",MONTH(B2770))</f>
        <v/>
      </c>
      <c r="M2770" s="18">
        <f>IF(OR(B2770="",I2770=""),"",I2770-B2770)</f>
        <v/>
      </c>
      <c r="N2770" s="21">
        <f>IF(B2770="","",IF(I2770="",IF(H2770="","",IF(TODAY()&gt;H2770,"Atrasado (em aberto)","Em aberto")),IF(I2770&lt;=H2770,"No prazo","Fora do prazo")))</f>
        <v/>
      </c>
    </row>
    <row r="2771">
      <c r="B2771" s="22" t="n"/>
      <c r="E2771" s="23" t="n"/>
      <c r="F2771" s="24" t="n"/>
      <c r="H2771" s="22" t="n"/>
      <c r="I2771" s="22" t="n"/>
      <c r="J2771" s="21">
        <f>IF(C2771="","",IFERROR(INDEX(Clientes!$B:$B,MATCH(C2771,Clientes!$A:$A,0)),"Cód. não cadastrado"))</f>
        <v/>
      </c>
      <c r="K2771" s="18">
        <f>IF(B2771="","",YEAR(B2771))</f>
        <v/>
      </c>
      <c r="L2771" s="18">
        <f>IF(B2771="","",MONTH(B2771))</f>
        <v/>
      </c>
      <c r="M2771" s="18">
        <f>IF(OR(B2771="",I2771=""),"",I2771-B2771)</f>
        <v/>
      </c>
      <c r="N2771" s="21">
        <f>IF(B2771="","",IF(I2771="",IF(H2771="","",IF(TODAY()&gt;H2771,"Atrasado (em aberto)","Em aberto")),IF(I2771&lt;=H2771,"No prazo","Fora do prazo")))</f>
        <v/>
      </c>
    </row>
    <row r="2772">
      <c r="B2772" s="22" t="n"/>
      <c r="E2772" s="23" t="n"/>
      <c r="F2772" s="24" t="n"/>
      <c r="H2772" s="22" t="n"/>
      <c r="I2772" s="22" t="n"/>
      <c r="J2772" s="21">
        <f>IF(C2772="","",IFERROR(INDEX(Clientes!$B:$B,MATCH(C2772,Clientes!$A:$A,0)),"Cód. não cadastrado"))</f>
        <v/>
      </c>
      <c r="K2772" s="18">
        <f>IF(B2772="","",YEAR(B2772))</f>
        <v/>
      </c>
      <c r="L2772" s="18">
        <f>IF(B2772="","",MONTH(B2772))</f>
        <v/>
      </c>
      <c r="M2772" s="18">
        <f>IF(OR(B2772="",I2772=""),"",I2772-B2772)</f>
        <v/>
      </c>
      <c r="N2772" s="21">
        <f>IF(B2772="","",IF(I2772="",IF(H2772="","",IF(TODAY()&gt;H2772,"Atrasado (em aberto)","Em aberto")),IF(I2772&lt;=H2772,"No prazo","Fora do prazo")))</f>
        <v/>
      </c>
    </row>
    <row r="2773">
      <c r="B2773" s="22" t="n"/>
      <c r="E2773" s="23" t="n"/>
      <c r="F2773" s="24" t="n"/>
      <c r="H2773" s="22" t="n"/>
      <c r="I2773" s="22" t="n"/>
      <c r="J2773" s="21">
        <f>IF(C2773="","",IFERROR(INDEX(Clientes!$B:$B,MATCH(C2773,Clientes!$A:$A,0)),"Cód. não cadastrado"))</f>
        <v/>
      </c>
      <c r="K2773" s="18">
        <f>IF(B2773="","",YEAR(B2773))</f>
        <v/>
      </c>
      <c r="L2773" s="18">
        <f>IF(B2773="","",MONTH(B2773))</f>
        <v/>
      </c>
      <c r="M2773" s="18">
        <f>IF(OR(B2773="",I2773=""),"",I2773-B2773)</f>
        <v/>
      </c>
      <c r="N2773" s="21">
        <f>IF(B2773="","",IF(I2773="",IF(H2773="","",IF(TODAY()&gt;H2773,"Atrasado (em aberto)","Em aberto")),IF(I2773&lt;=H2773,"No prazo","Fora do prazo")))</f>
        <v/>
      </c>
    </row>
    <row r="2774">
      <c r="B2774" s="22" t="n"/>
      <c r="E2774" s="23" t="n"/>
      <c r="F2774" s="24" t="n"/>
      <c r="H2774" s="22" t="n"/>
      <c r="I2774" s="22" t="n"/>
      <c r="J2774" s="21">
        <f>IF(C2774="","",IFERROR(INDEX(Clientes!$B:$B,MATCH(C2774,Clientes!$A:$A,0)),"Cód. não cadastrado"))</f>
        <v/>
      </c>
      <c r="K2774" s="18">
        <f>IF(B2774="","",YEAR(B2774))</f>
        <v/>
      </c>
      <c r="L2774" s="18">
        <f>IF(B2774="","",MONTH(B2774))</f>
        <v/>
      </c>
      <c r="M2774" s="18">
        <f>IF(OR(B2774="",I2774=""),"",I2774-B2774)</f>
        <v/>
      </c>
      <c r="N2774" s="21">
        <f>IF(B2774="","",IF(I2774="",IF(H2774="","",IF(TODAY()&gt;H2774,"Atrasado (em aberto)","Em aberto")),IF(I2774&lt;=H2774,"No prazo","Fora do prazo")))</f>
        <v/>
      </c>
    </row>
    <row r="2775">
      <c r="B2775" s="22" t="n"/>
      <c r="E2775" s="23" t="n"/>
      <c r="F2775" s="24" t="n"/>
      <c r="H2775" s="22" t="n"/>
      <c r="I2775" s="22" t="n"/>
      <c r="J2775" s="21">
        <f>IF(C2775="","",IFERROR(INDEX(Clientes!$B:$B,MATCH(C2775,Clientes!$A:$A,0)),"Cód. não cadastrado"))</f>
        <v/>
      </c>
      <c r="K2775" s="18">
        <f>IF(B2775="","",YEAR(B2775))</f>
        <v/>
      </c>
      <c r="L2775" s="18">
        <f>IF(B2775="","",MONTH(B2775))</f>
        <v/>
      </c>
      <c r="M2775" s="18">
        <f>IF(OR(B2775="",I2775=""),"",I2775-B2775)</f>
        <v/>
      </c>
      <c r="N2775" s="21">
        <f>IF(B2775="","",IF(I2775="",IF(H2775="","",IF(TODAY()&gt;H2775,"Atrasado (em aberto)","Em aberto")),IF(I2775&lt;=H2775,"No prazo","Fora do prazo")))</f>
        <v/>
      </c>
    </row>
    <row r="2776">
      <c r="B2776" s="22" t="n"/>
      <c r="E2776" s="23" t="n"/>
      <c r="F2776" s="24" t="n"/>
      <c r="H2776" s="22" t="n"/>
      <c r="I2776" s="22" t="n"/>
      <c r="J2776" s="21">
        <f>IF(C2776="","",IFERROR(INDEX(Clientes!$B:$B,MATCH(C2776,Clientes!$A:$A,0)),"Cód. não cadastrado"))</f>
        <v/>
      </c>
      <c r="K2776" s="18">
        <f>IF(B2776="","",YEAR(B2776))</f>
        <v/>
      </c>
      <c r="L2776" s="18">
        <f>IF(B2776="","",MONTH(B2776))</f>
        <v/>
      </c>
      <c r="M2776" s="18">
        <f>IF(OR(B2776="",I2776=""),"",I2776-B2776)</f>
        <v/>
      </c>
      <c r="N2776" s="21">
        <f>IF(B2776="","",IF(I2776="",IF(H2776="","",IF(TODAY()&gt;H2776,"Atrasado (em aberto)","Em aberto")),IF(I2776&lt;=H2776,"No prazo","Fora do prazo")))</f>
        <v/>
      </c>
    </row>
    <row r="2777">
      <c r="B2777" s="22" t="n"/>
      <c r="E2777" s="23" t="n"/>
      <c r="F2777" s="24" t="n"/>
      <c r="H2777" s="22" t="n"/>
      <c r="I2777" s="22" t="n"/>
      <c r="J2777" s="21">
        <f>IF(C2777="","",IFERROR(INDEX(Clientes!$B:$B,MATCH(C2777,Clientes!$A:$A,0)),"Cód. não cadastrado"))</f>
        <v/>
      </c>
      <c r="K2777" s="18">
        <f>IF(B2777="","",YEAR(B2777))</f>
        <v/>
      </c>
      <c r="L2777" s="18">
        <f>IF(B2777="","",MONTH(B2777))</f>
        <v/>
      </c>
      <c r="M2777" s="18">
        <f>IF(OR(B2777="",I2777=""),"",I2777-B2777)</f>
        <v/>
      </c>
      <c r="N2777" s="21">
        <f>IF(B2777="","",IF(I2777="",IF(H2777="","",IF(TODAY()&gt;H2777,"Atrasado (em aberto)","Em aberto")),IF(I2777&lt;=H2777,"No prazo","Fora do prazo")))</f>
        <v/>
      </c>
    </row>
    <row r="2778">
      <c r="B2778" s="22" t="n"/>
      <c r="E2778" s="23" t="n"/>
      <c r="F2778" s="24" t="n"/>
      <c r="H2778" s="22" t="n"/>
      <c r="I2778" s="22" t="n"/>
      <c r="J2778" s="21">
        <f>IF(C2778="","",IFERROR(INDEX(Clientes!$B:$B,MATCH(C2778,Clientes!$A:$A,0)),"Cód. não cadastrado"))</f>
        <v/>
      </c>
      <c r="K2778" s="18">
        <f>IF(B2778="","",YEAR(B2778))</f>
        <v/>
      </c>
      <c r="L2778" s="18">
        <f>IF(B2778="","",MONTH(B2778))</f>
        <v/>
      </c>
      <c r="M2778" s="18">
        <f>IF(OR(B2778="",I2778=""),"",I2778-B2778)</f>
        <v/>
      </c>
      <c r="N2778" s="21">
        <f>IF(B2778="","",IF(I2778="",IF(H2778="","",IF(TODAY()&gt;H2778,"Atrasado (em aberto)","Em aberto")),IF(I2778&lt;=H2778,"No prazo","Fora do prazo")))</f>
        <v/>
      </c>
    </row>
    <row r="2779">
      <c r="B2779" s="22" t="n"/>
      <c r="E2779" s="23" t="n"/>
      <c r="F2779" s="24" t="n"/>
      <c r="H2779" s="22" t="n"/>
      <c r="I2779" s="22" t="n"/>
      <c r="J2779" s="21">
        <f>IF(C2779="","",IFERROR(INDEX(Clientes!$B:$B,MATCH(C2779,Clientes!$A:$A,0)),"Cód. não cadastrado"))</f>
        <v/>
      </c>
      <c r="K2779" s="18">
        <f>IF(B2779="","",YEAR(B2779))</f>
        <v/>
      </c>
      <c r="L2779" s="18">
        <f>IF(B2779="","",MONTH(B2779))</f>
        <v/>
      </c>
      <c r="M2779" s="18">
        <f>IF(OR(B2779="",I2779=""),"",I2779-B2779)</f>
        <v/>
      </c>
      <c r="N2779" s="21">
        <f>IF(B2779="","",IF(I2779="",IF(H2779="","",IF(TODAY()&gt;H2779,"Atrasado (em aberto)","Em aberto")),IF(I2779&lt;=H2779,"No prazo","Fora do prazo")))</f>
        <v/>
      </c>
    </row>
    <row r="2780">
      <c r="B2780" s="22" t="n"/>
      <c r="E2780" s="23" t="n"/>
      <c r="F2780" s="24" t="n"/>
      <c r="H2780" s="22" t="n"/>
      <c r="I2780" s="22" t="n"/>
      <c r="J2780" s="21">
        <f>IF(C2780="","",IFERROR(INDEX(Clientes!$B:$B,MATCH(C2780,Clientes!$A:$A,0)),"Cód. não cadastrado"))</f>
        <v/>
      </c>
      <c r="K2780" s="18">
        <f>IF(B2780="","",YEAR(B2780))</f>
        <v/>
      </c>
      <c r="L2780" s="18">
        <f>IF(B2780="","",MONTH(B2780))</f>
        <v/>
      </c>
      <c r="M2780" s="18">
        <f>IF(OR(B2780="",I2780=""),"",I2780-B2780)</f>
        <v/>
      </c>
      <c r="N2780" s="21">
        <f>IF(B2780="","",IF(I2780="",IF(H2780="","",IF(TODAY()&gt;H2780,"Atrasado (em aberto)","Em aberto")),IF(I2780&lt;=H2780,"No prazo","Fora do prazo")))</f>
        <v/>
      </c>
    </row>
    <row r="2781">
      <c r="B2781" s="22" t="n"/>
      <c r="E2781" s="23" t="n"/>
      <c r="F2781" s="24" t="n"/>
      <c r="H2781" s="22" t="n"/>
      <c r="I2781" s="22" t="n"/>
      <c r="J2781" s="21">
        <f>IF(C2781="","",IFERROR(INDEX(Clientes!$B:$B,MATCH(C2781,Clientes!$A:$A,0)),"Cód. não cadastrado"))</f>
        <v/>
      </c>
      <c r="K2781" s="18">
        <f>IF(B2781="","",YEAR(B2781))</f>
        <v/>
      </c>
      <c r="L2781" s="18">
        <f>IF(B2781="","",MONTH(B2781))</f>
        <v/>
      </c>
      <c r="M2781" s="18">
        <f>IF(OR(B2781="",I2781=""),"",I2781-B2781)</f>
        <v/>
      </c>
      <c r="N2781" s="21">
        <f>IF(B2781="","",IF(I2781="",IF(H2781="","",IF(TODAY()&gt;H2781,"Atrasado (em aberto)","Em aberto")),IF(I2781&lt;=H2781,"No prazo","Fora do prazo")))</f>
        <v/>
      </c>
    </row>
    <row r="2782">
      <c r="B2782" s="22" t="n"/>
      <c r="E2782" s="23" t="n"/>
      <c r="F2782" s="24" t="n"/>
      <c r="H2782" s="22" t="n"/>
      <c r="I2782" s="22" t="n"/>
      <c r="J2782" s="21">
        <f>IF(C2782="","",IFERROR(INDEX(Clientes!$B:$B,MATCH(C2782,Clientes!$A:$A,0)),"Cód. não cadastrado"))</f>
        <v/>
      </c>
      <c r="K2782" s="18">
        <f>IF(B2782="","",YEAR(B2782))</f>
        <v/>
      </c>
      <c r="L2782" s="18">
        <f>IF(B2782="","",MONTH(B2782))</f>
        <v/>
      </c>
      <c r="M2782" s="18">
        <f>IF(OR(B2782="",I2782=""),"",I2782-B2782)</f>
        <v/>
      </c>
      <c r="N2782" s="21">
        <f>IF(B2782="","",IF(I2782="",IF(H2782="","",IF(TODAY()&gt;H2782,"Atrasado (em aberto)","Em aberto")),IF(I2782&lt;=H2782,"No prazo","Fora do prazo")))</f>
        <v/>
      </c>
    </row>
    <row r="2783">
      <c r="B2783" s="22" t="n"/>
      <c r="E2783" s="23" t="n"/>
      <c r="F2783" s="24" t="n"/>
      <c r="H2783" s="22" t="n"/>
      <c r="I2783" s="22" t="n"/>
      <c r="J2783" s="21">
        <f>IF(C2783="","",IFERROR(INDEX(Clientes!$B:$B,MATCH(C2783,Clientes!$A:$A,0)),"Cód. não cadastrado"))</f>
        <v/>
      </c>
      <c r="K2783" s="18">
        <f>IF(B2783="","",YEAR(B2783))</f>
        <v/>
      </c>
      <c r="L2783" s="18">
        <f>IF(B2783="","",MONTH(B2783))</f>
        <v/>
      </c>
      <c r="M2783" s="18">
        <f>IF(OR(B2783="",I2783=""),"",I2783-B2783)</f>
        <v/>
      </c>
      <c r="N2783" s="21">
        <f>IF(B2783="","",IF(I2783="",IF(H2783="","",IF(TODAY()&gt;H2783,"Atrasado (em aberto)","Em aberto")),IF(I2783&lt;=H2783,"No prazo","Fora do prazo")))</f>
        <v/>
      </c>
    </row>
    <row r="2784">
      <c r="B2784" s="22" t="n"/>
      <c r="E2784" s="23" t="n"/>
      <c r="F2784" s="24" t="n"/>
      <c r="H2784" s="22" t="n"/>
      <c r="I2784" s="22" t="n"/>
      <c r="J2784" s="21">
        <f>IF(C2784="","",IFERROR(INDEX(Clientes!$B:$B,MATCH(C2784,Clientes!$A:$A,0)),"Cód. não cadastrado"))</f>
        <v/>
      </c>
      <c r="K2784" s="18">
        <f>IF(B2784="","",YEAR(B2784))</f>
        <v/>
      </c>
      <c r="L2784" s="18">
        <f>IF(B2784="","",MONTH(B2784))</f>
        <v/>
      </c>
      <c r="M2784" s="18">
        <f>IF(OR(B2784="",I2784=""),"",I2784-B2784)</f>
        <v/>
      </c>
      <c r="N2784" s="21">
        <f>IF(B2784="","",IF(I2784="",IF(H2784="","",IF(TODAY()&gt;H2784,"Atrasado (em aberto)","Em aberto")),IF(I2784&lt;=H2784,"No prazo","Fora do prazo")))</f>
        <v/>
      </c>
    </row>
    <row r="2785">
      <c r="B2785" s="22" t="n"/>
      <c r="E2785" s="23" t="n"/>
      <c r="F2785" s="24" t="n"/>
      <c r="H2785" s="22" t="n"/>
      <c r="I2785" s="22" t="n"/>
      <c r="J2785" s="21">
        <f>IF(C2785="","",IFERROR(INDEX(Clientes!$B:$B,MATCH(C2785,Clientes!$A:$A,0)),"Cód. não cadastrado"))</f>
        <v/>
      </c>
      <c r="K2785" s="18">
        <f>IF(B2785="","",YEAR(B2785))</f>
        <v/>
      </c>
      <c r="L2785" s="18">
        <f>IF(B2785="","",MONTH(B2785))</f>
        <v/>
      </c>
      <c r="M2785" s="18">
        <f>IF(OR(B2785="",I2785=""),"",I2785-B2785)</f>
        <v/>
      </c>
      <c r="N2785" s="21">
        <f>IF(B2785="","",IF(I2785="",IF(H2785="","",IF(TODAY()&gt;H2785,"Atrasado (em aberto)","Em aberto")),IF(I2785&lt;=H2785,"No prazo","Fora do prazo")))</f>
        <v/>
      </c>
    </row>
    <row r="2786">
      <c r="B2786" s="22" t="n"/>
      <c r="E2786" s="23" t="n"/>
      <c r="F2786" s="24" t="n"/>
      <c r="H2786" s="22" t="n"/>
      <c r="I2786" s="22" t="n"/>
      <c r="J2786" s="21">
        <f>IF(C2786="","",IFERROR(INDEX(Clientes!$B:$B,MATCH(C2786,Clientes!$A:$A,0)),"Cód. não cadastrado"))</f>
        <v/>
      </c>
      <c r="K2786" s="18">
        <f>IF(B2786="","",YEAR(B2786))</f>
        <v/>
      </c>
      <c r="L2786" s="18">
        <f>IF(B2786="","",MONTH(B2786))</f>
        <v/>
      </c>
      <c r="M2786" s="18">
        <f>IF(OR(B2786="",I2786=""),"",I2786-B2786)</f>
        <v/>
      </c>
      <c r="N2786" s="21">
        <f>IF(B2786="","",IF(I2786="",IF(H2786="","",IF(TODAY()&gt;H2786,"Atrasado (em aberto)","Em aberto")),IF(I2786&lt;=H2786,"No prazo","Fora do prazo")))</f>
        <v/>
      </c>
    </row>
    <row r="2787">
      <c r="B2787" s="22" t="n"/>
      <c r="E2787" s="23" t="n"/>
      <c r="F2787" s="24" t="n"/>
      <c r="H2787" s="22" t="n"/>
      <c r="I2787" s="22" t="n"/>
      <c r="J2787" s="21">
        <f>IF(C2787="","",IFERROR(INDEX(Clientes!$B:$B,MATCH(C2787,Clientes!$A:$A,0)),"Cód. não cadastrado"))</f>
        <v/>
      </c>
      <c r="K2787" s="18">
        <f>IF(B2787="","",YEAR(B2787))</f>
        <v/>
      </c>
      <c r="L2787" s="18">
        <f>IF(B2787="","",MONTH(B2787))</f>
        <v/>
      </c>
      <c r="M2787" s="18">
        <f>IF(OR(B2787="",I2787=""),"",I2787-B2787)</f>
        <v/>
      </c>
      <c r="N2787" s="21">
        <f>IF(B2787="","",IF(I2787="",IF(H2787="","",IF(TODAY()&gt;H2787,"Atrasado (em aberto)","Em aberto")),IF(I2787&lt;=H2787,"No prazo","Fora do prazo")))</f>
        <v/>
      </c>
    </row>
    <row r="2788">
      <c r="B2788" s="22" t="n"/>
      <c r="E2788" s="23" t="n"/>
      <c r="F2788" s="24" t="n"/>
      <c r="H2788" s="22" t="n"/>
      <c r="I2788" s="22" t="n"/>
      <c r="J2788" s="21">
        <f>IF(C2788="","",IFERROR(INDEX(Clientes!$B:$B,MATCH(C2788,Clientes!$A:$A,0)),"Cód. não cadastrado"))</f>
        <v/>
      </c>
      <c r="K2788" s="18">
        <f>IF(B2788="","",YEAR(B2788))</f>
        <v/>
      </c>
      <c r="L2788" s="18">
        <f>IF(B2788="","",MONTH(B2788))</f>
        <v/>
      </c>
      <c r="M2788" s="18">
        <f>IF(OR(B2788="",I2788=""),"",I2788-B2788)</f>
        <v/>
      </c>
      <c r="N2788" s="21">
        <f>IF(B2788="","",IF(I2788="",IF(H2788="","",IF(TODAY()&gt;H2788,"Atrasado (em aberto)","Em aberto")),IF(I2788&lt;=H2788,"No prazo","Fora do prazo")))</f>
        <v/>
      </c>
    </row>
    <row r="2789">
      <c r="B2789" s="22" t="n"/>
      <c r="E2789" s="23" t="n"/>
      <c r="F2789" s="24" t="n"/>
      <c r="H2789" s="22" t="n"/>
      <c r="I2789" s="22" t="n"/>
      <c r="J2789" s="21">
        <f>IF(C2789="","",IFERROR(INDEX(Clientes!$B:$B,MATCH(C2789,Clientes!$A:$A,0)),"Cód. não cadastrado"))</f>
        <v/>
      </c>
      <c r="K2789" s="18">
        <f>IF(B2789="","",YEAR(B2789))</f>
        <v/>
      </c>
      <c r="L2789" s="18">
        <f>IF(B2789="","",MONTH(B2789))</f>
        <v/>
      </c>
      <c r="M2789" s="18">
        <f>IF(OR(B2789="",I2789=""),"",I2789-B2789)</f>
        <v/>
      </c>
      <c r="N2789" s="21">
        <f>IF(B2789="","",IF(I2789="",IF(H2789="","",IF(TODAY()&gt;H2789,"Atrasado (em aberto)","Em aberto")),IF(I2789&lt;=H2789,"No prazo","Fora do prazo")))</f>
        <v/>
      </c>
    </row>
    <row r="2790">
      <c r="B2790" s="22" t="n"/>
      <c r="E2790" s="23" t="n"/>
      <c r="F2790" s="24" t="n"/>
      <c r="H2790" s="22" t="n"/>
      <c r="I2790" s="22" t="n"/>
      <c r="J2790" s="21">
        <f>IF(C2790="","",IFERROR(INDEX(Clientes!$B:$B,MATCH(C2790,Clientes!$A:$A,0)),"Cód. não cadastrado"))</f>
        <v/>
      </c>
      <c r="K2790" s="18">
        <f>IF(B2790="","",YEAR(B2790))</f>
        <v/>
      </c>
      <c r="L2790" s="18">
        <f>IF(B2790="","",MONTH(B2790))</f>
        <v/>
      </c>
      <c r="M2790" s="18">
        <f>IF(OR(B2790="",I2790=""),"",I2790-B2790)</f>
        <v/>
      </c>
      <c r="N2790" s="21">
        <f>IF(B2790="","",IF(I2790="",IF(H2790="","",IF(TODAY()&gt;H2790,"Atrasado (em aberto)","Em aberto")),IF(I2790&lt;=H2790,"No prazo","Fora do prazo")))</f>
        <v/>
      </c>
    </row>
    <row r="2791">
      <c r="B2791" s="22" t="n"/>
      <c r="E2791" s="23" t="n"/>
      <c r="F2791" s="24" t="n"/>
      <c r="H2791" s="22" t="n"/>
      <c r="I2791" s="22" t="n"/>
      <c r="J2791" s="21">
        <f>IF(C2791="","",IFERROR(INDEX(Clientes!$B:$B,MATCH(C2791,Clientes!$A:$A,0)),"Cód. não cadastrado"))</f>
        <v/>
      </c>
      <c r="K2791" s="18">
        <f>IF(B2791="","",YEAR(B2791))</f>
        <v/>
      </c>
      <c r="L2791" s="18">
        <f>IF(B2791="","",MONTH(B2791))</f>
        <v/>
      </c>
      <c r="M2791" s="18">
        <f>IF(OR(B2791="",I2791=""),"",I2791-B2791)</f>
        <v/>
      </c>
      <c r="N2791" s="21">
        <f>IF(B2791="","",IF(I2791="",IF(H2791="","",IF(TODAY()&gt;H2791,"Atrasado (em aberto)","Em aberto")),IF(I2791&lt;=H2791,"No prazo","Fora do prazo")))</f>
        <v/>
      </c>
    </row>
    <row r="2792">
      <c r="B2792" s="22" t="n"/>
      <c r="E2792" s="23" t="n"/>
      <c r="F2792" s="24" t="n"/>
      <c r="H2792" s="22" t="n"/>
      <c r="I2792" s="22" t="n"/>
      <c r="J2792" s="21">
        <f>IF(C2792="","",IFERROR(INDEX(Clientes!$B:$B,MATCH(C2792,Clientes!$A:$A,0)),"Cód. não cadastrado"))</f>
        <v/>
      </c>
      <c r="K2792" s="18">
        <f>IF(B2792="","",YEAR(B2792))</f>
        <v/>
      </c>
      <c r="L2792" s="18">
        <f>IF(B2792="","",MONTH(B2792))</f>
        <v/>
      </c>
      <c r="M2792" s="18">
        <f>IF(OR(B2792="",I2792=""),"",I2792-B2792)</f>
        <v/>
      </c>
      <c r="N2792" s="21">
        <f>IF(B2792="","",IF(I2792="",IF(H2792="","",IF(TODAY()&gt;H2792,"Atrasado (em aberto)","Em aberto")),IF(I2792&lt;=H2792,"No prazo","Fora do prazo")))</f>
        <v/>
      </c>
    </row>
    <row r="2793">
      <c r="B2793" s="22" t="n"/>
      <c r="E2793" s="23" t="n"/>
      <c r="F2793" s="24" t="n"/>
      <c r="H2793" s="22" t="n"/>
      <c r="I2793" s="22" t="n"/>
      <c r="J2793" s="21">
        <f>IF(C2793="","",IFERROR(INDEX(Clientes!$B:$B,MATCH(C2793,Clientes!$A:$A,0)),"Cód. não cadastrado"))</f>
        <v/>
      </c>
      <c r="K2793" s="18">
        <f>IF(B2793="","",YEAR(B2793))</f>
        <v/>
      </c>
      <c r="L2793" s="18">
        <f>IF(B2793="","",MONTH(B2793))</f>
        <v/>
      </c>
      <c r="M2793" s="18">
        <f>IF(OR(B2793="",I2793=""),"",I2793-B2793)</f>
        <v/>
      </c>
      <c r="N2793" s="21">
        <f>IF(B2793="","",IF(I2793="",IF(H2793="","",IF(TODAY()&gt;H2793,"Atrasado (em aberto)","Em aberto")),IF(I2793&lt;=H2793,"No prazo","Fora do prazo")))</f>
        <v/>
      </c>
    </row>
    <row r="2794">
      <c r="B2794" s="22" t="n"/>
      <c r="E2794" s="23" t="n"/>
      <c r="F2794" s="24" t="n"/>
      <c r="H2794" s="22" t="n"/>
      <c r="I2794" s="22" t="n"/>
      <c r="J2794" s="21">
        <f>IF(C2794="","",IFERROR(INDEX(Clientes!$B:$B,MATCH(C2794,Clientes!$A:$A,0)),"Cód. não cadastrado"))</f>
        <v/>
      </c>
      <c r="K2794" s="18">
        <f>IF(B2794="","",YEAR(B2794))</f>
        <v/>
      </c>
      <c r="L2794" s="18">
        <f>IF(B2794="","",MONTH(B2794))</f>
        <v/>
      </c>
      <c r="M2794" s="18">
        <f>IF(OR(B2794="",I2794=""),"",I2794-B2794)</f>
        <v/>
      </c>
      <c r="N2794" s="21">
        <f>IF(B2794="","",IF(I2794="",IF(H2794="","",IF(TODAY()&gt;H2794,"Atrasado (em aberto)","Em aberto")),IF(I2794&lt;=H2794,"No prazo","Fora do prazo")))</f>
        <v/>
      </c>
    </row>
    <row r="2795">
      <c r="B2795" s="22" t="n"/>
      <c r="E2795" s="23" t="n"/>
      <c r="F2795" s="24" t="n"/>
      <c r="H2795" s="22" t="n"/>
      <c r="I2795" s="22" t="n"/>
      <c r="J2795" s="21">
        <f>IF(C2795="","",IFERROR(INDEX(Clientes!$B:$B,MATCH(C2795,Clientes!$A:$A,0)),"Cód. não cadastrado"))</f>
        <v/>
      </c>
      <c r="K2795" s="18">
        <f>IF(B2795="","",YEAR(B2795))</f>
        <v/>
      </c>
      <c r="L2795" s="18">
        <f>IF(B2795="","",MONTH(B2795))</f>
        <v/>
      </c>
      <c r="M2795" s="18">
        <f>IF(OR(B2795="",I2795=""),"",I2795-B2795)</f>
        <v/>
      </c>
      <c r="N2795" s="21">
        <f>IF(B2795="","",IF(I2795="",IF(H2795="","",IF(TODAY()&gt;H2795,"Atrasado (em aberto)","Em aberto")),IF(I2795&lt;=H2795,"No prazo","Fora do prazo")))</f>
        <v/>
      </c>
    </row>
    <row r="2796">
      <c r="B2796" s="22" t="n"/>
      <c r="E2796" s="23" t="n"/>
      <c r="F2796" s="24" t="n"/>
      <c r="H2796" s="22" t="n"/>
      <c r="I2796" s="22" t="n"/>
      <c r="J2796" s="21">
        <f>IF(C2796="","",IFERROR(INDEX(Clientes!$B:$B,MATCH(C2796,Clientes!$A:$A,0)),"Cód. não cadastrado"))</f>
        <v/>
      </c>
      <c r="K2796" s="18">
        <f>IF(B2796="","",YEAR(B2796))</f>
        <v/>
      </c>
      <c r="L2796" s="18">
        <f>IF(B2796="","",MONTH(B2796))</f>
        <v/>
      </c>
      <c r="M2796" s="18">
        <f>IF(OR(B2796="",I2796=""),"",I2796-B2796)</f>
        <v/>
      </c>
      <c r="N2796" s="21">
        <f>IF(B2796="","",IF(I2796="",IF(H2796="","",IF(TODAY()&gt;H2796,"Atrasado (em aberto)","Em aberto")),IF(I2796&lt;=H2796,"No prazo","Fora do prazo")))</f>
        <v/>
      </c>
    </row>
    <row r="2797">
      <c r="B2797" s="22" t="n"/>
      <c r="E2797" s="23" t="n"/>
      <c r="F2797" s="24" t="n"/>
      <c r="H2797" s="22" t="n"/>
      <c r="I2797" s="22" t="n"/>
      <c r="J2797" s="21">
        <f>IF(C2797="","",IFERROR(INDEX(Clientes!$B:$B,MATCH(C2797,Clientes!$A:$A,0)),"Cód. não cadastrado"))</f>
        <v/>
      </c>
      <c r="K2797" s="18">
        <f>IF(B2797="","",YEAR(B2797))</f>
        <v/>
      </c>
      <c r="L2797" s="18">
        <f>IF(B2797="","",MONTH(B2797))</f>
        <v/>
      </c>
      <c r="M2797" s="18">
        <f>IF(OR(B2797="",I2797=""),"",I2797-B2797)</f>
        <v/>
      </c>
      <c r="N2797" s="21">
        <f>IF(B2797="","",IF(I2797="",IF(H2797="","",IF(TODAY()&gt;H2797,"Atrasado (em aberto)","Em aberto")),IF(I2797&lt;=H2797,"No prazo","Fora do prazo")))</f>
        <v/>
      </c>
    </row>
    <row r="2798">
      <c r="B2798" s="22" t="n"/>
      <c r="E2798" s="23" t="n"/>
      <c r="F2798" s="24" t="n"/>
      <c r="H2798" s="22" t="n"/>
      <c r="I2798" s="22" t="n"/>
      <c r="J2798" s="21">
        <f>IF(C2798="","",IFERROR(INDEX(Clientes!$B:$B,MATCH(C2798,Clientes!$A:$A,0)),"Cód. não cadastrado"))</f>
        <v/>
      </c>
      <c r="K2798" s="18">
        <f>IF(B2798="","",YEAR(B2798))</f>
        <v/>
      </c>
      <c r="L2798" s="18">
        <f>IF(B2798="","",MONTH(B2798))</f>
        <v/>
      </c>
      <c r="M2798" s="18">
        <f>IF(OR(B2798="",I2798=""),"",I2798-B2798)</f>
        <v/>
      </c>
      <c r="N2798" s="21">
        <f>IF(B2798="","",IF(I2798="",IF(H2798="","",IF(TODAY()&gt;H2798,"Atrasado (em aberto)","Em aberto")),IF(I2798&lt;=H2798,"No prazo","Fora do prazo")))</f>
        <v/>
      </c>
    </row>
    <row r="2799">
      <c r="B2799" s="22" t="n"/>
      <c r="E2799" s="23" t="n"/>
      <c r="F2799" s="24" t="n"/>
      <c r="H2799" s="22" t="n"/>
      <c r="I2799" s="22" t="n"/>
      <c r="J2799" s="21">
        <f>IF(C2799="","",IFERROR(INDEX(Clientes!$B:$B,MATCH(C2799,Clientes!$A:$A,0)),"Cód. não cadastrado"))</f>
        <v/>
      </c>
      <c r="K2799" s="18">
        <f>IF(B2799="","",YEAR(B2799))</f>
        <v/>
      </c>
      <c r="L2799" s="18">
        <f>IF(B2799="","",MONTH(B2799))</f>
        <v/>
      </c>
      <c r="M2799" s="18">
        <f>IF(OR(B2799="",I2799=""),"",I2799-B2799)</f>
        <v/>
      </c>
      <c r="N2799" s="21">
        <f>IF(B2799="","",IF(I2799="",IF(H2799="","",IF(TODAY()&gt;H2799,"Atrasado (em aberto)","Em aberto")),IF(I2799&lt;=H2799,"No prazo","Fora do prazo")))</f>
        <v/>
      </c>
    </row>
    <row r="2800">
      <c r="B2800" s="22" t="n"/>
      <c r="E2800" s="23" t="n"/>
      <c r="F2800" s="24" t="n"/>
      <c r="H2800" s="22" t="n"/>
      <c r="I2800" s="22" t="n"/>
      <c r="J2800" s="21">
        <f>IF(C2800="","",IFERROR(INDEX(Clientes!$B:$B,MATCH(C2800,Clientes!$A:$A,0)),"Cód. não cadastrado"))</f>
        <v/>
      </c>
      <c r="K2800" s="18">
        <f>IF(B2800="","",YEAR(B2800))</f>
        <v/>
      </c>
      <c r="L2800" s="18">
        <f>IF(B2800="","",MONTH(B2800))</f>
        <v/>
      </c>
      <c r="M2800" s="18">
        <f>IF(OR(B2800="",I2800=""),"",I2800-B2800)</f>
        <v/>
      </c>
      <c r="N2800" s="21">
        <f>IF(B2800="","",IF(I2800="",IF(H2800="","",IF(TODAY()&gt;H2800,"Atrasado (em aberto)","Em aberto")),IF(I2800&lt;=H2800,"No prazo","Fora do prazo")))</f>
        <v/>
      </c>
    </row>
    <row r="2801">
      <c r="B2801" s="22" t="n"/>
      <c r="E2801" s="23" t="n"/>
      <c r="F2801" s="24" t="n"/>
      <c r="H2801" s="22" t="n"/>
      <c r="I2801" s="22" t="n"/>
      <c r="J2801" s="21">
        <f>IF(C2801="","",IFERROR(INDEX(Clientes!$B:$B,MATCH(C2801,Clientes!$A:$A,0)),"Cód. não cadastrado"))</f>
        <v/>
      </c>
      <c r="K2801" s="18">
        <f>IF(B2801="","",YEAR(B2801))</f>
        <v/>
      </c>
      <c r="L2801" s="18">
        <f>IF(B2801="","",MONTH(B2801))</f>
        <v/>
      </c>
      <c r="M2801" s="18">
        <f>IF(OR(B2801="",I2801=""),"",I2801-B2801)</f>
        <v/>
      </c>
      <c r="N2801" s="21">
        <f>IF(B2801="","",IF(I2801="",IF(H2801="","",IF(TODAY()&gt;H2801,"Atrasado (em aberto)","Em aberto")),IF(I2801&lt;=H2801,"No prazo","Fora do prazo")))</f>
        <v/>
      </c>
    </row>
    <row r="2802">
      <c r="B2802" s="22" t="n"/>
      <c r="E2802" s="23" t="n"/>
      <c r="F2802" s="24" t="n"/>
      <c r="H2802" s="22" t="n"/>
      <c r="I2802" s="22" t="n"/>
      <c r="J2802" s="21">
        <f>IF(C2802="","",IFERROR(INDEX(Clientes!$B:$B,MATCH(C2802,Clientes!$A:$A,0)),"Cód. não cadastrado"))</f>
        <v/>
      </c>
      <c r="K2802" s="18">
        <f>IF(B2802="","",YEAR(B2802))</f>
        <v/>
      </c>
      <c r="L2802" s="18">
        <f>IF(B2802="","",MONTH(B2802))</f>
        <v/>
      </c>
      <c r="M2802" s="18">
        <f>IF(OR(B2802="",I2802=""),"",I2802-B2802)</f>
        <v/>
      </c>
      <c r="N2802" s="21">
        <f>IF(B2802="","",IF(I2802="",IF(H2802="","",IF(TODAY()&gt;H2802,"Atrasado (em aberto)","Em aberto")),IF(I2802&lt;=H2802,"No prazo","Fora do prazo")))</f>
        <v/>
      </c>
    </row>
    <row r="2803">
      <c r="B2803" s="22" t="n"/>
      <c r="E2803" s="23" t="n"/>
      <c r="F2803" s="24" t="n"/>
      <c r="H2803" s="22" t="n"/>
      <c r="I2803" s="22" t="n"/>
      <c r="J2803" s="21">
        <f>IF(C2803="","",IFERROR(INDEX(Clientes!$B:$B,MATCH(C2803,Clientes!$A:$A,0)),"Cód. não cadastrado"))</f>
        <v/>
      </c>
      <c r="K2803" s="18">
        <f>IF(B2803="","",YEAR(B2803))</f>
        <v/>
      </c>
      <c r="L2803" s="18">
        <f>IF(B2803="","",MONTH(B2803))</f>
        <v/>
      </c>
      <c r="M2803" s="18">
        <f>IF(OR(B2803="",I2803=""),"",I2803-B2803)</f>
        <v/>
      </c>
      <c r="N2803" s="21">
        <f>IF(B2803="","",IF(I2803="",IF(H2803="","",IF(TODAY()&gt;H2803,"Atrasado (em aberto)","Em aberto")),IF(I2803&lt;=H2803,"No prazo","Fora do prazo")))</f>
        <v/>
      </c>
    </row>
    <row r="2804">
      <c r="B2804" s="22" t="n"/>
      <c r="E2804" s="23" t="n"/>
      <c r="F2804" s="24" t="n"/>
      <c r="H2804" s="22" t="n"/>
      <c r="I2804" s="22" t="n"/>
      <c r="J2804" s="21">
        <f>IF(C2804="","",IFERROR(INDEX(Clientes!$B:$B,MATCH(C2804,Clientes!$A:$A,0)),"Cód. não cadastrado"))</f>
        <v/>
      </c>
      <c r="K2804" s="18">
        <f>IF(B2804="","",YEAR(B2804))</f>
        <v/>
      </c>
      <c r="L2804" s="18">
        <f>IF(B2804="","",MONTH(B2804))</f>
        <v/>
      </c>
      <c r="M2804" s="18">
        <f>IF(OR(B2804="",I2804=""),"",I2804-B2804)</f>
        <v/>
      </c>
      <c r="N2804" s="21">
        <f>IF(B2804="","",IF(I2804="",IF(H2804="","",IF(TODAY()&gt;H2804,"Atrasado (em aberto)","Em aberto")),IF(I2804&lt;=H2804,"No prazo","Fora do prazo")))</f>
        <v/>
      </c>
    </row>
    <row r="2805">
      <c r="B2805" s="22" t="n"/>
      <c r="E2805" s="23" t="n"/>
      <c r="F2805" s="24" t="n"/>
      <c r="H2805" s="22" t="n"/>
      <c r="I2805" s="22" t="n"/>
      <c r="J2805" s="21">
        <f>IF(C2805="","",IFERROR(INDEX(Clientes!$B:$B,MATCH(C2805,Clientes!$A:$A,0)),"Cód. não cadastrado"))</f>
        <v/>
      </c>
      <c r="K2805" s="18">
        <f>IF(B2805="","",YEAR(B2805))</f>
        <v/>
      </c>
      <c r="L2805" s="18">
        <f>IF(B2805="","",MONTH(B2805))</f>
        <v/>
      </c>
      <c r="M2805" s="18">
        <f>IF(OR(B2805="",I2805=""),"",I2805-B2805)</f>
        <v/>
      </c>
      <c r="N2805" s="21">
        <f>IF(B2805="","",IF(I2805="",IF(H2805="","",IF(TODAY()&gt;H2805,"Atrasado (em aberto)","Em aberto")),IF(I2805&lt;=H2805,"No prazo","Fora do prazo")))</f>
        <v/>
      </c>
    </row>
    <row r="2806">
      <c r="B2806" s="22" t="n"/>
      <c r="E2806" s="23" t="n"/>
      <c r="F2806" s="24" t="n"/>
      <c r="H2806" s="22" t="n"/>
      <c r="I2806" s="22" t="n"/>
      <c r="J2806" s="21">
        <f>IF(C2806="","",IFERROR(INDEX(Clientes!$B:$B,MATCH(C2806,Clientes!$A:$A,0)),"Cód. não cadastrado"))</f>
        <v/>
      </c>
      <c r="K2806" s="18">
        <f>IF(B2806="","",YEAR(B2806))</f>
        <v/>
      </c>
      <c r="L2806" s="18">
        <f>IF(B2806="","",MONTH(B2806))</f>
        <v/>
      </c>
      <c r="M2806" s="18">
        <f>IF(OR(B2806="",I2806=""),"",I2806-B2806)</f>
        <v/>
      </c>
      <c r="N2806" s="21">
        <f>IF(B2806="","",IF(I2806="",IF(H2806="","",IF(TODAY()&gt;H2806,"Atrasado (em aberto)","Em aberto")),IF(I2806&lt;=H2806,"No prazo","Fora do prazo")))</f>
        <v/>
      </c>
    </row>
    <row r="2807">
      <c r="B2807" s="22" t="n"/>
      <c r="E2807" s="23" t="n"/>
      <c r="F2807" s="24" t="n"/>
      <c r="H2807" s="22" t="n"/>
      <c r="I2807" s="22" t="n"/>
      <c r="J2807" s="21">
        <f>IF(C2807="","",IFERROR(INDEX(Clientes!$B:$B,MATCH(C2807,Clientes!$A:$A,0)),"Cód. não cadastrado"))</f>
        <v/>
      </c>
      <c r="K2807" s="18">
        <f>IF(B2807="","",YEAR(B2807))</f>
        <v/>
      </c>
      <c r="L2807" s="18">
        <f>IF(B2807="","",MONTH(B2807))</f>
        <v/>
      </c>
      <c r="M2807" s="18">
        <f>IF(OR(B2807="",I2807=""),"",I2807-B2807)</f>
        <v/>
      </c>
      <c r="N2807" s="21">
        <f>IF(B2807="","",IF(I2807="",IF(H2807="","",IF(TODAY()&gt;H2807,"Atrasado (em aberto)","Em aberto")),IF(I2807&lt;=H2807,"No prazo","Fora do prazo")))</f>
        <v/>
      </c>
    </row>
    <row r="2808">
      <c r="B2808" s="22" t="n"/>
      <c r="E2808" s="23" t="n"/>
      <c r="F2808" s="24" t="n"/>
      <c r="H2808" s="22" t="n"/>
      <c r="I2808" s="22" t="n"/>
      <c r="J2808" s="21">
        <f>IF(C2808="","",IFERROR(INDEX(Clientes!$B:$B,MATCH(C2808,Clientes!$A:$A,0)),"Cód. não cadastrado"))</f>
        <v/>
      </c>
      <c r="K2808" s="18">
        <f>IF(B2808="","",YEAR(B2808))</f>
        <v/>
      </c>
      <c r="L2808" s="18">
        <f>IF(B2808="","",MONTH(B2808))</f>
        <v/>
      </c>
      <c r="M2808" s="18">
        <f>IF(OR(B2808="",I2808=""),"",I2808-B2808)</f>
        <v/>
      </c>
      <c r="N2808" s="21">
        <f>IF(B2808="","",IF(I2808="",IF(H2808="","",IF(TODAY()&gt;H2808,"Atrasado (em aberto)","Em aberto")),IF(I2808&lt;=H2808,"No prazo","Fora do prazo")))</f>
        <v/>
      </c>
    </row>
    <row r="2809">
      <c r="B2809" s="22" t="n"/>
      <c r="E2809" s="23" t="n"/>
      <c r="F2809" s="24" t="n"/>
      <c r="H2809" s="22" t="n"/>
      <c r="I2809" s="22" t="n"/>
      <c r="J2809" s="21">
        <f>IF(C2809="","",IFERROR(INDEX(Clientes!$B:$B,MATCH(C2809,Clientes!$A:$A,0)),"Cód. não cadastrado"))</f>
        <v/>
      </c>
      <c r="K2809" s="18">
        <f>IF(B2809="","",YEAR(B2809))</f>
        <v/>
      </c>
      <c r="L2809" s="18">
        <f>IF(B2809="","",MONTH(B2809))</f>
        <v/>
      </c>
      <c r="M2809" s="18">
        <f>IF(OR(B2809="",I2809=""),"",I2809-B2809)</f>
        <v/>
      </c>
      <c r="N2809" s="21">
        <f>IF(B2809="","",IF(I2809="",IF(H2809="","",IF(TODAY()&gt;H2809,"Atrasado (em aberto)","Em aberto")),IF(I2809&lt;=H2809,"No prazo","Fora do prazo")))</f>
        <v/>
      </c>
    </row>
    <row r="2810">
      <c r="B2810" s="22" t="n"/>
      <c r="E2810" s="23" t="n"/>
      <c r="F2810" s="24" t="n"/>
      <c r="H2810" s="22" t="n"/>
      <c r="I2810" s="22" t="n"/>
      <c r="J2810" s="21">
        <f>IF(C2810="","",IFERROR(INDEX(Clientes!$B:$B,MATCH(C2810,Clientes!$A:$A,0)),"Cód. não cadastrado"))</f>
        <v/>
      </c>
      <c r="K2810" s="18">
        <f>IF(B2810="","",YEAR(B2810))</f>
        <v/>
      </c>
      <c r="L2810" s="18">
        <f>IF(B2810="","",MONTH(B2810))</f>
        <v/>
      </c>
      <c r="M2810" s="18">
        <f>IF(OR(B2810="",I2810=""),"",I2810-B2810)</f>
        <v/>
      </c>
      <c r="N2810" s="21">
        <f>IF(B2810="","",IF(I2810="",IF(H2810="","",IF(TODAY()&gt;H2810,"Atrasado (em aberto)","Em aberto")),IF(I2810&lt;=H2810,"No prazo","Fora do prazo")))</f>
        <v/>
      </c>
    </row>
    <row r="2811">
      <c r="B2811" s="22" t="n"/>
      <c r="E2811" s="23" t="n"/>
      <c r="F2811" s="24" t="n"/>
      <c r="H2811" s="22" t="n"/>
      <c r="I2811" s="22" t="n"/>
      <c r="J2811" s="21">
        <f>IF(C2811="","",IFERROR(INDEX(Clientes!$B:$B,MATCH(C2811,Clientes!$A:$A,0)),"Cód. não cadastrado"))</f>
        <v/>
      </c>
      <c r="K2811" s="18">
        <f>IF(B2811="","",YEAR(B2811))</f>
        <v/>
      </c>
      <c r="L2811" s="18">
        <f>IF(B2811="","",MONTH(B2811))</f>
        <v/>
      </c>
      <c r="M2811" s="18">
        <f>IF(OR(B2811="",I2811=""),"",I2811-B2811)</f>
        <v/>
      </c>
      <c r="N2811" s="21">
        <f>IF(B2811="","",IF(I2811="",IF(H2811="","",IF(TODAY()&gt;H2811,"Atrasado (em aberto)","Em aberto")),IF(I2811&lt;=H2811,"No prazo","Fora do prazo")))</f>
        <v/>
      </c>
    </row>
    <row r="2812">
      <c r="B2812" s="22" t="n"/>
      <c r="E2812" s="23" t="n"/>
      <c r="F2812" s="24" t="n"/>
      <c r="H2812" s="22" t="n"/>
      <c r="I2812" s="22" t="n"/>
      <c r="J2812" s="21">
        <f>IF(C2812="","",IFERROR(INDEX(Clientes!$B:$B,MATCH(C2812,Clientes!$A:$A,0)),"Cód. não cadastrado"))</f>
        <v/>
      </c>
      <c r="K2812" s="18">
        <f>IF(B2812="","",YEAR(B2812))</f>
        <v/>
      </c>
      <c r="L2812" s="18">
        <f>IF(B2812="","",MONTH(B2812))</f>
        <v/>
      </c>
      <c r="M2812" s="18">
        <f>IF(OR(B2812="",I2812=""),"",I2812-B2812)</f>
        <v/>
      </c>
      <c r="N2812" s="21">
        <f>IF(B2812="","",IF(I2812="",IF(H2812="","",IF(TODAY()&gt;H2812,"Atrasado (em aberto)","Em aberto")),IF(I2812&lt;=H2812,"No prazo","Fora do prazo")))</f>
        <v/>
      </c>
    </row>
    <row r="2813">
      <c r="B2813" s="22" t="n"/>
      <c r="E2813" s="23" t="n"/>
      <c r="F2813" s="24" t="n"/>
      <c r="H2813" s="22" t="n"/>
      <c r="I2813" s="22" t="n"/>
      <c r="J2813" s="21">
        <f>IF(C2813="","",IFERROR(INDEX(Clientes!$B:$B,MATCH(C2813,Clientes!$A:$A,0)),"Cód. não cadastrado"))</f>
        <v/>
      </c>
      <c r="K2813" s="18">
        <f>IF(B2813="","",YEAR(B2813))</f>
        <v/>
      </c>
      <c r="L2813" s="18">
        <f>IF(B2813="","",MONTH(B2813))</f>
        <v/>
      </c>
      <c r="M2813" s="18">
        <f>IF(OR(B2813="",I2813=""),"",I2813-B2813)</f>
        <v/>
      </c>
      <c r="N2813" s="21">
        <f>IF(B2813="","",IF(I2813="",IF(H2813="","",IF(TODAY()&gt;H2813,"Atrasado (em aberto)","Em aberto")),IF(I2813&lt;=H2813,"No prazo","Fora do prazo")))</f>
        <v/>
      </c>
    </row>
    <row r="2814">
      <c r="B2814" s="22" t="n"/>
      <c r="E2814" s="23" t="n"/>
      <c r="F2814" s="24" t="n"/>
      <c r="H2814" s="22" t="n"/>
      <c r="I2814" s="22" t="n"/>
      <c r="J2814" s="21">
        <f>IF(C2814="","",IFERROR(INDEX(Clientes!$B:$B,MATCH(C2814,Clientes!$A:$A,0)),"Cód. não cadastrado"))</f>
        <v/>
      </c>
      <c r="K2814" s="18">
        <f>IF(B2814="","",YEAR(B2814))</f>
        <v/>
      </c>
      <c r="L2814" s="18">
        <f>IF(B2814="","",MONTH(B2814))</f>
        <v/>
      </c>
      <c r="M2814" s="18">
        <f>IF(OR(B2814="",I2814=""),"",I2814-B2814)</f>
        <v/>
      </c>
      <c r="N2814" s="21">
        <f>IF(B2814="","",IF(I2814="",IF(H2814="","",IF(TODAY()&gt;H2814,"Atrasado (em aberto)","Em aberto")),IF(I2814&lt;=H2814,"No prazo","Fora do prazo")))</f>
        <v/>
      </c>
    </row>
    <row r="2815">
      <c r="B2815" s="22" t="n"/>
      <c r="E2815" s="23" t="n"/>
      <c r="F2815" s="24" t="n"/>
      <c r="H2815" s="22" t="n"/>
      <c r="I2815" s="22" t="n"/>
      <c r="J2815" s="21">
        <f>IF(C2815="","",IFERROR(INDEX(Clientes!$B:$B,MATCH(C2815,Clientes!$A:$A,0)),"Cód. não cadastrado"))</f>
        <v/>
      </c>
      <c r="K2815" s="18">
        <f>IF(B2815="","",YEAR(B2815))</f>
        <v/>
      </c>
      <c r="L2815" s="18">
        <f>IF(B2815="","",MONTH(B2815))</f>
        <v/>
      </c>
      <c r="M2815" s="18">
        <f>IF(OR(B2815="",I2815=""),"",I2815-B2815)</f>
        <v/>
      </c>
      <c r="N2815" s="21">
        <f>IF(B2815="","",IF(I2815="",IF(H2815="","",IF(TODAY()&gt;H2815,"Atrasado (em aberto)","Em aberto")),IF(I2815&lt;=H2815,"No prazo","Fora do prazo")))</f>
        <v/>
      </c>
    </row>
    <row r="2816">
      <c r="B2816" s="22" t="n"/>
      <c r="E2816" s="23" t="n"/>
      <c r="F2816" s="24" t="n"/>
      <c r="H2816" s="22" t="n"/>
      <c r="I2816" s="22" t="n"/>
      <c r="J2816" s="21">
        <f>IF(C2816="","",IFERROR(INDEX(Clientes!$B:$B,MATCH(C2816,Clientes!$A:$A,0)),"Cód. não cadastrado"))</f>
        <v/>
      </c>
      <c r="K2816" s="18">
        <f>IF(B2816="","",YEAR(B2816))</f>
        <v/>
      </c>
      <c r="L2816" s="18">
        <f>IF(B2816="","",MONTH(B2816))</f>
        <v/>
      </c>
      <c r="M2816" s="18">
        <f>IF(OR(B2816="",I2816=""),"",I2816-B2816)</f>
        <v/>
      </c>
      <c r="N2816" s="21">
        <f>IF(B2816="","",IF(I2816="",IF(H2816="","",IF(TODAY()&gt;H2816,"Atrasado (em aberto)","Em aberto")),IF(I2816&lt;=H2816,"No prazo","Fora do prazo")))</f>
        <v/>
      </c>
    </row>
    <row r="2817">
      <c r="B2817" s="22" t="n"/>
      <c r="E2817" s="23" t="n"/>
      <c r="F2817" s="24" t="n"/>
      <c r="H2817" s="22" t="n"/>
      <c r="I2817" s="22" t="n"/>
      <c r="J2817" s="21">
        <f>IF(C2817="","",IFERROR(INDEX(Clientes!$B:$B,MATCH(C2817,Clientes!$A:$A,0)),"Cód. não cadastrado"))</f>
        <v/>
      </c>
      <c r="K2817" s="18">
        <f>IF(B2817="","",YEAR(B2817))</f>
        <v/>
      </c>
      <c r="L2817" s="18">
        <f>IF(B2817="","",MONTH(B2817))</f>
        <v/>
      </c>
      <c r="M2817" s="18">
        <f>IF(OR(B2817="",I2817=""),"",I2817-B2817)</f>
        <v/>
      </c>
      <c r="N2817" s="21">
        <f>IF(B2817="","",IF(I2817="",IF(H2817="","",IF(TODAY()&gt;H2817,"Atrasado (em aberto)","Em aberto")),IF(I2817&lt;=H2817,"No prazo","Fora do prazo")))</f>
        <v/>
      </c>
    </row>
    <row r="2818">
      <c r="B2818" s="22" t="n"/>
      <c r="E2818" s="23" t="n"/>
      <c r="F2818" s="24" t="n"/>
      <c r="H2818" s="22" t="n"/>
      <c r="I2818" s="22" t="n"/>
      <c r="J2818" s="21">
        <f>IF(C2818="","",IFERROR(INDEX(Clientes!$B:$B,MATCH(C2818,Clientes!$A:$A,0)),"Cód. não cadastrado"))</f>
        <v/>
      </c>
      <c r="K2818" s="18">
        <f>IF(B2818="","",YEAR(B2818))</f>
        <v/>
      </c>
      <c r="L2818" s="18">
        <f>IF(B2818="","",MONTH(B2818))</f>
        <v/>
      </c>
      <c r="M2818" s="18">
        <f>IF(OR(B2818="",I2818=""),"",I2818-B2818)</f>
        <v/>
      </c>
      <c r="N2818" s="21">
        <f>IF(B2818="","",IF(I2818="",IF(H2818="","",IF(TODAY()&gt;H2818,"Atrasado (em aberto)","Em aberto")),IF(I2818&lt;=H2818,"No prazo","Fora do prazo")))</f>
        <v/>
      </c>
    </row>
    <row r="2819">
      <c r="B2819" s="22" t="n"/>
      <c r="E2819" s="23" t="n"/>
      <c r="F2819" s="24" t="n"/>
      <c r="H2819" s="22" t="n"/>
      <c r="I2819" s="22" t="n"/>
      <c r="J2819" s="21">
        <f>IF(C2819="","",IFERROR(INDEX(Clientes!$B:$B,MATCH(C2819,Clientes!$A:$A,0)),"Cód. não cadastrado"))</f>
        <v/>
      </c>
      <c r="K2819" s="18">
        <f>IF(B2819="","",YEAR(B2819))</f>
        <v/>
      </c>
      <c r="L2819" s="18">
        <f>IF(B2819="","",MONTH(B2819))</f>
        <v/>
      </c>
      <c r="M2819" s="18">
        <f>IF(OR(B2819="",I2819=""),"",I2819-B2819)</f>
        <v/>
      </c>
      <c r="N2819" s="21">
        <f>IF(B2819="","",IF(I2819="",IF(H2819="","",IF(TODAY()&gt;H2819,"Atrasado (em aberto)","Em aberto")),IF(I2819&lt;=H2819,"No prazo","Fora do prazo")))</f>
        <v/>
      </c>
    </row>
    <row r="2820">
      <c r="B2820" s="22" t="n"/>
      <c r="E2820" s="23" t="n"/>
      <c r="F2820" s="24" t="n"/>
      <c r="H2820" s="22" t="n"/>
      <c r="I2820" s="22" t="n"/>
      <c r="J2820" s="21">
        <f>IF(C2820="","",IFERROR(INDEX(Clientes!$B:$B,MATCH(C2820,Clientes!$A:$A,0)),"Cód. não cadastrado"))</f>
        <v/>
      </c>
      <c r="K2820" s="18">
        <f>IF(B2820="","",YEAR(B2820))</f>
        <v/>
      </c>
      <c r="L2820" s="18">
        <f>IF(B2820="","",MONTH(B2820))</f>
        <v/>
      </c>
      <c r="M2820" s="18">
        <f>IF(OR(B2820="",I2820=""),"",I2820-B2820)</f>
        <v/>
      </c>
      <c r="N2820" s="21">
        <f>IF(B2820="","",IF(I2820="",IF(H2820="","",IF(TODAY()&gt;H2820,"Atrasado (em aberto)","Em aberto")),IF(I2820&lt;=H2820,"No prazo","Fora do prazo")))</f>
        <v/>
      </c>
    </row>
    <row r="2821">
      <c r="B2821" s="22" t="n"/>
      <c r="E2821" s="23" t="n"/>
      <c r="F2821" s="24" t="n"/>
      <c r="H2821" s="22" t="n"/>
      <c r="I2821" s="22" t="n"/>
      <c r="J2821" s="21">
        <f>IF(C2821="","",IFERROR(INDEX(Clientes!$B:$B,MATCH(C2821,Clientes!$A:$A,0)),"Cód. não cadastrado"))</f>
        <v/>
      </c>
      <c r="K2821" s="18">
        <f>IF(B2821="","",YEAR(B2821))</f>
        <v/>
      </c>
      <c r="L2821" s="18">
        <f>IF(B2821="","",MONTH(B2821))</f>
        <v/>
      </c>
      <c r="M2821" s="18">
        <f>IF(OR(B2821="",I2821=""),"",I2821-B2821)</f>
        <v/>
      </c>
      <c r="N2821" s="21">
        <f>IF(B2821="","",IF(I2821="",IF(H2821="","",IF(TODAY()&gt;H2821,"Atrasado (em aberto)","Em aberto")),IF(I2821&lt;=H2821,"No prazo","Fora do prazo")))</f>
        <v/>
      </c>
    </row>
    <row r="2822">
      <c r="B2822" s="22" t="n"/>
      <c r="E2822" s="23" t="n"/>
      <c r="F2822" s="24" t="n"/>
      <c r="H2822" s="22" t="n"/>
      <c r="I2822" s="22" t="n"/>
      <c r="J2822" s="21">
        <f>IF(C2822="","",IFERROR(INDEX(Clientes!$B:$B,MATCH(C2822,Clientes!$A:$A,0)),"Cód. não cadastrado"))</f>
        <v/>
      </c>
      <c r="K2822" s="18">
        <f>IF(B2822="","",YEAR(B2822))</f>
        <v/>
      </c>
      <c r="L2822" s="18">
        <f>IF(B2822="","",MONTH(B2822))</f>
        <v/>
      </c>
      <c r="M2822" s="18">
        <f>IF(OR(B2822="",I2822=""),"",I2822-B2822)</f>
        <v/>
      </c>
      <c r="N2822" s="21">
        <f>IF(B2822="","",IF(I2822="",IF(H2822="","",IF(TODAY()&gt;H2822,"Atrasado (em aberto)","Em aberto")),IF(I2822&lt;=H2822,"No prazo","Fora do prazo")))</f>
        <v/>
      </c>
    </row>
    <row r="2823">
      <c r="B2823" s="22" t="n"/>
      <c r="E2823" s="23" t="n"/>
      <c r="F2823" s="24" t="n"/>
      <c r="H2823" s="22" t="n"/>
      <c r="I2823" s="22" t="n"/>
      <c r="J2823" s="21">
        <f>IF(C2823="","",IFERROR(INDEX(Clientes!$B:$B,MATCH(C2823,Clientes!$A:$A,0)),"Cód. não cadastrado"))</f>
        <v/>
      </c>
      <c r="K2823" s="18">
        <f>IF(B2823="","",YEAR(B2823))</f>
        <v/>
      </c>
      <c r="L2823" s="18">
        <f>IF(B2823="","",MONTH(B2823))</f>
        <v/>
      </c>
      <c r="M2823" s="18">
        <f>IF(OR(B2823="",I2823=""),"",I2823-B2823)</f>
        <v/>
      </c>
      <c r="N2823" s="21">
        <f>IF(B2823="","",IF(I2823="",IF(H2823="","",IF(TODAY()&gt;H2823,"Atrasado (em aberto)","Em aberto")),IF(I2823&lt;=H2823,"No prazo","Fora do prazo")))</f>
        <v/>
      </c>
    </row>
    <row r="2824">
      <c r="B2824" s="22" t="n"/>
      <c r="E2824" s="23" t="n"/>
      <c r="F2824" s="24" t="n"/>
      <c r="H2824" s="22" t="n"/>
      <c r="I2824" s="22" t="n"/>
      <c r="J2824" s="21">
        <f>IF(C2824="","",IFERROR(INDEX(Clientes!$B:$B,MATCH(C2824,Clientes!$A:$A,0)),"Cód. não cadastrado"))</f>
        <v/>
      </c>
      <c r="K2824" s="18">
        <f>IF(B2824="","",YEAR(B2824))</f>
        <v/>
      </c>
      <c r="L2824" s="18">
        <f>IF(B2824="","",MONTH(B2824))</f>
        <v/>
      </c>
      <c r="M2824" s="18">
        <f>IF(OR(B2824="",I2824=""),"",I2824-B2824)</f>
        <v/>
      </c>
      <c r="N2824" s="21">
        <f>IF(B2824="","",IF(I2824="",IF(H2824="","",IF(TODAY()&gt;H2824,"Atrasado (em aberto)","Em aberto")),IF(I2824&lt;=H2824,"No prazo","Fora do prazo")))</f>
        <v/>
      </c>
    </row>
    <row r="2825">
      <c r="B2825" s="22" t="n"/>
      <c r="E2825" s="23" t="n"/>
      <c r="F2825" s="24" t="n"/>
      <c r="H2825" s="22" t="n"/>
      <c r="I2825" s="22" t="n"/>
      <c r="J2825" s="21">
        <f>IF(C2825="","",IFERROR(INDEX(Clientes!$B:$B,MATCH(C2825,Clientes!$A:$A,0)),"Cód. não cadastrado"))</f>
        <v/>
      </c>
      <c r="K2825" s="18">
        <f>IF(B2825="","",YEAR(B2825))</f>
        <v/>
      </c>
      <c r="L2825" s="18">
        <f>IF(B2825="","",MONTH(B2825))</f>
        <v/>
      </c>
      <c r="M2825" s="18">
        <f>IF(OR(B2825="",I2825=""),"",I2825-B2825)</f>
        <v/>
      </c>
      <c r="N2825" s="21">
        <f>IF(B2825="","",IF(I2825="",IF(H2825="","",IF(TODAY()&gt;H2825,"Atrasado (em aberto)","Em aberto")),IF(I2825&lt;=H2825,"No prazo","Fora do prazo")))</f>
        <v/>
      </c>
    </row>
    <row r="2826">
      <c r="B2826" s="22" t="n"/>
      <c r="E2826" s="23" t="n"/>
      <c r="F2826" s="24" t="n"/>
      <c r="H2826" s="22" t="n"/>
      <c r="I2826" s="22" t="n"/>
      <c r="J2826" s="21">
        <f>IF(C2826="","",IFERROR(INDEX(Clientes!$B:$B,MATCH(C2826,Clientes!$A:$A,0)),"Cód. não cadastrado"))</f>
        <v/>
      </c>
      <c r="K2826" s="18">
        <f>IF(B2826="","",YEAR(B2826))</f>
        <v/>
      </c>
      <c r="L2826" s="18">
        <f>IF(B2826="","",MONTH(B2826))</f>
        <v/>
      </c>
      <c r="M2826" s="18">
        <f>IF(OR(B2826="",I2826=""),"",I2826-B2826)</f>
        <v/>
      </c>
      <c r="N2826" s="21">
        <f>IF(B2826="","",IF(I2826="",IF(H2826="","",IF(TODAY()&gt;H2826,"Atrasado (em aberto)","Em aberto")),IF(I2826&lt;=H2826,"No prazo","Fora do prazo")))</f>
        <v/>
      </c>
    </row>
    <row r="2827">
      <c r="B2827" s="22" t="n"/>
      <c r="E2827" s="23" t="n"/>
      <c r="F2827" s="24" t="n"/>
      <c r="H2827" s="22" t="n"/>
      <c r="I2827" s="22" t="n"/>
      <c r="J2827" s="21">
        <f>IF(C2827="","",IFERROR(INDEX(Clientes!$B:$B,MATCH(C2827,Clientes!$A:$A,0)),"Cód. não cadastrado"))</f>
        <v/>
      </c>
      <c r="K2827" s="18">
        <f>IF(B2827="","",YEAR(B2827))</f>
        <v/>
      </c>
      <c r="L2827" s="18">
        <f>IF(B2827="","",MONTH(B2827))</f>
        <v/>
      </c>
      <c r="M2827" s="18">
        <f>IF(OR(B2827="",I2827=""),"",I2827-B2827)</f>
        <v/>
      </c>
      <c r="N2827" s="21">
        <f>IF(B2827="","",IF(I2827="",IF(H2827="","",IF(TODAY()&gt;H2827,"Atrasado (em aberto)","Em aberto")),IF(I2827&lt;=H2827,"No prazo","Fora do prazo")))</f>
        <v/>
      </c>
    </row>
    <row r="2828">
      <c r="B2828" s="22" t="n"/>
      <c r="E2828" s="23" t="n"/>
      <c r="F2828" s="24" t="n"/>
      <c r="H2828" s="22" t="n"/>
      <c r="I2828" s="22" t="n"/>
      <c r="J2828" s="21">
        <f>IF(C2828="","",IFERROR(INDEX(Clientes!$B:$B,MATCH(C2828,Clientes!$A:$A,0)),"Cód. não cadastrado"))</f>
        <v/>
      </c>
      <c r="K2828" s="18">
        <f>IF(B2828="","",YEAR(B2828))</f>
        <v/>
      </c>
      <c r="L2828" s="18">
        <f>IF(B2828="","",MONTH(B2828))</f>
        <v/>
      </c>
      <c r="M2828" s="18">
        <f>IF(OR(B2828="",I2828=""),"",I2828-B2828)</f>
        <v/>
      </c>
      <c r="N2828" s="21">
        <f>IF(B2828="","",IF(I2828="",IF(H2828="","",IF(TODAY()&gt;H2828,"Atrasado (em aberto)","Em aberto")),IF(I2828&lt;=H2828,"No prazo","Fora do prazo")))</f>
        <v/>
      </c>
    </row>
    <row r="2829">
      <c r="B2829" s="22" t="n"/>
      <c r="E2829" s="23" t="n"/>
      <c r="F2829" s="24" t="n"/>
      <c r="H2829" s="22" t="n"/>
      <c r="I2829" s="22" t="n"/>
      <c r="J2829" s="21">
        <f>IF(C2829="","",IFERROR(INDEX(Clientes!$B:$B,MATCH(C2829,Clientes!$A:$A,0)),"Cód. não cadastrado"))</f>
        <v/>
      </c>
      <c r="K2829" s="18">
        <f>IF(B2829="","",YEAR(B2829))</f>
        <v/>
      </c>
      <c r="L2829" s="18">
        <f>IF(B2829="","",MONTH(B2829))</f>
        <v/>
      </c>
      <c r="M2829" s="18">
        <f>IF(OR(B2829="",I2829=""),"",I2829-B2829)</f>
        <v/>
      </c>
      <c r="N2829" s="21">
        <f>IF(B2829="","",IF(I2829="",IF(H2829="","",IF(TODAY()&gt;H2829,"Atrasado (em aberto)","Em aberto")),IF(I2829&lt;=H2829,"No prazo","Fora do prazo")))</f>
        <v/>
      </c>
    </row>
    <row r="2830">
      <c r="B2830" s="22" t="n"/>
      <c r="E2830" s="23" t="n"/>
      <c r="F2830" s="24" t="n"/>
      <c r="H2830" s="22" t="n"/>
      <c r="I2830" s="22" t="n"/>
      <c r="J2830" s="21">
        <f>IF(C2830="","",IFERROR(INDEX(Clientes!$B:$B,MATCH(C2830,Clientes!$A:$A,0)),"Cód. não cadastrado"))</f>
        <v/>
      </c>
      <c r="K2830" s="18">
        <f>IF(B2830="","",YEAR(B2830))</f>
        <v/>
      </c>
      <c r="L2830" s="18">
        <f>IF(B2830="","",MONTH(B2830))</f>
        <v/>
      </c>
      <c r="M2830" s="18">
        <f>IF(OR(B2830="",I2830=""),"",I2830-B2830)</f>
        <v/>
      </c>
      <c r="N2830" s="21">
        <f>IF(B2830="","",IF(I2830="",IF(H2830="","",IF(TODAY()&gt;H2830,"Atrasado (em aberto)","Em aberto")),IF(I2830&lt;=H2830,"No prazo","Fora do prazo")))</f>
        <v/>
      </c>
    </row>
    <row r="2831">
      <c r="B2831" s="22" t="n"/>
      <c r="E2831" s="23" t="n"/>
      <c r="F2831" s="24" t="n"/>
      <c r="H2831" s="22" t="n"/>
      <c r="I2831" s="22" t="n"/>
      <c r="J2831" s="21">
        <f>IF(C2831="","",IFERROR(INDEX(Clientes!$B:$B,MATCH(C2831,Clientes!$A:$A,0)),"Cód. não cadastrado"))</f>
        <v/>
      </c>
      <c r="K2831" s="18">
        <f>IF(B2831="","",YEAR(B2831))</f>
        <v/>
      </c>
      <c r="L2831" s="18">
        <f>IF(B2831="","",MONTH(B2831))</f>
        <v/>
      </c>
      <c r="M2831" s="18">
        <f>IF(OR(B2831="",I2831=""),"",I2831-B2831)</f>
        <v/>
      </c>
      <c r="N2831" s="21">
        <f>IF(B2831="","",IF(I2831="",IF(H2831="","",IF(TODAY()&gt;H2831,"Atrasado (em aberto)","Em aberto")),IF(I2831&lt;=H2831,"No prazo","Fora do prazo")))</f>
        <v/>
      </c>
    </row>
    <row r="2832">
      <c r="B2832" s="22" t="n"/>
      <c r="E2832" s="23" t="n"/>
      <c r="F2832" s="24" t="n"/>
      <c r="H2832" s="22" t="n"/>
      <c r="I2832" s="22" t="n"/>
      <c r="J2832" s="21">
        <f>IF(C2832="","",IFERROR(INDEX(Clientes!$B:$B,MATCH(C2832,Clientes!$A:$A,0)),"Cód. não cadastrado"))</f>
        <v/>
      </c>
      <c r="K2832" s="18">
        <f>IF(B2832="","",YEAR(B2832))</f>
        <v/>
      </c>
      <c r="L2832" s="18">
        <f>IF(B2832="","",MONTH(B2832))</f>
        <v/>
      </c>
      <c r="M2832" s="18">
        <f>IF(OR(B2832="",I2832=""),"",I2832-B2832)</f>
        <v/>
      </c>
      <c r="N2832" s="21">
        <f>IF(B2832="","",IF(I2832="",IF(H2832="","",IF(TODAY()&gt;H2832,"Atrasado (em aberto)","Em aberto")),IF(I2832&lt;=H2832,"No prazo","Fora do prazo")))</f>
        <v/>
      </c>
    </row>
    <row r="2833">
      <c r="B2833" s="22" t="n"/>
      <c r="E2833" s="23" t="n"/>
      <c r="F2833" s="24" t="n"/>
      <c r="H2833" s="22" t="n"/>
      <c r="I2833" s="22" t="n"/>
      <c r="J2833" s="21">
        <f>IF(C2833="","",IFERROR(INDEX(Clientes!$B:$B,MATCH(C2833,Clientes!$A:$A,0)),"Cód. não cadastrado"))</f>
        <v/>
      </c>
      <c r="K2833" s="18">
        <f>IF(B2833="","",YEAR(B2833))</f>
        <v/>
      </c>
      <c r="L2833" s="18">
        <f>IF(B2833="","",MONTH(B2833))</f>
        <v/>
      </c>
      <c r="M2833" s="18">
        <f>IF(OR(B2833="",I2833=""),"",I2833-B2833)</f>
        <v/>
      </c>
      <c r="N2833" s="21">
        <f>IF(B2833="","",IF(I2833="",IF(H2833="","",IF(TODAY()&gt;H2833,"Atrasado (em aberto)","Em aberto")),IF(I2833&lt;=H2833,"No prazo","Fora do prazo")))</f>
        <v/>
      </c>
    </row>
    <row r="2834">
      <c r="B2834" s="22" t="n"/>
      <c r="E2834" s="23" t="n"/>
      <c r="F2834" s="24" t="n"/>
      <c r="H2834" s="22" t="n"/>
      <c r="I2834" s="22" t="n"/>
      <c r="J2834" s="21">
        <f>IF(C2834="","",IFERROR(INDEX(Clientes!$B:$B,MATCH(C2834,Clientes!$A:$A,0)),"Cód. não cadastrado"))</f>
        <v/>
      </c>
      <c r="K2834" s="18">
        <f>IF(B2834="","",YEAR(B2834))</f>
        <v/>
      </c>
      <c r="L2834" s="18">
        <f>IF(B2834="","",MONTH(B2834))</f>
        <v/>
      </c>
      <c r="M2834" s="18">
        <f>IF(OR(B2834="",I2834=""),"",I2834-B2834)</f>
        <v/>
      </c>
      <c r="N2834" s="21">
        <f>IF(B2834="","",IF(I2834="",IF(H2834="","",IF(TODAY()&gt;H2834,"Atrasado (em aberto)","Em aberto")),IF(I2834&lt;=H2834,"No prazo","Fora do prazo")))</f>
        <v/>
      </c>
    </row>
    <row r="2835">
      <c r="B2835" s="22" t="n"/>
      <c r="E2835" s="23" t="n"/>
      <c r="F2835" s="24" t="n"/>
      <c r="H2835" s="22" t="n"/>
      <c r="I2835" s="22" t="n"/>
      <c r="J2835" s="21">
        <f>IF(C2835="","",IFERROR(INDEX(Clientes!$B:$B,MATCH(C2835,Clientes!$A:$A,0)),"Cód. não cadastrado"))</f>
        <v/>
      </c>
      <c r="K2835" s="18">
        <f>IF(B2835="","",YEAR(B2835))</f>
        <v/>
      </c>
      <c r="L2835" s="18">
        <f>IF(B2835="","",MONTH(B2835))</f>
        <v/>
      </c>
      <c r="M2835" s="18">
        <f>IF(OR(B2835="",I2835=""),"",I2835-B2835)</f>
        <v/>
      </c>
      <c r="N2835" s="21">
        <f>IF(B2835="","",IF(I2835="",IF(H2835="","",IF(TODAY()&gt;H2835,"Atrasado (em aberto)","Em aberto")),IF(I2835&lt;=H2835,"No prazo","Fora do prazo")))</f>
        <v/>
      </c>
    </row>
    <row r="2836">
      <c r="B2836" s="22" t="n"/>
      <c r="E2836" s="23" t="n"/>
      <c r="F2836" s="24" t="n"/>
      <c r="H2836" s="22" t="n"/>
      <c r="I2836" s="22" t="n"/>
      <c r="J2836" s="21">
        <f>IF(C2836="","",IFERROR(INDEX(Clientes!$B:$B,MATCH(C2836,Clientes!$A:$A,0)),"Cód. não cadastrado"))</f>
        <v/>
      </c>
      <c r="K2836" s="18">
        <f>IF(B2836="","",YEAR(B2836))</f>
        <v/>
      </c>
      <c r="L2836" s="18">
        <f>IF(B2836="","",MONTH(B2836))</f>
        <v/>
      </c>
      <c r="M2836" s="18">
        <f>IF(OR(B2836="",I2836=""),"",I2836-B2836)</f>
        <v/>
      </c>
      <c r="N2836" s="21">
        <f>IF(B2836="","",IF(I2836="",IF(H2836="","",IF(TODAY()&gt;H2836,"Atrasado (em aberto)","Em aberto")),IF(I2836&lt;=H2836,"No prazo","Fora do prazo")))</f>
        <v/>
      </c>
    </row>
    <row r="2837">
      <c r="B2837" s="22" t="n"/>
      <c r="E2837" s="23" t="n"/>
      <c r="F2837" s="24" t="n"/>
      <c r="H2837" s="22" t="n"/>
      <c r="I2837" s="22" t="n"/>
      <c r="J2837" s="21">
        <f>IF(C2837="","",IFERROR(INDEX(Clientes!$B:$B,MATCH(C2837,Clientes!$A:$A,0)),"Cód. não cadastrado"))</f>
        <v/>
      </c>
      <c r="K2837" s="18">
        <f>IF(B2837="","",YEAR(B2837))</f>
        <v/>
      </c>
      <c r="L2837" s="18">
        <f>IF(B2837="","",MONTH(B2837))</f>
        <v/>
      </c>
      <c r="M2837" s="18">
        <f>IF(OR(B2837="",I2837=""),"",I2837-B2837)</f>
        <v/>
      </c>
      <c r="N2837" s="21">
        <f>IF(B2837="","",IF(I2837="",IF(H2837="","",IF(TODAY()&gt;H2837,"Atrasado (em aberto)","Em aberto")),IF(I2837&lt;=H2837,"No prazo","Fora do prazo")))</f>
        <v/>
      </c>
    </row>
    <row r="2838">
      <c r="B2838" s="22" t="n"/>
      <c r="E2838" s="23" t="n"/>
      <c r="F2838" s="24" t="n"/>
      <c r="H2838" s="22" t="n"/>
      <c r="I2838" s="22" t="n"/>
      <c r="J2838" s="21">
        <f>IF(C2838="","",IFERROR(INDEX(Clientes!$B:$B,MATCH(C2838,Clientes!$A:$A,0)),"Cód. não cadastrado"))</f>
        <v/>
      </c>
      <c r="K2838" s="18">
        <f>IF(B2838="","",YEAR(B2838))</f>
        <v/>
      </c>
      <c r="L2838" s="18">
        <f>IF(B2838="","",MONTH(B2838))</f>
        <v/>
      </c>
      <c r="M2838" s="18">
        <f>IF(OR(B2838="",I2838=""),"",I2838-B2838)</f>
        <v/>
      </c>
      <c r="N2838" s="21">
        <f>IF(B2838="","",IF(I2838="",IF(H2838="","",IF(TODAY()&gt;H2838,"Atrasado (em aberto)","Em aberto")),IF(I2838&lt;=H2838,"No prazo","Fora do prazo")))</f>
        <v/>
      </c>
    </row>
    <row r="2839">
      <c r="B2839" s="22" t="n"/>
      <c r="E2839" s="23" t="n"/>
      <c r="F2839" s="24" t="n"/>
      <c r="H2839" s="22" t="n"/>
      <c r="I2839" s="22" t="n"/>
      <c r="J2839" s="21">
        <f>IF(C2839="","",IFERROR(INDEX(Clientes!$B:$B,MATCH(C2839,Clientes!$A:$A,0)),"Cód. não cadastrado"))</f>
        <v/>
      </c>
      <c r="K2839" s="18">
        <f>IF(B2839="","",YEAR(B2839))</f>
        <v/>
      </c>
      <c r="L2839" s="18">
        <f>IF(B2839="","",MONTH(B2839))</f>
        <v/>
      </c>
      <c r="M2839" s="18">
        <f>IF(OR(B2839="",I2839=""),"",I2839-B2839)</f>
        <v/>
      </c>
      <c r="N2839" s="21">
        <f>IF(B2839="","",IF(I2839="",IF(H2839="","",IF(TODAY()&gt;H2839,"Atrasado (em aberto)","Em aberto")),IF(I2839&lt;=H2839,"No prazo","Fora do prazo")))</f>
        <v/>
      </c>
    </row>
    <row r="2840">
      <c r="B2840" s="22" t="n"/>
      <c r="E2840" s="23" t="n"/>
      <c r="F2840" s="24" t="n"/>
      <c r="H2840" s="22" t="n"/>
      <c r="I2840" s="22" t="n"/>
      <c r="J2840" s="21">
        <f>IF(C2840="","",IFERROR(INDEX(Clientes!$B:$B,MATCH(C2840,Clientes!$A:$A,0)),"Cód. não cadastrado"))</f>
        <v/>
      </c>
      <c r="K2840" s="18">
        <f>IF(B2840="","",YEAR(B2840))</f>
        <v/>
      </c>
      <c r="L2840" s="18">
        <f>IF(B2840="","",MONTH(B2840))</f>
        <v/>
      </c>
      <c r="M2840" s="18">
        <f>IF(OR(B2840="",I2840=""),"",I2840-B2840)</f>
        <v/>
      </c>
      <c r="N2840" s="21">
        <f>IF(B2840="","",IF(I2840="",IF(H2840="","",IF(TODAY()&gt;H2840,"Atrasado (em aberto)","Em aberto")),IF(I2840&lt;=H2840,"No prazo","Fora do prazo")))</f>
        <v/>
      </c>
    </row>
    <row r="2841">
      <c r="B2841" s="22" t="n"/>
      <c r="E2841" s="23" t="n"/>
      <c r="F2841" s="24" t="n"/>
      <c r="H2841" s="22" t="n"/>
      <c r="I2841" s="22" t="n"/>
      <c r="J2841" s="21">
        <f>IF(C2841="","",IFERROR(INDEX(Clientes!$B:$B,MATCH(C2841,Clientes!$A:$A,0)),"Cód. não cadastrado"))</f>
        <v/>
      </c>
      <c r="K2841" s="18">
        <f>IF(B2841="","",YEAR(B2841))</f>
        <v/>
      </c>
      <c r="L2841" s="18">
        <f>IF(B2841="","",MONTH(B2841))</f>
        <v/>
      </c>
      <c r="M2841" s="18">
        <f>IF(OR(B2841="",I2841=""),"",I2841-B2841)</f>
        <v/>
      </c>
      <c r="N2841" s="21">
        <f>IF(B2841="","",IF(I2841="",IF(H2841="","",IF(TODAY()&gt;H2841,"Atrasado (em aberto)","Em aberto")),IF(I2841&lt;=H2841,"No prazo","Fora do prazo")))</f>
        <v/>
      </c>
    </row>
    <row r="2842">
      <c r="B2842" s="22" t="n"/>
      <c r="E2842" s="23" t="n"/>
      <c r="F2842" s="24" t="n"/>
      <c r="H2842" s="22" t="n"/>
      <c r="I2842" s="22" t="n"/>
      <c r="J2842" s="21">
        <f>IF(C2842="","",IFERROR(INDEX(Clientes!$B:$B,MATCH(C2842,Clientes!$A:$A,0)),"Cód. não cadastrado"))</f>
        <v/>
      </c>
      <c r="K2842" s="18">
        <f>IF(B2842="","",YEAR(B2842))</f>
        <v/>
      </c>
      <c r="L2842" s="18">
        <f>IF(B2842="","",MONTH(B2842))</f>
        <v/>
      </c>
      <c r="M2842" s="18">
        <f>IF(OR(B2842="",I2842=""),"",I2842-B2842)</f>
        <v/>
      </c>
      <c r="N2842" s="21">
        <f>IF(B2842="","",IF(I2842="",IF(H2842="","",IF(TODAY()&gt;H2842,"Atrasado (em aberto)","Em aberto")),IF(I2842&lt;=H2842,"No prazo","Fora do prazo")))</f>
        <v/>
      </c>
    </row>
    <row r="2843">
      <c r="B2843" s="22" t="n"/>
      <c r="E2843" s="23" t="n"/>
      <c r="F2843" s="24" t="n"/>
      <c r="H2843" s="22" t="n"/>
      <c r="I2843" s="22" t="n"/>
      <c r="J2843" s="21">
        <f>IF(C2843="","",IFERROR(INDEX(Clientes!$B:$B,MATCH(C2843,Clientes!$A:$A,0)),"Cód. não cadastrado"))</f>
        <v/>
      </c>
      <c r="K2843" s="18">
        <f>IF(B2843="","",YEAR(B2843))</f>
        <v/>
      </c>
      <c r="L2843" s="18">
        <f>IF(B2843="","",MONTH(B2843))</f>
        <v/>
      </c>
      <c r="M2843" s="18">
        <f>IF(OR(B2843="",I2843=""),"",I2843-B2843)</f>
        <v/>
      </c>
      <c r="N2843" s="21">
        <f>IF(B2843="","",IF(I2843="",IF(H2843="","",IF(TODAY()&gt;H2843,"Atrasado (em aberto)","Em aberto")),IF(I2843&lt;=H2843,"No prazo","Fora do prazo")))</f>
        <v/>
      </c>
    </row>
    <row r="2844">
      <c r="B2844" s="22" t="n"/>
      <c r="E2844" s="23" t="n"/>
      <c r="F2844" s="24" t="n"/>
      <c r="H2844" s="22" t="n"/>
      <c r="I2844" s="22" t="n"/>
      <c r="J2844" s="21">
        <f>IF(C2844="","",IFERROR(INDEX(Clientes!$B:$B,MATCH(C2844,Clientes!$A:$A,0)),"Cód. não cadastrado"))</f>
        <v/>
      </c>
      <c r="K2844" s="18">
        <f>IF(B2844="","",YEAR(B2844))</f>
        <v/>
      </c>
      <c r="L2844" s="18">
        <f>IF(B2844="","",MONTH(B2844))</f>
        <v/>
      </c>
      <c r="M2844" s="18">
        <f>IF(OR(B2844="",I2844=""),"",I2844-B2844)</f>
        <v/>
      </c>
      <c r="N2844" s="21">
        <f>IF(B2844="","",IF(I2844="",IF(H2844="","",IF(TODAY()&gt;H2844,"Atrasado (em aberto)","Em aberto")),IF(I2844&lt;=H2844,"No prazo","Fora do prazo")))</f>
        <v/>
      </c>
    </row>
    <row r="2845">
      <c r="B2845" s="22" t="n"/>
      <c r="E2845" s="23" t="n"/>
      <c r="F2845" s="24" t="n"/>
      <c r="H2845" s="22" t="n"/>
      <c r="I2845" s="22" t="n"/>
      <c r="J2845" s="21">
        <f>IF(C2845="","",IFERROR(INDEX(Clientes!$B:$B,MATCH(C2845,Clientes!$A:$A,0)),"Cód. não cadastrado"))</f>
        <v/>
      </c>
      <c r="K2845" s="18">
        <f>IF(B2845="","",YEAR(B2845))</f>
        <v/>
      </c>
      <c r="L2845" s="18">
        <f>IF(B2845="","",MONTH(B2845))</f>
        <v/>
      </c>
      <c r="M2845" s="18">
        <f>IF(OR(B2845="",I2845=""),"",I2845-B2845)</f>
        <v/>
      </c>
      <c r="N2845" s="21">
        <f>IF(B2845="","",IF(I2845="",IF(H2845="","",IF(TODAY()&gt;H2845,"Atrasado (em aberto)","Em aberto")),IF(I2845&lt;=H2845,"No prazo","Fora do prazo")))</f>
        <v/>
      </c>
    </row>
    <row r="2846">
      <c r="B2846" s="22" t="n"/>
      <c r="E2846" s="23" t="n"/>
      <c r="F2846" s="24" t="n"/>
      <c r="H2846" s="22" t="n"/>
      <c r="I2846" s="22" t="n"/>
      <c r="J2846" s="21">
        <f>IF(C2846="","",IFERROR(INDEX(Clientes!$B:$B,MATCH(C2846,Clientes!$A:$A,0)),"Cód. não cadastrado"))</f>
        <v/>
      </c>
      <c r="K2846" s="18">
        <f>IF(B2846="","",YEAR(B2846))</f>
        <v/>
      </c>
      <c r="L2846" s="18">
        <f>IF(B2846="","",MONTH(B2846))</f>
        <v/>
      </c>
      <c r="M2846" s="18">
        <f>IF(OR(B2846="",I2846=""),"",I2846-B2846)</f>
        <v/>
      </c>
      <c r="N2846" s="21">
        <f>IF(B2846="","",IF(I2846="",IF(H2846="","",IF(TODAY()&gt;H2846,"Atrasado (em aberto)","Em aberto")),IF(I2846&lt;=H2846,"No prazo","Fora do prazo")))</f>
        <v/>
      </c>
    </row>
    <row r="2847">
      <c r="B2847" s="22" t="n"/>
      <c r="E2847" s="23" t="n"/>
      <c r="F2847" s="24" t="n"/>
      <c r="H2847" s="22" t="n"/>
      <c r="I2847" s="22" t="n"/>
      <c r="J2847" s="21">
        <f>IF(C2847="","",IFERROR(INDEX(Clientes!$B:$B,MATCH(C2847,Clientes!$A:$A,0)),"Cód. não cadastrado"))</f>
        <v/>
      </c>
      <c r="K2847" s="18">
        <f>IF(B2847="","",YEAR(B2847))</f>
        <v/>
      </c>
      <c r="L2847" s="18">
        <f>IF(B2847="","",MONTH(B2847))</f>
        <v/>
      </c>
      <c r="M2847" s="18">
        <f>IF(OR(B2847="",I2847=""),"",I2847-B2847)</f>
        <v/>
      </c>
      <c r="N2847" s="21">
        <f>IF(B2847="","",IF(I2847="",IF(H2847="","",IF(TODAY()&gt;H2847,"Atrasado (em aberto)","Em aberto")),IF(I2847&lt;=H2847,"No prazo","Fora do prazo")))</f>
        <v/>
      </c>
    </row>
    <row r="2848">
      <c r="B2848" s="22" t="n"/>
      <c r="E2848" s="23" t="n"/>
      <c r="F2848" s="24" t="n"/>
      <c r="H2848" s="22" t="n"/>
      <c r="I2848" s="22" t="n"/>
      <c r="J2848" s="21">
        <f>IF(C2848="","",IFERROR(INDEX(Clientes!$B:$B,MATCH(C2848,Clientes!$A:$A,0)),"Cód. não cadastrado"))</f>
        <v/>
      </c>
      <c r="K2848" s="18">
        <f>IF(B2848="","",YEAR(B2848))</f>
        <v/>
      </c>
      <c r="L2848" s="18">
        <f>IF(B2848="","",MONTH(B2848))</f>
        <v/>
      </c>
      <c r="M2848" s="18">
        <f>IF(OR(B2848="",I2848=""),"",I2848-B2848)</f>
        <v/>
      </c>
      <c r="N2848" s="21">
        <f>IF(B2848="","",IF(I2848="",IF(H2848="","",IF(TODAY()&gt;H2848,"Atrasado (em aberto)","Em aberto")),IF(I2848&lt;=H2848,"No prazo","Fora do prazo")))</f>
        <v/>
      </c>
    </row>
    <row r="2849">
      <c r="B2849" s="22" t="n"/>
      <c r="E2849" s="23" t="n"/>
      <c r="F2849" s="24" t="n"/>
      <c r="H2849" s="22" t="n"/>
      <c r="I2849" s="22" t="n"/>
      <c r="J2849" s="21">
        <f>IF(C2849="","",IFERROR(INDEX(Clientes!$B:$B,MATCH(C2849,Clientes!$A:$A,0)),"Cód. não cadastrado"))</f>
        <v/>
      </c>
      <c r="K2849" s="18">
        <f>IF(B2849="","",YEAR(B2849))</f>
        <v/>
      </c>
      <c r="L2849" s="18">
        <f>IF(B2849="","",MONTH(B2849))</f>
        <v/>
      </c>
      <c r="M2849" s="18">
        <f>IF(OR(B2849="",I2849=""),"",I2849-B2849)</f>
        <v/>
      </c>
      <c r="N2849" s="21">
        <f>IF(B2849="","",IF(I2849="",IF(H2849="","",IF(TODAY()&gt;H2849,"Atrasado (em aberto)","Em aberto")),IF(I2849&lt;=H2849,"No prazo","Fora do prazo")))</f>
        <v/>
      </c>
    </row>
    <row r="2850">
      <c r="B2850" s="22" t="n"/>
      <c r="E2850" s="23" t="n"/>
      <c r="F2850" s="24" t="n"/>
      <c r="H2850" s="22" t="n"/>
      <c r="I2850" s="22" t="n"/>
      <c r="J2850" s="21">
        <f>IF(C2850="","",IFERROR(INDEX(Clientes!$B:$B,MATCH(C2850,Clientes!$A:$A,0)),"Cód. não cadastrado"))</f>
        <v/>
      </c>
      <c r="K2850" s="18">
        <f>IF(B2850="","",YEAR(B2850))</f>
        <v/>
      </c>
      <c r="L2850" s="18">
        <f>IF(B2850="","",MONTH(B2850))</f>
        <v/>
      </c>
      <c r="M2850" s="18">
        <f>IF(OR(B2850="",I2850=""),"",I2850-B2850)</f>
        <v/>
      </c>
      <c r="N2850" s="21">
        <f>IF(B2850="","",IF(I2850="",IF(H2850="","",IF(TODAY()&gt;H2850,"Atrasado (em aberto)","Em aberto")),IF(I2850&lt;=H2850,"No prazo","Fora do prazo")))</f>
        <v/>
      </c>
    </row>
    <row r="2851">
      <c r="B2851" s="22" t="n"/>
      <c r="E2851" s="23" t="n"/>
      <c r="F2851" s="24" t="n"/>
      <c r="H2851" s="22" t="n"/>
      <c r="I2851" s="22" t="n"/>
      <c r="J2851" s="21">
        <f>IF(C2851="","",IFERROR(INDEX(Clientes!$B:$B,MATCH(C2851,Clientes!$A:$A,0)),"Cód. não cadastrado"))</f>
        <v/>
      </c>
      <c r="K2851" s="18">
        <f>IF(B2851="","",YEAR(B2851))</f>
        <v/>
      </c>
      <c r="L2851" s="18">
        <f>IF(B2851="","",MONTH(B2851))</f>
        <v/>
      </c>
      <c r="M2851" s="18">
        <f>IF(OR(B2851="",I2851=""),"",I2851-B2851)</f>
        <v/>
      </c>
      <c r="N2851" s="21">
        <f>IF(B2851="","",IF(I2851="",IF(H2851="","",IF(TODAY()&gt;H2851,"Atrasado (em aberto)","Em aberto")),IF(I2851&lt;=H2851,"No prazo","Fora do prazo")))</f>
        <v/>
      </c>
    </row>
    <row r="2852">
      <c r="B2852" s="22" t="n"/>
      <c r="E2852" s="23" t="n"/>
      <c r="F2852" s="24" t="n"/>
      <c r="H2852" s="22" t="n"/>
      <c r="I2852" s="22" t="n"/>
      <c r="J2852" s="21">
        <f>IF(C2852="","",IFERROR(INDEX(Clientes!$B:$B,MATCH(C2852,Clientes!$A:$A,0)),"Cód. não cadastrado"))</f>
        <v/>
      </c>
      <c r="K2852" s="18">
        <f>IF(B2852="","",YEAR(B2852))</f>
        <v/>
      </c>
      <c r="L2852" s="18">
        <f>IF(B2852="","",MONTH(B2852))</f>
        <v/>
      </c>
      <c r="M2852" s="18">
        <f>IF(OR(B2852="",I2852=""),"",I2852-B2852)</f>
        <v/>
      </c>
      <c r="N2852" s="21">
        <f>IF(B2852="","",IF(I2852="",IF(H2852="","",IF(TODAY()&gt;H2852,"Atrasado (em aberto)","Em aberto")),IF(I2852&lt;=H2852,"No prazo","Fora do prazo")))</f>
        <v/>
      </c>
    </row>
    <row r="2853">
      <c r="B2853" s="22" t="n"/>
      <c r="E2853" s="23" t="n"/>
      <c r="F2853" s="24" t="n"/>
      <c r="H2853" s="22" t="n"/>
      <c r="I2853" s="22" t="n"/>
      <c r="J2853" s="21">
        <f>IF(C2853="","",IFERROR(INDEX(Clientes!$B:$B,MATCH(C2853,Clientes!$A:$A,0)),"Cód. não cadastrado"))</f>
        <v/>
      </c>
      <c r="K2853" s="18">
        <f>IF(B2853="","",YEAR(B2853))</f>
        <v/>
      </c>
      <c r="L2853" s="18">
        <f>IF(B2853="","",MONTH(B2853))</f>
        <v/>
      </c>
      <c r="M2853" s="18">
        <f>IF(OR(B2853="",I2853=""),"",I2853-B2853)</f>
        <v/>
      </c>
      <c r="N2853" s="21">
        <f>IF(B2853="","",IF(I2853="",IF(H2853="","",IF(TODAY()&gt;H2853,"Atrasado (em aberto)","Em aberto")),IF(I2853&lt;=H2853,"No prazo","Fora do prazo")))</f>
        <v/>
      </c>
    </row>
    <row r="2854">
      <c r="B2854" s="22" t="n"/>
      <c r="E2854" s="23" t="n"/>
      <c r="F2854" s="24" t="n"/>
      <c r="H2854" s="22" t="n"/>
      <c r="I2854" s="22" t="n"/>
      <c r="J2854" s="21">
        <f>IF(C2854="","",IFERROR(INDEX(Clientes!$B:$B,MATCH(C2854,Clientes!$A:$A,0)),"Cód. não cadastrado"))</f>
        <v/>
      </c>
      <c r="K2854" s="18">
        <f>IF(B2854="","",YEAR(B2854))</f>
        <v/>
      </c>
      <c r="L2854" s="18">
        <f>IF(B2854="","",MONTH(B2854))</f>
        <v/>
      </c>
      <c r="M2854" s="18">
        <f>IF(OR(B2854="",I2854=""),"",I2854-B2854)</f>
        <v/>
      </c>
      <c r="N2854" s="21">
        <f>IF(B2854="","",IF(I2854="",IF(H2854="","",IF(TODAY()&gt;H2854,"Atrasado (em aberto)","Em aberto")),IF(I2854&lt;=H2854,"No prazo","Fora do prazo")))</f>
        <v/>
      </c>
    </row>
    <row r="2855">
      <c r="B2855" s="22" t="n"/>
      <c r="E2855" s="23" t="n"/>
      <c r="F2855" s="24" t="n"/>
      <c r="H2855" s="22" t="n"/>
      <c r="I2855" s="22" t="n"/>
      <c r="J2855" s="21">
        <f>IF(C2855="","",IFERROR(INDEX(Clientes!$B:$B,MATCH(C2855,Clientes!$A:$A,0)),"Cód. não cadastrado"))</f>
        <v/>
      </c>
      <c r="K2855" s="18">
        <f>IF(B2855="","",YEAR(B2855))</f>
        <v/>
      </c>
      <c r="L2855" s="18">
        <f>IF(B2855="","",MONTH(B2855))</f>
        <v/>
      </c>
      <c r="M2855" s="18">
        <f>IF(OR(B2855="",I2855=""),"",I2855-B2855)</f>
        <v/>
      </c>
      <c r="N2855" s="21">
        <f>IF(B2855="","",IF(I2855="",IF(H2855="","",IF(TODAY()&gt;H2855,"Atrasado (em aberto)","Em aberto")),IF(I2855&lt;=H2855,"No prazo","Fora do prazo")))</f>
        <v/>
      </c>
    </row>
    <row r="2856">
      <c r="B2856" s="22" t="n"/>
      <c r="E2856" s="23" t="n"/>
      <c r="F2856" s="24" t="n"/>
      <c r="H2856" s="22" t="n"/>
      <c r="I2856" s="22" t="n"/>
      <c r="J2856" s="21">
        <f>IF(C2856="","",IFERROR(INDEX(Clientes!$B:$B,MATCH(C2856,Clientes!$A:$A,0)),"Cód. não cadastrado"))</f>
        <v/>
      </c>
      <c r="K2856" s="18">
        <f>IF(B2856="","",YEAR(B2856))</f>
        <v/>
      </c>
      <c r="L2856" s="18">
        <f>IF(B2856="","",MONTH(B2856))</f>
        <v/>
      </c>
      <c r="M2856" s="18">
        <f>IF(OR(B2856="",I2856=""),"",I2856-B2856)</f>
        <v/>
      </c>
      <c r="N2856" s="21">
        <f>IF(B2856="","",IF(I2856="",IF(H2856="","",IF(TODAY()&gt;H2856,"Atrasado (em aberto)","Em aberto")),IF(I2856&lt;=H2856,"No prazo","Fora do prazo")))</f>
        <v/>
      </c>
    </row>
    <row r="2857">
      <c r="B2857" s="22" t="n"/>
      <c r="E2857" s="23" t="n"/>
      <c r="F2857" s="24" t="n"/>
      <c r="H2857" s="22" t="n"/>
      <c r="I2857" s="22" t="n"/>
      <c r="J2857" s="21">
        <f>IF(C2857="","",IFERROR(INDEX(Clientes!$B:$B,MATCH(C2857,Clientes!$A:$A,0)),"Cód. não cadastrado"))</f>
        <v/>
      </c>
      <c r="K2857" s="18">
        <f>IF(B2857="","",YEAR(B2857))</f>
        <v/>
      </c>
      <c r="L2857" s="18">
        <f>IF(B2857="","",MONTH(B2857))</f>
        <v/>
      </c>
      <c r="M2857" s="18">
        <f>IF(OR(B2857="",I2857=""),"",I2857-B2857)</f>
        <v/>
      </c>
      <c r="N2857" s="21">
        <f>IF(B2857="","",IF(I2857="",IF(H2857="","",IF(TODAY()&gt;H2857,"Atrasado (em aberto)","Em aberto")),IF(I2857&lt;=H2857,"No prazo","Fora do prazo")))</f>
        <v/>
      </c>
    </row>
    <row r="2858">
      <c r="B2858" s="22" t="n"/>
      <c r="E2858" s="23" t="n"/>
      <c r="F2858" s="24" t="n"/>
      <c r="H2858" s="22" t="n"/>
      <c r="I2858" s="22" t="n"/>
      <c r="J2858" s="21">
        <f>IF(C2858="","",IFERROR(INDEX(Clientes!$B:$B,MATCH(C2858,Clientes!$A:$A,0)),"Cód. não cadastrado"))</f>
        <v/>
      </c>
      <c r="K2858" s="18">
        <f>IF(B2858="","",YEAR(B2858))</f>
        <v/>
      </c>
      <c r="L2858" s="18">
        <f>IF(B2858="","",MONTH(B2858))</f>
        <v/>
      </c>
      <c r="M2858" s="18">
        <f>IF(OR(B2858="",I2858=""),"",I2858-B2858)</f>
        <v/>
      </c>
      <c r="N2858" s="21">
        <f>IF(B2858="","",IF(I2858="",IF(H2858="","",IF(TODAY()&gt;H2858,"Atrasado (em aberto)","Em aberto")),IF(I2858&lt;=H2858,"No prazo","Fora do prazo")))</f>
        <v/>
      </c>
    </row>
    <row r="2859">
      <c r="B2859" s="22" t="n"/>
      <c r="E2859" s="23" t="n"/>
      <c r="F2859" s="24" t="n"/>
      <c r="H2859" s="22" t="n"/>
      <c r="I2859" s="22" t="n"/>
      <c r="J2859" s="21">
        <f>IF(C2859="","",IFERROR(INDEX(Clientes!$B:$B,MATCH(C2859,Clientes!$A:$A,0)),"Cód. não cadastrado"))</f>
        <v/>
      </c>
      <c r="K2859" s="18">
        <f>IF(B2859="","",YEAR(B2859))</f>
        <v/>
      </c>
      <c r="L2859" s="18">
        <f>IF(B2859="","",MONTH(B2859))</f>
        <v/>
      </c>
      <c r="M2859" s="18">
        <f>IF(OR(B2859="",I2859=""),"",I2859-B2859)</f>
        <v/>
      </c>
      <c r="N2859" s="21">
        <f>IF(B2859="","",IF(I2859="",IF(H2859="","",IF(TODAY()&gt;H2859,"Atrasado (em aberto)","Em aberto")),IF(I2859&lt;=H2859,"No prazo","Fora do prazo")))</f>
        <v/>
      </c>
    </row>
    <row r="2860">
      <c r="B2860" s="22" t="n"/>
      <c r="E2860" s="23" t="n"/>
      <c r="F2860" s="24" t="n"/>
      <c r="H2860" s="22" t="n"/>
      <c r="I2860" s="22" t="n"/>
      <c r="J2860" s="21">
        <f>IF(C2860="","",IFERROR(INDEX(Clientes!$B:$B,MATCH(C2860,Clientes!$A:$A,0)),"Cód. não cadastrado"))</f>
        <v/>
      </c>
      <c r="K2860" s="18">
        <f>IF(B2860="","",YEAR(B2860))</f>
        <v/>
      </c>
      <c r="L2860" s="18">
        <f>IF(B2860="","",MONTH(B2860))</f>
        <v/>
      </c>
      <c r="M2860" s="18">
        <f>IF(OR(B2860="",I2860=""),"",I2860-B2860)</f>
        <v/>
      </c>
      <c r="N2860" s="21">
        <f>IF(B2860="","",IF(I2860="",IF(H2860="","",IF(TODAY()&gt;H2860,"Atrasado (em aberto)","Em aberto")),IF(I2860&lt;=H2860,"No prazo","Fora do prazo")))</f>
        <v/>
      </c>
    </row>
    <row r="2861">
      <c r="B2861" s="22" t="n"/>
      <c r="E2861" s="23" t="n"/>
      <c r="F2861" s="24" t="n"/>
      <c r="H2861" s="22" t="n"/>
      <c r="I2861" s="22" t="n"/>
      <c r="J2861" s="21">
        <f>IF(C2861="","",IFERROR(INDEX(Clientes!$B:$B,MATCH(C2861,Clientes!$A:$A,0)),"Cód. não cadastrado"))</f>
        <v/>
      </c>
      <c r="K2861" s="18">
        <f>IF(B2861="","",YEAR(B2861))</f>
        <v/>
      </c>
      <c r="L2861" s="18">
        <f>IF(B2861="","",MONTH(B2861))</f>
        <v/>
      </c>
      <c r="M2861" s="18">
        <f>IF(OR(B2861="",I2861=""),"",I2861-B2861)</f>
        <v/>
      </c>
      <c r="N2861" s="21">
        <f>IF(B2861="","",IF(I2861="",IF(H2861="","",IF(TODAY()&gt;H2861,"Atrasado (em aberto)","Em aberto")),IF(I2861&lt;=H2861,"No prazo","Fora do prazo")))</f>
        <v/>
      </c>
    </row>
    <row r="2862">
      <c r="B2862" s="22" t="n"/>
      <c r="E2862" s="23" t="n"/>
      <c r="F2862" s="24" t="n"/>
      <c r="H2862" s="22" t="n"/>
      <c r="I2862" s="22" t="n"/>
      <c r="J2862" s="21">
        <f>IF(C2862="","",IFERROR(INDEX(Clientes!$B:$B,MATCH(C2862,Clientes!$A:$A,0)),"Cód. não cadastrado"))</f>
        <v/>
      </c>
      <c r="K2862" s="18">
        <f>IF(B2862="","",YEAR(B2862))</f>
        <v/>
      </c>
      <c r="L2862" s="18">
        <f>IF(B2862="","",MONTH(B2862))</f>
        <v/>
      </c>
      <c r="M2862" s="18">
        <f>IF(OR(B2862="",I2862=""),"",I2862-B2862)</f>
        <v/>
      </c>
      <c r="N2862" s="21">
        <f>IF(B2862="","",IF(I2862="",IF(H2862="","",IF(TODAY()&gt;H2862,"Atrasado (em aberto)","Em aberto")),IF(I2862&lt;=H2862,"No prazo","Fora do prazo")))</f>
        <v/>
      </c>
    </row>
    <row r="2863">
      <c r="B2863" s="22" t="n"/>
      <c r="E2863" s="23" t="n"/>
      <c r="F2863" s="24" t="n"/>
      <c r="H2863" s="22" t="n"/>
      <c r="I2863" s="22" t="n"/>
      <c r="J2863" s="21">
        <f>IF(C2863="","",IFERROR(INDEX(Clientes!$B:$B,MATCH(C2863,Clientes!$A:$A,0)),"Cód. não cadastrado"))</f>
        <v/>
      </c>
      <c r="K2863" s="18">
        <f>IF(B2863="","",YEAR(B2863))</f>
        <v/>
      </c>
      <c r="L2863" s="18">
        <f>IF(B2863="","",MONTH(B2863))</f>
        <v/>
      </c>
      <c r="M2863" s="18">
        <f>IF(OR(B2863="",I2863=""),"",I2863-B2863)</f>
        <v/>
      </c>
      <c r="N2863" s="21">
        <f>IF(B2863="","",IF(I2863="",IF(H2863="","",IF(TODAY()&gt;H2863,"Atrasado (em aberto)","Em aberto")),IF(I2863&lt;=H2863,"No prazo","Fora do prazo")))</f>
        <v/>
      </c>
    </row>
    <row r="2864">
      <c r="B2864" s="22" t="n"/>
      <c r="E2864" s="23" t="n"/>
      <c r="F2864" s="24" t="n"/>
      <c r="H2864" s="22" t="n"/>
      <c r="I2864" s="22" t="n"/>
      <c r="J2864" s="21">
        <f>IF(C2864="","",IFERROR(INDEX(Clientes!$B:$B,MATCH(C2864,Clientes!$A:$A,0)),"Cód. não cadastrado"))</f>
        <v/>
      </c>
      <c r="K2864" s="18">
        <f>IF(B2864="","",YEAR(B2864))</f>
        <v/>
      </c>
      <c r="L2864" s="18">
        <f>IF(B2864="","",MONTH(B2864))</f>
        <v/>
      </c>
      <c r="M2864" s="18">
        <f>IF(OR(B2864="",I2864=""),"",I2864-B2864)</f>
        <v/>
      </c>
      <c r="N2864" s="21">
        <f>IF(B2864="","",IF(I2864="",IF(H2864="","",IF(TODAY()&gt;H2864,"Atrasado (em aberto)","Em aberto")),IF(I2864&lt;=H2864,"No prazo","Fora do prazo")))</f>
        <v/>
      </c>
    </row>
    <row r="2865">
      <c r="B2865" s="22" t="n"/>
      <c r="E2865" s="23" t="n"/>
      <c r="F2865" s="24" t="n"/>
      <c r="H2865" s="22" t="n"/>
      <c r="I2865" s="22" t="n"/>
      <c r="J2865" s="21">
        <f>IF(C2865="","",IFERROR(INDEX(Clientes!$B:$B,MATCH(C2865,Clientes!$A:$A,0)),"Cód. não cadastrado"))</f>
        <v/>
      </c>
      <c r="K2865" s="18">
        <f>IF(B2865="","",YEAR(B2865))</f>
        <v/>
      </c>
      <c r="L2865" s="18">
        <f>IF(B2865="","",MONTH(B2865))</f>
        <v/>
      </c>
      <c r="M2865" s="18">
        <f>IF(OR(B2865="",I2865=""),"",I2865-B2865)</f>
        <v/>
      </c>
      <c r="N2865" s="21">
        <f>IF(B2865="","",IF(I2865="",IF(H2865="","",IF(TODAY()&gt;H2865,"Atrasado (em aberto)","Em aberto")),IF(I2865&lt;=H2865,"No prazo","Fora do prazo")))</f>
        <v/>
      </c>
    </row>
    <row r="2866">
      <c r="B2866" s="22" t="n"/>
      <c r="E2866" s="23" t="n"/>
      <c r="F2866" s="24" t="n"/>
      <c r="H2866" s="22" t="n"/>
      <c r="I2866" s="22" t="n"/>
      <c r="J2866" s="21">
        <f>IF(C2866="","",IFERROR(INDEX(Clientes!$B:$B,MATCH(C2866,Clientes!$A:$A,0)),"Cód. não cadastrado"))</f>
        <v/>
      </c>
      <c r="K2866" s="18">
        <f>IF(B2866="","",YEAR(B2866))</f>
        <v/>
      </c>
      <c r="L2866" s="18">
        <f>IF(B2866="","",MONTH(B2866))</f>
        <v/>
      </c>
      <c r="M2866" s="18">
        <f>IF(OR(B2866="",I2866=""),"",I2866-B2866)</f>
        <v/>
      </c>
      <c r="N2866" s="21">
        <f>IF(B2866="","",IF(I2866="",IF(H2866="","",IF(TODAY()&gt;H2866,"Atrasado (em aberto)","Em aberto")),IF(I2866&lt;=H2866,"No prazo","Fora do prazo")))</f>
        <v/>
      </c>
    </row>
    <row r="2867">
      <c r="B2867" s="22" t="n"/>
      <c r="E2867" s="23" t="n"/>
      <c r="F2867" s="24" t="n"/>
      <c r="H2867" s="22" t="n"/>
      <c r="I2867" s="22" t="n"/>
      <c r="J2867" s="21">
        <f>IF(C2867="","",IFERROR(INDEX(Clientes!$B:$B,MATCH(C2867,Clientes!$A:$A,0)),"Cód. não cadastrado"))</f>
        <v/>
      </c>
      <c r="K2867" s="18">
        <f>IF(B2867="","",YEAR(B2867))</f>
        <v/>
      </c>
      <c r="L2867" s="18">
        <f>IF(B2867="","",MONTH(B2867))</f>
        <v/>
      </c>
      <c r="M2867" s="18">
        <f>IF(OR(B2867="",I2867=""),"",I2867-B2867)</f>
        <v/>
      </c>
      <c r="N2867" s="21">
        <f>IF(B2867="","",IF(I2867="",IF(H2867="","",IF(TODAY()&gt;H2867,"Atrasado (em aberto)","Em aberto")),IF(I2867&lt;=H2867,"No prazo","Fora do prazo")))</f>
        <v/>
      </c>
    </row>
    <row r="2868">
      <c r="B2868" s="22" t="n"/>
      <c r="E2868" s="23" t="n"/>
      <c r="F2868" s="24" t="n"/>
      <c r="H2868" s="22" t="n"/>
      <c r="I2868" s="22" t="n"/>
      <c r="J2868" s="21">
        <f>IF(C2868="","",IFERROR(INDEX(Clientes!$B:$B,MATCH(C2868,Clientes!$A:$A,0)),"Cód. não cadastrado"))</f>
        <v/>
      </c>
      <c r="K2868" s="18">
        <f>IF(B2868="","",YEAR(B2868))</f>
        <v/>
      </c>
      <c r="L2868" s="18">
        <f>IF(B2868="","",MONTH(B2868))</f>
        <v/>
      </c>
      <c r="M2868" s="18">
        <f>IF(OR(B2868="",I2868=""),"",I2868-B2868)</f>
        <v/>
      </c>
      <c r="N2868" s="21">
        <f>IF(B2868="","",IF(I2868="",IF(H2868="","",IF(TODAY()&gt;H2868,"Atrasado (em aberto)","Em aberto")),IF(I2868&lt;=H2868,"No prazo","Fora do prazo")))</f>
        <v/>
      </c>
    </row>
    <row r="2869">
      <c r="B2869" s="22" t="n"/>
      <c r="E2869" s="23" t="n"/>
      <c r="F2869" s="24" t="n"/>
      <c r="H2869" s="22" t="n"/>
      <c r="I2869" s="22" t="n"/>
      <c r="J2869" s="21">
        <f>IF(C2869="","",IFERROR(INDEX(Clientes!$B:$B,MATCH(C2869,Clientes!$A:$A,0)),"Cód. não cadastrado"))</f>
        <v/>
      </c>
      <c r="K2869" s="18">
        <f>IF(B2869="","",YEAR(B2869))</f>
        <v/>
      </c>
      <c r="L2869" s="18">
        <f>IF(B2869="","",MONTH(B2869))</f>
        <v/>
      </c>
      <c r="M2869" s="18">
        <f>IF(OR(B2869="",I2869=""),"",I2869-B2869)</f>
        <v/>
      </c>
      <c r="N2869" s="21">
        <f>IF(B2869="","",IF(I2869="",IF(H2869="","",IF(TODAY()&gt;H2869,"Atrasado (em aberto)","Em aberto")),IF(I2869&lt;=H2869,"No prazo","Fora do prazo")))</f>
        <v/>
      </c>
    </row>
    <row r="2870">
      <c r="B2870" s="22" t="n"/>
      <c r="E2870" s="23" t="n"/>
      <c r="F2870" s="24" t="n"/>
      <c r="H2870" s="22" t="n"/>
      <c r="I2870" s="22" t="n"/>
      <c r="J2870" s="21">
        <f>IF(C2870="","",IFERROR(INDEX(Clientes!$B:$B,MATCH(C2870,Clientes!$A:$A,0)),"Cód. não cadastrado"))</f>
        <v/>
      </c>
      <c r="K2870" s="18">
        <f>IF(B2870="","",YEAR(B2870))</f>
        <v/>
      </c>
      <c r="L2870" s="18">
        <f>IF(B2870="","",MONTH(B2870))</f>
        <v/>
      </c>
      <c r="M2870" s="18">
        <f>IF(OR(B2870="",I2870=""),"",I2870-B2870)</f>
        <v/>
      </c>
      <c r="N2870" s="21">
        <f>IF(B2870="","",IF(I2870="",IF(H2870="","",IF(TODAY()&gt;H2870,"Atrasado (em aberto)","Em aberto")),IF(I2870&lt;=H2870,"No prazo","Fora do prazo")))</f>
        <v/>
      </c>
    </row>
    <row r="2871">
      <c r="B2871" s="22" t="n"/>
      <c r="E2871" s="23" t="n"/>
      <c r="F2871" s="24" t="n"/>
      <c r="H2871" s="22" t="n"/>
      <c r="I2871" s="22" t="n"/>
      <c r="J2871" s="21">
        <f>IF(C2871="","",IFERROR(INDEX(Clientes!$B:$B,MATCH(C2871,Clientes!$A:$A,0)),"Cód. não cadastrado"))</f>
        <v/>
      </c>
      <c r="K2871" s="18">
        <f>IF(B2871="","",YEAR(B2871))</f>
        <v/>
      </c>
      <c r="L2871" s="18">
        <f>IF(B2871="","",MONTH(B2871))</f>
        <v/>
      </c>
      <c r="M2871" s="18">
        <f>IF(OR(B2871="",I2871=""),"",I2871-B2871)</f>
        <v/>
      </c>
      <c r="N2871" s="21">
        <f>IF(B2871="","",IF(I2871="",IF(H2871="","",IF(TODAY()&gt;H2871,"Atrasado (em aberto)","Em aberto")),IF(I2871&lt;=H2871,"No prazo","Fora do prazo")))</f>
        <v/>
      </c>
    </row>
    <row r="2872">
      <c r="B2872" s="22" t="n"/>
      <c r="E2872" s="23" t="n"/>
      <c r="F2872" s="24" t="n"/>
      <c r="H2872" s="22" t="n"/>
      <c r="I2872" s="22" t="n"/>
      <c r="J2872" s="21">
        <f>IF(C2872="","",IFERROR(INDEX(Clientes!$B:$B,MATCH(C2872,Clientes!$A:$A,0)),"Cód. não cadastrado"))</f>
        <v/>
      </c>
      <c r="K2872" s="18">
        <f>IF(B2872="","",YEAR(B2872))</f>
        <v/>
      </c>
      <c r="L2872" s="18">
        <f>IF(B2872="","",MONTH(B2872))</f>
        <v/>
      </c>
      <c r="M2872" s="18">
        <f>IF(OR(B2872="",I2872=""),"",I2872-B2872)</f>
        <v/>
      </c>
      <c r="N2872" s="21">
        <f>IF(B2872="","",IF(I2872="",IF(H2872="","",IF(TODAY()&gt;H2872,"Atrasado (em aberto)","Em aberto")),IF(I2872&lt;=H2872,"No prazo","Fora do prazo")))</f>
        <v/>
      </c>
    </row>
    <row r="2873">
      <c r="B2873" s="22" t="n"/>
      <c r="E2873" s="23" t="n"/>
      <c r="F2873" s="24" t="n"/>
      <c r="H2873" s="22" t="n"/>
      <c r="I2873" s="22" t="n"/>
      <c r="J2873" s="21">
        <f>IF(C2873="","",IFERROR(INDEX(Clientes!$B:$B,MATCH(C2873,Clientes!$A:$A,0)),"Cód. não cadastrado"))</f>
        <v/>
      </c>
      <c r="K2873" s="18">
        <f>IF(B2873="","",YEAR(B2873))</f>
        <v/>
      </c>
      <c r="L2873" s="18">
        <f>IF(B2873="","",MONTH(B2873))</f>
        <v/>
      </c>
      <c r="M2873" s="18">
        <f>IF(OR(B2873="",I2873=""),"",I2873-B2873)</f>
        <v/>
      </c>
      <c r="N2873" s="21">
        <f>IF(B2873="","",IF(I2873="",IF(H2873="","",IF(TODAY()&gt;H2873,"Atrasado (em aberto)","Em aberto")),IF(I2873&lt;=H2873,"No prazo","Fora do prazo")))</f>
        <v/>
      </c>
    </row>
    <row r="2874">
      <c r="B2874" s="22" t="n"/>
      <c r="E2874" s="23" t="n"/>
      <c r="F2874" s="24" t="n"/>
      <c r="H2874" s="22" t="n"/>
      <c r="I2874" s="22" t="n"/>
      <c r="J2874" s="21">
        <f>IF(C2874="","",IFERROR(INDEX(Clientes!$B:$B,MATCH(C2874,Clientes!$A:$A,0)),"Cód. não cadastrado"))</f>
        <v/>
      </c>
      <c r="K2874" s="18">
        <f>IF(B2874="","",YEAR(B2874))</f>
        <v/>
      </c>
      <c r="L2874" s="18">
        <f>IF(B2874="","",MONTH(B2874))</f>
        <v/>
      </c>
      <c r="M2874" s="18">
        <f>IF(OR(B2874="",I2874=""),"",I2874-B2874)</f>
        <v/>
      </c>
      <c r="N2874" s="21">
        <f>IF(B2874="","",IF(I2874="",IF(H2874="","",IF(TODAY()&gt;H2874,"Atrasado (em aberto)","Em aberto")),IF(I2874&lt;=H2874,"No prazo","Fora do prazo")))</f>
        <v/>
      </c>
    </row>
    <row r="2875">
      <c r="B2875" s="22" t="n"/>
      <c r="E2875" s="23" t="n"/>
      <c r="F2875" s="24" t="n"/>
      <c r="H2875" s="22" t="n"/>
      <c r="I2875" s="22" t="n"/>
      <c r="J2875" s="21">
        <f>IF(C2875="","",IFERROR(INDEX(Clientes!$B:$B,MATCH(C2875,Clientes!$A:$A,0)),"Cód. não cadastrado"))</f>
        <v/>
      </c>
      <c r="K2875" s="18">
        <f>IF(B2875="","",YEAR(B2875))</f>
        <v/>
      </c>
      <c r="L2875" s="18">
        <f>IF(B2875="","",MONTH(B2875))</f>
        <v/>
      </c>
      <c r="M2875" s="18">
        <f>IF(OR(B2875="",I2875=""),"",I2875-B2875)</f>
        <v/>
      </c>
      <c r="N2875" s="21">
        <f>IF(B2875="","",IF(I2875="",IF(H2875="","",IF(TODAY()&gt;H2875,"Atrasado (em aberto)","Em aberto")),IF(I2875&lt;=H2875,"No prazo","Fora do prazo")))</f>
        <v/>
      </c>
    </row>
    <row r="2876">
      <c r="B2876" s="22" t="n"/>
      <c r="E2876" s="23" t="n"/>
      <c r="F2876" s="24" t="n"/>
      <c r="H2876" s="22" t="n"/>
      <c r="I2876" s="22" t="n"/>
      <c r="J2876" s="21">
        <f>IF(C2876="","",IFERROR(INDEX(Clientes!$B:$B,MATCH(C2876,Clientes!$A:$A,0)),"Cód. não cadastrado"))</f>
        <v/>
      </c>
      <c r="K2876" s="18">
        <f>IF(B2876="","",YEAR(B2876))</f>
        <v/>
      </c>
      <c r="L2876" s="18">
        <f>IF(B2876="","",MONTH(B2876))</f>
        <v/>
      </c>
      <c r="M2876" s="18">
        <f>IF(OR(B2876="",I2876=""),"",I2876-B2876)</f>
        <v/>
      </c>
      <c r="N2876" s="21">
        <f>IF(B2876="","",IF(I2876="",IF(H2876="","",IF(TODAY()&gt;H2876,"Atrasado (em aberto)","Em aberto")),IF(I2876&lt;=H2876,"No prazo","Fora do prazo")))</f>
        <v/>
      </c>
    </row>
    <row r="2877">
      <c r="B2877" s="22" t="n"/>
      <c r="E2877" s="23" t="n"/>
      <c r="F2877" s="24" t="n"/>
      <c r="H2877" s="22" t="n"/>
      <c r="I2877" s="22" t="n"/>
      <c r="J2877" s="21">
        <f>IF(C2877="","",IFERROR(INDEX(Clientes!$B:$B,MATCH(C2877,Clientes!$A:$A,0)),"Cód. não cadastrado"))</f>
        <v/>
      </c>
      <c r="K2877" s="18">
        <f>IF(B2877="","",YEAR(B2877))</f>
        <v/>
      </c>
      <c r="L2877" s="18">
        <f>IF(B2877="","",MONTH(B2877))</f>
        <v/>
      </c>
      <c r="M2877" s="18">
        <f>IF(OR(B2877="",I2877=""),"",I2877-B2877)</f>
        <v/>
      </c>
      <c r="N2877" s="21">
        <f>IF(B2877="","",IF(I2877="",IF(H2877="","",IF(TODAY()&gt;H2877,"Atrasado (em aberto)","Em aberto")),IF(I2877&lt;=H2877,"No prazo","Fora do prazo")))</f>
        <v/>
      </c>
    </row>
    <row r="2878">
      <c r="B2878" s="22" t="n"/>
      <c r="E2878" s="23" t="n"/>
      <c r="F2878" s="24" t="n"/>
      <c r="H2878" s="22" t="n"/>
      <c r="I2878" s="22" t="n"/>
      <c r="J2878" s="21">
        <f>IF(C2878="","",IFERROR(INDEX(Clientes!$B:$B,MATCH(C2878,Clientes!$A:$A,0)),"Cód. não cadastrado"))</f>
        <v/>
      </c>
      <c r="K2878" s="18">
        <f>IF(B2878="","",YEAR(B2878))</f>
        <v/>
      </c>
      <c r="L2878" s="18">
        <f>IF(B2878="","",MONTH(B2878))</f>
        <v/>
      </c>
      <c r="M2878" s="18">
        <f>IF(OR(B2878="",I2878=""),"",I2878-B2878)</f>
        <v/>
      </c>
      <c r="N2878" s="21">
        <f>IF(B2878="","",IF(I2878="",IF(H2878="","",IF(TODAY()&gt;H2878,"Atrasado (em aberto)","Em aberto")),IF(I2878&lt;=H2878,"No prazo","Fora do prazo")))</f>
        <v/>
      </c>
    </row>
    <row r="2879">
      <c r="B2879" s="22" t="n"/>
      <c r="E2879" s="23" t="n"/>
      <c r="F2879" s="24" t="n"/>
      <c r="H2879" s="22" t="n"/>
      <c r="I2879" s="22" t="n"/>
      <c r="J2879" s="21">
        <f>IF(C2879="","",IFERROR(INDEX(Clientes!$B:$B,MATCH(C2879,Clientes!$A:$A,0)),"Cód. não cadastrado"))</f>
        <v/>
      </c>
      <c r="K2879" s="18">
        <f>IF(B2879="","",YEAR(B2879))</f>
        <v/>
      </c>
      <c r="L2879" s="18">
        <f>IF(B2879="","",MONTH(B2879))</f>
        <v/>
      </c>
      <c r="M2879" s="18">
        <f>IF(OR(B2879="",I2879=""),"",I2879-B2879)</f>
        <v/>
      </c>
      <c r="N2879" s="21">
        <f>IF(B2879="","",IF(I2879="",IF(H2879="","",IF(TODAY()&gt;H2879,"Atrasado (em aberto)","Em aberto")),IF(I2879&lt;=H2879,"No prazo","Fora do prazo")))</f>
        <v/>
      </c>
    </row>
    <row r="2880">
      <c r="B2880" s="22" t="n"/>
      <c r="E2880" s="23" t="n"/>
      <c r="F2880" s="24" t="n"/>
      <c r="H2880" s="22" t="n"/>
      <c r="I2880" s="22" t="n"/>
      <c r="J2880" s="21">
        <f>IF(C2880="","",IFERROR(INDEX(Clientes!$B:$B,MATCH(C2880,Clientes!$A:$A,0)),"Cód. não cadastrado"))</f>
        <v/>
      </c>
      <c r="K2880" s="18">
        <f>IF(B2880="","",YEAR(B2880))</f>
        <v/>
      </c>
      <c r="L2880" s="18">
        <f>IF(B2880="","",MONTH(B2880))</f>
        <v/>
      </c>
      <c r="M2880" s="18">
        <f>IF(OR(B2880="",I2880=""),"",I2880-B2880)</f>
        <v/>
      </c>
      <c r="N2880" s="21">
        <f>IF(B2880="","",IF(I2880="",IF(H2880="","",IF(TODAY()&gt;H2880,"Atrasado (em aberto)","Em aberto")),IF(I2880&lt;=H2880,"No prazo","Fora do prazo")))</f>
        <v/>
      </c>
    </row>
    <row r="2881">
      <c r="B2881" s="22" t="n"/>
      <c r="E2881" s="23" t="n"/>
      <c r="F2881" s="24" t="n"/>
      <c r="H2881" s="22" t="n"/>
      <c r="I2881" s="22" t="n"/>
      <c r="J2881" s="21">
        <f>IF(C2881="","",IFERROR(INDEX(Clientes!$B:$B,MATCH(C2881,Clientes!$A:$A,0)),"Cód. não cadastrado"))</f>
        <v/>
      </c>
      <c r="K2881" s="18">
        <f>IF(B2881="","",YEAR(B2881))</f>
        <v/>
      </c>
      <c r="L2881" s="18">
        <f>IF(B2881="","",MONTH(B2881))</f>
        <v/>
      </c>
      <c r="M2881" s="18">
        <f>IF(OR(B2881="",I2881=""),"",I2881-B2881)</f>
        <v/>
      </c>
      <c r="N2881" s="21">
        <f>IF(B2881="","",IF(I2881="",IF(H2881="","",IF(TODAY()&gt;H2881,"Atrasado (em aberto)","Em aberto")),IF(I2881&lt;=H2881,"No prazo","Fora do prazo")))</f>
        <v/>
      </c>
    </row>
    <row r="2882">
      <c r="B2882" s="22" t="n"/>
      <c r="E2882" s="23" t="n"/>
      <c r="F2882" s="24" t="n"/>
      <c r="H2882" s="22" t="n"/>
      <c r="I2882" s="22" t="n"/>
      <c r="J2882" s="21">
        <f>IF(C2882="","",IFERROR(INDEX(Clientes!$B:$B,MATCH(C2882,Clientes!$A:$A,0)),"Cód. não cadastrado"))</f>
        <v/>
      </c>
      <c r="K2882" s="18">
        <f>IF(B2882="","",YEAR(B2882))</f>
        <v/>
      </c>
      <c r="L2882" s="18">
        <f>IF(B2882="","",MONTH(B2882))</f>
        <v/>
      </c>
      <c r="M2882" s="18">
        <f>IF(OR(B2882="",I2882=""),"",I2882-B2882)</f>
        <v/>
      </c>
      <c r="N2882" s="21">
        <f>IF(B2882="","",IF(I2882="",IF(H2882="","",IF(TODAY()&gt;H2882,"Atrasado (em aberto)","Em aberto")),IF(I2882&lt;=H2882,"No prazo","Fora do prazo")))</f>
        <v/>
      </c>
    </row>
    <row r="2883">
      <c r="B2883" s="22" t="n"/>
      <c r="E2883" s="23" t="n"/>
      <c r="F2883" s="24" t="n"/>
      <c r="H2883" s="22" t="n"/>
      <c r="I2883" s="22" t="n"/>
      <c r="J2883" s="21">
        <f>IF(C2883="","",IFERROR(INDEX(Clientes!$B:$B,MATCH(C2883,Clientes!$A:$A,0)),"Cód. não cadastrado"))</f>
        <v/>
      </c>
      <c r="K2883" s="18">
        <f>IF(B2883="","",YEAR(B2883))</f>
        <v/>
      </c>
      <c r="L2883" s="18">
        <f>IF(B2883="","",MONTH(B2883))</f>
        <v/>
      </c>
      <c r="M2883" s="18">
        <f>IF(OR(B2883="",I2883=""),"",I2883-B2883)</f>
        <v/>
      </c>
      <c r="N2883" s="21">
        <f>IF(B2883="","",IF(I2883="",IF(H2883="","",IF(TODAY()&gt;H2883,"Atrasado (em aberto)","Em aberto")),IF(I2883&lt;=H2883,"No prazo","Fora do prazo")))</f>
        <v/>
      </c>
    </row>
    <row r="2884">
      <c r="B2884" s="22" t="n"/>
      <c r="E2884" s="23" t="n"/>
      <c r="F2884" s="24" t="n"/>
      <c r="H2884" s="22" t="n"/>
      <c r="I2884" s="22" t="n"/>
      <c r="J2884" s="21">
        <f>IF(C2884="","",IFERROR(INDEX(Clientes!$B:$B,MATCH(C2884,Clientes!$A:$A,0)),"Cód. não cadastrado"))</f>
        <v/>
      </c>
      <c r="K2884" s="18">
        <f>IF(B2884="","",YEAR(B2884))</f>
        <v/>
      </c>
      <c r="L2884" s="18">
        <f>IF(B2884="","",MONTH(B2884))</f>
        <v/>
      </c>
      <c r="M2884" s="18">
        <f>IF(OR(B2884="",I2884=""),"",I2884-B2884)</f>
        <v/>
      </c>
      <c r="N2884" s="21">
        <f>IF(B2884="","",IF(I2884="",IF(H2884="","",IF(TODAY()&gt;H2884,"Atrasado (em aberto)","Em aberto")),IF(I2884&lt;=H2884,"No prazo","Fora do prazo")))</f>
        <v/>
      </c>
    </row>
    <row r="2885">
      <c r="B2885" s="22" t="n"/>
      <c r="E2885" s="23" t="n"/>
      <c r="F2885" s="24" t="n"/>
      <c r="H2885" s="22" t="n"/>
      <c r="I2885" s="22" t="n"/>
      <c r="J2885" s="21">
        <f>IF(C2885="","",IFERROR(INDEX(Clientes!$B:$B,MATCH(C2885,Clientes!$A:$A,0)),"Cód. não cadastrado"))</f>
        <v/>
      </c>
      <c r="K2885" s="18">
        <f>IF(B2885="","",YEAR(B2885))</f>
        <v/>
      </c>
      <c r="L2885" s="18">
        <f>IF(B2885="","",MONTH(B2885))</f>
        <v/>
      </c>
      <c r="M2885" s="18">
        <f>IF(OR(B2885="",I2885=""),"",I2885-B2885)</f>
        <v/>
      </c>
      <c r="N2885" s="21">
        <f>IF(B2885="","",IF(I2885="",IF(H2885="","",IF(TODAY()&gt;H2885,"Atrasado (em aberto)","Em aberto")),IF(I2885&lt;=H2885,"No prazo","Fora do prazo")))</f>
        <v/>
      </c>
    </row>
    <row r="2886">
      <c r="B2886" s="22" t="n"/>
      <c r="E2886" s="23" t="n"/>
      <c r="F2886" s="24" t="n"/>
      <c r="H2886" s="22" t="n"/>
      <c r="I2886" s="22" t="n"/>
      <c r="J2886" s="21">
        <f>IF(C2886="","",IFERROR(INDEX(Clientes!$B:$B,MATCH(C2886,Clientes!$A:$A,0)),"Cód. não cadastrado"))</f>
        <v/>
      </c>
      <c r="K2886" s="18">
        <f>IF(B2886="","",YEAR(B2886))</f>
        <v/>
      </c>
      <c r="L2886" s="18">
        <f>IF(B2886="","",MONTH(B2886))</f>
        <v/>
      </c>
      <c r="M2886" s="18">
        <f>IF(OR(B2886="",I2886=""),"",I2886-B2886)</f>
        <v/>
      </c>
      <c r="N2886" s="21">
        <f>IF(B2886="","",IF(I2886="",IF(H2886="","",IF(TODAY()&gt;H2886,"Atrasado (em aberto)","Em aberto")),IF(I2886&lt;=H2886,"No prazo","Fora do prazo")))</f>
        <v/>
      </c>
    </row>
    <row r="2887">
      <c r="B2887" s="22" t="n"/>
      <c r="E2887" s="23" t="n"/>
      <c r="F2887" s="24" t="n"/>
      <c r="H2887" s="22" t="n"/>
      <c r="I2887" s="22" t="n"/>
      <c r="J2887" s="21">
        <f>IF(C2887="","",IFERROR(INDEX(Clientes!$B:$B,MATCH(C2887,Clientes!$A:$A,0)),"Cód. não cadastrado"))</f>
        <v/>
      </c>
      <c r="K2887" s="18">
        <f>IF(B2887="","",YEAR(B2887))</f>
        <v/>
      </c>
      <c r="L2887" s="18">
        <f>IF(B2887="","",MONTH(B2887))</f>
        <v/>
      </c>
      <c r="M2887" s="18">
        <f>IF(OR(B2887="",I2887=""),"",I2887-B2887)</f>
        <v/>
      </c>
      <c r="N2887" s="21">
        <f>IF(B2887="","",IF(I2887="",IF(H2887="","",IF(TODAY()&gt;H2887,"Atrasado (em aberto)","Em aberto")),IF(I2887&lt;=H2887,"No prazo","Fora do prazo")))</f>
        <v/>
      </c>
    </row>
    <row r="2888">
      <c r="B2888" s="22" t="n"/>
      <c r="E2888" s="23" t="n"/>
      <c r="F2888" s="24" t="n"/>
      <c r="H2888" s="22" t="n"/>
      <c r="I2888" s="22" t="n"/>
      <c r="J2888" s="21">
        <f>IF(C2888="","",IFERROR(INDEX(Clientes!$B:$B,MATCH(C2888,Clientes!$A:$A,0)),"Cód. não cadastrado"))</f>
        <v/>
      </c>
      <c r="K2888" s="18">
        <f>IF(B2888="","",YEAR(B2888))</f>
        <v/>
      </c>
      <c r="L2888" s="18">
        <f>IF(B2888="","",MONTH(B2888))</f>
        <v/>
      </c>
      <c r="M2888" s="18">
        <f>IF(OR(B2888="",I2888=""),"",I2888-B2888)</f>
        <v/>
      </c>
      <c r="N2888" s="21">
        <f>IF(B2888="","",IF(I2888="",IF(H2888="","",IF(TODAY()&gt;H2888,"Atrasado (em aberto)","Em aberto")),IF(I2888&lt;=H2888,"No prazo","Fora do prazo")))</f>
        <v/>
      </c>
    </row>
    <row r="2889">
      <c r="B2889" s="22" t="n"/>
      <c r="E2889" s="23" t="n"/>
      <c r="F2889" s="24" t="n"/>
      <c r="H2889" s="22" t="n"/>
      <c r="I2889" s="22" t="n"/>
      <c r="J2889" s="21">
        <f>IF(C2889="","",IFERROR(INDEX(Clientes!$B:$B,MATCH(C2889,Clientes!$A:$A,0)),"Cód. não cadastrado"))</f>
        <v/>
      </c>
      <c r="K2889" s="18">
        <f>IF(B2889="","",YEAR(B2889))</f>
        <v/>
      </c>
      <c r="L2889" s="18">
        <f>IF(B2889="","",MONTH(B2889))</f>
        <v/>
      </c>
      <c r="M2889" s="18">
        <f>IF(OR(B2889="",I2889=""),"",I2889-B2889)</f>
        <v/>
      </c>
      <c r="N2889" s="21">
        <f>IF(B2889="","",IF(I2889="",IF(H2889="","",IF(TODAY()&gt;H2889,"Atrasado (em aberto)","Em aberto")),IF(I2889&lt;=H2889,"No prazo","Fora do prazo")))</f>
        <v/>
      </c>
    </row>
    <row r="2890">
      <c r="B2890" s="22" t="n"/>
      <c r="E2890" s="23" t="n"/>
      <c r="F2890" s="24" t="n"/>
      <c r="H2890" s="22" t="n"/>
      <c r="I2890" s="22" t="n"/>
      <c r="J2890" s="21">
        <f>IF(C2890="","",IFERROR(INDEX(Clientes!$B:$B,MATCH(C2890,Clientes!$A:$A,0)),"Cód. não cadastrado"))</f>
        <v/>
      </c>
      <c r="K2890" s="18">
        <f>IF(B2890="","",YEAR(B2890))</f>
        <v/>
      </c>
      <c r="L2890" s="18">
        <f>IF(B2890="","",MONTH(B2890))</f>
        <v/>
      </c>
      <c r="M2890" s="18">
        <f>IF(OR(B2890="",I2890=""),"",I2890-B2890)</f>
        <v/>
      </c>
      <c r="N2890" s="21">
        <f>IF(B2890="","",IF(I2890="",IF(H2890="","",IF(TODAY()&gt;H2890,"Atrasado (em aberto)","Em aberto")),IF(I2890&lt;=H2890,"No prazo","Fora do prazo")))</f>
        <v/>
      </c>
    </row>
    <row r="2891">
      <c r="B2891" s="22" t="n"/>
      <c r="E2891" s="23" t="n"/>
      <c r="F2891" s="24" t="n"/>
      <c r="H2891" s="22" t="n"/>
      <c r="I2891" s="22" t="n"/>
      <c r="J2891" s="21">
        <f>IF(C2891="","",IFERROR(INDEX(Clientes!$B:$B,MATCH(C2891,Clientes!$A:$A,0)),"Cód. não cadastrado"))</f>
        <v/>
      </c>
      <c r="K2891" s="18">
        <f>IF(B2891="","",YEAR(B2891))</f>
        <v/>
      </c>
      <c r="L2891" s="18">
        <f>IF(B2891="","",MONTH(B2891))</f>
        <v/>
      </c>
      <c r="M2891" s="18">
        <f>IF(OR(B2891="",I2891=""),"",I2891-B2891)</f>
        <v/>
      </c>
      <c r="N2891" s="21">
        <f>IF(B2891="","",IF(I2891="",IF(H2891="","",IF(TODAY()&gt;H2891,"Atrasado (em aberto)","Em aberto")),IF(I2891&lt;=H2891,"No prazo","Fora do prazo")))</f>
        <v/>
      </c>
    </row>
    <row r="2892">
      <c r="B2892" s="22" t="n"/>
      <c r="E2892" s="23" t="n"/>
      <c r="F2892" s="24" t="n"/>
      <c r="H2892" s="22" t="n"/>
      <c r="I2892" s="22" t="n"/>
      <c r="J2892" s="21">
        <f>IF(C2892="","",IFERROR(INDEX(Clientes!$B:$B,MATCH(C2892,Clientes!$A:$A,0)),"Cód. não cadastrado"))</f>
        <v/>
      </c>
      <c r="K2892" s="18">
        <f>IF(B2892="","",YEAR(B2892))</f>
        <v/>
      </c>
      <c r="L2892" s="18">
        <f>IF(B2892="","",MONTH(B2892))</f>
        <v/>
      </c>
      <c r="M2892" s="18">
        <f>IF(OR(B2892="",I2892=""),"",I2892-B2892)</f>
        <v/>
      </c>
      <c r="N2892" s="21">
        <f>IF(B2892="","",IF(I2892="",IF(H2892="","",IF(TODAY()&gt;H2892,"Atrasado (em aberto)","Em aberto")),IF(I2892&lt;=H2892,"No prazo","Fora do prazo")))</f>
        <v/>
      </c>
    </row>
    <row r="2893">
      <c r="B2893" s="22" t="n"/>
      <c r="E2893" s="23" t="n"/>
      <c r="F2893" s="24" t="n"/>
      <c r="H2893" s="22" t="n"/>
      <c r="I2893" s="22" t="n"/>
      <c r="J2893" s="21">
        <f>IF(C2893="","",IFERROR(INDEX(Clientes!$B:$B,MATCH(C2893,Clientes!$A:$A,0)),"Cód. não cadastrado"))</f>
        <v/>
      </c>
      <c r="K2893" s="18">
        <f>IF(B2893="","",YEAR(B2893))</f>
        <v/>
      </c>
      <c r="L2893" s="18">
        <f>IF(B2893="","",MONTH(B2893))</f>
        <v/>
      </c>
      <c r="M2893" s="18">
        <f>IF(OR(B2893="",I2893=""),"",I2893-B2893)</f>
        <v/>
      </c>
      <c r="N2893" s="21">
        <f>IF(B2893="","",IF(I2893="",IF(H2893="","",IF(TODAY()&gt;H2893,"Atrasado (em aberto)","Em aberto")),IF(I2893&lt;=H2893,"No prazo","Fora do prazo")))</f>
        <v/>
      </c>
    </row>
    <row r="2894">
      <c r="B2894" s="22" t="n"/>
      <c r="E2894" s="23" t="n"/>
      <c r="F2894" s="24" t="n"/>
      <c r="H2894" s="22" t="n"/>
      <c r="I2894" s="22" t="n"/>
      <c r="J2894" s="21">
        <f>IF(C2894="","",IFERROR(INDEX(Clientes!$B:$B,MATCH(C2894,Clientes!$A:$A,0)),"Cód. não cadastrado"))</f>
        <v/>
      </c>
      <c r="K2894" s="18">
        <f>IF(B2894="","",YEAR(B2894))</f>
        <v/>
      </c>
      <c r="L2894" s="18">
        <f>IF(B2894="","",MONTH(B2894))</f>
        <v/>
      </c>
      <c r="M2894" s="18">
        <f>IF(OR(B2894="",I2894=""),"",I2894-B2894)</f>
        <v/>
      </c>
      <c r="N2894" s="21">
        <f>IF(B2894="","",IF(I2894="",IF(H2894="","",IF(TODAY()&gt;H2894,"Atrasado (em aberto)","Em aberto")),IF(I2894&lt;=H2894,"No prazo","Fora do prazo")))</f>
        <v/>
      </c>
    </row>
    <row r="2895">
      <c r="B2895" s="22" t="n"/>
      <c r="E2895" s="23" t="n"/>
      <c r="F2895" s="24" t="n"/>
      <c r="H2895" s="22" t="n"/>
      <c r="I2895" s="22" t="n"/>
      <c r="J2895" s="21">
        <f>IF(C2895="","",IFERROR(INDEX(Clientes!$B:$B,MATCH(C2895,Clientes!$A:$A,0)),"Cód. não cadastrado"))</f>
        <v/>
      </c>
      <c r="K2895" s="18">
        <f>IF(B2895="","",YEAR(B2895))</f>
        <v/>
      </c>
      <c r="L2895" s="18">
        <f>IF(B2895="","",MONTH(B2895))</f>
        <v/>
      </c>
      <c r="M2895" s="18">
        <f>IF(OR(B2895="",I2895=""),"",I2895-B2895)</f>
        <v/>
      </c>
      <c r="N2895" s="21">
        <f>IF(B2895="","",IF(I2895="",IF(H2895="","",IF(TODAY()&gt;H2895,"Atrasado (em aberto)","Em aberto")),IF(I2895&lt;=H2895,"No prazo","Fora do prazo")))</f>
        <v/>
      </c>
    </row>
    <row r="2896">
      <c r="B2896" s="22" t="n"/>
      <c r="E2896" s="23" t="n"/>
      <c r="F2896" s="24" t="n"/>
      <c r="H2896" s="22" t="n"/>
      <c r="I2896" s="22" t="n"/>
      <c r="J2896" s="21">
        <f>IF(C2896="","",IFERROR(INDEX(Clientes!$B:$B,MATCH(C2896,Clientes!$A:$A,0)),"Cód. não cadastrado"))</f>
        <v/>
      </c>
      <c r="K2896" s="18">
        <f>IF(B2896="","",YEAR(B2896))</f>
        <v/>
      </c>
      <c r="L2896" s="18">
        <f>IF(B2896="","",MONTH(B2896))</f>
        <v/>
      </c>
      <c r="M2896" s="18">
        <f>IF(OR(B2896="",I2896=""),"",I2896-B2896)</f>
        <v/>
      </c>
      <c r="N2896" s="21">
        <f>IF(B2896="","",IF(I2896="",IF(H2896="","",IF(TODAY()&gt;H2896,"Atrasado (em aberto)","Em aberto")),IF(I2896&lt;=H2896,"No prazo","Fora do prazo")))</f>
        <v/>
      </c>
    </row>
    <row r="2897">
      <c r="B2897" s="22" t="n"/>
      <c r="E2897" s="23" t="n"/>
      <c r="F2897" s="24" t="n"/>
      <c r="H2897" s="22" t="n"/>
      <c r="I2897" s="22" t="n"/>
      <c r="J2897" s="21">
        <f>IF(C2897="","",IFERROR(INDEX(Clientes!$B:$B,MATCH(C2897,Clientes!$A:$A,0)),"Cód. não cadastrado"))</f>
        <v/>
      </c>
      <c r="K2897" s="18">
        <f>IF(B2897="","",YEAR(B2897))</f>
        <v/>
      </c>
      <c r="L2897" s="18">
        <f>IF(B2897="","",MONTH(B2897))</f>
        <v/>
      </c>
      <c r="M2897" s="18">
        <f>IF(OR(B2897="",I2897=""),"",I2897-B2897)</f>
        <v/>
      </c>
      <c r="N2897" s="21">
        <f>IF(B2897="","",IF(I2897="",IF(H2897="","",IF(TODAY()&gt;H2897,"Atrasado (em aberto)","Em aberto")),IF(I2897&lt;=H2897,"No prazo","Fora do prazo")))</f>
        <v/>
      </c>
    </row>
    <row r="2898">
      <c r="B2898" s="22" t="n"/>
      <c r="E2898" s="23" t="n"/>
      <c r="F2898" s="24" t="n"/>
      <c r="H2898" s="22" t="n"/>
      <c r="I2898" s="22" t="n"/>
      <c r="J2898" s="21">
        <f>IF(C2898="","",IFERROR(INDEX(Clientes!$B:$B,MATCH(C2898,Clientes!$A:$A,0)),"Cód. não cadastrado"))</f>
        <v/>
      </c>
      <c r="K2898" s="18">
        <f>IF(B2898="","",YEAR(B2898))</f>
        <v/>
      </c>
      <c r="L2898" s="18">
        <f>IF(B2898="","",MONTH(B2898))</f>
        <v/>
      </c>
      <c r="M2898" s="18">
        <f>IF(OR(B2898="",I2898=""),"",I2898-B2898)</f>
        <v/>
      </c>
      <c r="N2898" s="21">
        <f>IF(B2898="","",IF(I2898="",IF(H2898="","",IF(TODAY()&gt;H2898,"Atrasado (em aberto)","Em aberto")),IF(I2898&lt;=H2898,"No prazo","Fora do prazo")))</f>
        <v/>
      </c>
    </row>
    <row r="2899">
      <c r="B2899" s="22" t="n"/>
      <c r="E2899" s="23" t="n"/>
      <c r="F2899" s="24" t="n"/>
      <c r="H2899" s="22" t="n"/>
      <c r="I2899" s="22" t="n"/>
      <c r="J2899" s="21">
        <f>IF(C2899="","",IFERROR(INDEX(Clientes!$B:$B,MATCH(C2899,Clientes!$A:$A,0)),"Cód. não cadastrado"))</f>
        <v/>
      </c>
      <c r="K2899" s="18">
        <f>IF(B2899="","",YEAR(B2899))</f>
        <v/>
      </c>
      <c r="L2899" s="18">
        <f>IF(B2899="","",MONTH(B2899))</f>
        <v/>
      </c>
      <c r="M2899" s="18">
        <f>IF(OR(B2899="",I2899=""),"",I2899-B2899)</f>
        <v/>
      </c>
      <c r="N2899" s="21">
        <f>IF(B2899="","",IF(I2899="",IF(H2899="","",IF(TODAY()&gt;H2899,"Atrasado (em aberto)","Em aberto")),IF(I2899&lt;=H2899,"No prazo","Fora do prazo")))</f>
        <v/>
      </c>
    </row>
    <row r="2900">
      <c r="B2900" s="22" t="n"/>
      <c r="E2900" s="23" t="n"/>
      <c r="F2900" s="24" t="n"/>
      <c r="H2900" s="22" t="n"/>
      <c r="I2900" s="22" t="n"/>
      <c r="J2900" s="21">
        <f>IF(C2900="","",IFERROR(INDEX(Clientes!$B:$B,MATCH(C2900,Clientes!$A:$A,0)),"Cód. não cadastrado"))</f>
        <v/>
      </c>
      <c r="K2900" s="18">
        <f>IF(B2900="","",YEAR(B2900))</f>
        <v/>
      </c>
      <c r="L2900" s="18">
        <f>IF(B2900="","",MONTH(B2900))</f>
        <v/>
      </c>
      <c r="M2900" s="18">
        <f>IF(OR(B2900="",I2900=""),"",I2900-B2900)</f>
        <v/>
      </c>
      <c r="N2900" s="21">
        <f>IF(B2900="","",IF(I2900="",IF(H2900="","",IF(TODAY()&gt;H2900,"Atrasado (em aberto)","Em aberto")),IF(I2900&lt;=H2900,"No prazo","Fora do prazo")))</f>
        <v/>
      </c>
    </row>
    <row r="2901">
      <c r="B2901" s="22" t="n"/>
      <c r="E2901" s="23" t="n"/>
      <c r="F2901" s="24" t="n"/>
      <c r="H2901" s="22" t="n"/>
      <c r="I2901" s="22" t="n"/>
      <c r="J2901" s="21">
        <f>IF(C2901="","",IFERROR(INDEX(Clientes!$B:$B,MATCH(C2901,Clientes!$A:$A,0)),"Cód. não cadastrado"))</f>
        <v/>
      </c>
      <c r="K2901" s="18">
        <f>IF(B2901="","",YEAR(B2901))</f>
        <v/>
      </c>
      <c r="L2901" s="18">
        <f>IF(B2901="","",MONTH(B2901))</f>
        <v/>
      </c>
      <c r="M2901" s="18">
        <f>IF(OR(B2901="",I2901=""),"",I2901-B2901)</f>
        <v/>
      </c>
      <c r="N2901" s="21">
        <f>IF(B2901="","",IF(I2901="",IF(H2901="","",IF(TODAY()&gt;H2901,"Atrasado (em aberto)","Em aberto")),IF(I2901&lt;=H2901,"No prazo","Fora do prazo")))</f>
        <v/>
      </c>
    </row>
    <row r="2902">
      <c r="B2902" s="22" t="n"/>
      <c r="E2902" s="23" t="n"/>
      <c r="F2902" s="24" t="n"/>
      <c r="H2902" s="22" t="n"/>
      <c r="I2902" s="22" t="n"/>
      <c r="J2902" s="21">
        <f>IF(C2902="","",IFERROR(INDEX(Clientes!$B:$B,MATCH(C2902,Clientes!$A:$A,0)),"Cód. não cadastrado"))</f>
        <v/>
      </c>
      <c r="K2902" s="18">
        <f>IF(B2902="","",YEAR(B2902))</f>
        <v/>
      </c>
      <c r="L2902" s="18">
        <f>IF(B2902="","",MONTH(B2902))</f>
        <v/>
      </c>
      <c r="M2902" s="18">
        <f>IF(OR(B2902="",I2902=""),"",I2902-B2902)</f>
        <v/>
      </c>
      <c r="N2902" s="21">
        <f>IF(B2902="","",IF(I2902="",IF(H2902="","",IF(TODAY()&gt;H2902,"Atrasado (em aberto)","Em aberto")),IF(I2902&lt;=H2902,"No prazo","Fora do prazo")))</f>
        <v/>
      </c>
    </row>
    <row r="2903">
      <c r="B2903" s="22" t="n"/>
      <c r="E2903" s="23" t="n"/>
      <c r="F2903" s="24" t="n"/>
      <c r="H2903" s="22" t="n"/>
      <c r="I2903" s="22" t="n"/>
      <c r="J2903" s="21">
        <f>IF(C2903="","",IFERROR(INDEX(Clientes!$B:$B,MATCH(C2903,Clientes!$A:$A,0)),"Cód. não cadastrado"))</f>
        <v/>
      </c>
      <c r="K2903" s="18">
        <f>IF(B2903="","",YEAR(B2903))</f>
        <v/>
      </c>
      <c r="L2903" s="18">
        <f>IF(B2903="","",MONTH(B2903))</f>
        <v/>
      </c>
      <c r="M2903" s="18">
        <f>IF(OR(B2903="",I2903=""),"",I2903-B2903)</f>
        <v/>
      </c>
      <c r="N2903" s="21">
        <f>IF(B2903="","",IF(I2903="",IF(H2903="","",IF(TODAY()&gt;H2903,"Atrasado (em aberto)","Em aberto")),IF(I2903&lt;=H2903,"No prazo","Fora do prazo")))</f>
        <v/>
      </c>
    </row>
    <row r="2904">
      <c r="B2904" s="22" t="n"/>
      <c r="E2904" s="23" t="n"/>
      <c r="F2904" s="24" t="n"/>
      <c r="H2904" s="22" t="n"/>
      <c r="I2904" s="22" t="n"/>
      <c r="J2904" s="21">
        <f>IF(C2904="","",IFERROR(INDEX(Clientes!$B:$B,MATCH(C2904,Clientes!$A:$A,0)),"Cód. não cadastrado"))</f>
        <v/>
      </c>
      <c r="K2904" s="18">
        <f>IF(B2904="","",YEAR(B2904))</f>
        <v/>
      </c>
      <c r="L2904" s="18">
        <f>IF(B2904="","",MONTH(B2904))</f>
        <v/>
      </c>
      <c r="M2904" s="18">
        <f>IF(OR(B2904="",I2904=""),"",I2904-B2904)</f>
        <v/>
      </c>
      <c r="N2904" s="21">
        <f>IF(B2904="","",IF(I2904="",IF(H2904="","",IF(TODAY()&gt;H2904,"Atrasado (em aberto)","Em aberto")),IF(I2904&lt;=H2904,"No prazo","Fora do prazo")))</f>
        <v/>
      </c>
    </row>
    <row r="2905">
      <c r="B2905" s="22" t="n"/>
      <c r="E2905" s="23" t="n"/>
      <c r="F2905" s="24" t="n"/>
      <c r="H2905" s="22" t="n"/>
      <c r="I2905" s="22" t="n"/>
      <c r="J2905" s="21">
        <f>IF(C2905="","",IFERROR(INDEX(Clientes!$B:$B,MATCH(C2905,Clientes!$A:$A,0)),"Cód. não cadastrado"))</f>
        <v/>
      </c>
      <c r="K2905" s="18">
        <f>IF(B2905="","",YEAR(B2905))</f>
        <v/>
      </c>
      <c r="L2905" s="18">
        <f>IF(B2905="","",MONTH(B2905))</f>
        <v/>
      </c>
      <c r="M2905" s="18">
        <f>IF(OR(B2905="",I2905=""),"",I2905-B2905)</f>
        <v/>
      </c>
      <c r="N2905" s="21">
        <f>IF(B2905="","",IF(I2905="",IF(H2905="","",IF(TODAY()&gt;H2905,"Atrasado (em aberto)","Em aberto")),IF(I2905&lt;=H2905,"No prazo","Fora do prazo")))</f>
        <v/>
      </c>
    </row>
    <row r="2906">
      <c r="B2906" s="22" t="n"/>
      <c r="E2906" s="23" t="n"/>
      <c r="F2906" s="24" t="n"/>
      <c r="H2906" s="22" t="n"/>
      <c r="I2906" s="22" t="n"/>
      <c r="J2906" s="21">
        <f>IF(C2906="","",IFERROR(INDEX(Clientes!$B:$B,MATCH(C2906,Clientes!$A:$A,0)),"Cód. não cadastrado"))</f>
        <v/>
      </c>
      <c r="K2906" s="18">
        <f>IF(B2906="","",YEAR(B2906))</f>
        <v/>
      </c>
      <c r="L2906" s="18">
        <f>IF(B2906="","",MONTH(B2906))</f>
        <v/>
      </c>
      <c r="M2906" s="18">
        <f>IF(OR(B2906="",I2906=""),"",I2906-B2906)</f>
        <v/>
      </c>
      <c r="N2906" s="21">
        <f>IF(B2906="","",IF(I2906="",IF(H2906="","",IF(TODAY()&gt;H2906,"Atrasado (em aberto)","Em aberto")),IF(I2906&lt;=H2906,"No prazo","Fora do prazo")))</f>
        <v/>
      </c>
    </row>
    <row r="2907">
      <c r="B2907" s="22" t="n"/>
      <c r="E2907" s="23" t="n"/>
      <c r="F2907" s="24" t="n"/>
      <c r="H2907" s="22" t="n"/>
      <c r="I2907" s="22" t="n"/>
      <c r="J2907" s="21">
        <f>IF(C2907="","",IFERROR(INDEX(Clientes!$B:$B,MATCH(C2907,Clientes!$A:$A,0)),"Cód. não cadastrado"))</f>
        <v/>
      </c>
      <c r="K2907" s="18">
        <f>IF(B2907="","",YEAR(B2907))</f>
        <v/>
      </c>
      <c r="L2907" s="18">
        <f>IF(B2907="","",MONTH(B2907))</f>
        <v/>
      </c>
      <c r="M2907" s="18">
        <f>IF(OR(B2907="",I2907=""),"",I2907-B2907)</f>
        <v/>
      </c>
      <c r="N2907" s="21">
        <f>IF(B2907="","",IF(I2907="",IF(H2907="","",IF(TODAY()&gt;H2907,"Atrasado (em aberto)","Em aberto")),IF(I2907&lt;=H2907,"No prazo","Fora do prazo")))</f>
        <v/>
      </c>
    </row>
    <row r="2908">
      <c r="B2908" s="22" t="n"/>
      <c r="E2908" s="23" t="n"/>
      <c r="F2908" s="24" t="n"/>
      <c r="H2908" s="22" t="n"/>
      <c r="I2908" s="22" t="n"/>
      <c r="J2908" s="21">
        <f>IF(C2908="","",IFERROR(INDEX(Clientes!$B:$B,MATCH(C2908,Clientes!$A:$A,0)),"Cód. não cadastrado"))</f>
        <v/>
      </c>
      <c r="K2908" s="18">
        <f>IF(B2908="","",YEAR(B2908))</f>
        <v/>
      </c>
      <c r="L2908" s="18">
        <f>IF(B2908="","",MONTH(B2908))</f>
        <v/>
      </c>
      <c r="M2908" s="18">
        <f>IF(OR(B2908="",I2908=""),"",I2908-B2908)</f>
        <v/>
      </c>
      <c r="N2908" s="21">
        <f>IF(B2908="","",IF(I2908="",IF(H2908="","",IF(TODAY()&gt;H2908,"Atrasado (em aberto)","Em aberto")),IF(I2908&lt;=H2908,"No prazo","Fora do prazo")))</f>
        <v/>
      </c>
    </row>
    <row r="2909">
      <c r="B2909" s="22" t="n"/>
      <c r="E2909" s="23" t="n"/>
      <c r="F2909" s="24" t="n"/>
      <c r="H2909" s="22" t="n"/>
      <c r="I2909" s="22" t="n"/>
      <c r="J2909" s="21">
        <f>IF(C2909="","",IFERROR(INDEX(Clientes!$B:$B,MATCH(C2909,Clientes!$A:$A,0)),"Cód. não cadastrado"))</f>
        <v/>
      </c>
      <c r="K2909" s="18">
        <f>IF(B2909="","",YEAR(B2909))</f>
        <v/>
      </c>
      <c r="L2909" s="18">
        <f>IF(B2909="","",MONTH(B2909))</f>
        <v/>
      </c>
      <c r="M2909" s="18">
        <f>IF(OR(B2909="",I2909=""),"",I2909-B2909)</f>
        <v/>
      </c>
      <c r="N2909" s="21">
        <f>IF(B2909="","",IF(I2909="",IF(H2909="","",IF(TODAY()&gt;H2909,"Atrasado (em aberto)","Em aberto")),IF(I2909&lt;=H2909,"No prazo","Fora do prazo")))</f>
        <v/>
      </c>
    </row>
    <row r="2910">
      <c r="B2910" s="22" t="n"/>
      <c r="E2910" s="23" t="n"/>
      <c r="F2910" s="24" t="n"/>
      <c r="H2910" s="22" t="n"/>
      <c r="I2910" s="22" t="n"/>
      <c r="J2910" s="21">
        <f>IF(C2910="","",IFERROR(INDEX(Clientes!$B:$B,MATCH(C2910,Clientes!$A:$A,0)),"Cód. não cadastrado"))</f>
        <v/>
      </c>
      <c r="K2910" s="18">
        <f>IF(B2910="","",YEAR(B2910))</f>
        <v/>
      </c>
      <c r="L2910" s="18">
        <f>IF(B2910="","",MONTH(B2910))</f>
        <v/>
      </c>
      <c r="M2910" s="18">
        <f>IF(OR(B2910="",I2910=""),"",I2910-B2910)</f>
        <v/>
      </c>
      <c r="N2910" s="21">
        <f>IF(B2910="","",IF(I2910="",IF(H2910="","",IF(TODAY()&gt;H2910,"Atrasado (em aberto)","Em aberto")),IF(I2910&lt;=H2910,"No prazo","Fora do prazo")))</f>
        <v/>
      </c>
    </row>
    <row r="2911">
      <c r="B2911" s="22" t="n"/>
      <c r="E2911" s="23" t="n"/>
      <c r="F2911" s="24" t="n"/>
      <c r="H2911" s="22" t="n"/>
      <c r="I2911" s="22" t="n"/>
      <c r="J2911" s="21">
        <f>IF(C2911="","",IFERROR(INDEX(Clientes!$B:$B,MATCH(C2911,Clientes!$A:$A,0)),"Cód. não cadastrado"))</f>
        <v/>
      </c>
      <c r="K2911" s="18">
        <f>IF(B2911="","",YEAR(B2911))</f>
        <v/>
      </c>
      <c r="L2911" s="18">
        <f>IF(B2911="","",MONTH(B2911))</f>
        <v/>
      </c>
      <c r="M2911" s="18">
        <f>IF(OR(B2911="",I2911=""),"",I2911-B2911)</f>
        <v/>
      </c>
      <c r="N2911" s="21">
        <f>IF(B2911="","",IF(I2911="",IF(H2911="","",IF(TODAY()&gt;H2911,"Atrasado (em aberto)","Em aberto")),IF(I2911&lt;=H2911,"No prazo","Fora do prazo")))</f>
        <v/>
      </c>
    </row>
    <row r="2912">
      <c r="B2912" s="22" t="n"/>
      <c r="E2912" s="23" t="n"/>
      <c r="F2912" s="24" t="n"/>
      <c r="H2912" s="22" t="n"/>
      <c r="I2912" s="22" t="n"/>
      <c r="J2912" s="21">
        <f>IF(C2912="","",IFERROR(INDEX(Clientes!$B:$B,MATCH(C2912,Clientes!$A:$A,0)),"Cód. não cadastrado"))</f>
        <v/>
      </c>
      <c r="K2912" s="18">
        <f>IF(B2912="","",YEAR(B2912))</f>
        <v/>
      </c>
      <c r="L2912" s="18">
        <f>IF(B2912="","",MONTH(B2912))</f>
        <v/>
      </c>
      <c r="M2912" s="18">
        <f>IF(OR(B2912="",I2912=""),"",I2912-B2912)</f>
        <v/>
      </c>
      <c r="N2912" s="21">
        <f>IF(B2912="","",IF(I2912="",IF(H2912="","",IF(TODAY()&gt;H2912,"Atrasado (em aberto)","Em aberto")),IF(I2912&lt;=H2912,"No prazo","Fora do prazo")))</f>
        <v/>
      </c>
    </row>
    <row r="2913">
      <c r="B2913" s="22" t="n"/>
      <c r="E2913" s="23" t="n"/>
      <c r="F2913" s="24" t="n"/>
      <c r="H2913" s="22" t="n"/>
      <c r="I2913" s="22" t="n"/>
      <c r="J2913" s="21">
        <f>IF(C2913="","",IFERROR(INDEX(Clientes!$B:$B,MATCH(C2913,Clientes!$A:$A,0)),"Cód. não cadastrado"))</f>
        <v/>
      </c>
      <c r="K2913" s="18">
        <f>IF(B2913="","",YEAR(B2913))</f>
        <v/>
      </c>
      <c r="L2913" s="18">
        <f>IF(B2913="","",MONTH(B2913))</f>
        <v/>
      </c>
      <c r="M2913" s="18">
        <f>IF(OR(B2913="",I2913=""),"",I2913-B2913)</f>
        <v/>
      </c>
      <c r="N2913" s="21">
        <f>IF(B2913="","",IF(I2913="",IF(H2913="","",IF(TODAY()&gt;H2913,"Atrasado (em aberto)","Em aberto")),IF(I2913&lt;=H2913,"No prazo","Fora do prazo")))</f>
        <v/>
      </c>
    </row>
    <row r="2914">
      <c r="B2914" s="22" t="n"/>
      <c r="E2914" s="23" t="n"/>
      <c r="F2914" s="24" t="n"/>
      <c r="H2914" s="22" t="n"/>
      <c r="I2914" s="22" t="n"/>
      <c r="J2914" s="21">
        <f>IF(C2914="","",IFERROR(INDEX(Clientes!$B:$B,MATCH(C2914,Clientes!$A:$A,0)),"Cód. não cadastrado"))</f>
        <v/>
      </c>
      <c r="K2914" s="18">
        <f>IF(B2914="","",YEAR(B2914))</f>
        <v/>
      </c>
      <c r="L2914" s="18">
        <f>IF(B2914="","",MONTH(B2914))</f>
        <v/>
      </c>
      <c r="M2914" s="18">
        <f>IF(OR(B2914="",I2914=""),"",I2914-B2914)</f>
        <v/>
      </c>
      <c r="N2914" s="21">
        <f>IF(B2914="","",IF(I2914="",IF(H2914="","",IF(TODAY()&gt;H2914,"Atrasado (em aberto)","Em aberto")),IF(I2914&lt;=H2914,"No prazo","Fora do prazo")))</f>
        <v/>
      </c>
    </row>
    <row r="2915">
      <c r="B2915" s="22" t="n"/>
      <c r="E2915" s="23" t="n"/>
      <c r="F2915" s="24" t="n"/>
      <c r="H2915" s="22" t="n"/>
      <c r="I2915" s="22" t="n"/>
      <c r="J2915" s="21">
        <f>IF(C2915="","",IFERROR(INDEX(Clientes!$B:$B,MATCH(C2915,Clientes!$A:$A,0)),"Cód. não cadastrado"))</f>
        <v/>
      </c>
      <c r="K2915" s="18">
        <f>IF(B2915="","",YEAR(B2915))</f>
        <v/>
      </c>
      <c r="L2915" s="18">
        <f>IF(B2915="","",MONTH(B2915))</f>
        <v/>
      </c>
      <c r="M2915" s="18">
        <f>IF(OR(B2915="",I2915=""),"",I2915-B2915)</f>
        <v/>
      </c>
      <c r="N2915" s="21">
        <f>IF(B2915="","",IF(I2915="",IF(H2915="","",IF(TODAY()&gt;H2915,"Atrasado (em aberto)","Em aberto")),IF(I2915&lt;=H2915,"No prazo","Fora do prazo")))</f>
        <v/>
      </c>
    </row>
    <row r="2916">
      <c r="B2916" s="22" t="n"/>
      <c r="E2916" s="23" t="n"/>
      <c r="F2916" s="24" t="n"/>
      <c r="H2916" s="22" t="n"/>
      <c r="I2916" s="22" t="n"/>
      <c r="J2916" s="21">
        <f>IF(C2916="","",IFERROR(INDEX(Clientes!$B:$B,MATCH(C2916,Clientes!$A:$A,0)),"Cód. não cadastrado"))</f>
        <v/>
      </c>
      <c r="K2916" s="18">
        <f>IF(B2916="","",YEAR(B2916))</f>
        <v/>
      </c>
      <c r="L2916" s="18">
        <f>IF(B2916="","",MONTH(B2916))</f>
        <v/>
      </c>
      <c r="M2916" s="18">
        <f>IF(OR(B2916="",I2916=""),"",I2916-B2916)</f>
        <v/>
      </c>
      <c r="N2916" s="21">
        <f>IF(B2916="","",IF(I2916="",IF(H2916="","",IF(TODAY()&gt;H2916,"Atrasado (em aberto)","Em aberto")),IF(I2916&lt;=H2916,"No prazo","Fora do prazo")))</f>
        <v/>
      </c>
    </row>
    <row r="2917">
      <c r="B2917" s="22" t="n"/>
      <c r="E2917" s="23" t="n"/>
      <c r="F2917" s="24" t="n"/>
      <c r="H2917" s="22" t="n"/>
      <c r="I2917" s="22" t="n"/>
      <c r="J2917" s="21">
        <f>IF(C2917="","",IFERROR(INDEX(Clientes!$B:$B,MATCH(C2917,Clientes!$A:$A,0)),"Cód. não cadastrado"))</f>
        <v/>
      </c>
      <c r="K2917" s="18">
        <f>IF(B2917="","",YEAR(B2917))</f>
        <v/>
      </c>
      <c r="L2917" s="18">
        <f>IF(B2917="","",MONTH(B2917))</f>
        <v/>
      </c>
      <c r="M2917" s="18">
        <f>IF(OR(B2917="",I2917=""),"",I2917-B2917)</f>
        <v/>
      </c>
      <c r="N2917" s="21">
        <f>IF(B2917="","",IF(I2917="",IF(H2917="","",IF(TODAY()&gt;H2917,"Atrasado (em aberto)","Em aberto")),IF(I2917&lt;=H2917,"No prazo","Fora do prazo")))</f>
        <v/>
      </c>
    </row>
    <row r="2918">
      <c r="B2918" s="22" t="n"/>
      <c r="E2918" s="23" t="n"/>
      <c r="F2918" s="24" t="n"/>
      <c r="H2918" s="22" t="n"/>
      <c r="I2918" s="22" t="n"/>
      <c r="J2918" s="21">
        <f>IF(C2918="","",IFERROR(INDEX(Clientes!$B:$B,MATCH(C2918,Clientes!$A:$A,0)),"Cód. não cadastrado"))</f>
        <v/>
      </c>
      <c r="K2918" s="18">
        <f>IF(B2918="","",YEAR(B2918))</f>
        <v/>
      </c>
      <c r="L2918" s="18">
        <f>IF(B2918="","",MONTH(B2918))</f>
        <v/>
      </c>
      <c r="M2918" s="18">
        <f>IF(OR(B2918="",I2918=""),"",I2918-B2918)</f>
        <v/>
      </c>
      <c r="N2918" s="21">
        <f>IF(B2918="","",IF(I2918="",IF(H2918="","",IF(TODAY()&gt;H2918,"Atrasado (em aberto)","Em aberto")),IF(I2918&lt;=H2918,"No prazo","Fora do prazo")))</f>
        <v/>
      </c>
    </row>
    <row r="2919">
      <c r="B2919" s="22" t="n"/>
      <c r="E2919" s="23" t="n"/>
      <c r="F2919" s="24" t="n"/>
      <c r="H2919" s="22" t="n"/>
      <c r="I2919" s="22" t="n"/>
      <c r="J2919" s="21">
        <f>IF(C2919="","",IFERROR(INDEX(Clientes!$B:$B,MATCH(C2919,Clientes!$A:$A,0)),"Cód. não cadastrado"))</f>
        <v/>
      </c>
      <c r="K2919" s="18">
        <f>IF(B2919="","",YEAR(B2919))</f>
        <v/>
      </c>
      <c r="L2919" s="18">
        <f>IF(B2919="","",MONTH(B2919))</f>
        <v/>
      </c>
      <c r="M2919" s="18">
        <f>IF(OR(B2919="",I2919=""),"",I2919-B2919)</f>
        <v/>
      </c>
      <c r="N2919" s="21">
        <f>IF(B2919="","",IF(I2919="",IF(H2919="","",IF(TODAY()&gt;H2919,"Atrasado (em aberto)","Em aberto")),IF(I2919&lt;=H2919,"No prazo","Fora do prazo")))</f>
        <v/>
      </c>
    </row>
    <row r="2920">
      <c r="B2920" s="22" t="n"/>
      <c r="E2920" s="23" t="n"/>
      <c r="F2920" s="24" t="n"/>
      <c r="H2920" s="22" t="n"/>
      <c r="I2920" s="22" t="n"/>
      <c r="J2920" s="21">
        <f>IF(C2920="","",IFERROR(INDEX(Clientes!$B:$B,MATCH(C2920,Clientes!$A:$A,0)),"Cód. não cadastrado"))</f>
        <v/>
      </c>
      <c r="K2920" s="18">
        <f>IF(B2920="","",YEAR(B2920))</f>
        <v/>
      </c>
      <c r="L2920" s="18">
        <f>IF(B2920="","",MONTH(B2920))</f>
        <v/>
      </c>
      <c r="M2920" s="18">
        <f>IF(OR(B2920="",I2920=""),"",I2920-B2920)</f>
        <v/>
      </c>
      <c r="N2920" s="21">
        <f>IF(B2920="","",IF(I2920="",IF(H2920="","",IF(TODAY()&gt;H2920,"Atrasado (em aberto)","Em aberto")),IF(I2920&lt;=H2920,"No prazo","Fora do prazo")))</f>
        <v/>
      </c>
    </row>
    <row r="2921">
      <c r="B2921" s="22" t="n"/>
      <c r="E2921" s="23" t="n"/>
      <c r="F2921" s="24" t="n"/>
      <c r="H2921" s="22" t="n"/>
      <c r="I2921" s="22" t="n"/>
      <c r="J2921" s="21">
        <f>IF(C2921="","",IFERROR(INDEX(Clientes!$B:$B,MATCH(C2921,Clientes!$A:$A,0)),"Cód. não cadastrado"))</f>
        <v/>
      </c>
      <c r="K2921" s="18">
        <f>IF(B2921="","",YEAR(B2921))</f>
        <v/>
      </c>
      <c r="L2921" s="18">
        <f>IF(B2921="","",MONTH(B2921))</f>
        <v/>
      </c>
      <c r="M2921" s="18">
        <f>IF(OR(B2921="",I2921=""),"",I2921-B2921)</f>
        <v/>
      </c>
      <c r="N2921" s="21">
        <f>IF(B2921="","",IF(I2921="",IF(H2921="","",IF(TODAY()&gt;H2921,"Atrasado (em aberto)","Em aberto")),IF(I2921&lt;=H2921,"No prazo","Fora do prazo")))</f>
        <v/>
      </c>
    </row>
    <row r="2922">
      <c r="B2922" s="22" t="n"/>
      <c r="E2922" s="23" t="n"/>
      <c r="F2922" s="24" t="n"/>
      <c r="H2922" s="22" t="n"/>
      <c r="I2922" s="22" t="n"/>
      <c r="J2922" s="21">
        <f>IF(C2922="","",IFERROR(INDEX(Clientes!$B:$B,MATCH(C2922,Clientes!$A:$A,0)),"Cód. não cadastrado"))</f>
        <v/>
      </c>
      <c r="K2922" s="18">
        <f>IF(B2922="","",YEAR(B2922))</f>
        <v/>
      </c>
      <c r="L2922" s="18">
        <f>IF(B2922="","",MONTH(B2922))</f>
        <v/>
      </c>
      <c r="M2922" s="18">
        <f>IF(OR(B2922="",I2922=""),"",I2922-B2922)</f>
        <v/>
      </c>
      <c r="N2922" s="21">
        <f>IF(B2922="","",IF(I2922="",IF(H2922="","",IF(TODAY()&gt;H2922,"Atrasado (em aberto)","Em aberto")),IF(I2922&lt;=H2922,"No prazo","Fora do prazo")))</f>
        <v/>
      </c>
    </row>
    <row r="2923">
      <c r="B2923" s="22" t="n"/>
      <c r="E2923" s="23" t="n"/>
      <c r="F2923" s="24" t="n"/>
      <c r="H2923" s="22" t="n"/>
      <c r="I2923" s="22" t="n"/>
      <c r="J2923" s="21">
        <f>IF(C2923="","",IFERROR(INDEX(Clientes!$B:$B,MATCH(C2923,Clientes!$A:$A,0)),"Cód. não cadastrado"))</f>
        <v/>
      </c>
      <c r="K2923" s="18">
        <f>IF(B2923="","",YEAR(B2923))</f>
        <v/>
      </c>
      <c r="L2923" s="18">
        <f>IF(B2923="","",MONTH(B2923))</f>
        <v/>
      </c>
      <c r="M2923" s="18">
        <f>IF(OR(B2923="",I2923=""),"",I2923-B2923)</f>
        <v/>
      </c>
      <c r="N2923" s="21">
        <f>IF(B2923="","",IF(I2923="",IF(H2923="","",IF(TODAY()&gt;H2923,"Atrasado (em aberto)","Em aberto")),IF(I2923&lt;=H2923,"No prazo","Fora do prazo")))</f>
        <v/>
      </c>
    </row>
    <row r="2924">
      <c r="B2924" s="22" t="n"/>
      <c r="E2924" s="23" t="n"/>
      <c r="F2924" s="24" t="n"/>
      <c r="H2924" s="22" t="n"/>
      <c r="I2924" s="22" t="n"/>
      <c r="J2924" s="21">
        <f>IF(C2924="","",IFERROR(INDEX(Clientes!$B:$B,MATCH(C2924,Clientes!$A:$A,0)),"Cód. não cadastrado"))</f>
        <v/>
      </c>
      <c r="K2924" s="18">
        <f>IF(B2924="","",YEAR(B2924))</f>
        <v/>
      </c>
      <c r="L2924" s="18">
        <f>IF(B2924="","",MONTH(B2924))</f>
        <v/>
      </c>
      <c r="M2924" s="18">
        <f>IF(OR(B2924="",I2924=""),"",I2924-B2924)</f>
        <v/>
      </c>
      <c r="N2924" s="21">
        <f>IF(B2924="","",IF(I2924="",IF(H2924="","",IF(TODAY()&gt;H2924,"Atrasado (em aberto)","Em aberto")),IF(I2924&lt;=H2924,"No prazo","Fora do prazo")))</f>
        <v/>
      </c>
    </row>
    <row r="2925">
      <c r="B2925" s="22" t="n"/>
      <c r="E2925" s="23" t="n"/>
      <c r="F2925" s="24" t="n"/>
      <c r="H2925" s="22" t="n"/>
      <c r="I2925" s="22" t="n"/>
      <c r="J2925" s="21">
        <f>IF(C2925="","",IFERROR(INDEX(Clientes!$B:$B,MATCH(C2925,Clientes!$A:$A,0)),"Cód. não cadastrado"))</f>
        <v/>
      </c>
      <c r="K2925" s="18">
        <f>IF(B2925="","",YEAR(B2925))</f>
        <v/>
      </c>
      <c r="L2925" s="18">
        <f>IF(B2925="","",MONTH(B2925))</f>
        <v/>
      </c>
      <c r="M2925" s="18">
        <f>IF(OR(B2925="",I2925=""),"",I2925-B2925)</f>
        <v/>
      </c>
      <c r="N2925" s="21">
        <f>IF(B2925="","",IF(I2925="",IF(H2925="","",IF(TODAY()&gt;H2925,"Atrasado (em aberto)","Em aberto")),IF(I2925&lt;=H2925,"No prazo","Fora do prazo")))</f>
        <v/>
      </c>
    </row>
    <row r="2926">
      <c r="B2926" s="22" t="n"/>
      <c r="E2926" s="23" t="n"/>
      <c r="F2926" s="24" t="n"/>
      <c r="H2926" s="22" t="n"/>
      <c r="I2926" s="22" t="n"/>
      <c r="J2926" s="21">
        <f>IF(C2926="","",IFERROR(INDEX(Clientes!$B:$B,MATCH(C2926,Clientes!$A:$A,0)),"Cód. não cadastrado"))</f>
        <v/>
      </c>
      <c r="K2926" s="18">
        <f>IF(B2926="","",YEAR(B2926))</f>
        <v/>
      </c>
      <c r="L2926" s="18">
        <f>IF(B2926="","",MONTH(B2926))</f>
        <v/>
      </c>
      <c r="M2926" s="18">
        <f>IF(OR(B2926="",I2926=""),"",I2926-B2926)</f>
        <v/>
      </c>
      <c r="N2926" s="21">
        <f>IF(B2926="","",IF(I2926="",IF(H2926="","",IF(TODAY()&gt;H2926,"Atrasado (em aberto)","Em aberto")),IF(I2926&lt;=H2926,"No prazo","Fora do prazo")))</f>
        <v/>
      </c>
    </row>
    <row r="2927">
      <c r="B2927" s="22" t="n"/>
      <c r="E2927" s="23" t="n"/>
      <c r="F2927" s="24" t="n"/>
      <c r="H2927" s="22" t="n"/>
      <c r="I2927" s="22" t="n"/>
      <c r="J2927" s="21">
        <f>IF(C2927="","",IFERROR(INDEX(Clientes!$B:$B,MATCH(C2927,Clientes!$A:$A,0)),"Cód. não cadastrado"))</f>
        <v/>
      </c>
      <c r="K2927" s="18">
        <f>IF(B2927="","",YEAR(B2927))</f>
        <v/>
      </c>
      <c r="L2927" s="18">
        <f>IF(B2927="","",MONTH(B2927))</f>
        <v/>
      </c>
      <c r="M2927" s="18">
        <f>IF(OR(B2927="",I2927=""),"",I2927-B2927)</f>
        <v/>
      </c>
      <c r="N2927" s="21">
        <f>IF(B2927="","",IF(I2927="",IF(H2927="","",IF(TODAY()&gt;H2927,"Atrasado (em aberto)","Em aberto")),IF(I2927&lt;=H2927,"No prazo","Fora do prazo")))</f>
        <v/>
      </c>
    </row>
    <row r="2928">
      <c r="B2928" s="22" t="n"/>
      <c r="E2928" s="23" t="n"/>
      <c r="F2928" s="24" t="n"/>
      <c r="H2928" s="22" t="n"/>
      <c r="I2928" s="22" t="n"/>
      <c r="J2928" s="21">
        <f>IF(C2928="","",IFERROR(INDEX(Clientes!$B:$B,MATCH(C2928,Clientes!$A:$A,0)),"Cód. não cadastrado"))</f>
        <v/>
      </c>
      <c r="K2928" s="18">
        <f>IF(B2928="","",YEAR(B2928))</f>
        <v/>
      </c>
      <c r="L2928" s="18">
        <f>IF(B2928="","",MONTH(B2928))</f>
        <v/>
      </c>
      <c r="M2928" s="18">
        <f>IF(OR(B2928="",I2928=""),"",I2928-B2928)</f>
        <v/>
      </c>
      <c r="N2928" s="21">
        <f>IF(B2928="","",IF(I2928="",IF(H2928="","",IF(TODAY()&gt;H2928,"Atrasado (em aberto)","Em aberto")),IF(I2928&lt;=H2928,"No prazo","Fora do prazo")))</f>
        <v/>
      </c>
    </row>
    <row r="2929">
      <c r="B2929" s="22" t="n"/>
      <c r="E2929" s="23" t="n"/>
      <c r="F2929" s="24" t="n"/>
      <c r="H2929" s="22" t="n"/>
      <c r="I2929" s="22" t="n"/>
      <c r="J2929" s="21">
        <f>IF(C2929="","",IFERROR(INDEX(Clientes!$B:$B,MATCH(C2929,Clientes!$A:$A,0)),"Cód. não cadastrado"))</f>
        <v/>
      </c>
      <c r="K2929" s="18">
        <f>IF(B2929="","",YEAR(B2929))</f>
        <v/>
      </c>
      <c r="L2929" s="18">
        <f>IF(B2929="","",MONTH(B2929))</f>
        <v/>
      </c>
      <c r="M2929" s="18">
        <f>IF(OR(B2929="",I2929=""),"",I2929-B2929)</f>
        <v/>
      </c>
      <c r="N2929" s="21">
        <f>IF(B2929="","",IF(I2929="",IF(H2929="","",IF(TODAY()&gt;H2929,"Atrasado (em aberto)","Em aberto")),IF(I2929&lt;=H2929,"No prazo","Fora do prazo")))</f>
        <v/>
      </c>
    </row>
    <row r="2930">
      <c r="B2930" s="22" t="n"/>
      <c r="E2930" s="23" t="n"/>
      <c r="F2930" s="24" t="n"/>
      <c r="H2930" s="22" t="n"/>
      <c r="I2930" s="22" t="n"/>
      <c r="J2930" s="21">
        <f>IF(C2930="","",IFERROR(INDEX(Clientes!$B:$B,MATCH(C2930,Clientes!$A:$A,0)),"Cód. não cadastrado"))</f>
        <v/>
      </c>
      <c r="K2930" s="18">
        <f>IF(B2930="","",YEAR(B2930))</f>
        <v/>
      </c>
      <c r="L2930" s="18">
        <f>IF(B2930="","",MONTH(B2930))</f>
        <v/>
      </c>
      <c r="M2930" s="18">
        <f>IF(OR(B2930="",I2930=""),"",I2930-B2930)</f>
        <v/>
      </c>
      <c r="N2930" s="21">
        <f>IF(B2930="","",IF(I2930="",IF(H2930="","",IF(TODAY()&gt;H2930,"Atrasado (em aberto)","Em aberto")),IF(I2930&lt;=H2930,"No prazo","Fora do prazo")))</f>
        <v/>
      </c>
    </row>
    <row r="2931">
      <c r="B2931" s="22" t="n"/>
      <c r="E2931" s="23" t="n"/>
      <c r="F2931" s="24" t="n"/>
      <c r="H2931" s="22" t="n"/>
      <c r="I2931" s="22" t="n"/>
      <c r="J2931" s="21">
        <f>IF(C2931="","",IFERROR(INDEX(Clientes!$B:$B,MATCH(C2931,Clientes!$A:$A,0)),"Cód. não cadastrado"))</f>
        <v/>
      </c>
      <c r="K2931" s="18">
        <f>IF(B2931="","",YEAR(B2931))</f>
        <v/>
      </c>
      <c r="L2931" s="18">
        <f>IF(B2931="","",MONTH(B2931))</f>
        <v/>
      </c>
      <c r="M2931" s="18">
        <f>IF(OR(B2931="",I2931=""),"",I2931-B2931)</f>
        <v/>
      </c>
      <c r="N2931" s="21">
        <f>IF(B2931="","",IF(I2931="",IF(H2931="","",IF(TODAY()&gt;H2931,"Atrasado (em aberto)","Em aberto")),IF(I2931&lt;=H2931,"No prazo","Fora do prazo")))</f>
        <v/>
      </c>
    </row>
    <row r="2932">
      <c r="B2932" s="22" t="n"/>
      <c r="E2932" s="23" t="n"/>
      <c r="F2932" s="24" t="n"/>
      <c r="H2932" s="22" t="n"/>
      <c r="I2932" s="22" t="n"/>
      <c r="J2932" s="21">
        <f>IF(C2932="","",IFERROR(INDEX(Clientes!$B:$B,MATCH(C2932,Clientes!$A:$A,0)),"Cód. não cadastrado"))</f>
        <v/>
      </c>
      <c r="K2932" s="18">
        <f>IF(B2932="","",YEAR(B2932))</f>
        <v/>
      </c>
      <c r="L2932" s="18">
        <f>IF(B2932="","",MONTH(B2932))</f>
        <v/>
      </c>
      <c r="M2932" s="18">
        <f>IF(OR(B2932="",I2932=""),"",I2932-B2932)</f>
        <v/>
      </c>
      <c r="N2932" s="21">
        <f>IF(B2932="","",IF(I2932="",IF(H2932="","",IF(TODAY()&gt;H2932,"Atrasado (em aberto)","Em aberto")),IF(I2932&lt;=H2932,"No prazo","Fora do prazo")))</f>
        <v/>
      </c>
    </row>
    <row r="2933">
      <c r="B2933" s="22" t="n"/>
      <c r="E2933" s="23" t="n"/>
      <c r="F2933" s="24" t="n"/>
      <c r="H2933" s="22" t="n"/>
      <c r="I2933" s="22" t="n"/>
      <c r="J2933" s="21">
        <f>IF(C2933="","",IFERROR(INDEX(Clientes!$B:$B,MATCH(C2933,Clientes!$A:$A,0)),"Cód. não cadastrado"))</f>
        <v/>
      </c>
      <c r="K2933" s="18">
        <f>IF(B2933="","",YEAR(B2933))</f>
        <v/>
      </c>
      <c r="L2933" s="18">
        <f>IF(B2933="","",MONTH(B2933))</f>
        <v/>
      </c>
      <c r="M2933" s="18">
        <f>IF(OR(B2933="",I2933=""),"",I2933-B2933)</f>
        <v/>
      </c>
      <c r="N2933" s="21">
        <f>IF(B2933="","",IF(I2933="",IF(H2933="","",IF(TODAY()&gt;H2933,"Atrasado (em aberto)","Em aberto")),IF(I2933&lt;=H2933,"No prazo","Fora do prazo")))</f>
        <v/>
      </c>
    </row>
    <row r="2934">
      <c r="B2934" s="22" t="n"/>
      <c r="E2934" s="23" t="n"/>
      <c r="F2934" s="24" t="n"/>
      <c r="H2934" s="22" t="n"/>
      <c r="I2934" s="22" t="n"/>
      <c r="J2934" s="21">
        <f>IF(C2934="","",IFERROR(INDEX(Clientes!$B:$B,MATCH(C2934,Clientes!$A:$A,0)),"Cód. não cadastrado"))</f>
        <v/>
      </c>
      <c r="K2934" s="18">
        <f>IF(B2934="","",YEAR(B2934))</f>
        <v/>
      </c>
      <c r="L2934" s="18">
        <f>IF(B2934="","",MONTH(B2934))</f>
        <v/>
      </c>
      <c r="M2934" s="18">
        <f>IF(OR(B2934="",I2934=""),"",I2934-B2934)</f>
        <v/>
      </c>
      <c r="N2934" s="21">
        <f>IF(B2934="","",IF(I2934="",IF(H2934="","",IF(TODAY()&gt;H2934,"Atrasado (em aberto)","Em aberto")),IF(I2934&lt;=H2934,"No prazo","Fora do prazo")))</f>
        <v/>
      </c>
    </row>
    <row r="2935">
      <c r="B2935" s="22" t="n"/>
      <c r="E2935" s="23" t="n"/>
      <c r="F2935" s="24" t="n"/>
      <c r="H2935" s="22" t="n"/>
      <c r="I2935" s="22" t="n"/>
      <c r="J2935" s="21">
        <f>IF(C2935="","",IFERROR(INDEX(Clientes!$B:$B,MATCH(C2935,Clientes!$A:$A,0)),"Cód. não cadastrado"))</f>
        <v/>
      </c>
      <c r="K2935" s="18">
        <f>IF(B2935="","",YEAR(B2935))</f>
        <v/>
      </c>
      <c r="L2935" s="18">
        <f>IF(B2935="","",MONTH(B2935))</f>
        <v/>
      </c>
      <c r="M2935" s="18">
        <f>IF(OR(B2935="",I2935=""),"",I2935-B2935)</f>
        <v/>
      </c>
      <c r="N2935" s="21">
        <f>IF(B2935="","",IF(I2935="",IF(H2935="","",IF(TODAY()&gt;H2935,"Atrasado (em aberto)","Em aberto")),IF(I2935&lt;=H2935,"No prazo","Fora do prazo")))</f>
        <v/>
      </c>
    </row>
    <row r="2936">
      <c r="B2936" s="22" t="n"/>
      <c r="E2936" s="23" t="n"/>
      <c r="F2936" s="24" t="n"/>
      <c r="H2936" s="22" t="n"/>
      <c r="I2936" s="22" t="n"/>
      <c r="J2936" s="21">
        <f>IF(C2936="","",IFERROR(INDEX(Clientes!$B:$B,MATCH(C2936,Clientes!$A:$A,0)),"Cód. não cadastrado"))</f>
        <v/>
      </c>
      <c r="K2936" s="18">
        <f>IF(B2936="","",YEAR(B2936))</f>
        <v/>
      </c>
      <c r="L2936" s="18">
        <f>IF(B2936="","",MONTH(B2936))</f>
        <v/>
      </c>
      <c r="M2936" s="18">
        <f>IF(OR(B2936="",I2936=""),"",I2936-B2936)</f>
        <v/>
      </c>
      <c r="N2936" s="21">
        <f>IF(B2936="","",IF(I2936="",IF(H2936="","",IF(TODAY()&gt;H2936,"Atrasado (em aberto)","Em aberto")),IF(I2936&lt;=H2936,"No prazo","Fora do prazo")))</f>
        <v/>
      </c>
    </row>
    <row r="2937">
      <c r="B2937" s="22" t="n"/>
      <c r="E2937" s="23" t="n"/>
      <c r="F2937" s="24" t="n"/>
      <c r="H2937" s="22" t="n"/>
      <c r="I2937" s="22" t="n"/>
      <c r="J2937" s="21">
        <f>IF(C2937="","",IFERROR(INDEX(Clientes!$B:$B,MATCH(C2937,Clientes!$A:$A,0)),"Cód. não cadastrado"))</f>
        <v/>
      </c>
      <c r="K2937" s="18">
        <f>IF(B2937="","",YEAR(B2937))</f>
        <v/>
      </c>
      <c r="L2937" s="18">
        <f>IF(B2937="","",MONTH(B2937))</f>
        <v/>
      </c>
      <c r="M2937" s="18">
        <f>IF(OR(B2937="",I2937=""),"",I2937-B2937)</f>
        <v/>
      </c>
      <c r="N2937" s="21">
        <f>IF(B2937="","",IF(I2937="",IF(H2937="","",IF(TODAY()&gt;H2937,"Atrasado (em aberto)","Em aberto")),IF(I2937&lt;=H2937,"No prazo","Fora do prazo")))</f>
        <v/>
      </c>
    </row>
    <row r="2938">
      <c r="B2938" s="22" t="n"/>
      <c r="E2938" s="23" t="n"/>
      <c r="F2938" s="24" t="n"/>
      <c r="H2938" s="22" t="n"/>
      <c r="I2938" s="22" t="n"/>
      <c r="J2938" s="21">
        <f>IF(C2938="","",IFERROR(INDEX(Clientes!$B:$B,MATCH(C2938,Clientes!$A:$A,0)),"Cód. não cadastrado"))</f>
        <v/>
      </c>
      <c r="K2938" s="18">
        <f>IF(B2938="","",YEAR(B2938))</f>
        <v/>
      </c>
      <c r="L2938" s="18">
        <f>IF(B2938="","",MONTH(B2938))</f>
        <v/>
      </c>
      <c r="M2938" s="18">
        <f>IF(OR(B2938="",I2938=""),"",I2938-B2938)</f>
        <v/>
      </c>
      <c r="N2938" s="21">
        <f>IF(B2938="","",IF(I2938="",IF(H2938="","",IF(TODAY()&gt;H2938,"Atrasado (em aberto)","Em aberto")),IF(I2938&lt;=H2938,"No prazo","Fora do prazo")))</f>
        <v/>
      </c>
    </row>
    <row r="2939">
      <c r="B2939" s="22" t="n"/>
      <c r="E2939" s="23" t="n"/>
      <c r="F2939" s="24" t="n"/>
      <c r="H2939" s="22" t="n"/>
      <c r="I2939" s="22" t="n"/>
      <c r="J2939" s="21">
        <f>IF(C2939="","",IFERROR(INDEX(Clientes!$B:$B,MATCH(C2939,Clientes!$A:$A,0)),"Cód. não cadastrado"))</f>
        <v/>
      </c>
      <c r="K2939" s="18">
        <f>IF(B2939="","",YEAR(B2939))</f>
        <v/>
      </c>
      <c r="L2939" s="18">
        <f>IF(B2939="","",MONTH(B2939))</f>
        <v/>
      </c>
      <c r="M2939" s="18">
        <f>IF(OR(B2939="",I2939=""),"",I2939-B2939)</f>
        <v/>
      </c>
      <c r="N2939" s="21">
        <f>IF(B2939="","",IF(I2939="",IF(H2939="","",IF(TODAY()&gt;H2939,"Atrasado (em aberto)","Em aberto")),IF(I2939&lt;=H2939,"No prazo","Fora do prazo")))</f>
        <v/>
      </c>
    </row>
    <row r="2940">
      <c r="B2940" s="22" t="n"/>
      <c r="E2940" s="23" t="n"/>
      <c r="F2940" s="24" t="n"/>
      <c r="H2940" s="22" t="n"/>
      <c r="I2940" s="22" t="n"/>
      <c r="J2940" s="21">
        <f>IF(C2940="","",IFERROR(INDEX(Clientes!$B:$B,MATCH(C2940,Clientes!$A:$A,0)),"Cód. não cadastrado"))</f>
        <v/>
      </c>
      <c r="K2940" s="18">
        <f>IF(B2940="","",YEAR(B2940))</f>
        <v/>
      </c>
      <c r="L2940" s="18">
        <f>IF(B2940="","",MONTH(B2940))</f>
        <v/>
      </c>
      <c r="M2940" s="18">
        <f>IF(OR(B2940="",I2940=""),"",I2940-B2940)</f>
        <v/>
      </c>
      <c r="N2940" s="21">
        <f>IF(B2940="","",IF(I2940="",IF(H2940="","",IF(TODAY()&gt;H2940,"Atrasado (em aberto)","Em aberto")),IF(I2940&lt;=H2940,"No prazo","Fora do prazo")))</f>
        <v/>
      </c>
    </row>
    <row r="2941">
      <c r="B2941" s="22" t="n"/>
      <c r="E2941" s="23" t="n"/>
      <c r="F2941" s="24" t="n"/>
      <c r="H2941" s="22" t="n"/>
      <c r="I2941" s="22" t="n"/>
      <c r="J2941" s="21">
        <f>IF(C2941="","",IFERROR(INDEX(Clientes!$B:$B,MATCH(C2941,Clientes!$A:$A,0)),"Cód. não cadastrado"))</f>
        <v/>
      </c>
      <c r="K2941" s="18">
        <f>IF(B2941="","",YEAR(B2941))</f>
        <v/>
      </c>
      <c r="L2941" s="18">
        <f>IF(B2941="","",MONTH(B2941))</f>
        <v/>
      </c>
      <c r="M2941" s="18">
        <f>IF(OR(B2941="",I2941=""),"",I2941-B2941)</f>
        <v/>
      </c>
      <c r="N2941" s="21">
        <f>IF(B2941="","",IF(I2941="",IF(H2941="","",IF(TODAY()&gt;H2941,"Atrasado (em aberto)","Em aberto")),IF(I2941&lt;=H2941,"No prazo","Fora do prazo")))</f>
        <v/>
      </c>
    </row>
    <row r="2942">
      <c r="B2942" s="22" t="n"/>
      <c r="E2942" s="23" t="n"/>
      <c r="F2942" s="24" t="n"/>
      <c r="H2942" s="22" t="n"/>
      <c r="I2942" s="22" t="n"/>
      <c r="J2942" s="21">
        <f>IF(C2942="","",IFERROR(INDEX(Clientes!$B:$B,MATCH(C2942,Clientes!$A:$A,0)),"Cód. não cadastrado"))</f>
        <v/>
      </c>
      <c r="K2942" s="18">
        <f>IF(B2942="","",YEAR(B2942))</f>
        <v/>
      </c>
      <c r="L2942" s="18">
        <f>IF(B2942="","",MONTH(B2942))</f>
        <v/>
      </c>
      <c r="M2942" s="18">
        <f>IF(OR(B2942="",I2942=""),"",I2942-B2942)</f>
        <v/>
      </c>
      <c r="N2942" s="21">
        <f>IF(B2942="","",IF(I2942="",IF(H2942="","",IF(TODAY()&gt;H2942,"Atrasado (em aberto)","Em aberto")),IF(I2942&lt;=H2942,"No prazo","Fora do prazo")))</f>
        <v/>
      </c>
    </row>
    <row r="2943">
      <c r="B2943" s="22" t="n"/>
      <c r="E2943" s="23" t="n"/>
      <c r="F2943" s="24" t="n"/>
      <c r="H2943" s="22" t="n"/>
      <c r="I2943" s="22" t="n"/>
      <c r="J2943" s="21">
        <f>IF(C2943="","",IFERROR(INDEX(Clientes!$B:$B,MATCH(C2943,Clientes!$A:$A,0)),"Cód. não cadastrado"))</f>
        <v/>
      </c>
      <c r="K2943" s="18">
        <f>IF(B2943="","",YEAR(B2943))</f>
        <v/>
      </c>
      <c r="L2943" s="18">
        <f>IF(B2943="","",MONTH(B2943))</f>
        <v/>
      </c>
      <c r="M2943" s="18">
        <f>IF(OR(B2943="",I2943=""),"",I2943-B2943)</f>
        <v/>
      </c>
      <c r="N2943" s="21">
        <f>IF(B2943="","",IF(I2943="",IF(H2943="","",IF(TODAY()&gt;H2943,"Atrasado (em aberto)","Em aberto")),IF(I2943&lt;=H2943,"No prazo","Fora do prazo")))</f>
        <v/>
      </c>
    </row>
    <row r="2944">
      <c r="B2944" s="22" t="n"/>
      <c r="E2944" s="23" t="n"/>
      <c r="F2944" s="24" t="n"/>
      <c r="H2944" s="22" t="n"/>
      <c r="I2944" s="22" t="n"/>
      <c r="J2944" s="21">
        <f>IF(C2944="","",IFERROR(INDEX(Clientes!$B:$B,MATCH(C2944,Clientes!$A:$A,0)),"Cód. não cadastrado"))</f>
        <v/>
      </c>
      <c r="K2944" s="18">
        <f>IF(B2944="","",YEAR(B2944))</f>
        <v/>
      </c>
      <c r="L2944" s="18">
        <f>IF(B2944="","",MONTH(B2944))</f>
        <v/>
      </c>
      <c r="M2944" s="18">
        <f>IF(OR(B2944="",I2944=""),"",I2944-B2944)</f>
        <v/>
      </c>
      <c r="N2944" s="21">
        <f>IF(B2944="","",IF(I2944="",IF(H2944="","",IF(TODAY()&gt;H2944,"Atrasado (em aberto)","Em aberto")),IF(I2944&lt;=H2944,"No prazo","Fora do prazo")))</f>
        <v/>
      </c>
    </row>
    <row r="2945">
      <c r="B2945" s="22" t="n"/>
      <c r="E2945" s="23" t="n"/>
      <c r="F2945" s="24" t="n"/>
      <c r="H2945" s="22" t="n"/>
      <c r="I2945" s="22" t="n"/>
      <c r="J2945" s="21">
        <f>IF(C2945="","",IFERROR(INDEX(Clientes!$B:$B,MATCH(C2945,Clientes!$A:$A,0)),"Cód. não cadastrado"))</f>
        <v/>
      </c>
      <c r="K2945" s="18">
        <f>IF(B2945="","",YEAR(B2945))</f>
        <v/>
      </c>
      <c r="L2945" s="18">
        <f>IF(B2945="","",MONTH(B2945))</f>
        <v/>
      </c>
      <c r="M2945" s="18">
        <f>IF(OR(B2945="",I2945=""),"",I2945-B2945)</f>
        <v/>
      </c>
      <c r="N2945" s="21">
        <f>IF(B2945="","",IF(I2945="",IF(H2945="","",IF(TODAY()&gt;H2945,"Atrasado (em aberto)","Em aberto")),IF(I2945&lt;=H2945,"No prazo","Fora do prazo")))</f>
        <v/>
      </c>
    </row>
    <row r="2946">
      <c r="B2946" s="22" t="n"/>
      <c r="E2946" s="23" t="n"/>
      <c r="F2946" s="24" t="n"/>
      <c r="H2946" s="22" t="n"/>
      <c r="I2946" s="22" t="n"/>
      <c r="J2946" s="21">
        <f>IF(C2946="","",IFERROR(INDEX(Clientes!$B:$B,MATCH(C2946,Clientes!$A:$A,0)),"Cód. não cadastrado"))</f>
        <v/>
      </c>
      <c r="K2946" s="18">
        <f>IF(B2946="","",YEAR(B2946))</f>
        <v/>
      </c>
      <c r="L2946" s="18">
        <f>IF(B2946="","",MONTH(B2946))</f>
        <v/>
      </c>
      <c r="M2946" s="18">
        <f>IF(OR(B2946="",I2946=""),"",I2946-B2946)</f>
        <v/>
      </c>
      <c r="N2946" s="21">
        <f>IF(B2946="","",IF(I2946="",IF(H2946="","",IF(TODAY()&gt;H2946,"Atrasado (em aberto)","Em aberto")),IF(I2946&lt;=H2946,"No prazo","Fora do prazo")))</f>
        <v/>
      </c>
    </row>
    <row r="2947">
      <c r="B2947" s="22" t="n"/>
      <c r="E2947" s="23" t="n"/>
      <c r="F2947" s="24" t="n"/>
      <c r="H2947" s="22" t="n"/>
      <c r="I2947" s="22" t="n"/>
      <c r="J2947" s="21">
        <f>IF(C2947="","",IFERROR(INDEX(Clientes!$B:$B,MATCH(C2947,Clientes!$A:$A,0)),"Cód. não cadastrado"))</f>
        <v/>
      </c>
      <c r="K2947" s="18">
        <f>IF(B2947="","",YEAR(B2947))</f>
        <v/>
      </c>
      <c r="L2947" s="18">
        <f>IF(B2947="","",MONTH(B2947))</f>
        <v/>
      </c>
      <c r="M2947" s="18">
        <f>IF(OR(B2947="",I2947=""),"",I2947-B2947)</f>
        <v/>
      </c>
      <c r="N2947" s="21">
        <f>IF(B2947="","",IF(I2947="",IF(H2947="","",IF(TODAY()&gt;H2947,"Atrasado (em aberto)","Em aberto")),IF(I2947&lt;=H2947,"No prazo","Fora do prazo")))</f>
        <v/>
      </c>
    </row>
    <row r="2948">
      <c r="B2948" s="22" t="n"/>
      <c r="E2948" s="23" t="n"/>
      <c r="F2948" s="24" t="n"/>
      <c r="H2948" s="22" t="n"/>
      <c r="I2948" s="22" t="n"/>
      <c r="J2948" s="21">
        <f>IF(C2948="","",IFERROR(INDEX(Clientes!$B:$B,MATCH(C2948,Clientes!$A:$A,0)),"Cód. não cadastrado"))</f>
        <v/>
      </c>
      <c r="K2948" s="18">
        <f>IF(B2948="","",YEAR(B2948))</f>
        <v/>
      </c>
      <c r="L2948" s="18">
        <f>IF(B2948="","",MONTH(B2948))</f>
        <v/>
      </c>
      <c r="M2948" s="18">
        <f>IF(OR(B2948="",I2948=""),"",I2948-B2948)</f>
        <v/>
      </c>
      <c r="N2948" s="21">
        <f>IF(B2948="","",IF(I2948="",IF(H2948="","",IF(TODAY()&gt;H2948,"Atrasado (em aberto)","Em aberto")),IF(I2948&lt;=H2948,"No prazo","Fora do prazo")))</f>
        <v/>
      </c>
    </row>
    <row r="2949">
      <c r="B2949" s="22" t="n"/>
      <c r="E2949" s="23" t="n"/>
      <c r="F2949" s="24" t="n"/>
      <c r="H2949" s="22" t="n"/>
      <c r="I2949" s="22" t="n"/>
      <c r="J2949" s="21">
        <f>IF(C2949="","",IFERROR(INDEX(Clientes!$B:$B,MATCH(C2949,Clientes!$A:$A,0)),"Cód. não cadastrado"))</f>
        <v/>
      </c>
      <c r="K2949" s="18">
        <f>IF(B2949="","",YEAR(B2949))</f>
        <v/>
      </c>
      <c r="L2949" s="18">
        <f>IF(B2949="","",MONTH(B2949))</f>
        <v/>
      </c>
      <c r="M2949" s="18">
        <f>IF(OR(B2949="",I2949=""),"",I2949-B2949)</f>
        <v/>
      </c>
      <c r="N2949" s="21">
        <f>IF(B2949="","",IF(I2949="",IF(H2949="","",IF(TODAY()&gt;H2949,"Atrasado (em aberto)","Em aberto")),IF(I2949&lt;=H2949,"No prazo","Fora do prazo")))</f>
        <v/>
      </c>
    </row>
    <row r="2950">
      <c r="B2950" s="22" t="n"/>
      <c r="E2950" s="23" t="n"/>
      <c r="F2950" s="24" t="n"/>
      <c r="H2950" s="22" t="n"/>
      <c r="I2950" s="22" t="n"/>
      <c r="J2950" s="21">
        <f>IF(C2950="","",IFERROR(INDEX(Clientes!$B:$B,MATCH(C2950,Clientes!$A:$A,0)),"Cód. não cadastrado"))</f>
        <v/>
      </c>
      <c r="K2950" s="18">
        <f>IF(B2950="","",YEAR(B2950))</f>
        <v/>
      </c>
      <c r="L2950" s="18">
        <f>IF(B2950="","",MONTH(B2950))</f>
        <v/>
      </c>
      <c r="M2950" s="18">
        <f>IF(OR(B2950="",I2950=""),"",I2950-B2950)</f>
        <v/>
      </c>
      <c r="N2950" s="21">
        <f>IF(B2950="","",IF(I2950="",IF(H2950="","",IF(TODAY()&gt;H2950,"Atrasado (em aberto)","Em aberto")),IF(I2950&lt;=H2950,"No prazo","Fora do prazo")))</f>
        <v/>
      </c>
    </row>
    <row r="2951">
      <c r="B2951" s="22" t="n"/>
      <c r="E2951" s="23" t="n"/>
      <c r="F2951" s="24" t="n"/>
      <c r="H2951" s="22" t="n"/>
      <c r="I2951" s="22" t="n"/>
      <c r="J2951" s="21">
        <f>IF(C2951="","",IFERROR(INDEX(Clientes!$B:$B,MATCH(C2951,Clientes!$A:$A,0)),"Cód. não cadastrado"))</f>
        <v/>
      </c>
      <c r="K2951" s="18">
        <f>IF(B2951="","",YEAR(B2951))</f>
        <v/>
      </c>
      <c r="L2951" s="18">
        <f>IF(B2951="","",MONTH(B2951))</f>
        <v/>
      </c>
      <c r="M2951" s="18">
        <f>IF(OR(B2951="",I2951=""),"",I2951-B2951)</f>
        <v/>
      </c>
      <c r="N2951" s="21">
        <f>IF(B2951="","",IF(I2951="",IF(H2951="","",IF(TODAY()&gt;H2951,"Atrasado (em aberto)","Em aberto")),IF(I2951&lt;=H2951,"No prazo","Fora do prazo")))</f>
        <v/>
      </c>
    </row>
    <row r="2952">
      <c r="B2952" s="22" t="n"/>
      <c r="E2952" s="23" t="n"/>
      <c r="F2952" s="24" t="n"/>
      <c r="H2952" s="22" t="n"/>
      <c r="I2952" s="22" t="n"/>
      <c r="J2952" s="21">
        <f>IF(C2952="","",IFERROR(INDEX(Clientes!$B:$B,MATCH(C2952,Clientes!$A:$A,0)),"Cód. não cadastrado"))</f>
        <v/>
      </c>
      <c r="K2952" s="18">
        <f>IF(B2952="","",YEAR(B2952))</f>
        <v/>
      </c>
      <c r="L2952" s="18">
        <f>IF(B2952="","",MONTH(B2952))</f>
        <v/>
      </c>
      <c r="M2952" s="18">
        <f>IF(OR(B2952="",I2952=""),"",I2952-B2952)</f>
        <v/>
      </c>
      <c r="N2952" s="21">
        <f>IF(B2952="","",IF(I2952="",IF(H2952="","",IF(TODAY()&gt;H2952,"Atrasado (em aberto)","Em aberto")),IF(I2952&lt;=H2952,"No prazo","Fora do prazo")))</f>
        <v/>
      </c>
    </row>
    <row r="2953">
      <c r="B2953" s="22" t="n"/>
      <c r="E2953" s="23" t="n"/>
      <c r="F2953" s="24" t="n"/>
      <c r="H2953" s="22" t="n"/>
      <c r="I2953" s="22" t="n"/>
      <c r="J2953" s="21">
        <f>IF(C2953="","",IFERROR(INDEX(Clientes!$B:$B,MATCH(C2953,Clientes!$A:$A,0)),"Cód. não cadastrado"))</f>
        <v/>
      </c>
      <c r="K2953" s="18">
        <f>IF(B2953="","",YEAR(B2953))</f>
        <v/>
      </c>
      <c r="L2953" s="18">
        <f>IF(B2953="","",MONTH(B2953))</f>
        <v/>
      </c>
      <c r="M2953" s="18">
        <f>IF(OR(B2953="",I2953=""),"",I2953-B2953)</f>
        <v/>
      </c>
      <c r="N2953" s="21">
        <f>IF(B2953="","",IF(I2953="",IF(H2953="","",IF(TODAY()&gt;H2953,"Atrasado (em aberto)","Em aberto")),IF(I2953&lt;=H2953,"No prazo","Fora do prazo")))</f>
        <v/>
      </c>
    </row>
    <row r="2954">
      <c r="B2954" s="22" t="n"/>
      <c r="E2954" s="23" t="n"/>
      <c r="F2954" s="24" t="n"/>
      <c r="H2954" s="22" t="n"/>
      <c r="I2954" s="22" t="n"/>
      <c r="J2954" s="21">
        <f>IF(C2954="","",IFERROR(INDEX(Clientes!$B:$B,MATCH(C2954,Clientes!$A:$A,0)),"Cód. não cadastrado"))</f>
        <v/>
      </c>
      <c r="K2954" s="18">
        <f>IF(B2954="","",YEAR(B2954))</f>
        <v/>
      </c>
      <c r="L2954" s="18">
        <f>IF(B2954="","",MONTH(B2954))</f>
        <v/>
      </c>
      <c r="M2954" s="18">
        <f>IF(OR(B2954="",I2954=""),"",I2954-B2954)</f>
        <v/>
      </c>
      <c r="N2954" s="21">
        <f>IF(B2954="","",IF(I2954="",IF(H2954="","",IF(TODAY()&gt;H2954,"Atrasado (em aberto)","Em aberto")),IF(I2954&lt;=H2954,"No prazo","Fora do prazo")))</f>
        <v/>
      </c>
    </row>
    <row r="2955">
      <c r="B2955" s="22" t="n"/>
      <c r="E2955" s="23" t="n"/>
      <c r="F2955" s="24" t="n"/>
      <c r="H2955" s="22" t="n"/>
      <c r="I2955" s="22" t="n"/>
      <c r="J2955" s="21">
        <f>IF(C2955="","",IFERROR(INDEX(Clientes!$B:$B,MATCH(C2955,Clientes!$A:$A,0)),"Cód. não cadastrado"))</f>
        <v/>
      </c>
      <c r="K2955" s="18">
        <f>IF(B2955="","",YEAR(B2955))</f>
        <v/>
      </c>
      <c r="L2955" s="18">
        <f>IF(B2955="","",MONTH(B2955))</f>
        <v/>
      </c>
      <c r="M2955" s="18">
        <f>IF(OR(B2955="",I2955=""),"",I2955-B2955)</f>
        <v/>
      </c>
      <c r="N2955" s="21">
        <f>IF(B2955="","",IF(I2955="",IF(H2955="","",IF(TODAY()&gt;H2955,"Atrasado (em aberto)","Em aberto")),IF(I2955&lt;=H2955,"No prazo","Fora do prazo")))</f>
        <v/>
      </c>
    </row>
    <row r="2956">
      <c r="B2956" s="22" t="n"/>
      <c r="E2956" s="23" t="n"/>
      <c r="F2956" s="24" t="n"/>
      <c r="H2956" s="22" t="n"/>
      <c r="I2956" s="22" t="n"/>
      <c r="J2956" s="21">
        <f>IF(C2956="","",IFERROR(INDEX(Clientes!$B:$B,MATCH(C2956,Clientes!$A:$A,0)),"Cód. não cadastrado"))</f>
        <v/>
      </c>
      <c r="K2956" s="18">
        <f>IF(B2956="","",YEAR(B2956))</f>
        <v/>
      </c>
      <c r="L2956" s="18">
        <f>IF(B2956="","",MONTH(B2956))</f>
        <v/>
      </c>
      <c r="M2956" s="18">
        <f>IF(OR(B2956="",I2956=""),"",I2956-B2956)</f>
        <v/>
      </c>
      <c r="N2956" s="21">
        <f>IF(B2956="","",IF(I2956="",IF(H2956="","",IF(TODAY()&gt;H2956,"Atrasado (em aberto)","Em aberto")),IF(I2956&lt;=H2956,"No prazo","Fora do prazo")))</f>
        <v/>
      </c>
    </row>
    <row r="2957">
      <c r="B2957" s="22" t="n"/>
      <c r="E2957" s="23" t="n"/>
      <c r="F2957" s="24" t="n"/>
      <c r="H2957" s="22" t="n"/>
      <c r="I2957" s="22" t="n"/>
      <c r="J2957" s="21">
        <f>IF(C2957="","",IFERROR(INDEX(Clientes!$B:$B,MATCH(C2957,Clientes!$A:$A,0)),"Cód. não cadastrado"))</f>
        <v/>
      </c>
      <c r="K2957" s="18">
        <f>IF(B2957="","",YEAR(B2957))</f>
        <v/>
      </c>
      <c r="L2957" s="18">
        <f>IF(B2957="","",MONTH(B2957))</f>
        <v/>
      </c>
      <c r="M2957" s="18">
        <f>IF(OR(B2957="",I2957=""),"",I2957-B2957)</f>
        <v/>
      </c>
      <c r="N2957" s="21">
        <f>IF(B2957="","",IF(I2957="",IF(H2957="","",IF(TODAY()&gt;H2957,"Atrasado (em aberto)","Em aberto")),IF(I2957&lt;=H2957,"No prazo","Fora do prazo")))</f>
        <v/>
      </c>
    </row>
    <row r="2958">
      <c r="B2958" s="22" t="n"/>
      <c r="E2958" s="23" t="n"/>
      <c r="F2958" s="24" t="n"/>
      <c r="H2958" s="22" t="n"/>
      <c r="I2958" s="22" t="n"/>
      <c r="J2958" s="21">
        <f>IF(C2958="","",IFERROR(INDEX(Clientes!$B:$B,MATCH(C2958,Clientes!$A:$A,0)),"Cód. não cadastrado"))</f>
        <v/>
      </c>
      <c r="K2958" s="18">
        <f>IF(B2958="","",YEAR(B2958))</f>
        <v/>
      </c>
      <c r="L2958" s="18">
        <f>IF(B2958="","",MONTH(B2958))</f>
        <v/>
      </c>
      <c r="M2958" s="18">
        <f>IF(OR(B2958="",I2958=""),"",I2958-B2958)</f>
        <v/>
      </c>
      <c r="N2958" s="21">
        <f>IF(B2958="","",IF(I2958="",IF(H2958="","",IF(TODAY()&gt;H2958,"Atrasado (em aberto)","Em aberto")),IF(I2958&lt;=H2958,"No prazo","Fora do prazo")))</f>
        <v/>
      </c>
    </row>
    <row r="2959">
      <c r="B2959" s="22" t="n"/>
      <c r="E2959" s="23" t="n"/>
      <c r="F2959" s="24" t="n"/>
      <c r="H2959" s="22" t="n"/>
      <c r="I2959" s="22" t="n"/>
      <c r="J2959" s="21">
        <f>IF(C2959="","",IFERROR(INDEX(Clientes!$B:$B,MATCH(C2959,Clientes!$A:$A,0)),"Cód. não cadastrado"))</f>
        <v/>
      </c>
      <c r="K2959" s="18">
        <f>IF(B2959="","",YEAR(B2959))</f>
        <v/>
      </c>
      <c r="L2959" s="18">
        <f>IF(B2959="","",MONTH(B2959))</f>
        <v/>
      </c>
      <c r="M2959" s="18">
        <f>IF(OR(B2959="",I2959=""),"",I2959-B2959)</f>
        <v/>
      </c>
      <c r="N2959" s="21">
        <f>IF(B2959="","",IF(I2959="",IF(H2959="","",IF(TODAY()&gt;H2959,"Atrasado (em aberto)","Em aberto")),IF(I2959&lt;=H2959,"No prazo","Fora do prazo")))</f>
        <v/>
      </c>
    </row>
    <row r="2960">
      <c r="B2960" s="22" t="n"/>
      <c r="E2960" s="23" t="n"/>
      <c r="F2960" s="24" t="n"/>
      <c r="H2960" s="22" t="n"/>
      <c r="I2960" s="22" t="n"/>
      <c r="J2960" s="21">
        <f>IF(C2960="","",IFERROR(INDEX(Clientes!$B:$B,MATCH(C2960,Clientes!$A:$A,0)),"Cód. não cadastrado"))</f>
        <v/>
      </c>
      <c r="K2960" s="18">
        <f>IF(B2960="","",YEAR(B2960))</f>
        <v/>
      </c>
      <c r="L2960" s="18">
        <f>IF(B2960="","",MONTH(B2960))</f>
        <v/>
      </c>
      <c r="M2960" s="18">
        <f>IF(OR(B2960="",I2960=""),"",I2960-B2960)</f>
        <v/>
      </c>
      <c r="N2960" s="21">
        <f>IF(B2960="","",IF(I2960="",IF(H2960="","",IF(TODAY()&gt;H2960,"Atrasado (em aberto)","Em aberto")),IF(I2960&lt;=H2960,"No prazo","Fora do prazo")))</f>
        <v/>
      </c>
    </row>
    <row r="2961">
      <c r="B2961" s="22" t="n"/>
      <c r="E2961" s="23" t="n"/>
      <c r="F2961" s="24" t="n"/>
      <c r="H2961" s="22" t="n"/>
      <c r="I2961" s="22" t="n"/>
      <c r="J2961" s="21">
        <f>IF(C2961="","",IFERROR(INDEX(Clientes!$B:$B,MATCH(C2961,Clientes!$A:$A,0)),"Cód. não cadastrado"))</f>
        <v/>
      </c>
      <c r="K2961" s="18">
        <f>IF(B2961="","",YEAR(B2961))</f>
        <v/>
      </c>
      <c r="L2961" s="18">
        <f>IF(B2961="","",MONTH(B2961))</f>
        <v/>
      </c>
      <c r="M2961" s="18">
        <f>IF(OR(B2961="",I2961=""),"",I2961-B2961)</f>
        <v/>
      </c>
      <c r="N2961" s="21">
        <f>IF(B2961="","",IF(I2961="",IF(H2961="","",IF(TODAY()&gt;H2961,"Atrasado (em aberto)","Em aberto")),IF(I2961&lt;=H2961,"No prazo","Fora do prazo")))</f>
        <v/>
      </c>
    </row>
    <row r="2962">
      <c r="B2962" s="22" t="n"/>
      <c r="E2962" s="23" t="n"/>
      <c r="F2962" s="24" t="n"/>
      <c r="H2962" s="22" t="n"/>
      <c r="I2962" s="22" t="n"/>
      <c r="J2962" s="21">
        <f>IF(C2962="","",IFERROR(INDEX(Clientes!$B:$B,MATCH(C2962,Clientes!$A:$A,0)),"Cód. não cadastrado"))</f>
        <v/>
      </c>
      <c r="K2962" s="18">
        <f>IF(B2962="","",YEAR(B2962))</f>
        <v/>
      </c>
      <c r="L2962" s="18">
        <f>IF(B2962="","",MONTH(B2962))</f>
        <v/>
      </c>
      <c r="M2962" s="18">
        <f>IF(OR(B2962="",I2962=""),"",I2962-B2962)</f>
        <v/>
      </c>
      <c r="N2962" s="21">
        <f>IF(B2962="","",IF(I2962="",IF(H2962="","",IF(TODAY()&gt;H2962,"Atrasado (em aberto)","Em aberto")),IF(I2962&lt;=H2962,"No prazo","Fora do prazo")))</f>
        <v/>
      </c>
    </row>
    <row r="2963">
      <c r="B2963" s="22" t="n"/>
      <c r="E2963" s="23" t="n"/>
      <c r="F2963" s="24" t="n"/>
      <c r="H2963" s="22" t="n"/>
      <c r="I2963" s="22" t="n"/>
      <c r="J2963" s="21">
        <f>IF(C2963="","",IFERROR(INDEX(Clientes!$B:$B,MATCH(C2963,Clientes!$A:$A,0)),"Cód. não cadastrado"))</f>
        <v/>
      </c>
      <c r="K2963" s="18">
        <f>IF(B2963="","",YEAR(B2963))</f>
        <v/>
      </c>
      <c r="L2963" s="18">
        <f>IF(B2963="","",MONTH(B2963))</f>
        <v/>
      </c>
      <c r="M2963" s="18">
        <f>IF(OR(B2963="",I2963=""),"",I2963-B2963)</f>
        <v/>
      </c>
      <c r="N2963" s="21">
        <f>IF(B2963="","",IF(I2963="",IF(H2963="","",IF(TODAY()&gt;H2963,"Atrasado (em aberto)","Em aberto")),IF(I2963&lt;=H2963,"No prazo","Fora do prazo")))</f>
        <v/>
      </c>
    </row>
    <row r="2964">
      <c r="B2964" s="22" t="n"/>
      <c r="E2964" s="23" t="n"/>
      <c r="F2964" s="24" t="n"/>
      <c r="H2964" s="22" t="n"/>
      <c r="I2964" s="22" t="n"/>
      <c r="J2964" s="21">
        <f>IF(C2964="","",IFERROR(INDEX(Clientes!$B:$B,MATCH(C2964,Clientes!$A:$A,0)),"Cód. não cadastrado"))</f>
        <v/>
      </c>
      <c r="K2964" s="18">
        <f>IF(B2964="","",YEAR(B2964))</f>
        <v/>
      </c>
      <c r="L2964" s="18">
        <f>IF(B2964="","",MONTH(B2964))</f>
        <v/>
      </c>
      <c r="M2964" s="18">
        <f>IF(OR(B2964="",I2964=""),"",I2964-B2964)</f>
        <v/>
      </c>
      <c r="N2964" s="21">
        <f>IF(B2964="","",IF(I2964="",IF(H2964="","",IF(TODAY()&gt;H2964,"Atrasado (em aberto)","Em aberto")),IF(I2964&lt;=H2964,"No prazo","Fora do prazo")))</f>
        <v/>
      </c>
    </row>
    <row r="2965">
      <c r="B2965" s="22" t="n"/>
      <c r="E2965" s="23" t="n"/>
      <c r="F2965" s="24" t="n"/>
      <c r="H2965" s="22" t="n"/>
      <c r="I2965" s="22" t="n"/>
      <c r="J2965" s="21">
        <f>IF(C2965="","",IFERROR(INDEX(Clientes!$B:$B,MATCH(C2965,Clientes!$A:$A,0)),"Cód. não cadastrado"))</f>
        <v/>
      </c>
      <c r="K2965" s="18">
        <f>IF(B2965="","",YEAR(B2965))</f>
        <v/>
      </c>
      <c r="L2965" s="18">
        <f>IF(B2965="","",MONTH(B2965))</f>
        <v/>
      </c>
      <c r="M2965" s="18">
        <f>IF(OR(B2965="",I2965=""),"",I2965-B2965)</f>
        <v/>
      </c>
      <c r="N2965" s="21">
        <f>IF(B2965="","",IF(I2965="",IF(H2965="","",IF(TODAY()&gt;H2965,"Atrasado (em aberto)","Em aberto")),IF(I2965&lt;=H2965,"No prazo","Fora do prazo")))</f>
        <v/>
      </c>
    </row>
    <row r="2966">
      <c r="B2966" s="22" t="n"/>
      <c r="E2966" s="23" t="n"/>
      <c r="F2966" s="24" t="n"/>
      <c r="H2966" s="22" t="n"/>
      <c r="I2966" s="22" t="n"/>
      <c r="J2966" s="21">
        <f>IF(C2966="","",IFERROR(INDEX(Clientes!$B:$B,MATCH(C2966,Clientes!$A:$A,0)),"Cód. não cadastrado"))</f>
        <v/>
      </c>
      <c r="K2966" s="18">
        <f>IF(B2966="","",YEAR(B2966))</f>
        <v/>
      </c>
      <c r="L2966" s="18">
        <f>IF(B2966="","",MONTH(B2966))</f>
        <v/>
      </c>
      <c r="M2966" s="18">
        <f>IF(OR(B2966="",I2966=""),"",I2966-B2966)</f>
        <v/>
      </c>
      <c r="N2966" s="21">
        <f>IF(B2966="","",IF(I2966="",IF(H2966="","",IF(TODAY()&gt;H2966,"Atrasado (em aberto)","Em aberto")),IF(I2966&lt;=H2966,"No prazo","Fora do prazo")))</f>
        <v/>
      </c>
    </row>
    <row r="2967">
      <c r="B2967" s="22" t="n"/>
      <c r="E2967" s="23" t="n"/>
      <c r="F2967" s="24" t="n"/>
      <c r="H2967" s="22" t="n"/>
      <c r="I2967" s="22" t="n"/>
      <c r="J2967" s="21">
        <f>IF(C2967="","",IFERROR(INDEX(Clientes!$B:$B,MATCH(C2967,Clientes!$A:$A,0)),"Cód. não cadastrado"))</f>
        <v/>
      </c>
      <c r="K2967" s="18">
        <f>IF(B2967="","",YEAR(B2967))</f>
        <v/>
      </c>
      <c r="L2967" s="18">
        <f>IF(B2967="","",MONTH(B2967))</f>
        <v/>
      </c>
      <c r="M2967" s="18">
        <f>IF(OR(B2967="",I2967=""),"",I2967-B2967)</f>
        <v/>
      </c>
      <c r="N2967" s="21">
        <f>IF(B2967="","",IF(I2967="",IF(H2967="","",IF(TODAY()&gt;H2967,"Atrasado (em aberto)","Em aberto")),IF(I2967&lt;=H2967,"No prazo","Fora do prazo")))</f>
        <v/>
      </c>
    </row>
    <row r="2968">
      <c r="B2968" s="22" t="n"/>
      <c r="E2968" s="23" t="n"/>
      <c r="F2968" s="24" t="n"/>
      <c r="H2968" s="22" t="n"/>
      <c r="I2968" s="22" t="n"/>
      <c r="J2968" s="21">
        <f>IF(C2968="","",IFERROR(INDEX(Clientes!$B:$B,MATCH(C2968,Clientes!$A:$A,0)),"Cód. não cadastrado"))</f>
        <v/>
      </c>
      <c r="K2968" s="18">
        <f>IF(B2968="","",YEAR(B2968))</f>
        <v/>
      </c>
      <c r="L2968" s="18">
        <f>IF(B2968="","",MONTH(B2968))</f>
        <v/>
      </c>
      <c r="M2968" s="18">
        <f>IF(OR(B2968="",I2968=""),"",I2968-B2968)</f>
        <v/>
      </c>
      <c r="N2968" s="21">
        <f>IF(B2968="","",IF(I2968="",IF(H2968="","",IF(TODAY()&gt;H2968,"Atrasado (em aberto)","Em aberto")),IF(I2968&lt;=H2968,"No prazo","Fora do prazo")))</f>
        <v/>
      </c>
    </row>
    <row r="2969">
      <c r="B2969" s="22" t="n"/>
      <c r="E2969" s="23" t="n"/>
      <c r="F2969" s="24" t="n"/>
      <c r="H2969" s="22" t="n"/>
      <c r="I2969" s="22" t="n"/>
      <c r="J2969" s="21">
        <f>IF(C2969="","",IFERROR(INDEX(Clientes!$B:$B,MATCH(C2969,Clientes!$A:$A,0)),"Cód. não cadastrado"))</f>
        <v/>
      </c>
      <c r="K2969" s="18">
        <f>IF(B2969="","",YEAR(B2969))</f>
        <v/>
      </c>
      <c r="L2969" s="18">
        <f>IF(B2969="","",MONTH(B2969))</f>
        <v/>
      </c>
      <c r="M2969" s="18">
        <f>IF(OR(B2969="",I2969=""),"",I2969-B2969)</f>
        <v/>
      </c>
      <c r="N2969" s="21">
        <f>IF(B2969="","",IF(I2969="",IF(H2969="","",IF(TODAY()&gt;H2969,"Atrasado (em aberto)","Em aberto")),IF(I2969&lt;=H2969,"No prazo","Fora do prazo")))</f>
        <v/>
      </c>
    </row>
    <row r="2970">
      <c r="B2970" s="22" t="n"/>
      <c r="E2970" s="23" t="n"/>
      <c r="F2970" s="24" t="n"/>
      <c r="H2970" s="22" t="n"/>
      <c r="I2970" s="22" t="n"/>
      <c r="J2970" s="21">
        <f>IF(C2970="","",IFERROR(INDEX(Clientes!$B:$B,MATCH(C2970,Clientes!$A:$A,0)),"Cód. não cadastrado"))</f>
        <v/>
      </c>
      <c r="K2970" s="18">
        <f>IF(B2970="","",YEAR(B2970))</f>
        <v/>
      </c>
      <c r="L2970" s="18">
        <f>IF(B2970="","",MONTH(B2970))</f>
        <v/>
      </c>
      <c r="M2970" s="18">
        <f>IF(OR(B2970="",I2970=""),"",I2970-B2970)</f>
        <v/>
      </c>
      <c r="N2970" s="21">
        <f>IF(B2970="","",IF(I2970="",IF(H2970="","",IF(TODAY()&gt;H2970,"Atrasado (em aberto)","Em aberto")),IF(I2970&lt;=H2970,"No prazo","Fora do prazo")))</f>
        <v/>
      </c>
    </row>
    <row r="2971">
      <c r="B2971" s="22" t="n"/>
      <c r="E2971" s="23" t="n"/>
      <c r="F2971" s="24" t="n"/>
      <c r="H2971" s="22" t="n"/>
      <c r="I2971" s="22" t="n"/>
      <c r="J2971" s="21">
        <f>IF(C2971="","",IFERROR(INDEX(Clientes!$B:$B,MATCH(C2971,Clientes!$A:$A,0)),"Cód. não cadastrado"))</f>
        <v/>
      </c>
      <c r="K2971" s="18">
        <f>IF(B2971="","",YEAR(B2971))</f>
        <v/>
      </c>
      <c r="L2971" s="18">
        <f>IF(B2971="","",MONTH(B2971))</f>
        <v/>
      </c>
      <c r="M2971" s="18">
        <f>IF(OR(B2971="",I2971=""),"",I2971-B2971)</f>
        <v/>
      </c>
      <c r="N2971" s="21">
        <f>IF(B2971="","",IF(I2971="",IF(H2971="","",IF(TODAY()&gt;H2971,"Atrasado (em aberto)","Em aberto")),IF(I2971&lt;=H2971,"No prazo","Fora do prazo")))</f>
        <v/>
      </c>
    </row>
    <row r="2972">
      <c r="B2972" s="22" t="n"/>
      <c r="E2972" s="23" t="n"/>
      <c r="F2972" s="24" t="n"/>
      <c r="H2972" s="22" t="n"/>
      <c r="I2972" s="22" t="n"/>
      <c r="J2972" s="21">
        <f>IF(C2972="","",IFERROR(INDEX(Clientes!$B:$B,MATCH(C2972,Clientes!$A:$A,0)),"Cód. não cadastrado"))</f>
        <v/>
      </c>
      <c r="K2972" s="18">
        <f>IF(B2972="","",YEAR(B2972))</f>
        <v/>
      </c>
      <c r="L2972" s="18">
        <f>IF(B2972="","",MONTH(B2972))</f>
        <v/>
      </c>
      <c r="M2972" s="18">
        <f>IF(OR(B2972="",I2972=""),"",I2972-B2972)</f>
        <v/>
      </c>
      <c r="N2972" s="21">
        <f>IF(B2972="","",IF(I2972="",IF(H2972="","",IF(TODAY()&gt;H2972,"Atrasado (em aberto)","Em aberto")),IF(I2972&lt;=H2972,"No prazo","Fora do prazo")))</f>
        <v/>
      </c>
    </row>
    <row r="2973">
      <c r="B2973" s="22" t="n"/>
      <c r="E2973" s="23" t="n"/>
      <c r="F2973" s="24" t="n"/>
      <c r="H2973" s="22" t="n"/>
      <c r="I2973" s="22" t="n"/>
      <c r="J2973" s="21">
        <f>IF(C2973="","",IFERROR(INDEX(Clientes!$B:$B,MATCH(C2973,Clientes!$A:$A,0)),"Cód. não cadastrado"))</f>
        <v/>
      </c>
      <c r="K2973" s="18">
        <f>IF(B2973="","",YEAR(B2973))</f>
        <v/>
      </c>
      <c r="L2973" s="18">
        <f>IF(B2973="","",MONTH(B2973))</f>
        <v/>
      </c>
      <c r="M2973" s="18">
        <f>IF(OR(B2973="",I2973=""),"",I2973-B2973)</f>
        <v/>
      </c>
      <c r="N2973" s="21">
        <f>IF(B2973="","",IF(I2973="",IF(H2973="","",IF(TODAY()&gt;H2973,"Atrasado (em aberto)","Em aberto")),IF(I2973&lt;=H2973,"No prazo","Fora do prazo")))</f>
        <v/>
      </c>
    </row>
    <row r="2974">
      <c r="B2974" s="22" t="n"/>
      <c r="E2974" s="23" t="n"/>
      <c r="F2974" s="24" t="n"/>
      <c r="H2974" s="22" t="n"/>
      <c r="I2974" s="22" t="n"/>
      <c r="J2974" s="21">
        <f>IF(C2974="","",IFERROR(INDEX(Clientes!$B:$B,MATCH(C2974,Clientes!$A:$A,0)),"Cód. não cadastrado"))</f>
        <v/>
      </c>
      <c r="K2974" s="18">
        <f>IF(B2974="","",YEAR(B2974))</f>
        <v/>
      </c>
      <c r="L2974" s="18">
        <f>IF(B2974="","",MONTH(B2974))</f>
        <v/>
      </c>
      <c r="M2974" s="18">
        <f>IF(OR(B2974="",I2974=""),"",I2974-B2974)</f>
        <v/>
      </c>
      <c r="N2974" s="21">
        <f>IF(B2974="","",IF(I2974="",IF(H2974="","",IF(TODAY()&gt;H2974,"Atrasado (em aberto)","Em aberto")),IF(I2974&lt;=H2974,"No prazo","Fora do prazo")))</f>
        <v/>
      </c>
    </row>
    <row r="2975">
      <c r="B2975" s="22" t="n"/>
      <c r="E2975" s="23" t="n"/>
      <c r="F2975" s="24" t="n"/>
      <c r="H2975" s="22" t="n"/>
      <c r="I2975" s="22" t="n"/>
      <c r="J2975" s="21">
        <f>IF(C2975="","",IFERROR(INDEX(Clientes!$B:$B,MATCH(C2975,Clientes!$A:$A,0)),"Cód. não cadastrado"))</f>
        <v/>
      </c>
      <c r="K2975" s="18">
        <f>IF(B2975="","",YEAR(B2975))</f>
        <v/>
      </c>
      <c r="L2975" s="18">
        <f>IF(B2975="","",MONTH(B2975))</f>
        <v/>
      </c>
      <c r="M2975" s="18">
        <f>IF(OR(B2975="",I2975=""),"",I2975-B2975)</f>
        <v/>
      </c>
      <c r="N2975" s="21">
        <f>IF(B2975="","",IF(I2975="",IF(H2975="","",IF(TODAY()&gt;H2975,"Atrasado (em aberto)","Em aberto")),IF(I2975&lt;=H2975,"No prazo","Fora do prazo")))</f>
        <v/>
      </c>
    </row>
    <row r="2976">
      <c r="B2976" s="22" t="n"/>
      <c r="E2976" s="23" t="n"/>
      <c r="F2976" s="24" t="n"/>
      <c r="H2976" s="22" t="n"/>
      <c r="I2976" s="22" t="n"/>
      <c r="J2976" s="21">
        <f>IF(C2976="","",IFERROR(INDEX(Clientes!$B:$B,MATCH(C2976,Clientes!$A:$A,0)),"Cód. não cadastrado"))</f>
        <v/>
      </c>
      <c r="K2976" s="18">
        <f>IF(B2976="","",YEAR(B2976))</f>
        <v/>
      </c>
      <c r="L2976" s="18">
        <f>IF(B2976="","",MONTH(B2976))</f>
        <v/>
      </c>
      <c r="M2976" s="18">
        <f>IF(OR(B2976="",I2976=""),"",I2976-B2976)</f>
        <v/>
      </c>
      <c r="N2976" s="21">
        <f>IF(B2976="","",IF(I2976="",IF(H2976="","",IF(TODAY()&gt;H2976,"Atrasado (em aberto)","Em aberto")),IF(I2976&lt;=H2976,"No prazo","Fora do prazo")))</f>
        <v/>
      </c>
    </row>
    <row r="2977">
      <c r="B2977" s="22" t="n"/>
      <c r="E2977" s="23" t="n"/>
      <c r="F2977" s="24" t="n"/>
      <c r="H2977" s="22" t="n"/>
      <c r="I2977" s="22" t="n"/>
      <c r="J2977" s="21">
        <f>IF(C2977="","",IFERROR(INDEX(Clientes!$B:$B,MATCH(C2977,Clientes!$A:$A,0)),"Cód. não cadastrado"))</f>
        <v/>
      </c>
      <c r="K2977" s="18">
        <f>IF(B2977="","",YEAR(B2977))</f>
        <v/>
      </c>
      <c r="L2977" s="18">
        <f>IF(B2977="","",MONTH(B2977))</f>
        <v/>
      </c>
      <c r="M2977" s="18">
        <f>IF(OR(B2977="",I2977=""),"",I2977-B2977)</f>
        <v/>
      </c>
      <c r="N2977" s="21">
        <f>IF(B2977="","",IF(I2977="",IF(H2977="","",IF(TODAY()&gt;H2977,"Atrasado (em aberto)","Em aberto")),IF(I2977&lt;=H2977,"No prazo","Fora do prazo")))</f>
        <v/>
      </c>
    </row>
    <row r="2978">
      <c r="B2978" s="22" t="n"/>
      <c r="E2978" s="23" t="n"/>
      <c r="F2978" s="24" t="n"/>
      <c r="H2978" s="22" t="n"/>
      <c r="I2978" s="22" t="n"/>
      <c r="J2978" s="21">
        <f>IF(C2978="","",IFERROR(INDEX(Clientes!$B:$B,MATCH(C2978,Clientes!$A:$A,0)),"Cód. não cadastrado"))</f>
        <v/>
      </c>
      <c r="K2978" s="18">
        <f>IF(B2978="","",YEAR(B2978))</f>
        <v/>
      </c>
      <c r="L2978" s="18">
        <f>IF(B2978="","",MONTH(B2978))</f>
        <v/>
      </c>
      <c r="M2978" s="18">
        <f>IF(OR(B2978="",I2978=""),"",I2978-B2978)</f>
        <v/>
      </c>
      <c r="N2978" s="21">
        <f>IF(B2978="","",IF(I2978="",IF(H2978="","",IF(TODAY()&gt;H2978,"Atrasado (em aberto)","Em aberto")),IF(I2978&lt;=H2978,"No prazo","Fora do prazo")))</f>
        <v/>
      </c>
    </row>
    <row r="2979">
      <c r="B2979" s="22" t="n"/>
      <c r="E2979" s="23" t="n"/>
      <c r="F2979" s="24" t="n"/>
      <c r="H2979" s="22" t="n"/>
      <c r="I2979" s="22" t="n"/>
      <c r="J2979" s="21">
        <f>IF(C2979="","",IFERROR(INDEX(Clientes!$B:$B,MATCH(C2979,Clientes!$A:$A,0)),"Cód. não cadastrado"))</f>
        <v/>
      </c>
      <c r="K2979" s="18">
        <f>IF(B2979="","",YEAR(B2979))</f>
        <v/>
      </c>
      <c r="L2979" s="18">
        <f>IF(B2979="","",MONTH(B2979))</f>
        <v/>
      </c>
      <c r="M2979" s="18">
        <f>IF(OR(B2979="",I2979=""),"",I2979-B2979)</f>
        <v/>
      </c>
      <c r="N2979" s="21">
        <f>IF(B2979="","",IF(I2979="",IF(H2979="","",IF(TODAY()&gt;H2979,"Atrasado (em aberto)","Em aberto")),IF(I2979&lt;=H2979,"No prazo","Fora do prazo")))</f>
        <v/>
      </c>
    </row>
    <row r="2980">
      <c r="B2980" s="22" t="n"/>
      <c r="E2980" s="23" t="n"/>
      <c r="F2980" s="24" t="n"/>
      <c r="H2980" s="22" t="n"/>
      <c r="I2980" s="22" t="n"/>
      <c r="J2980" s="21">
        <f>IF(C2980="","",IFERROR(INDEX(Clientes!$B:$B,MATCH(C2980,Clientes!$A:$A,0)),"Cód. não cadastrado"))</f>
        <v/>
      </c>
      <c r="K2980" s="18">
        <f>IF(B2980="","",YEAR(B2980))</f>
        <v/>
      </c>
      <c r="L2980" s="18">
        <f>IF(B2980="","",MONTH(B2980))</f>
        <v/>
      </c>
      <c r="M2980" s="18">
        <f>IF(OR(B2980="",I2980=""),"",I2980-B2980)</f>
        <v/>
      </c>
      <c r="N2980" s="21">
        <f>IF(B2980="","",IF(I2980="",IF(H2980="","",IF(TODAY()&gt;H2980,"Atrasado (em aberto)","Em aberto")),IF(I2980&lt;=H2980,"No prazo","Fora do prazo")))</f>
        <v/>
      </c>
    </row>
    <row r="2981">
      <c r="B2981" s="22" t="n"/>
      <c r="E2981" s="23" t="n"/>
      <c r="F2981" s="24" t="n"/>
      <c r="H2981" s="22" t="n"/>
      <c r="I2981" s="22" t="n"/>
      <c r="J2981" s="21">
        <f>IF(C2981="","",IFERROR(INDEX(Clientes!$B:$B,MATCH(C2981,Clientes!$A:$A,0)),"Cód. não cadastrado"))</f>
        <v/>
      </c>
      <c r="K2981" s="18">
        <f>IF(B2981="","",YEAR(B2981))</f>
        <v/>
      </c>
      <c r="L2981" s="18">
        <f>IF(B2981="","",MONTH(B2981))</f>
        <v/>
      </c>
      <c r="M2981" s="18">
        <f>IF(OR(B2981="",I2981=""),"",I2981-B2981)</f>
        <v/>
      </c>
      <c r="N2981" s="21">
        <f>IF(B2981="","",IF(I2981="",IF(H2981="","",IF(TODAY()&gt;H2981,"Atrasado (em aberto)","Em aberto")),IF(I2981&lt;=H2981,"No prazo","Fora do prazo")))</f>
        <v/>
      </c>
    </row>
    <row r="2982">
      <c r="B2982" s="22" t="n"/>
      <c r="E2982" s="23" t="n"/>
      <c r="F2982" s="24" t="n"/>
      <c r="H2982" s="22" t="n"/>
      <c r="I2982" s="22" t="n"/>
      <c r="J2982" s="21">
        <f>IF(C2982="","",IFERROR(INDEX(Clientes!$B:$B,MATCH(C2982,Clientes!$A:$A,0)),"Cód. não cadastrado"))</f>
        <v/>
      </c>
      <c r="K2982" s="18">
        <f>IF(B2982="","",YEAR(B2982))</f>
        <v/>
      </c>
      <c r="L2982" s="18">
        <f>IF(B2982="","",MONTH(B2982))</f>
        <v/>
      </c>
      <c r="M2982" s="18">
        <f>IF(OR(B2982="",I2982=""),"",I2982-B2982)</f>
        <v/>
      </c>
      <c r="N2982" s="21">
        <f>IF(B2982="","",IF(I2982="",IF(H2982="","",IF(TODAY()&gt;H2982,"Atrasado (em aberto)","Em aberto")),IF(I2982&lt;=H2982,"No prazo","Fora do prazo")))</f>
        <v/>
      </c>
    </row>
    <row r="2983">
      <c r="B2983" s="22" t="n"/>
      <c r="E2983" s="23" t="n"/>
      <c r="F2983" s="24" t="n"/>
      <c r="H2983" s="22" t="n"/>
      <c r="I2983" s="22" t="n"/>
      <c r="J2983" s="21">
        <f>IF(C2983="","",IFERROR(INDEX(Clientes!$B:$B,MATCH(C2983,Clientes!$A:$A,0)),"Cód. não cadastrado"))</f>
        <v/>
      </c>
      <c r="K2983" s="18">
        <f>IF(B2983="","",YEAR(B2983))</f>
        <v/>
      </c>
      <c r="L2983" s="18">
        <f>IF(B2983="","",MONTH(B2983))</f>
        <v/>
      </c>
      <c r="M2983" s="18">
        <f>IF(OR(B2983="",I2983=""),"",I2983-B2983)</f>
        <v/>
      </c>
      <c r="N2983" s="21">
        <f>IF(B2983="","",IF(I2983="",IF(H2983="","",IF(TODAY()&gt;H2983,"Atrasado (em aberto)","Em aberto")),IF(I2983&lt;=H2983,"No prazo","Fora do prazo")))</f>
        <v/>
      </c>
    </row>
    <row r="2984">
      <c r="B2984" s="22" t="n"/>
      <c r="E2984" s="23" t="n"/>
      <c r="F2984" s="24" t="n"/>
      <c r="H2984" s="22" t="n"/>
      <c r="I2984" s="22" t="n"/>
      <c r="J2984" s="21">
        <f>IF(C2984="","",IFERROR(INDEX(Clientes!$B:$B,MATCH(C2984,Clientes!$A:$A,0)),"Cód. não cadastrado"))</f>
        <v/>
      </c>
      <c r="K2984" s="18">
        <f>IF(B2984="","",YEAR(B2984))</f>
        <v/>
      </c>
      <c r="L2984" s="18">
        <f>IF(B2984="","",MONTH(B2984))</f>
        <v/>
      </c>
      <c r="M2984" s="18">
        <f>IF(OR(B2984="",I2984=""),"",I2984-B2984)</f>
        <v/>
      </c>
      <c r="N2984" s="21">
        <f>IF(B2984="","",IF(I2984="",IF(H2984="","",IF(TODAY()&gt;H2984,"Atrasado (em aberto)","Em aberto")),IF(I2984&lt;=H2984,"No prazo","Fora do prazo")))</f>
        <v/>
      </c>
    </row>
    <row r="2985">
      <c r="B2985" s="22" t="n"/>
      <c r="E2985" s="23" t="n"/>
      <c r="F2985" s="24" t="n"/>
      <c r="H2985" s="22" t="n"/>
      <c r="I2985" s="22" t="n"/>
      <c r="J2985" s="21">
        <f>IF(C2985="","",IFERROR(INDEX(Clientes!$B:$B,MATCH(C2985,Clientes!$A:$A,0)),"Cód. não cadastrado"))</f>
        <v/>
      </c>
      <c r="K2985" s="18">
        <f>IF(B2985="","",YEAR(B2985))</f>
        <v/>
      </c>
      <c r="L2985" s="18">
        <f>IF(B2985="","",MONTH(B2985))</f>
        <v/>
      </c>
      <c r="M2985" s="18">
        <f>IF(OR(B2985="",I2985=""),"",I2985-B2985)</f>
        <v/>
      </c>
      <c r="N2985" s="21">
        <f>IF(B2985="","",IF(I2985="",IF(H2985="","",IF(TODAY()&gt;H2985,"Atrasado (em aberto)","Em aberto")),IF(I2985&lt;=H2985,"No prazo","Fora do prazo")))</f>
        <v/>
      </c>
    </row>
    <row r="2986">
      <c r="B2986" s="22" t="n"/>
      <c r="E2986" s="23" t="n"/>
      <c r="F2986" s="24" t="n"/>
      <c r="H2986" s="22" t="n"/>
      <c r="I2986" s="22" t="n"/>
      <c r="J2986" s="21">
        <f>IF(C2986="","",IFERROR(INDEX(Clientes!$B:$B,MATCH(C2986,Clientes!$A:$A,0)),"Cód. não cadastrado"))</f>
        <v/>
      </c>
      <c r="K2986" s="18">
        <f>IF(B2986="","",YEAR(B2986))</f>
        <v/>
      </c>
      <c r="L2986" s="18">
        <f>IF(B2986="","",MONTH(B2986))</f>
        <v/>
      </c>
      <c r="M2986" s="18">
        <f>IF(OR(B2986="",I2986=""),"",I2986-B2986)</f>
        <v/>
      </c>
      <c r="N2986" s="21">
        <f>IF(B2986="","",IF(I2986="",IF(H2986="","",IF(TODAY()&gt;H2986,"Atrasado (em aberto)","Em aberto")),IF(I2986&lt;=H2986,"No prazo","Fora do prazo")))</f>
        <v/>
      </c>
    </row>
    <row r="2987">
      <c r="B2987" s="22" t="n"/>
      <c r="E2987" s="23" t="n"/>
      <c r="F2987" s="24" t="n"/>
      <c r="H2987" s="22" t="n"/>
      <c r="I2987" s="22" t="n"/>
      <c r="J2987" s="21">
        <f>IF(C2987="","",IFERROR(INDEX(Clientes!$B:$B,MATCH(C2987,Clientes!$A:$A,0)),"Cód. não cadastrado"))</f>
        <v/>
      </c>
      <c r="K2987" s="18">
        <f>IF(B2987="","",YEAR(B2987))</f>
        <v/>
      </c>
      <c r="L2987" s="18">
        <f>IF(B2987="","",MONTH(B2987))</f>
        <v/>
      </c>
      <c r="M2987" s="18">
        <f>IF(OR(B2987="",I2987=""),"",I2987-B2987)</f>
        <v/>
      </c>
      <c r="N2987" s="21">
        <f>IF(B2987="","",IF(I2987="",IF(H2987="","",IF(TODAY()&gt;H2987,"Atrasado (em aberto)","Em aberto")),IF(I2987&lt;=H2987,"No prazo","Fora do prazo")))</f>
        <v/>
      </c>
    </row>
    <row r="2988">
      <c r="B2988" s="22" t="n"/>
      <c r="E2988" s="23" t="n"/>
      <c r="F2988" s="24" t="n"/>
      <c r="H2988" s="22" t="n"/>
      <c r="I2988" s="22" t="n"/>
      <c r="J2988" s="21">
        <f>IF(C2988="","",IFERROR(INDEX(Clientes!$B:$B,MATCH(C2988,Clientes!$A:$A,0)),"Cód. não cadastrado"))</f>
        <v/>
      </c>
      <c r="K2988" s="18">
        <f>IF(B2988="","",YEAR(B2988))</f>
        <v/>
      </c>
      <c r="L2988" s="18">
        <f>IF(B2988="","",MONTH(B2988))</f>
        <v/>
      </c>
      <c r="M2988" s="18">
        <f>IF(OR(B2988="",I2988=""),"",I2988-B2988)</f>
        <v/>
      </c>
      <c r="N2988" s="21">
        <f>IF(B2988="","",IF(I2988="",IF(H2988="","",IF(TODAY()&gt;H2988,"Atrasado (em aberto)","Em aberto")),IF(I2988&lt;=H2988,"No prazo","Fora do prazo")))</f>
        <v/>
      </c>
    </row>
    <row r="2989">
      <c r="B2989" s="22" t="n"/>
      <c r="E2989" s="23" t="n"/>
      <c r="F2989" s="24" t="n"/>
      <c r="H2989" s="22" t="n"/>
      <c r="I2989" s="22" t="n"/>
      <c r="J2989" s="21">
        <f>IF(C2989="","",IFERROR(INDEX(Clientes!$B:$B,MATCH(C2989,Clientes!$A:$A,0)),"Cód. não cadastrado"))</f>
        <v/>
      </c>
      <c r="K2989" s="18">
        <f>IF(B2989="","",YEAR(B2989))</f>
        <v/>
      </c>
      <c r="L2989" s="18">
        <f>IF(B2989="","",MONTH(B2989))</f>
        <v/>
      </c>
      <c r="M2989" s="18">
        <f>IF(OR(B2989="",I2989=""),"",I2989-B2989)</f>
        <v/>
      </c>
      <c r="N2989" s="21">
        <f>IF(B2989="","",IF(I2989="",IF(H2989="","",IF(TODAY()&gt;H2989,"Atrasado (em aberto)","Em aberto")),IF(I2989&lt;=H2989,"No prazo","Fora do prazo")))</f>
        <v/>
      </c>
    </row>
    <row r="2990">
      <c r="B2990" s="22" t="n"/>
      <c r="E2990" s="23" t="n"/>
      <c r="F2990" s="24" t="n"/>
      <c r="H2990" s="22" t="n"/>
      <c r="I2990" s="22" t="n"/>
      <c r="J2990" s="21">
        <f>IF(C2990="","",IFERROR(INDEX(Clientes!$B:$B,MATCH(C2990,Clientes!$A:$A,0)),"Cód. não cadastrado"))</f>
        <v/>
      </c>
      <c r="K2990" s="18">
        <f>IF(B2990="","",YEAR(B2990))</f>
        <v/>
      </c>
      <c r="L2990" s="18">
        <f>IF(B2990="","",MONTH(B2990))</f>
        <v/>
      </c>
      <c r="M2990" s="18">
        <f>IF(OR(B2990="",I2990=""),"",I2990-B2990)</f>
        <v/>
      </c>
      <c r="N2990" s="21">
        <f>IF(B2990="","",IF(I2990="",IF(H2990="","",IF(TODAY()&gt;H2990,"Atrasado (em aberto)","Em aberto")),IF(I2990&lt;=H2990,"No prazo","Fora do prazo")))</f>
        <v/>
      </c>
    </row>
    <row r="2991">
      <c r="B2991" s="22" t="n"/>
      <c r="E2991" s="23" t="n"/>
      <c r="F2991" s="24" t="n"/>
      <c r="H2991" s="22" t="n"/>
      <c r="I2991" s="22" t="n"/>
      <c r="J2991" s="21">
        <f>IF(C2991="","",IFERROR(INDEX(Clientes!$B:$B,MATCH(C2991,Clientes!$A:$A,0)),"Cód. não cadastrado"))</f>
        <v/>
      </c>
      <c r="K2991" s="18">
        <f>IF(B2991="","",YEAR(B2991))</f>
        <v/>
      </c>
      <c r="L2991" s="18">
        <f>IF(B2991="","",MONTH(B2991))</f>
        <v/>
      </c>
      <c r="M2991" s="18">
        <f>IF(OR(B2991="",I2991=""),"",I2991-B2991)</f>
        <v/>
      </c>
      <c r="N2991" s="21">
        <f>IF(B2991="","",IF(I2991="",IF(H2991="","",IF(TODAY()&gt;H2991,"Atrasado (em aberto)","Em aberto")),IF(I2991&lt;=H2991,"No prazo","Fora do prazo")))</f>
        <v/>
      </c>
    </row>
    <row r="2992">
      <c r="B2992" s="22" t="n"/>
      <c r="E2992" s="23" t="n"/>
      <c r="F2992" s="24" t="n"/>
      <c r="H2992" s="22" t="n"/>
      <c r="I2992" s="22" t="n"/>
      <c r="J2992" s="21">
        <f>IF(C2992="","",IFERROR(INDEX(Clientes!$B:$B,MATCH(C2992,Clientes!$A:$A,0)),"Cód. não cadastrado"))</f>
        <v/>
      </c>
      <c r="K2992" s="18">
        <f>IF(B2992="","",YEAR(B2992))</f>
        <v/>
      </c>
      <c r="L2992" s="18">
        <f>IF(B2992="","",MONTH(B2992))</f>
        <v/>
      </c>
      <c r="M2992" s="18">
        <f>IF(OR(B2992="",I2992=""),"",I2992-B2992)</f>
        <v/>
      </c>
      <c r="N2992" s="21">
        <f>IF(B2992="","",IF(I2992="",IF(H2992="","",IF(TODAY()&gt;H2992,"Atrasado (em aberto)","Em aberto")),IF(I2992&lt;=H2992,"No prazo","Fora do prazo")))</f>
        <v/>
      </c>
    </row>
    <row r="2993">
      <c r="B2993" s="22" t="n"/>
      <c r="E2993" s="23" t="n"/>
      <c r="F2993" s="24" t="n"/>
      <c r="H2993" s="22" t="n"/>
      <c r="I2993" s="22" t="n"/>
      <c r="J2993" s="21">
        <f>IF(C2993="","",IFERROR(INDEX(Clientes!$B:$B,MATCH(C2993,Clientes!$A:$A,0)),"Cód. não cadastrado"))</f>
        <v/>
      </c>
      <c r="K2993" s="18">
        <f>IF(B2993="","",YEAR(B2993))</f>
        <v/>
      </c>
      <c r="L2993" s="18">
        <f>IF(B2993="","",MONTH(B2993))</f>
        <v/>
      </c>
      <c r="M2993" s="18">
        <f>IF(OR(B2993="",I2993=""),"",I2993-B2993)</f>
        <v/>
      </c>
      <c r="N2993" s="21">
        <f>IF(B2993="","",IF(I2993="",IF(H2993="","",IF(TODAY()&gt;H2993,"Atrasado (em aberto)","Em aberto")),IF(I2993&lt;=H2993,"No prazo","Fora do prazo")))</f>
        <v/>
      </c>
    </row>
    <row r="2994">
      <c r="B2994" s="22" t="n"/>
      <c r="E2994" s="23" t="n"/>
      <c r="F2994" s="24" t="n"/>
      <c r="H2994" s="22" t="n"/>
      <c r="I2994" s="22" t="n"/>
      <c r="J2994" s="21">
        <f>IF(C2994="","",IFERROR(INDEX(Clientes!$B:$B,MATCH(C2994,Clientes!$A:$A,0)),"Cód. não cadastrado"))</f>
        <v/>
      </c>
      <c r="K2994" s="18">
        <f>IF(B2994="","",YEAR(B2994))</f>
        <v/>
      </c>
      <c r="L2994" s="18">
        <f>IF(B2994="","",MONTH(B2994))</f>
        <v/>
      </c>
      <c r="M2994" s="18">
        <f>IF(OR(B2994="",I2994=""),"",I2994-B2994)</f>
        <v/>
      </c>
      <c r="N2994" s="21">
        <f>IF(B2994="","",IF(I2994="",IF(H2994="","",IF(TODAY()&gt;H2994,"Atrasado (em aberto)","Em aberto")),IF(I2994&lt;=H2994,"No prazo","Fora do prazo")))</f>
        <v/>
      </c>
    </row>
    <row r="2995">
      <c r="B2995" s="22" t="n"/>
      <c r="E2995" s="23" t="n"/>
      <c r="F2995" s="24" t="n"/>
      <c r="H2995" s="22" t="n"/>
      <c r="I2995" s="22" t="n"/>
      <c r="J2995" s="21">
        <f>IF(C2995="","",IFERROR(INDEX(Clientes!$B:$B,MATCH(C2995,Clientes!$A:$A,0)),"Cód. não cadastrado"))</f>
        <v/>
      </c>
      <c r="K2995" s="18">
        <f>IF(B2995="","",YEAR(B2995))</f>
        <v/>
      </c>
      <c r="L2995" s="18">
        <f>IF(B2995="","",MONTH(B2995))</f>
        <v/>
      </c>
      <c r="M2995" s="18">
        <f>IF(OR(B2995="",I2995=""),"",I2995-B2995)</f>
        <v/>
      </c>
      <c r="N2995" s="21">
        <f>IF(B2995="","",IF(I2995="",IF(H2995="","",IF(TODAY()&gt;H2995,"Atrasado (em aberto)","Em aberto")),IF(I2995&lt;=H2995,"No prazo","Fora do prazo")))</f>
        <v/>
      </c>
    </row>
    <row r="2996">
      <c r="B2996" s="22" t="n"/>
      <c r="E2996" s="23" t="n"/>
      <c r="F2996" s="24" t="n"/>
      <c r="H2996" s="22" t="n"/>
      <c r="I2996" s="22" t="n"/>
      <c r="J2996" s="21">
        <f>IF(C2996="","",IFERROR(INDEX(Clientes!$B:$B,MATCH(C2996,Clientes!$A:$A,0)),"Cód. não cadastrado"))</f>
        <v/>
      </c>
      <c r="K2996" s="18">
        <f>IF(B2996="","",YEAR(B2996))</f>
        <v/>
      </c>
      <c r="L2996" s="18">
        <f>IF(B2996="","",MONTH(B2996))</f>
        <v/>
      </c>
      <c r="M2996" s="18">
        <f>IF(OR(B2996="",I2996=""),"",I2996-B2996)</f>
        <v/>
      </c>
      <c r="N2996" s="21">
        <f>IF(B2996="","",IF(I2996="",IF(H2996="","",IF(TODAY()&gt;H2996,"Atrasado (em aberto)","Em aberto")),IF(I2996&lt;=H2996,"No prazo","Fora do prazo")))</f>
        <v/>
      </c>
    </row>
    <row r="2997">
      <c r="B2997" s="22" t="n"/>
      <c r="E2997" s="23" t="n"/>
      <c r="F2997" s="24" t="n"/>
      <c r="H2997" s="22" t="n"/>
      <c r="I2997" s="22" t="n"/>
      <c r="J2997" s="21">
        <f>IF(C2997="","",IFERROR(INDEX(Clientes!$B:$B,MATCH(C2997,Clientes!$A:$A,0)),"Cód. não cadastrado"))</f>
        <v/>
      </c>
      <c r="K2997" s="18">
        <f>IF(B2997="","",YEAR(B2997))</f>
        <v/>
      </c>
      <c r="L2997" s="18">
        <f>IF(B2997="","",MONTH(B2997))</f>
        <v/>
      </c>
      <c r="M2997" s="18">
        <f>IF(OR(B2997="",I2997=""),"",I2997-B2997)</f>
        <v/>
      </c>
      <c r="N2997" s="21">
        <f>IF(B2997="","",IF(I2997="",IF(H2997="","",IF(TODAY()&gt;H2997,"Atrasado (em aberto)","Em aberto")),IF(I2997&lt;=H2997,"No prazo","Fora do prazo")))</f>
        <v/>
      </c>
    </row>
    <row r="2998">
      <c r="B2998" s="22" t="n"/>
      <c r="E2998" s="23" t="n"/>
      <c r="F2998" s="24" t="n"/>
      <c r="H2998" s="22" t="n"/>
      <c r="I2998" s="22" t="n"/>
      <c r="J2998" s="21">
        <f>IF(C2998="","",IFERROR(INDEX(Clientes!$B:$B,MATCH(C2998,Clientes!$A:$A,0)),"Cód. não cadastrado"))</f>
        <v/>
      </c>
      <c r="K2998" s="18">
        <f>IF(B2998="","",YEAR(B2998))</f>
        <v/>
      </c>
      <c r="L2998" s="18">
        <f>IF(B2998="","",MONTH(B2998))</f>
        <v/>
      </c>
      <c r="M2998" s="18">
        <f>IF(OR(B2998="",I2998=""),"",I2998-B2998)</f>
        <v/>
      </c>
      <c r="N2998" s="21">
        <f>IF(B2998="","",IF(I2998="",IF(H2998="","",IF(TODAY()&gt;H2998,"Atrasado (em aberto)","Em aberto")),IF(I2998&lt;=H2998,"No prazo","Fora do prazo")))</f>
        <v/>
      </c>
    </row>
    <row r="2999">
      <c r="B2999" s="22" t="n"/>
      <c r="E2999" s="23" t="n"/>
      <c r="F2999" s="24" t="n"/>
      <c r="H2999" s="22" t="n"/>
      <c r="I2999" s="22" t="n"/>
      <c r="J2999" s="21">
        <f>IF(C2999="","",IFERROR(INDEX(Clientes!$B:$B,MATCH(C2999,Clientes!$A:$A,0)),"Cód. não cadastrado"))</f>
        <v/>
      </c>
      <c r="K2999" s="18">
        <f>IF(B2999="","",YEAR(B2999))</f>
        <v/>
      </c>
      <c r="L2999" s="18">
        <f>IF(B2999="","",MONTH(B2999))</f>
        <v/>
      </c>
      <c r="M2999" s="18">
        <f>IF(OR(B2999="",I2999=""),"",I2999-B2999)</f>
        <v/>
      </c>
      <c r="N2999" s="21">
        <f>IF(B2999="","",IF(I2999="",IF(H2999="","",IF(TODAY()&gt;H2999,"Atrasado (em aberto)","Em aberto")),IF(I2999&lt;=H2999,"No prazo","Fora do prazo")))</f>
        <v/>
      </c>
    </row>
    <row r="3000">
      <c r="B3000" s="22" t="n"/>
      <c r="E3000" s="23" t="n"/>
      <c r="F3000" s="24" t="n"/>
      <c r="H3000" s="22" t="n"/>
      <c r="I3000" s="22" t="n"/>
      <c r="J3000" s="21">
        <f>IF(C3000="","",IFERROR(INDEX(Clientes!$B:$B,MATCH(C3000,Clientes!$A:$A,0)),"Cód. não cadastrado"))</f>
        <v/>
      </c>
      <c r="K3000" s="18">
        <f>IF(B3000="","",YEAR(B3000))</f>
        <v/>
      </c>
      <c r="L3000" s="18">
        <f>IF(B3000="","",MONTH(B3000))</f>
        <v/>
      </c>
      <c r="M3000" s="18">
        <f>IF(OR(B3000="",I3000=""),"",I3000-B3000)</f>
        <v/>
      </c>
      <c r="N3000" s="21">
        <f>IF(B3000="","",IF(I3000="",IF(H3000="","",IF(TODAY()&gt;H3000,"Atrasado (em aberto)","Em aberto")),IF(I3000&lt;=H3000,"No prazo","Fora do prazo")))</f>
        <v/>
      </c>
    </row>
    <row r="3001">
      <c r="B3001" s="22" t="n"/>
      <c r="E3001" s="23" t="n"/>
      <c r="F3001" s="24" t="n"/>
      <c r="H3001" s="22" t="n"/>
      <c r="I3001" s="22" t="n"/>
      <c r="J3001" s="21">
        <f>IF(C3001="","",IFERROR(INDEX(Clientes!$B:$B,MATCH(C3001,Clientes!$A:$A,0)),"Cód. não cadastrado"))</f>
        <v/>
      </c>
      <c r="K3001" s="18">
        <f>IF(B3001="","",YEAR(B3001))</f>
        <v/>
      </c>
      <c r="L3001" s="18">
        <f>IF(B3001="","",MONTH(B3001))</f>
        <v/>
      </c>
      <c r="M3001" s="18">
        <f>IF(OR(B3001="",I3001=""),"",I3001-B3001)</f>
        <v/>
      </c>
      <c r="N3001" s="21">
        <f>IF(B3001="","",IF(I3001="",IF(H3001="","",IF(TODAY()&gt;H3001,"Atrasado (em aberto)","Em aberto")),IF(I3001&lt;=H3001,"No prazo","Fora do prazo")))</f>
        <v/>
      </c>
    </row>
  </sheetData>
  <autoFilter ref="A1:N1"/>
  <conditionalFormatting sqref="N2:N3001">
    <cfRule type="expression" priority="1" dxfId="0">
      <formula>N2="Fora do prazo"</formula>
    </cfRule>
    <cfRule type="expression" priority="2" dxfId="0">
      <formula>N2="Atrasado (em aberto)"</formula>
    </cfRule>
    <cfRule type="expression" priority="3" dxfId="1">
      <formula>N2="No prazo"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2" customWidth="1" min="4" max="4"/>
    <col width="12" customWidth="1" min="5" max="5"/>
    <col width="30" customWidth="1" min="6" max="6"/>
    <col width="40" customWidth="1" min="7" max="7"/>
    <col width="40" customWidth="1" min="8" max="8"/>
    <col width="15" customWidth="1" min="9" max="9"/>
    <col width="19" customWidth="1" min="10" max="10"/>
    <col width="18" customWidth="1" min="11" max="11"/>
    <col width="22" customWidth="1" min="12" max="12"/>
  </cols>
  <sheetData>
    <row r="1" ht="34" customHeight="1">
      <c r="A1" s="16" t="inlineStr">
        <is>
          <t>Mês ref.</t>
        </is>
      </c>
      <c r="B1" s="16" t="inlineStr">
        <is>
          <t>Cód. Cliente</t>
        </is>
      </c>
      <c r="C1" s="16" t="inlineStr">
        <is>
          <t>Cliente</t>
        </is>
      </c>
      <c r="D1" s="16" t="inlineStr">
        <is>
          <t>Compra prevista em</t>
        </is>
      </c>
      <c r="E1" s="16" t="inlineStr">
        <is>
          <t>Situação</t>
        </is>
      </c>
      <c r="F1" s="16" t="inlineStr">
        <is>
          <t>Motivo</t>
        </is>
      </c>
      <c r="G1" s="16" t="inlineStr">
        <is>
          <t>Detalhe do motivo</t>
        </is>
      </c>
      <c r="H1" s="16" t="inlineStr">
        <is>
          <t>Ação combinada</t>
        </is>
      </c>
      <c r="I1" s="16" t="inlineStr">
        <is>
          <t>Responsável</t>
        </is>
      </c>
      <c r="J1" s="16" t="inlineStr">
        <is>
          <t>Data de retorno</t>
        </is>
      </c>
      <c r="K1" s="16" t="inlineStr">
        <is>
          <t>Status da ação</t>
        </is>
      </c>
      <c r="L1" s="16" t="inlineStr">
        <is>
          <t>Chance de recompra</t>
        </is>
      </c>
    </row>
    <row r="2">
      <c r="A2" s="14" t="n"/>
      <c r="D2" s="22" t="n"/>
      <c r="J2" s="22" t="n"/>
    </row>
    <row r="3">
      <c r="A3" s="14" t="n"/>
      <c r="D3" s="22" t="n"/>
      <c r="J3" s="22" t="n"/>
    </row>
    <row r="4">
      <c r="A4" s="14" t="n"/>
      <c r="D4" s="22" t="n"/>
      <c r="J4" s="22" t="n"/>
    </row>
    <row r="5">
      <c r="A5" s="14" t="n"/>
      <c r="D5" s="22" t="n"/>
      <c r="J5" s="22" t="n"/>
    </row>
    <row r="6">
      <c r="A6" s="14" t="n"/>
      <c r="D6" s="22" t="n"/>
      <c r="J6" s="22" t="n"/>
    </row>
    <row r="7">
      <c r="A7" s="14" t="n"/>
      <c r="D7" s="22" t="n"/>
      <c r="J7" s="22" t="n"/>
    </row>
    <row r="8">
      <c r="A8" s="14" t="n"/>
      <c r="D8" s="22" t="n"/>
      <c r="J8" s="22" t="n"/>
    </row>
    <row r="9">
      <c r="A9" s="14" t="n"/>
      <c r="D9" s="22" t="n"/>
      <c r="J9" s="22" t="n"/>
    </row>
    <row r="10">
      <c r="A10" s="14" t="n"/>
      <c r="D10" s="22" t="n"/>
      <c r="J10" s="22" t="n"/>
    </row>
    <row r="11">
      <c r="A11" s="14" t="n"/>
      <c r="D11" s="22" t="n"/>
      <c r="J11" s="22" t="n"/>
    </row>
    <row r="12">
      <c r="A12" s="14" t="n"/>
      <c r="D12" s="22" t="n"/>
      <c r="J12" s="22" t="n"/>
    </row>
    <row r="13">
      <c r="A13" s="14" t="n"/>
      <c r="D13" s="22" t="n"/>
      <c r="J13" s="22" t="n"/>
    </row>
    <row r="14">
      <c r="A14" s="14" t="n"/>
      <c r="D14" s="22" t="n"/>
      <c r="J14" s="22" t="n"/>
    </row>
    <row r="15">
      <c r="A15" s="14" t="n"/>
      <c r="D15" s="22" t="n"/>
      <c r="J15" s="22" t="n"/>
    </row>
    <row r="16">
      <c r="A16" s="14" t="n"/>
      <c r="D16" s="22" t="n"/>
      <c r="J16" s="22" t="n"/>
    </row>
    <row r="17">
      <c r="A17" s="14" t="n"/>
      <c r="D17" s="22" t="n"/>
      <c r="J17" s="22" t="n"/>
    </row>
    <row r="18">
      <c r="A18" s="14" t="n"/>
      <c r="D18" s="22" t="n"/>
      <c r="J18" s="22" t="n"/>
    </row>
    <row r="19">
      <c r="A19" s="14" t="n"/>
      <c r="D19" s="22" t="n"/>
      <c r="J19" s="22" t="n"/>
    </row>
    <row r="20">
      <c r="A20" s="14" t="n"/>
      <c r="D20" s="22" t="n"/>
      <c r="J20" s="22" t="n"/>
    </row>
    <row r="21">
      <c r="A21" s="14" t="n"/>
      <c r="D21" s="22" t="n"/>
      <c r="J21" s="22" t="n"/>
    </row>
    <row r="22">
      <c r="A22" s="14" t="n"/>
      <c r="D22" s="22" t="n"/>
      <c r="J22" s="22" t="n"/>
    </row>
    <row r="23">
      <c r="A23" s="14" t="n"/>
      <c r="D23" s="22" t="n"/>
      <c r="J23" s="22" t="n"/>
    </row>
    <row r="24">
      <c r="A24" s="14" t="n"/>
      <c r="D24" s="22" t="n"/>
      <c r="J24" s="22" t="n"/>
    </row>
    <row r="25">
      <c r="A25" s="14" t="n"/>
      <c r="D25" s="22" t="n"/>
      <c r="J25" s="22" t="n"/>
    </row>
    <row r="26">
      <c r="A26" s="14" t="n"/>
      <c r="D26" s="22" t="n"/>
      <c r="J26" s="22" t="n"/>
    </row>
    <row r="27">
      <c r="A27" s="14" t="n"/>
      <c r="D27" s="22" t="n"/>
      <c r="J27" s="22" t="n"/>
    </row>
    <row r="28">
      <c r="A28" s="14" t="n"/>
      <c r="D28" s="22" t="n"/>
      <c r="J28" s="22" t="n"/>
    </row>
    <row r="29">
      <c r="A29" s="14" t="n"/>
      <c r="D29" s="22" t="n"/>
      <c r="J29" s="22" t="n"/>
    </row>
    <row r="30">
      <c r="A30" s="14" t="n"/>
      <c r="D30" s="22" t="n"/>
      <c r="J30" s="22" t="n"/>
    </row>
    <row r="31">
      <c r="A31" s="14" t="n"/>
      <c r="D31" s="22" t="n"/>
      <c r="J31" s="22" t="n"/>
    </row>
    <row r="32">
      <c r="A32" s="14" t="n"/>
      <c r="D32" s="22" t="n"/>
      <c r="J32" s="22" t="n"/>
    </row>
    <row r="33">
      <c r="A33" s="14" t="n"/>
      <c r="D33" s="22" t="n"/>
      <c r="J33" s="22" t="n"/>
    </row>
    <row r="34">
      <c r="A34" s="14" t="n"/>
      <c r="D34" s="22" t="n"/>
      <c r="J34" s="22" t="n"/>
    </row>
    <row r="35">
      <c r="A35" s="14" t="n"/>
      <c r="D35" s="22" t="n"/>
      <c r="J35" s="22" t="n"/>
    </row>
    <row r="36">
      <c r="A36" s="14" t="n"/>
      <c r="D36" s="22" t="n"/>
      <c r="J36" s="22" t="n"/>
    </row>
    <row r="37">
      <c r="A37" s="14" t="n"/>
      <c r="D37" s="22" t="n"/>
      <c r="J37" s="22" t="n"/>
    </row>
    <row r="38">
      <c r="A38" s="14" t="n"/>
      <c r="D38" s="22" t="n"/>
      <c r="J38" s="22" t="n"/>
    </row>
    <row r="39">
      <c r="A39" s="14" t="n"/>
      <c r="D39" s="22" t="n"/>
      <c r="J39" s="22" t="n"/>
    </row>
    <row r="40">
      <c r="A40" s="14" t="n"/>
      <c r="D40" s="22" t="n"/>
      <c r="J40" s="22" t="n"/>
    </row>
    <row r="41">
      <c r="A41" s="14" t="n"/>
      <c r="D41" s="22" t="n"/>
      <c r="J41" s="22" t="n"/>
    </row>
    <row r="42">
      <c r="A42" s="14" t="n"/>
      <c r="D42" s="22" t="n"/>
      <c r="J42" s="22" t="n"/>
    </row>
    <row r="43">
      <c r="A43" s="14" t="n"/>
      <c r="D43" s="22" t="n"/>
      <c r="J43" s="22" t="n"/>
    </row>
    <row r="44">
      <c r="A44" s="14" t="n"/>
      <c r="D44" s="22" t="n"/>
      <c r="J44" s="22" t="n"/>
    </row>
    <row r="45">
      <c r="A45" s="14" t="n"/>
      <c r="D45" s="22" t="n"/>
      <c r="J45" s="22" t="n"/>
    </row>
    <row r="46">
      <c r="A46" s="14" t="n"/>
      <c r="D46" s="22" t="n"/>
      <c r="J46" s="22" t="n"/>
    </row>
    <row r="47">
      <c r="A47" s="14" t="n"/>
      <c r="D47" s="22" t="n"/>
      <c r="J47" s="22" t="n"/>
    </row>
    <row r="48">
      <c r="A48" s="14" t="n"/>
      <c r="D48" s="22" t="n"/>
      <c r="J48" s="22" t="n"/>
    </row>
    <row r="49">
      <c r="A49" s="14" t="n"/>
      <c r="D49" s="22" t="n"/>
      <c r="J49" s="22" t="n"/>
    </row>
    <row r="50">
      <c r="A50" s="14" t="n"/>
      <c r="D50" s="22" t="n"/>
      <c r="J50" s="22" t="n"/>
    </row>
    <row r="51">
      <c r="A51" s="14" t="n"/>
      <c r="D51" s="22" t="n"/>
      <c r="J51" s="22" t="n"/>
    </row>
    <row r="52">
      <c r="A52" s="14" t="n"/>
      <c r="D52" s="22" t="n"/>
      <c r="J52" s="22" t="n"/>
    </row>
    <row r="53">
      <c r="A53" s="14" t="n"/>
      <c r="D53" s="22" t="n"/>
      <c r="J53" s="22" t="n"/>
    </row>
    <row r="54">
      <c r="A54" s="14" t="n"/>
      <c r="D54" s="22" t="n"/>
      <c r="J54" s="22" t="n"/>
    </row>
    <row r="55">
      <c r="A55" s="14" t="n"/>
      <c r="D55" s="22" t="n"/>
      <c r="J55" s="22" t="n"/>
    </row>
    <row r="56">
      <c r="A56" s="14" t="n"/>
      <c r="D56" s="22" t="n"/>
      <c r="J56" s="22" t="n"/>
    </row>
    <row r="57">
      <c r="A57" s="14" t="n"/>
      <c r="D57" s="22" t="n"/>
      <c r="J57" s="22" t="n"/>
    </row>
    <row r="58">
      <c r="A58" s="14" t="n"/>
      <c r="D58" s="22" t="n"/>
      <c r="J58" s="22" t="n"/>
    </row>
    <row r="59">
      <c r="A59" s="14" t="n"/>
      <c r="D59" s="22" t="n"/>
      <c r="J59" s="22" t="n"/>
    </row>
    <row r="60">
      <c r="A60" s="14" t="n"/>
      <c r="D60" s="22" t="n"/>
      <c r="J60" s="22" t="n"/>
    </row>
    <row r="61">
      <c r="A61" s="14" t="n"/>
      <c r="D61" s="22" t="n"/>
      <c r="J61" s="22" t="n"/>
    </row>
    <row r="62">
      <c r="A62" s="14" t="n"/>
      <c r="D62" s="22" t="n"/>
      <c r="J62" s="22" t="n"/>
    </row>
    <row r="63">
      <c r="A63" s="14" t="n"/>
      <c r="D63" s="22" t="n"/>
      <c r="J63" s="22" t="n"/>
    </row>
    <row r="64">
      <c r="A64" s="14" t="n"/>
      <c r="D64" s="22" t="n"/>
      <c r="J64" s="22" t="n"/>
    </row>
    <row r="65">
      <c r="A65" s="14" t="n"/>
      <c r="D65" s="22" t="n"/>
      <c r="J65" s="22" t="n"/>
    </row>
    <row r="66">
      <c r="A66" s="14" t="n"/>
      <c r="D66" s="22" t="n"/>
      <c r="J66" s="22" t="n"/>
    </row>
    <row r="67">
      <c r="A67" s="14" t="n"/>
      <c r="D67" s="22" t="n"/>
      <c r="J67" s="22" t="n"/>
    </row>
    <row r="68">
      <c r="A68" s="14" t="n"/>
      <c r="D68" s="22" t="n"/>
      <c r="J68" s="22" t="n"/>
    </row>
    <row r="69">
      <c r="A69" s="14" t="n"/>
      <c r="D69" s="22" t="n"/>
      <c r="J69" s="22" t="n"/>
    </row>
    <row r="70">
      <c r="A70" s="14" t="n"/>
      <c r="D70" s="22" t="n"/>
      <c r="J70" s="22" t="n"/>
    </row>
    <row r="71">
      <c r="A71" s="14" t="n"/>
      <c r="D71" s="22" t="n"/>
      <c r="J71" s="22" t="n"/>
    </row>
    <row r="72">
      <c r="A72" s="14" t="n"/>
      <c r="D72" s="22" t="n"/>
      <c r="J72" s="22" t="n"/>
    </row>
    <row r="73">
      <c r="A73" s="14" t="n"/>
      <c r="D73" s="22" t="n"/>
      <c r="J73" s="22" t="n"/>
    </row>
    <row r="74">
      <c r="A74" s="14" t="n"/>
      <c r="D74" s="22" t="n"/>
      <c r="J74" s="22" t="n"/>
    </row>
    <row r="75">
      <c r="A75" s="14" t="n"/>
      <c r="D75" s="22" t="n"/>
      <c r="J75" s="22" t="n"/>
    </row>
    <row r="76">
      <c r="A76" s="14" t="n"/>
      <c r="D76" s="22" t="n"/>
      <c r="J76" s="22" t="n"/>
    </row>
    <row r="77">
      <c r="A77" s="14" t="n"/>
      <c r="D77" s="22" t="n"/>
      <c r="J77" s="22" t="n"/>
    </row>
    <row r="78">
      <c r="A78" s="14" t="n"/>
      <c r="D78" s="22" t="n"/>
      <c r="J78" s="22" t="n"/>
    </row>
    <row r="79">
      <c r="A79" s="14" t="n"/>
      <c r="D79" s="22" t="n"/>
      <c r="J79" s="22" t="n"/>
    </row>
    <row r="80">
      <c r="A80" s="14" t="n"/>
      <c r="D80" s="22" t="n"/>
      <c r="J80" s="22" t="n"/>
    </row>
    <row r="81">
      <c r="A81" s="14" t="n"/>
      <c r="D81" s="22" t="n"/>
      <c r="J81" s="22" t="n"/>
    </row>
    <row r="82">
      <c r="A82" s="14" t="n"/>
      <c r="D82" s="22" t="n"/>
      <c r="J82" s="22" t="n"/>
    </row>
    <row r="83">
      <c r="A83" s="14" t="n"/>
      <c r="D83" s="22" t="n"/>
      <c r="J83" s="22" t="n"/>
    </row>
    <row r="84">
      <c r="A84" s="14" t="n"/>
      <c r="D84" s="22" t="n"/>
      <c r="J84" s="22" t="n"/>
    </row>
    <row r="85">
      <c r="A85" s="14" t="n"/>
      <c r="D85" s="22" t="n"/>
      <c r="J85" s="22" t="n"/>
    </row>
    <row r="86">
      <c r="A86" s="14" t="n"/>
      <c r="D86" s="22" t="n"/>
      <c r="J86" s="22" t="n"/>
    </row>
    <row r="87">
      <c r="A87" s="14" t="n"/>
      <c r="D87" s="22" t="n"/>
      <c r="J87" s="22" t="n"/>
    </row>
    <row r="88">
      <c r="A88" s="14" t="n"/>
      <c r="D88" s="22" t="n"/>
      <c r="J88" s="22" t="n"/>
    </row>
    <row r="89">
      <c r="A89" s="14" t="n"/>
      <c r="D89" s="22" t="n"/>
      <c r="J89" s="22" t="n"/>
    </row>
    <row r="90">
      <c r="A90" s="14" t="n"/>
      <c r="D90" s="22" t="n"/>
      <c r="J90" s="22" t="n"/>
    </row>
    <row r="91">
      <c r="A91" s="14" t="n"/>
      <c r="D91" s="22" t="n"/>
      <c r="J91" s="22" t="n"/>
    </row>
    <row r="92">
      <c r="A92" s="14" t="n"/>
      <c r="D92" s="22" t="n"/>
      <c r="J92" s="22" t="n"/>
    </row>
    <row r="93">
      <c r="A93" s="14" t="n"/>
      <c r="D93" s="22" t="n"/>
      <c r="J93" s="22" t="n"/>
    </row>
    <row r="94">
      <c r="A94" s="14" t="n"/>
      <c r="D94" s="22" t="n"/>
      <c r="J94" s="22" t="n"/>
    </row>
    <row r="95">
      <c r="A95" s="14" t="n"/>
      <c r="D95" s="22" t="n"/>
      <c r="J95" s="22" t="n"/>
    </row>
    <row r="96">
      <c r="A96" s="14" t="n"/>
      <c r="D96" s="22" t="n"/>
      <c r="J96" s="22" t="n"/>
    </row>
    <row r="97">
      <c r="A97" s="14" t="n"/>
      <c r="D97" s="22" t="n"/>
      <c r="J97" s="22" t="n"/>
    </row>
    <row r="98">
      <c r="A98" s="14" t="n"/>
      <c r="D98" s="22" t="n"/>
      <c r="J98" s="22" t="n"/>
    </row>
    <row r="99">
      <c r="A99" s="14" t="n"/>
      <c r="D99" s="22" t="n"/>
      <c r="J99" s="22" t="n"/>
    </row>
    <row r="100">
      <c r="A100" s="14" t="n"/>
      <c r="D100" s="22" t="n"/>
      <c r="J100" s="22" t="n"/>
    </row>
    <row r="101">
      <c r="A101" s="14" t="n"/>
      <c r="D101" s="22" t="n"/>
      <c r="J101" s="22" t="n"/>
    </row>
    <row r="102">
      <c r="A102" s="14" t="n"/>
      <c r="D102" s="22" t="n"/>
      <c r="J102" s="22" t="n"/>
    </row>
    <row r="103">
      <c r="A103" s="14" t="n"/>
      <c r="D103" s="22" t="n"/>
      <c r="J103" s="22" t="n"/>
    </row>
    <row r="104">
      <c r="A104" s="14" t="n"/>
      <c r="D104" s="22" t="n"/>
      <c r="J104" s="22" t="n"/>
    </row>
    <row r="105">
      <c r="A105" s="14" t="n"/>
      <c r="D105" s="22" t="n"/>
      <c r="J105" s="22" t="n"/>
    </row>
    <row r="106">
      <c r="A106" s="14" t="n"/>
      <c r="D106" s="22" t="n"/>
      <c r="J106" s="22" t="n"/>
    </row>
    <row r="107">
      <c r="A107" s="14" t="n"/>
      <c r="D107" s="22" t="n"/>
      <c r="J107" s="22" t="n"/>
    </row>
    <row r="108">
      <c r="A108" s="14" t="n"/>
      <c r="D108" s="22" t="n"/>
      <c r="J108" s="22" t="n"/>
    </row>
    <row r="109">
      <c r="A109" s="14" t="n"/>
      <c r="D109" s="22" t="n"/>
      <c r="J109" s="22" t="n"/>
    </row>
    <row r="110">
      <c r="A110" s="14" t="n"/>
      <c r="D110" s="22" t="n"/>
      <c r="J110" s="22" t="n"/>
    </row>
    <row r="111">
      <c r="A111" s="14" t="n"/>
      <c r="D111" s="22" t="n"/>
      <c r="J111" s="22" t="n"/>
    </row>
    <row r="112">
      <c r="A112" s="14" t="n"/>
      <c r="D112" s="22" t="n"/>
      <c r="J112" s="22" t="n"/>
    </row>
    <row r="113">
      <c r="A113" s="14" t="n"/>
      <c r="D113" s="22" t="n"/>
      <c r="J113" s="22" t="n"/>
    </row>
    <row r="114">
      <c r="A114" s="14" t="n"/>
      <c r="D114" s="22" t="n"/>
      <c r="J114" s="22" t="n"/>
    </row>
    <row r="115">
      <c r="A115" s="14" t="n"/>
      <c r="D115" s="22" t="n"/>
      <c r="J115" s="22" t="n"/>
    </row>
    <row r="116">
      <c r="A116" s="14" t="n"/>
      <c r="D116" s="22" t="n"/>
      <c r="J116" s="22" t="n"/>
    </row>
    <row r="117">
      <c r="A117" s="14" t="n"/>
      <c r="D117" s="22" t="n"/>
      <c r="J117" s="22" t="n"/>
    </row>
    <row r="118">
      <c r="A118" s="14" t="n"/>
      <c r="D118" s="22" t="n"/>
      <c r="J118" s="22" t="n"/>
    </row>
    <row r="119">
      <c r="A119" s="14" t="n"/>
      <c r="D119" s="22" t="n"/>
      <c r="J119" s="22" t="n"/>
    </row>
    <row r="120">
      <c r="A120" s="14" t="n"/>
      <c r="D120" s="22" t="n"/>
      <c r="J120" s="22" t="n"/>
    </row>
    <row r="121">
      <c r="A121" s="14" t="n"/>
      <c r="D121" s="22" t="n"/>
      <c r="J121" s="22" t="n"/>
    </row>
    <row r="122">
      <c r="A122" s="14" t="n"/>
      <c r="D122" s="22" t="n"/>
      <c r="J122" s="22" t="n"/>
    </row>
    <row r="123">
      <c r="A123" s="14" t="n"/>
      <c r="D123" s="22" t="n"/>
      <c r="J123" s="22" t="n"/>
    </row>
    <row r="124">
      <c r="A124" s="14" t="n"/>
      <c r="D124" s="22" t="n"/>
      <c r="J124" s="22" t="n"/>
    </row>
    <row r="125">
      <c r="A125" s="14" t="n"/>
      <c r="D125" s="22" t="n"/>
      <c r="J125" s="22" t="n"/>
    </row>
    <row r="126">
      <c r="A126" s="14" t="n"/>
      <c r="D126" s="22" t="n"/>
      <c r="J126" s="22" t="n"/>
    </row>
    <row r="127">
      <c r="A127" s="14" t="n"/>
      <c r="D127" s="22" t="n"/>
      <c r="J127" s="22" t="n"/>
    </row>
    <row r="128">
      <c r="A128" s="14" t="n"/>
      <c r="D128" s="22" t="n"/>
      <c r="J128" s="22" t="n"/>
    </row>
    <row r="129">
      <c r="A129" s="14" t="n"/>
      <c r="D129" s="22" t="n"/>
      <c r="J129" s="22" t="n"/>
    </row>
    <row r="130">
      <c r="A130" s="14" t="n"/>
      <c r="D130" s="22" t="n"/>
      <c r="J130" s="22" t="n"/>
    </row>
    <row r="131">
      <c r="A131" s="14" t="n"/>
      <c r="D131" s="22" t="n"/>
      <c r="J131" s="22" t="n"/>
    </row>
    <row r="132">
      <c r="A132" s="14" t="n"/>
      <c r="D132" s="22" t="n"/>
      <c r="J132" s="22" t="n"/>
    </row>
    <row r="133">
      <c r="A133" s="14" t="n"/>
      <c r="D133" s="22" t="n"/>
      <c r="J133" s="22" t="n"/>
    </row>
    <row r="134">
      <c r="A134" s="14" t="n"/>
      <c r="D134" s="22" t="n"/>
      <c r="J134" s="22" t="n"/>
    </row>
    <row r="135">
      <c r="A135" s="14" t="n"/>
      <c r="D135" s="22" t="n"/>
      <c r="J135" s="22" t="n"/>
    </row>
    <row r="136">
      <c r="A136" s="14" t="n"/>
      <c r="D136" s="22" t="n"/>
      <c r="J136" s="22" t="n"/>
    </row>
    <row r="137">
      <c r="A137" s="14" t="n"/>
      <c r="D137" s="22" t="n"/>
      <c r="J137" s="22" t="n"/>
    </row>
    <row r="138">
      <c r="A138" s="14" t="n"/>
      <c r="D138" s="22" t="n"/>
      <c r="J138" s="22" t="n"/>
    </row>
    <row r="139">
      <c r="A139" s="14" t="n"/>
      <c r="D139" s="22" t="n"/>
      <c r="J139" s="22" t="n"/>
    </row>
    <row r="140">
      <c r="A140" s="14" t="n"/>
      <c r="D140" s="22" t="n"/>
      <c r="J140" s="22" t="n"/>
    </row>
    <row r="141">
      <c r="A141" s="14" t="n"/>
      <c r="D141" s="22" t="n"/>
      <c r="J141" s="22" t="n"/>
    </row>
    <row r="142">
      <c r="A142" s="14" t="n"/>
      <c r="D142" s="22" t="n"/>
      <c r="J142" s="22" t="n"/>
    </row>
    <row r="143">
      <c r="A143" s="14" t="n"/>
      <c r="D143" s="22" t="n"/>
      <c r="J143" s="22" t="n"/>
    </row>
    <row r="144">
      <c r="A144" s="14" t="n"/>
      <c r="D144" s="22" t="n"/>
      <c r="J144" s="22" t="n"/>
    </row>
    <row r="145">
      <c r="A145" s="14" t="n"/>
      <c r="D145" s="22" t="n"/>
      <c r="J145" s="22" t="n"/>
    </row>
    <row r="146">
      <c r="A146" s="14" t="n"/>
      <c r="D146" s="22" t="n"/>
      <c r="J146" s="22" t="n"/>
    </row>
    <row r="147">
      <c r="A147" s="14" t="n"/>
      <c r="D147" s="22" t="n"/>
      <c r="J147" s="22" t="n"/>
    </row>
    <row r="148">
      <c r="A148" s="14" t="n"/>
      <c r="D148" s="22" t="n"/>
      <c r="J148" s="22" t="n"/>
    </row>
    <row r="149">
      <c r="A149" s="14" t="n"/>
      <c r="D149" s="22" t="n"/>
      <c r="J149" s="22" t="n"/>
    </row>
    <row r="150">
      <c r="A150" s="14" t="n"/>
      <c r="D150" s="22" t="n"/>
      <c r="J150" s="22" t="n"/>
    </row>
    <row r="151">
      <c r="A151" s="14" t="n"/>
      <c r="D151" s="22" t="n"/>
      <c r="J151" s="22" t="n"/>
    </row>
    <row r="152">
      <c r="A152" s="14" t="n"/>
      <c r="D152" s="22" t="n"/>
      <c r="J152" s="22" t="n"/>
    </row>
    <row r="153">
      <c r="A153" s="14" t="n"/>
      <c r="D153" s="22" t="n"/>
      <c r="J153" s="22" t="n"/>
    </row>
    <row r="154">
      <c r="A154" s="14" t="n"/>
      <c r="D154" s="22" t="n"/>
      <c r="J154" s="22" t="n"/>
    </row>
    <row r="155">
      <c r="A155" s="14" t="n"/>
      <c r="D155" s="22" t="n"/>
      <c r="J155" s="22" t="n"/>
    </row>
    <row r="156">
      <c r="A156" s="14" t="n"/>
      <c r="D156" s="22" t="n"/>
      <c r="J156" s="22" t="n"/>
    </row>
    <row r="157">
      <c r="A157" s="14" t="n"/>
      <c r="D157" s="22" t="n"/>
      <c r="J157" s="22" t="n"/>
    </row>
    <row r="158">
      <c r="A158" s="14" t="n"/>
      <c r="D158" s="22" t="n"/>
      <c r="J158" s="22" t="n"/>
    </row>
    <row r="159">
      <c r="A159" s="14" t="n"/>
      <c r="D159" s="22" t="n"/>
      <c r="J159" s="22" t="n"/>
    </row>
    <row r="160">
      <c r="A160" s="14" t="n"/>
      <c r="D160" s="22" t="n"/>
      <c r="J160" s="22" t="n"/>
    </row>
    <row r="161">
      <c r="A161" s="14" t="n"/>
      <c r="D161" s="22" t="n"/>
      <c r="J161" s="22" t="n"/>
    </row>
    <row r="162">
      <c r="A162" s="14" t="n"/>
      <c r="D162" s="22" t="n"/>
      <c r="J162" s="22" t="n"/>
    </row>
    <row r="163">
      <c r="A163" s="14" t="n"/>
      <c r="D163" s="22" t="n"/>
      <c r="J163" s="22" t="n"/>
    </row>
    <row r="164">
      <c r="A164" s="14" t="n"/>
      <c r="D164" s="22" t="n"/>
      <c r="J164" s="22" t="n"/>
    </row>
    <row r="165">
      <c r="A165" s="14" t="n"/>
      <c r="D165" s="22" t="n"/>
      <c r="J165" s="22" t="n"/>
    </row>
    <row r="166">
      <c r="A166" s="14" t="n"/>
      <c r="D166" s="22" t="n"/>
      <c r="J166" s="22" t="n"/>
    </row>
    <row r="167">
      <c r="A167" s="14" t="n"/>
      <c r="D167" s="22" t="n"/>
      <c r="J167" s="22" t="n"/>
    </row>
    <row r="168">
      <c r="A168" s="14" t="n"/>
      <c r="D168" s="22" t="n"/>
      <c r="J168" s="22" t="n"/>
    </row>
    <row r="169">
      <c r="A169" s="14" t="n"/>
      <c r="D169" s="22" t="n"/>
      <c r="J169" s="22" t="n"/>
    </row>
    <row r="170">
      <c r="A170" s="14" t="n"/>
      <c r="D170" s="22" t="n"/>
      <c r="J170" s="22" t="n"/>
    </row>
    <row r="171">
      <c r="A171" s="14" t="n"/>
      <c r="D171" s="22" t="n"/>
      <c r="J171" s="22" t="n"/>
    </row>
    <row r="172">
      <c r="A172" s="14" t="n"/>
      <c r="D172" s="22" t="n"/>
      <c r="J172" s="22" t="n"/>
    </row>
    <row r="173">
      <c r="A173" s="14" t="n"/>
      <c r="D173" s="22" t="n"/>
      <c r="J173" s="22" t="n"/>
    </row>
    <row r="174">
      <c r="A174" s="14" t="n"/>
      <c r="D174" s="22" t="n"/>
      <c r="J174" s="22" t="n"/>
    </row>
    <row r="175">
      <c r="A175" s="14" t="n"/>
      <c r="D175" s="22" t="n"/>
      <c r="J175" s="22" t="n"/>
    </row>
    <row r="176">
      <c r="A176" s="14" t="n"/>
      <c r="D176" s="22" t="n"/>
      <c r="J176" s="22" t="n"/>
    </row>
    <row r="177">
      <c r="A177" s="14" t="n"/>
      <c r="D177" s="22" t="n"/>
      <c r="J177" s="22" t="n"/>
    </row>
    <row r="178">
      <c r="A178" s="14" t="n"/>
      <c r="D178" s="22" t="n"/>
      <c r="J178" s="22" t="n"/>
    </row>
    <row r="179">
      <c r="A179" s="14" t="n"/>
      <c r="D179" s="22" t="n"/>
      <c r="J179" s="22" t="n"/>
    </row>
    <row r="180">
      <c r="A180" s="14" t="n"/>
      <c r="D180" s="22" t="n"/>
      <c r="J180" s="22" t="n"/>
    </row>
    <row r="181">
      <c r="A181" s="14" t="n"/>
      <c r="D181" s="22" t="n"/>
      <c r="J181" s="22" t="n"/>
    </row>
    <row r="182">
      <c r="A182" s="14" t="n"/>
      <c r="D182" s="22" t="n"/>
      <c r="J182" s="22" t="n"/>
    </row>
    <row r="183">
      <c r="A183" s="14" t="n"/>
      <c r="D183" s="22" t="n"/>
      <c r="J183" s="22" t="n"/>
    </row>
    <row r="184">
      <c r="A184" s="14" t="n"/>
      <c r="D184" s="22" t="n"/>
      <c r="J184" s="22" t="n"/>
    </row>
    <row r="185">
      <c r="A185" s="14" t="n"/>
      <c r="D185" s="22" t="n"/>
      <c r="J185" s="22" t="n"/>
    </row>
    <row r="186">
      <c r="A186" s="14" t="n"/>
      <c r="D186" s="22" t="n"/>
      <c r="J186" s="22" t="n"/>
    </row>
    <row r="187">
      <c r="A187" s="14" t="n"/>
      <c r="D187" s="22" t="n"/>
      <c r="J187" s="22" t="n"/>
    </row>
    <row r="188">
      <c r="A188" s="14" t="n"/>
      <c r="D188" s="22" t="n"/>
      <c r="J188" s="22" t="n"/>
    </row>
    <row r="189">
      <c r="A189" s="14" t="n"/>
      <c r="D189" s="22" t="n"/>
      <c r="J189" s="22" t="n"/>
    </row>
    <row r="190">
      <c r="A190" s="14" t="n"/>
      <c r="D190" s="22" t="n"/>
      <c r="J190" s="22" t="n"/>
    </row>
    <row r="191">
      <c r="A191" s="14" t="n"/>
      <c r="D191" s="22" t="n"/>
      <c r="J191" s="22" t="n"/>
    </row>
    <row r="192">
      <c r="A192" s="14" t="n"/>
      <c r="D192" s="22" t="n"/>
      <c r="J192" s="22" t="n"/>
    </row>
    <row r="193">
      <c r="A193" s="14" t="n"/>
      <c r="D193" s="22" t="n"/>
      <c r="J193" s="22" t="n"/>
    </row>
    <row r="194">
      <c r="A194" s="14" t="n"/>
      <c r="D194" s="22" t="n"/>
      <c r="J194" s="22" t="n"/>
    </row>
    <row r="195">
      <c r="A195" s="14" t="n"/>
      <c r="D195" s="22" t="n"/>
      <c r="J195" s="22" t="n"/>
    </row>
    <row r="196">
      <c r="A196" s="14" t="n"/>
      <c r="D196" s="22" t="n"/>
      <c r="J196" s="22" t="n"/>
    </row>
    <row r="197">
      <c r="A197" s="14" t="n"/>
      <c r="D197" s="22" t="n"/>
      <c r="J197" s="22" t="n"/>
    </row>
    <row r="198">
      <c r="A198" s="14" t="n"/>
      <c r="D198" s="22" t="n"/>
      <c r="J198" s="22" t="n"/>
    </row>
    <row r="199">
      <c r="A199" s="14" t="n"/>
      <c r="D199" s="22" t="n"/>
      <c r="J199" s="22" t="n"/>
    </row>
    <row r="200">
      <c r="A200" s="14" t="n"/>
      <c r="D200" s="22" t="n"/>
      <c r="J200" s="22" t="n"/>
    </row>
    <row r="201">
      <c r="A201" s="14" t="n"/>
      <c r="D201" s="22" t="n"/>
      <c r="J201" s="22" t="n"/>
    </row>
    <row r="202">
      <c r="A202" s="14" t="n"/>
      <c r="D202" s="22" t="n"/>
      <c r="J202" s="22" t="n"/>
    </row>
    <row r="203">
      <c r="A203" s="14" t="n"/>
      <c r="D203" s="22" t="n"/>
      <c r="J203" s="22" t="n"/>
    </row>
    <row r="204">
      <c r="A204" s="14" t="n"/>
      <c r="D204" s="22" t="n"/>
      <c r="J204" s="22" t="n"/>
    </row>
    <row r="205">
      <c r="A205" s="14" t="n"/>
      <c r="D205" s="22" t="n"/>
      <c r="J205" s="22" t="n"/>
    </row>
    <row r="206">
      <c r="A206" s="14" t="n"/>
      <c r="D206" s="22" t="n"/>
      <c r="J206" s="22" t="n"/>
    </row>
    <row r="207">
      <c r="A207" s="14" t="n"/>
      <c r="D207" s="22" t="n"/>
      <c r="J207" s="22" t="n"/>
    </row>
    <row r="208">
      <c r="A208" s="14" t="n"/>
      <c r="D208" s="22" t="n"/>
      <c r="J208" s="22" t="n"/>
    </row>
    <row r="209">
      <c r="A209" s="14" t="n"/>
      <c r="D209" s="22" t="n"/>
      <c r="J209" s="22" t="n"/>
    </row>
    <row r="210">
      <c r="A210" s="14" t="n"/>
      <c r="D210" s="22" t="n"/>
      <c r="J210" s="22" t="n"/>
    </row>
    <row r="211">
      <c r="A211" s="14" t="n"/>
      <c r="D211" s="22" t="n"/>
      <c r="J211" s="22" t="n"/>
    </row>
    <row r="212">
      <c r="A212" s="14" t="n"/>
      <c r="D212" s="22" t="n"/>
      <c r="J212" s="22" t="n"/>
    </row>
    <row r="213">
      <c r="A213" s="14" t="n"/>
      <c r="D213" s="22" t="n"/>
      <c r="J213" s="22" t="n"/>
    </row>
    <row r="214">
      <c r="A214" s="14" t="n"/>
      <c r="D214" s="22" t="n"/>
      <c r="J214" s="22" t="n"/>
    </row>
    <row r="215">
      <c r="A215" s="14" t="n"/>
      <c r="D215" s="22" t="n"/>
      <c r="J215" s="22" t="n"/>
    </row>
    <row r="216">
      <c r="A216" s="14" t="n"/>
      <c r="D216" s="22" t="n"/>
      <c r="J216" s="22" t="n"/>
    </row>
    <row r="217">
      <c r="A217" s="14" t="n"/>
      <c r="D217" s="22" t="n"/>
      <c r="J217" s="22" t="n"/>
    </row>
    <row r="218">
      <c r="A218" s="14" t="n"/>
      <c r="D218" s="22" t="n"/>
      <c r="J218" s="22" t="n"/>
    </row>
    <row r="219">
      <c r="A219" s="14" t="n"/>
      <c r="D219" s="22" t="n"/>
      <c r="J219" s="22" t="n"/>
    </row>
    <row r="220">
      <c r="A220" s="14" t="n"/>
      <c r="D220" s="22" t="n"/>
      <c r="J220" s="22" t="n"/>
    </row>
    <row r="221">
      <c r="A221" s="14" t="n"/>
      <c r="D221" s="22" t="n"/>
      <c r="J221" s="22" t="n"/>
    </row>
    <row r="222">
      <c r="A222" s="14" t="n"/>
      <c r="D222" s="22" t="n"/>
      <c r="J222" s="22" t="n"/>
    </row>
    <row r="223">
      <c r="A223" s="14" t="n"/>
      <c r="D223" s="22" t="n"/>
      <c r="J223" s="22" t="n"/>
    </row>
    <row r="224">
      <c r="A224" s="14" t="n"/>
      <c r="D224" s="22" t="n"/>
      <c r="J224" s="22" t="n"/>
    </row>
    <row r="225">
      <c r="A225" s="14" t="n"/>
      <c r="D225" s="22" t="n"/>
      <c r="J225" s="22" t="n"/>
    </row>
    <row r="226">
      <c r="A226" s="14" t="n"/>
      <c r="D226" s="22" t="n"/>
      <c r="J226" s="22" t="n"/>
    </row>
    <row r="227">
      <c r="A227" s="14" t="n"/>
      <c r="D227" s="22" t="n"/>
      <c r="J227" s="22" t="n"/>
    </row>
    <row r="228">
      <c r="A228" s="14" t="n"/>
      <c r="D228" s="22" t="n"/>
      <c r="J228" s="22" t="n"/>
    </row>
    <row r="229">
      <c r="A229" s="14" t="n"/>
      <c r="D229" s="22" t="n"/>
      <c r="J229" s="22" t="n"/>
    </row>
    <row r="230">
      <c r="A230" s="14" t="n"/>
      <c r="D230" s="22" t="n"/>
      <c r="J230" s="22" t="n"/>
    </row>
    <row r="231">
      <c r="A231" s="14" t="n"/>
      <c r="D231" s="22" t="n"/>
      <c r="J231" s="22" t="n"/>
    </row>
    <row r="232">
      <c r="A232" s="14" t="n"/>
      <c r="D232" s="22" t="n"/>
      <c r="J232" s="22" t="n"/>
    </row>
    <row r="233">
      <c r="A233" s="14" t="n"/>
      <c r="D233" s="22" t="n"/>
      <c r="J233" s="22" t="n"/>
    </row>
    <row r="234">
      <c r="A234" s="14" t="n"/>
      <c r="D234" s="22" t="n"/>
      <c r="J234" s="22" t="n"/>
    </row>
    <row r="235">
      <c r="A235" s="14" t="n"/>
      <c r="D235" s="22" t="n"/>
      <c r="J235" s="22" t="n"/>
    </row>
    <row r="236">
      <c r="A236" s="14" t="n"/>
      <c r="D236" s="22" t="n"/>
      <c r="J236" s="22" t="n"/>
    </row>
    <row r="237">
      <c r="A237" s="14" t="n"/>
      <c r="D237" s="22" t="n"/>
      <c r="J237" s="22" t="n"/>
    </row>
    <row r="238">
      <c r="A238" s="14" t="n"/>
      <c r="D238" s="22" t="n"/>
      <c r="J238" s="22" t="n"/>
    </row>
    <row r="239">
      <c r="A239" s="14" t="n"/>
      <c r="D239" s="22" t="n"/>
      <c r="J239" s="22" t="n"/>
    </row>
    <row r="240">
      <c r="A240" s="14" t="n"/>
      <c r="D240" s="22" t="n"/>
      <c r="J240" s="22" t="n"/>
    </row>
    <row r="241">
      <c r="A241" s="14" t="n"/>
      <c r="D241" s="22" t="n"/>
      <c r="J241" s="22" t="n"/>
    </row>
    <row r="242">
      <c r="A242" s="14" t="n"/>
      <c r="D242" s="22" t="n"/>
      <c r="J242" s="22" t="n"/>
    </row>
    <row r="243">
      <c r="A243" s="14" t="n"/>
      <c r="D243" s="22" t="n"/>
      <c r="J243" s="22" t="n"/>
    </row>
    <row r="244">
      <c r="A244" s="14" t="n"/>
      <c r="D244" s="22" t="n"/>
      <c r="J244" s="22" t="n"/>
    </row>
    <row r="245">
      <c r="A245" s="14" t="n"/>
      <c r="D245" s="22" t="n"/>
      <c r="J245" s="22" t="n"/>
    </row>
    <row r="246">
      <c r="A246" s="14" t="n"/>
      <c r="D246" s="22" t="n"/>
      <c r="J246" s="22" t="n"/>
    </row>
    <row r="247">
      <c r="A247" s="14" t="n"/>
      <c r="D247" s="22" t="n"/>
      <c r="J247" s="22" t="n"/>
    </row>
    <row r="248">
      <c r="A248" s="14" t="n"/>
      <c r="D248" s="22" t="n"/>
      <c r="J248" s="22" t="n"/>
    </row>
    <row r="249">
      <c r="A249" s="14" t="n"/>
      <c r="D249" s="22" t="n"/>
      <c r="J249" s="22" t="n"/>
    </row>
    <row r="250">
      <c r="A250" s="14" t="n"/>
      <c r="D250" s="22" t="n"/>
      <c r="J250" s="22" t="n"/>
    </row>
    <row r="251">
      <c r="A251" s="14" t="n"/>
      <c r="D251" s="22" t="n"/>
      <c r="J251" s="22" t="n"/>
    </row>
    <row r="252">
      <c r="A252" s="14" t="n"/>
      <c r="D252" s="22" t="n"/>
      <c r="J252" s="22" t="n"/>
    </row>
    <row r="253">
      <c r="A253" s="14" t="n"/>
      <c r="D253" s="22" t="n"/>
      <c r="J253" s="22" t="n"/>
    </row>
    <row r="254">
      <c r="A254" s="14" t="n"/>
      <c r="D254" s="22" t="n"/>
      <c r="J254" s="22" t="n"/>
    </row>
    <row r="255">
      <c r="A255" s="14" t="n"/>
      <c r="D255" s="22" t="n"/>
      <c r="J255" s="22" t="n"/>
    </row>
    <row r="256">
      <c r="A256" s="14" t="n"/>
      <c r="D256" s="22" t="n"/>
      <c r="J256" s="22" t="n"/>
    </row>
    <row r="257">
      <c r="A257" s="14" t="n"/>
      <c r="D257" s="22" t="n"/>
      <c r="J257" s="22" t="n"/>
    </row>
    <row r="258">
      <c r="A258" s="14" t="n"/>
      <c r="D258" s="22" t="n"/>
      <c r="J258" s="22" t="n"/>
    </row>
    <row r="259">
      <c r="A259" s="14" t="n"/>
      <c r="D259" s="22" t="n"/>
      <c r="J259" s="22" t="n"/>
    </row>
    <row r="260">
      <c r="A260" s="14" t="n"/>
      <c r="D260" s="22" t="n"/>
      <c r="J260" s="22" t="n"/>
    </row>
    <row r="261">
      <c r="A261" s="14" t="n"/>
      <c r="D261" s="22" t="n"/>
      <c r="J261" s="22" t="n"/>
    </row>
    <row r="262">
      <c r="A262" s="14" t="n"/>
      <c r="D262" s="22" t="n"/>
      <c r="J262" s="22" t="n"/>
    </row>
    <row r="263">
      <c r="A263" s="14" t="n"/>
      <c r="D263" s="22" t="n"/>
      <c r="J263" s="22" t="n"/>
    </row>
    <row r="264">
      <c r="A264" s="14" t="n"/>
      <c r="D264" s="22" t="n"/>
      <c r="J264" s="22" t="n"/>
    </row>
    <row r="265">
      <c r="A265" s="14" t="n"/>
      <c r="D265" s="22" t="n"/>
      <c r="J265" s="22" t="n"/>
    </row>
    <row r="266">
      <c r="A266" s="14" t="n"/>
      <c r="D266" s="22" t="n"/>
      <c r="J266" s="22" t="n"/>
    </row>
    <row r="267">
      <c r="A267" s="14" t="n"/>
      <c r="D267" s="22" t="n"/>
      <c r="J267" s="22" t="n"/>
    </row>
    <row r="268">
      <c r="A268" s="14" t="n"/>
      <c r="D268" s="22" t="n"/>
      <c r="J268" s="22" t="n"/>
    </row>
    <row r="269">
      <c r="A269" s="14" t="n"/>
      <c r="D269" s="22" t="n"/>
      <c r="J269" s="22" t="n"/>
    </row>
    <row r="270">
      <c r="A270" s="14" t="n"/>
      <c r="D270" s="22" t="n"/>
      <c r="J270" s="22" t="n"/>
    </row>
    <row r="271">
      <c r="A271" s="14" t="n"/>
      <c r="D271" s="22" t="n"/>
      <c r="J271" s="22" t="n"/>
    </row>
    <row r="272">
      <c r="A272" s="14" t="n"/>
      <c r="D272" s="22" t="n"/>
      <c r="J272" s="22" t="n"/>
    </row>
    <row r="273">
      <c r="A273" s="14" t="n"/>
      <c r="D273" s="22" t="n"/>
      <c r="J273" s="22" t="n"/>
    </row>
    <row r="274">
      <c r="A274" s="14" t="n"/>
      <c r="D274" s="22" t="n"/>
      <c r="J274" s="22" t="n"/>
    </row>
    <row r="275">
      <c r="A275" s="14" t="n"/>
      <c r="D275" s="22" t="n"/>
      <c r="J275" s="22" t="n"/>
    </row>
    <row r="276">
      <c r="A276" s="14" t="n"/>
      <c r="D276" s="22" t="n"/>
      <c r="J276" s="22" t="n"/>
    </row>
    <row r="277">
      <c r="A277" s="14" t="n"/>
      <c r="D277" s="22" t="n"/>
      <c r="J277" s="22" t="n"/>
    </row>
    <row r="278">
      <c r="A278" s="14" t="n"/>
      <c r="D278" s="22" t="n"/>
      <c r="J278" s="22" t="n"/>
    </row>
    <row r="279">
      <c r="A279" s="14" t="n"/>
      <c r="D279" s="22" t="n"/>
      <c r="J279" s="22" t="n"/>
    </row>
    <row r="280">
      <c r="A280" s="14" t="n"/>
      <c r="D280" s="22" t="n"/>
      <c r="J280" s="22" t="n"/>
    </row>
    <row r="281">
      <c r="A281" s="14" t="n"/>
      <c r="D281" s="22" t="n"/>
      <c r="J281" s="22" t="n"/>
    </row>
    <row r="282">
      <c r="A282" s="14" t="n"/>
      <c r="D282" s="22" t="n"/>
      <c r="J282" s="22" t="n"/>
    </row>
    <row r="283">
      <c r="A283" s="14" t="n"/>
      <c r="D283" s="22" t="n"/>
      <c r="J283" s="22" t="n"/>
    </row>
    <row r="284">
      <c r="A284" s="14" t="n"/>
      <c r="D284" s="22" t="n"/>
      <c r="J284" s="22" t="n"/>
    </row>
    <row r="285">
      <c r="A285" s="14" t="n"/>
      <c r="D285" s="22" t="n"/>
      <c r="J285" s="22" t="n"/>
    </row>
    <row r="286">
      <c r="A286" s="14" t="n"/>
      <c r="D286" s="22" t="n"/>
      <c r="J286" s="22" t="n"/>
    </row>
    <row r="287">
      <c r="A287" s="14" t="n"/>
      <c r="D287" s="22" t="n"/>
      <c r="J287" s="22" t="n"/>
    </row>
    <row r="288">
      <c r="A288" s="14" t="n"/>
      <c r="D288" s="22" t="n"/>
      <c r="J288" s="22" t="n"/>
    </row>
    <row r="289">
      <c r="A289" s="14" t="n"/>
      <c r="D289" s="22" t="n"/>
      <c r="J289" s="22" t="n"/>
    </row>
    <row r="290">
      <c r="A290" s="14" t="n"/>
      <c r="D290" s="22" t="n"/>
      <c r="J290" s="22" t="n"/>
    </row>
    <row r="291">
      <c r="A291" s="14" t="n"/>
      <c r="D291" s="22" t="n"/>
      <c r="J291" s="22" t="n"/>
    </row>
    <row r="292">
      <c r="A292" s="14" t="n"/>
      <c r="D292" s="22" t="n"/>
      <c r="J292" s="22" t="n"/>
    </row>
    <row r="293">
      <c r="A293" s="14" t="n"/>
      <c r="D293" s="22" t="n"/>
      <c r="J293" s="22" t="n"/>
    </row>
    <row r="294">
      <c r="A294" s="14" t="n"/>
      <c r="D294" s="22" t="n"/>
      <c r="J294" s="22" t="n"/>
    </row>
    <row r="295">
      <c r="A295" s="14" t="n"/>
      <c r="D295" s="22" t="n"/>
      <c r="J295" s="22" t="n"/>
    </row>
    <row r="296">
      <c r="A296" s="14" t="n"/>
      <c r="D296" s="22" t="n"/>
      <c r="J296" s="22" t="n"/>
    </row>
    <row r="297">
      <c r="A297" s="14" t="n"/>
      <c r="D297" s="22" t="n"/>
      <c r="J297" s="22" t="n"/>
    </row>
    <row r="298">
      <c r="A298" s="14" t="n"/>
      <c r="D298" s="22" t="n"/>
      <c r="J298" s="22" t="n"/>
    </row>
    <row r="299">
      <c r="A299" s="14" t="n"/>
      <c r="D299" s="22" t="n"/>
      <c r="J299" s="22" t="n"/>
    </row>
    <row r="300">
      <c r="A300" s="14" t="n"/>
      <c r="D300" s="22" t="n"/>
      <c r="J300" s="22" t="n"/>
    </row>
    <row r="301">
      <c r="A301" s="14" t="n"/>
      <c r="D301" s="22" t="n"/>
      <c r="J301" s="22" t="n"/>
    </row>
    <row r="302">
      <c r="A302" s="14" t="n"/>
      <c r="D302" s="22" t="n"/>
      <c r="J302" s="22" t="n"/>
    </row>
    <row r="303">
      <c r="A303" s="14" t="n"/>
      <c r="D303" s="22" t="n"/>
      <c r="J303" s="22" t="n"/>
    </row>
    <row r="304">
      <c r="A304" s="14" t="n"/>
      <c r="D304" s="22" t="n"/>
      <c r="J304" s="22" t="n"/>
    </row>
    <row r="305">
      <c r="A305" s="14" t="n"/>
      <c r="D305" s="22" t="n"/>
      <c r="J305" s="22" t="n"/>
    </row>
    <row r="306">
      <c r="A306" s="14" t="n"/>
      <c r="D306" s="22" t="n"/>
      <c r="J306" s="22" t="n"/>
    </row>
    <row r="307">
      <c r="A307" s="14" t="n"/>
      <c r="D307" s="22" t="n"/>
      <c r="J307" s="22" t="n"/>
    </row>
    <row r="308">
      <c r="A308" s="14" t="n"/>
      <c r="D308" s="22" t="n"/>
      <c r="J308" s="22" t="n"/>
    </row>
    <row r="309">
      <c r="A309" s="14" t="n"/>
      <c r="D309" s="22" t="n"/>
      <c r="J309" s="22" t="n"/>
    </row>
    <row r="310">
      <c r="A310" s="14" t="n"/>
      <c r="D310" s="22" t="n"/>
      <c r="J310" s="22" t="n"/>
    </row>
    <row r="311">
      <c r="A311" s="14" t="n"/>
      <c r="D311" s="22" t="n"/>
      <c r="J311" s="22" t="n"/>
    </row>
    <row r="312">
      <c r="A312" s="14" t="n"/>
      <c r="D312" s="22" t="n"/>
      <c r="J312" s="22" t="n"/>
    </row>
    <row r="313">
      <c r="A313" s="14" t="n"/>
      <c r="D313" s="22" t="n"/>
      <c r="J313" s="22" t="n"/>
    </row>
    <row r="314">
      <c r="A314" s="14" t="n"/>
      <c r="D314" s="22" t="n"/>
      <c r="J314" s="22" t="n"/>
    </row>
    <row r="315">
      <c r="A315" s="14" t="n"/>
      <c r="D315" s="22" t="n"/>
      <c r="J315" s="22" t="n"/>
    </row>
    <row r="316">
      <c r="A316" s="14" t="n"/>
      <c r="D316" s="22" t="n"/>
      <c r="J316" s="22" t="n"/>
    </row>
    <row r="317">
      <c r="A317" s="14" t="n"/>
      <c r="D317" s="22" t="n"/>
      <c r="J317" s="22" t="n"/>
    </row>
    <row r="318">
      <c r="A318" s="14" t="n"/>
      <c r="D318" s="22" t="n"/>
      <c r="J318" s="22" t="n"/>
    </row>
    <row r="319">
      <c r="A319" s="14" t="n"/>
      <c r="D319" s="22" t="n"/>
      <c r="J319" s="22" t="n"/>
    </row>
    <row r="320">
      <c r="A320" s="14" t="n"/>
      <c r="D320" s="22" t="n"/>
      <c r="J320" s="22" t="n"/>
    </row>
    <row r="321">
      <c r="A321" s="14" t="n"/>
      <c r="D321" s="22" t="n"/>
      <c r="J321" s="22" t="n"/>
    </row>
    <row r="322">
      <c r="A322" s="14" t="n"/>
      <c r="D322" s="22" t="n"/>
      <c r="J322" s="22" t="n"/>
    </row>
    <row r="323">
      <c r="A323" s="14" t="n"/>
      <c r="D323" s="22" t="n"/>
      <c r="J323" s="22" t="n"/>
    </row>
    <row r="324">
      <c r="A324" s="14" t="n"/>
      <c r="D324" s="22" t="n"/>
      <c r="J324" s="22" t="n"/>
    </row>
    <row r="325">
      <c r="A325" s="14" t="n"/>
      <c r="D325" s="22" t="n"/>
      <c r="J325" s="22" t="n"/>
    </row>
    <row r="326">
      <c r="A326" s="14" t="n"/>
      <c r="D326" s="22" t="n"/>
      <c r="J326" s="22" t="n"/>
    </row>
    <row r="327">
      <c r="A327" s="14" t="n"/>
      <c r="D327" s="22" t="n"/>
      <c r="J327" s="22" t="n"/>
    </row>
    <row r="328">
      <c r="A328" s="14" t="n"/>
      <c r="D328" s="22" t="n"/>
      <c r="J328" s="22" t="n"/>
    </row>
    <row r="329">
      <c r="A329" s="14" t="n"/>
      <c r="D329" s="22" t="n"/>
      <c r="J329" s="22" t="n"/>
    </row>
    <row r="330">
      <c r="A330" s="14" t="n"/>
      <c r="D330" s="22" t="n"/>
      <c r="J330" s="22" t="n"/>
    </row>
    <row r="331">
      <c r="A331" s="14" t="n"/>
      <c r="D331" s="22" t="n"/>
      <c r="J331" s="22" t="n"/>
    </row>
    <row r="332">
      <c r="A332" s="14" t="n"/>
      <c r="D332" s="22" t="n"/>
      <c r="J332" s="22" t="n"/>
    </row>
    <row r="333">
      <c r="A333" s="14" t="n"/>
      <c r="D333" s="22" t="n"/>
      <c r="J333" s="22" t="n"/>
    </row>
    <row r="334">
      <c r="A334" s="14" t="n"/>
      <c r="D334" s="22" t="n"/>
      <c r="J334" s="22" t="n"/>
    </row>
    <row r="335">
      <c r="A335" s="14" t="n"/>
      <c r="D335" s="22" t="n"/>
      <c r="J335" s="22" t="n"/>
    </row>
    <row r="336">
      <c r="A336" s="14" t="n"/>
      <c r="D336" s="22" t="n"/>
      <c r="J336" s="22" t="n"/>
    </row>
    <row r="337">
      <c r="A337" s="14" t="n"/>
      <c r="D337" s="22" t="n"/>
      <c r="J337" s="22" t="n"/>
    </row>
    <row r="338">
      <c r="A338" s="14" t="n"/>
      <c r="D338" s="22" t="n"/>
      <c r="J338" s="22" t="n"/>
    </row>
    <row r="339">
      <c r="A339" s="14" t="n"/>
      <c r="D339" s="22" t="n"/>
      <c r="J339" s="22" t="n"/>
    </row>
    <row r="340">
      <c r="A340" s="14" t="n"/>
      <c r="D340" s="22" t="n"/>
      <c r="J340" s="22" t="n"/>
    </row>
    <row r="341">
      <c r="A341" s="14" t="n"/>
      <c r="D341" s="22" t="n"/>
      <c r="J341" s="22" t="n"/>
    </row>
    <row r="342">
      <c r="A342" s="14" t="n"/>
      <c r="D342" s="22" t="n"/>
      <c r="J342" s="22" t="n"/>
    </row>
    <row r="343">
      <c r="A343" s="14" t="n"/>
      <c r="D343" s="22" t="n"/>
      <c r="J343" s="22" t="n"/>
    </row>
    <row r="344">
      <c r="A344" s="14" t="n"/>
      <c r="D344" s="22" t="n"/>
      <c r="J344" s="22" t="n"/>
    </row>
    <row r="345">
      <c r="A345" s="14" t="n"/>
      <c r="D345" s="22" t="n"/>
      <c r="J345" s="22" t="n"/>
    </row>
    <row r="346">
      <c r="A346" s="14" t="n"/>
      <c r="D346" s="22" t="n"/>
      <c r="J346" s="22" t="n"/>
    </row>
    <row r="347">
      <c r="A347" s="14" t="n"/>
      <c r="D347" s="22" t="n"/>
      <c r="J347" s="22" t="n"/>
    </row>
    <row r="348">
      <c r="A348" s="14" t="n"/>
      <c r="D348" s="22" t="n"/>
      <c r="J348" s="22" t="n"/>
    </row>
    <row r="349">
      <c r="A349" s="14" t="n"/>
      <c r="D349" s="22" t="n"/>
      <c r="J349" s="22" t="n"/>
    </row>
    <row r="350">
      <c r="A350" s="14" t="n"/>
      <c r="D350" s="22" t="n"/>
      <c r="J350" s="22" t="n"/>
    </row>
    <row r="351">
      <c r="A351" s="14" t="n"/>
      <c r="D351" s="22" t="n"/>
      <c r="J351" s="22" t="n"/>
    </row>
    <row r="352">
      <c r="A352" s="14" t="n"/>
      <c r="D352" s="22" t="n"/>
      <c r="J352" s="22" t="n"/>
    </row>
    <row r="353">
      <c r="A353" s="14" t="n"/>
      <c r="D353" s="22" t="n"/>
      <c r="J353" s="22" t="n"/>
    </row>
    <row r="354">
      <c r="A354" s="14" t="n"/>
      <c r="D354" s="22" t="n"/>
      <c r="J354" s="22" t="n"/>
    </row>
    <row r="355">
      <c r="A355" s="14" t="n"/>
      <c r="D355" s="22" t="n"/>
      <c r="J355" s="22" t="n"/>
    </row>
    <row r="356">
      <c r="A356" s="14" t="n"/>
      <c r="D356" s="22" t="n"/>
      <c r="J356" s="22" t="n"/>
    </row>
    <row r="357">
      <c r="A357" s="14" t="n"/>
      <c r="D357" s="22" t="n"/>
      <c r="J357" s="22" t="n"/>
    </row>
    <row r="358">
      <c r="A358" s="14" t="n"/>
      <c r="D358" s="22" t="n"/>
      <c r="J358" s="22" t="n"/>
    </row>
    <row r="359">
      <c r="A359" s="14" t="n"/>
      <c r="D359" s="22" t="n"/>
      <c r="J359" s="22" t="n"/>
    </row>
    <row r="360">
      <c r="A360" s="14" t="n"/>
      <c r="D360" s="22" t="n"/>
      <c r="J360" s="22" t="n"/>
    </row>
    <row r="361">
      <c r="A361" s="14" t="n"/>
      <c r="D361" s="22" t="n"/>
      <c r="J361" s="22" t="n"/>
    </row>
    <row r="362">
      <c r="A362" s="14" t="n"/>
      <c r="D362" s="22" t="n"/>
      <c r="J362" s="22" t="n"/>
    </row>
    <row r="363">
      <c r="A363" s="14" t="n"/>
      <c r="D363" s="22" t="n"/>
      <c r="J363" s="22" t="n"/>
    </row>
    <row r="364">
      <c r="A364" s="14" t="n"/>
      <c r="D364" s="22" t="n"/>
      <c r="J364" s="22" t="n"/>
    </row>
    <row r="365">
      <c r="A365" s="14" t="n"/>
      <c r="D365" s="22" t="n"/>
      <c r="J365" s="22" t="n"/>
    </row>
    <row r="366">
      <c r="A366" s="14" t="n"/>
      <c r="D366" s="22" t="n"/>
      <c r="J366" s="22" t="n"/>
    </row>
    <row r="367">
      <c r="A367" s="14" t="n"/>
      <c r="D367" s="22" t="n"/>
      <c r="J367" s="22" t="n"/>
    </row>
    <row r="368">
      <c r="A368" s="14" t="n"/>
      <c r="D368" s="22" t="n"/>
      <c r="J368" s="22" t="n"/>
    </row>
    <row r="369">
      <c r="A369" s="14" t="n"/>
      <c r="D369" s="22" t="n"/>
      <c r="J369" s="22" t="n"/>
    </row>
    <row r="370">
      <c r="A370" s="14" t="n"/>
      <c r="D370" s="22" t="n"/>
      <c r="J370" s="22" t="n"/>
    </row>
    <row r="371">
      <c r="A371" s="14" t="n"/>
      <c r="D371" s="22" t="n"/>
      <c r="J371" s="22" t="n"/>
    </row>
    <row r="372">
      <c r="A372" s="14" t="n"/>
      <c r="D372" s="22" t="n"/>
      <c r="J372" s="22" t="n"/>
    </row>
    <row r="373">
      <c r="A373" s="14" t="n"/>
      <c r="D373" s="22" t="n"/>
      <c r="J373" s="22" t="n"/>
    </row>
    <row r="374">
      <c r="A374" s="14" t="n"/>
      <c r="D374" s="22" t="n"/>
      <c r="J374" s="22" t="n"/>
    </row>
    <row r="375">
      <c r="A375" s="14" t="n"/>
      <c r="D375" s="22" t="n"/>
      <c r="J375" s="22" t="n"/>
    </row>
    <row r="376">
      <c r="A376" s="14" t="n"/>
      <c r="D376" s="22" t="n"/>
      <c r="J376" s="22" t="n"/>
    </row>
    <row r="377">
      <c r="A377" s="14" t="n"/>
      <c r="D377" s="22" t="n"/>
      <c r="J377" s="22" t="n"/>
    </row>
    <row r="378">
      <c r="A378" s="14" t="n"/>
      <c r="D378" s="22" t="n"/>
      <c r="J378" s="22" t="n"/>
    </row>
    <row r="379">
      <c r="A379" s="14" t="n"/>
      <c r="D379" s="22" t="n"/>
      <c r="J379" s="22" t="n"/>
    </row>
    <row r="380">
      <c r="A380" s="14" t="n"/>
      <c r="D380" s="22" t="n"/>
      <c r="J380" s="22" t="n"/>
    </row>
    <row r="381">
      <c r="A381" s="14" t="n"/>
      <c r="D381" s="22" t="n"/>
      <c r="J381" s="22" t="n"/>
    </row>
    <row r="382">
      <c r="A382" s="14" t="n"/>
      <c r="D382" s="22" t="n"/>
      <c r="J382" s="22" t="n"/>
    </row>
    <row r="383">
      <c r="A383" s="14" t="n"/>
      <c r="D383" s="22" t="n"/>
      <c r="J383" s="22" t="n"/>
    </row>
    <row r="384">
      <c r="A384" s="14" t="n"/>
      <c r="D384" s="22" t="n"/>
      <c r="J384" s="22" t="n"/>
    </row>
    <row r="385">
      <c r="A385" s="14" t="n"/>
      <c r="D385" s="22" t="n"/>
      <c r="J385" s="22" t="n"/>
    </row>
    <row r="386">
      <c r="A386" s="14" t="n"/>
      <c r="D386" s="22" t="n"/>
      <c r="J386" s="22" t="n"/>
    </row>
    <row r="387">
      <c r="A387" s="14" t="n"/>
      <c r="D387" s="22" t="n"/>
      <c r="J387" s="22" t="n"/>
    </row>
    <row r="388">
      <c r="A388" s="14" t="n"/>
      <c r="D388" s="22" t="n"/>
      <c r="J388" s="22" t="n"/>
    </row>
    <row r="389">
      <c r="A389" s="14" t="n"/>
      <c r="D389" s="22" t="n"/>
      <c r="J389" s="22" t="n"/>
    </row>
    <row r="390">
      <c r="A390" s="14" t="n"/>
      <c r="D390" s="22" t="n"/>
      <c r="J390" s="22" t="n"/>
    </row>
    <row r="391">
      <c r="A391" s="14" t="n"/>
      <c r="D391" s="22" t="n"/>
      <c r="J391" s="22" t="n"/>
    </row>
    <row r="392">
      <c r="A392" s="14" t="n"/>
      <c r="D392" s="22" t="n"/>
      <c r="J392" s="22" t="n"/>
    </row>
    <row r="393">
      <c r="A393" s="14" t="n"/>
      <c r="D393" s="22" t="n"/>
      <c r="J393" s="22" t="n"/>
    </row>
    <row r="394">
      <c r="A394" s="14" t="n"/>
      <c r="D394" s="22" t="n"/>
      <c r="J394" s="22" t="n"/>
    </row>
    <row r="395">
      <c r="A395" s="14" t="n"/>
      <c r="D395" s="22" t="n"/>
      <c r="J395" s="22" t="n"/>
    </row>
    <row r="396">
      <c r="A396" s="14" t="n"/>
      <c r="D396" s="22" t="n"/>
      <c r="J396" s="22" t="n"/>
    </row>
    <row r="397">
      <c r="A397" s="14" t="n"/>
      <c r="D397" s="22" t="n"/>
      <c r="J397" s="22" t="n"/>
    </row>
    <row r="398">
      <c r="A398" s="14" t="n"/>
      <c r="D398" s="22" t="n"/>
      <c r="J398" s="22" t="n"/>
    </row>
    <row r="399">
      <c r="A399" s="14" t="n"/>
      <c r="D399" s="22" t="n"/>
      <c r="J399" s="22" t="n"/>
    </row>
    <row r="400">
      <c r="A400" s="14" t="n"/>
      <c r="D400" s="22" t="n"/>
      <c r="J400" s="22" t="n"/>
    </row>
    <row r="401">
      <c r="A401" s="14" t="n"/>
      <c r="D401" s="22" t="n"/>
      <c r="J401" s="22" t="n"/>
    </row>
    <row r="402">
      <c r="A402" s="14" t="n"/>
      <c r="D402" s="22" t="n"/>
      <c r="J402" s="22" t="n"/>
    </row>
    <row r="403">
      <c r="A403" s="14" t="n"/>
      <c r="D403" s="22" t="n"/>
      <c r="J403" s="22" t="n"/>
    </row>
    <row r="404">
      <c r="A404" s="14" t="n"/>
      <c r="D404" s="22" t="n"/>
      <c r="J404" s="22" t="n"/>
    </row>
    <row r="405">
      <c r="A405" s="14" t="n"/>
      <c r="D405" s="22" t="n"/>
      <c r="J405" s="22" t="n"/>
    </row>
    <row r="406">
      <c r="A406" s="14" t="n"/>
      <c r="D406" s="22" t="n"/>
      <c r="J406" s="22" t="n"/>
    </row>
    <row r="407">
      <c r="A407" s="14" t="n"/>
      <c r="D407" s="22" t="n"/>
      <c r="J407" s="22" t="n"/>
    </row>
    <row r="408">
      <c r="A408" s="14" t="n"/>
      <c r="D408" s="22" t="n"/>
      <c r="J408" s="22" t="n"/>
    </row>
    <row r="409">
      <c r="A409" s="14" t="n"/>
      <c r="D409" s="22" t="n"/>
      <c r="J409" s="22" t="n"/>
    </row>
    <row r="410">
      <c r="A410" s="14" t="n"/>
      <c r="D410" s="22" t="n"/>
      <c r="J410" s="22" t="n"/>
    </row>
    <row r="411">
      <c r="A411" s="14" t="n"/>
      <c r="D411" s="22" t="n"/>
      <c r="J411" s="22" t="n"/>
    </row>
    <row r="412">
      <c r="A412" s="14" t="n"/>
      <c r="D412" s="22" t="n"/>
      <c r="J412" s="22" t="n"/>
    </row>
    <row r="413">
      <c r="A413" s="14" t="n"/>
      <c r="D413" s="22" t="n"/>
      <c r="J413" s="22" t="n"/>
    </row>
    <row r="414">
      <c r="A414" s="14" t="n"/>
      <c r="D414" s="22" t="n"/>
      <c r="J414" s="22" t="n"/>
    </row>
    <row r="415">
      <c r="A415" s="14" t="n"/>
      <c r="D415" s="22" t="n"/>
      <c r="J415" s="22" t="n"/>
    </row>
    <row r="416">
      <c r="A416" s="14" t="n"/>
      <c r="D416" s="22" t="n"/>
      <c r="J416" s="22" t="n"/>
    </row>
    <row r="417">
      <c r="A417" s="14" t="n"/>
      <c r="D417" s="22" t="n"/>
      <c r="J417" s="22" t="n"/>
    </row>
    <row r="418">
      <c r="A418" s="14" t="n"/>
      <c r="D418" s="22" t="n"/>
      <c r="J418" s="22" t="n"/>
    </row>
    <row r="419">
      <c r="A419" s="14" t="n"/>
      <c r="D419" s="22" t="n"/>
      <c r="J419" s="22" t="n"/>
    </row>
    <row r="420">
      <c r="A420" s="14" t="n"/>
      <c r="D420" s="22" t="n"/>
      <c r="J420" s="22" t="n"/>
    </row>
    <row r="421">
      <c r="A421" s="14" t="n"/>
      <c r="D421" s="22" t="n"/>
      <c r="J421" s="22" t="n"/>
    </row>
    <row r="422">
      <c r="A422" s="14" t="n"/>
      <c r="D422" s="22" t="n"/>
      <c r="J422" s="22" t="n"/>
    </row>
    <row r="423">
      <c r="A423" s="14" t="n"/>
      <c r="D423" s="22" t="n"/>
      <c r="J423" s="22" t="n"/>
    </row>
    <row r="424">
      <c r="A424" s="14" t="n"/>
      <c r="D424" s="22" t="n"/>
      <c r="J424" s="22" t="n"/>
    </row>
    <row r="425">
      <c r="A425" s="14" t="n"/>
      <c r="D425" s="22" t="n"/>
      <c r="J425" s="22" t="n"/>
    </row>
    <row r="426">
      <c r="A426" s="14" t="n"/>
      <c r="D426" s="22" t="n"/>
      <c r="J426" s="22" t="n"/>
    </row>
    <row r="427">
      <c r="A427" s="14" t="n"/>
      <c r="D427" s="22" t="n"/>
      <c r="J427" s="22" t="n"/>
    </row>
    <row r="428">
      <c r="A428" s="14" t="n"/>
      <c r="D428" s="22" t="n"/>
      <c r="J428" s="22" t="n"/>
    </row>
    <row r="429">
      <c r="A429" s="14" t="n"/>
      <c r="D429" s="22" t="n"/>
      <c r="J429" s="22" t="n"/>
    </row>
    <row r="430">
      <c r="A430" s="14" t="n"/>
      <c r="D430" s="22" t="n"/>
      <c r="J430" s="22" t="n"/>
    </row>
    <row r="431">
      <c r="A431" s="14" t="n"/>
      <c r="D431" s="22" t="n"/>
      <c r="J431" s="22" t="n"/>
    </row>
    <row r="432">
      <c r="A432" s="14" t="n"/>
      <c r="D432" s="22" t="n"/>
      <c r="J432" s="22" t="n"/>
    </row>
    <row r="433">
      <c r="A433" s="14" t="n"/>
      <c r="D433" s="22" t="n"/>
      <c r="J433" s="22" t="n"/>
    </row>
    <row r="434">
      <c r="A434" s="14" t="n"/>
      <c r="D434" s="22" t="n"/>
      <c r="J434" s="22" t="n"/>
    </row>
    <row r="435">
      <c r="A435" s="14" t="n"/>
      <c r="D435" s="22" t="n"/>
      <c r="J435" s="22" t="n"/>
    </row>
    <row r="436">
      <c r="A436" s="14" t="n"/>
      <c r="D436" s="22" t="n"/>
      <c r="J436" s="22" t="n"/>
    </row>
    <row r="437">
      <c r="A437" s="14" t="n"/>
      <c r="D437" s="22" t="n"/>
      <c r="J437" s="22" t="n"/>
    </row>
    <row r="438">
      <c r="A438" s="14" t="n"/>
      <c r="D438" s="22" t="n"/>
      <c r="J438" s="22" t="n"/>
    </row>
    <row r="439">
      <c r="A439" s="14" t="n"/>
      <c r="D439" s="22" t="n"/>
      <c r="J439" s="22" t="n"/>
    </row>
    <row r="440">
      <c r="A440" s="14" t="n"/>
      <c r="D440" s="22" t="n"/>
      <c r="J440" s="22" t="n"/>
    </row>
    <row r="441">
      <c r="A441" s="14" t="n"/>
      <c r="D441" s="22" t="n"/>
      <c r="J441" s="22" t="n"/>
    </row>
    <row r="442">
      <c r="A442" s="14" t="n"/>
      <c r="D442" s="22" t="n"/>
      <c r="J442" s="22" t="n"/>
    </row>
    <row r="443">
      <c r="A443" s="14" t="n"/>
      <c r="D443" s="22" t="n"/>
      <c r="J443" s="22" t="n"/>
    </row>
    <row r="444">
      <c r="A444" s="14" t="n"/>
      <c r="D444" s="22" t="n"/>
      <c r="J444" s="22" t="n"/>
    </row>
    <row r="445">
      <c r="A445" s="14" t="n"/>
      <c r="D445" s="22" t="n"/>
      <c r="J445" s="22" t="n"/>
    </row>
    <row r="446">
      <c r="A446" s="14" t="n"/>
      <c r="D446" s="22" t="n"/>
      <c r="J446" s="22" t="n"/>
    </row>
    <row r="447">
      <c r="A447" s="14" t="n"/>
      <c r="D447" s="22" t="n"/>
      <c r="J447" s="22" t="n"/>
    </row>
    <row r="448">
      <c r="A448" s="14" t="n"/>
      <c r="D448" s="22" t="n"/>
      <c r="J448" s="22" t="n"/>
    </row>
    <row r="449">
      <c r="A449" s="14" t="n"/>
      <c r="D449" s="22" t="n"/>
      <c r="J449" s="22" t="n"/>
    </row>
    <row r="450">
      <c r="A450" s="14" t="n"/>
      <c r="D450" s="22" t="n"/>
      <c r="J450" s="22" t="n"/>
    </row>
    <row r="451">
      <c r="A451" s="14" t="n"/>
      <c r="D451" s="22" t="n"/>
      <c r="J451" s="22" t="n"/>
    </row>
    <row r="452">
      <c r="A452" s="14" t="n"/>
      <c r="D452" s="22" t="n"/>
      <c r="J452" s="22" t="n"/>
    </row>
    <row r="453">
      <c r="A453" s="14" t="n"/>
      <c r="D453" s="22" t="n"/>
      <c r="J453" s="22" t="n"/>
    </row>
    <row r="454">
      <c r="A454" s="14" t="n"/>
      <c r="D454" s="22" t="n"/>
      <c r="J454" s="22" t="n"/>
    </row>
    <row r="455">
      <c r="A455" s="14" t="n"/>
      <c r="D455" s="22" t="n"/>
      <c r="J455" s="22" t="n"/>
    </row>
    <row r="456">
      <c r="A456" s="14" t="n"/>
      <c r="D456" s="22" t="n"/>
      <c r="J456" s="22" t="n"/>
    </row>
    <row r="457">
      <c r="A457" s="14" t="n"/>
      <c r="D457" s="22" t="n"/>
      <c r="J457" s="22" t="n"/>
    </row>
    <row r="458">
      <c r="A458" s="14" t="n"/>
      <c r="D458" s="22" t="n"/>
      <c r="J458" s="22" t="n"/>
    </row>
    <row r="459">
      <c r="A459" s="14" t="n"/>
      <c r="D459" s="22" t="n"/>
      <c r="J459" s="22" t="n"/>
    </row>
    <row r="460">
      <c r="A460" s="14" t="n"/>
      <c r="D460" s="22" t="n"/>
      <c r="J460" s="22" t="n"/>
    </row>
    <row r="461">
      <c r="A461" s="14" t="n"/>
      <c r="D461" s="22" t="n"/>
      <c r="J461" s="22" t="n"/>
    </row>
    <row r="462">
      <c r="A462" s="14" t="n"/>
      <c r="D462" s="22" t="n"/>
      <c r="J462" s="22" t="n"/>
    </row>
    <row r="463">
      <c r="A463" s="14" t="n"/>
      <c r="D463" s="22" t="n"/>
      <c r="J463" s="22" t="n"/>
    </row>
    <row r="464">
      <c r="A464" s="14" t="n"/>
      <c r="D464" s="22" t="n"/>
      <c r="J464" s="22" t="n"/>
    </row>
    <row r="465">
      <c r="A465" s="14" t="n"/>
      <c r="D465" s="22" t="n"/>
      <c r="J465" s="22" t="n"/>
    </row>
    <row r="466">
      <c r="A466" s="14" t="n"/>
      <c r="D466" s="22" t="n"/>
      <c r="J466" s="22" t="n"/>
    </row>
    <row r="467">
      <c r="A467" s="14" t="n"/>
      <c r="D467" s="22" t="n"/>
      <c r="J467" s="22" t="n"/>
    </row>
    <row r="468">
      <c r="A468" s="14" t="n"/>
      <c r="D468" s="22" t="n"/>
      <c r="J468" s="22" t="n"/>
    </row>
    <row r="469">
      <c r="A469" s="14" t="n"/>
      <c r="D469" s="22" t="n"/>
      <c r="J469" s="22" t="n"/>
    </row>
    <row r="470">
      <c r="A470" s="14" t="n"/>
      <c r="D470" s="22" t="n"/>
      <c r="J470" s="22" t="n"/>
    </row>
    <row r="471">
      <c r="A471" s="14" t="n"/>
      <c r="D471" s="22" t="n"/>
      <c r="J471" s="22" t="n"/>
    </row>
    <row r="472">
      <c r="A472" s="14" t="n"/>
      <c r="D472" s="22" t="n"/>
      <c r="J472" s="22" t="n"/>
    </row>
    <row r="473">
      <c r="A473" s="14" t="n"/>
      <c r="D473" s="22" t="n"/>
      <c r="J473" s="22" t="n"/>
    </row>
    <row r="474">
      <c r="A474" s="14" t="n"/>
      <c r="D474" s="22" t="n"/>
      <c r="J474" s="22" t="n"/>
    </row>
    <row r="475">
      <c r="A475" s="14" t="n"/>
      <c r="D475" s="22" t="n"/>
      <c r="J475" s="22" t="n"/>
    </row>
    <row r="476">
      <c r="A476" s="14" t="n"/>
      <c r="D476" s="22" t="n"/>
      <c r="J476" s="22" t="n"/>
    </row>
    <row r="477">
      <c r="A477" s="14" t="n"/>
      <c r="D477" s="22" t="n"/>
      <c r="J477" s="22" t="n"/>
    </row>
    <row r="478">
      <c r="A478" s="14" t="n"/>
      <c r="D478" s="22" t="n"/>
      <c r="J478" s="22" t="n"/>
    </row>
    <row r="479">
      <c r="A479" s="14" t="n"/>
      <c r="D479" s="22" t="n"/>
      <c r="J479" s="22" t="n"/>
    </row>
    <row r="480">
      <c r="A480" s="14" t="n"/>
      <c r="D480" s="22" t="n"/>
      <c r="J480" s="22" t="n"/>
    </row>
    <row r="481">
      <c r="A481" s="14" t="n"/>
      <c r="D481" s="22" t="n"/>
      <c r="J481" s="22" t="n"/>
    </row>
    <row r="482">
      <c r="A482" s="14" t="n"/>
      <c r="D482" s="22" t="n"/>
      <c r="J482" s="22" t="n"/>
    </row>
    <row r="483">
      <c r="A483" s="14" t="n"/>
      <c r="D483" s="22" t="n"/>
      <c r="J483" s="22" t="n"/>
    </row>
    <row r="484">
      <c r="A484" s="14" t="n"/>
      <c r="D484" s="22" t="n"/>
      <c r="J484" s="22" t="n"/>
    </row>
    <row r="485">
      <c r="A485" s="14" t="n"/>
      <c r="D485" s="22" t="n"/>
      <c r="J485" s="22" t="n"/>
    </row>
    <row r="486">
      <c r="A486" s="14" t="n"/>
      <c r="D486" s="22" t="n"/>
      <c r="J486" s="22" t="n"/>
    </row>
    <row r="487">
      <c r="A487" s="14" t="n"/>
      <c r="D487" s="22" t="n"/>
      <c r="J487" s="22" t="n"/>
    </row>
    <row r="488">
      <c r="A488" s="14" t="n"/>
      <c r="D488" s="22" t="n"/>
      <c r="J488" s="22" t="n"/>
    </row>
    <row r="489">
      <c r="A489" s="14" t="n"/>
      <c r="D489" s="22" t="n"/>
      <c r="J489" s="22" t="n"/>
    </row>
    <row r="490">
      <c r="A490" s="14" t="n"/>
      <c r="D490" s="22" t="n"/>
      <c r="J490" s="22" t="n"/>
    </row>
    <row r="491">
      <c r="A491" s="14" t="n"/>
      <c r="D491" s="22" t="n"/>
      <c r="J491" s="22" t="n"/>
    </row>
    <row r="492">
      <c r="A492" s="14" t="n"/>
      <c r="D492" s="22" t="n"/>
      <c r="J492" s="22" t="n"/>
    </row>
    <row r="493">
      <c r="A493" s="14" t="n"/>
      <c r="D493" s="22" t="n"/>
      <c r="J493" s="22" t="n"/>
    </row>
    <row r="494">
      <c r="A494" s="14" t="n"/>
      <c r="D494" s="22" t="n"/>
      <c r="J494" s="22" t="n"/>
    </row>
    <row r="495">
      <c r="A495" s="14" t="n"/>
      <c r="D495" s="22" t="n"/>
      <c r="J495" s="22" t="n"/>
    </row>
    <row r="496">
      <c r="A496" s="14" t="n"/>
      <c r="D496" s="22" t="n"/>
      <c r="J496" s="22" t="n"/>
    </row>
    <row r="497">
      <c r="A497" s="14" t="n"/>
      <c r="D497" s="22" t="n"/>
      <c r="J497" s="22" t="n"/>
    </row>
    <row r="498">
      <c r="A498" s="14" t="n"/>
      <c r="D498" s="22" t="n"/>
      <c r="J498" s="22" t="n"/>
    </row>
    <row r="499">
      <c r="A499" s="14" t="n"/>
      <c r="D499" s="22" t="n"/>
      <c r="J499" s="22" t="n"/>
    </row>
    <row r="500">
      <c r="A500" s="14" t="n"/>
      <c r="D500" s="22" t="n"/>
      <c r="J500" s="22" t="n"/>
    </row>
    <row r="501">
      <c r="A501" s="14" t="n"/>
      <c r="D501" s="22" t="n"/>
      <c r="J501" s="22" t="n"/>
    </row>
    <row r="502">
      <c r="A502" s="14" t="n"/>
      <c r="D502" s="22" t="n"/>
      <c r="J502" s="22" t="n"/>
    </row>
    <row r="503">
      <c r="A503" s="14" t="n"/>
      <c r="D503" s="22" t="n"/>
      <c r="J503" s="22" t="n"/>
    </row>
    <row r="504">
      <c r="A504" s="14" t="n"/>
      <c r="D504" s="22" t="n"/>
      <c r="J504" s="22" t="n"/>
    </row>
    <row r="505">
      <c r="A505" s="14" t="n"/>
      <c r="D505" s="22" t="n"/>
      <c r="J505" s="22" t="n"/>
    </row>
    <row r="506">
      <c r="A506" s="14" t="n"/>
      <c r="D506" s="22" t="n"/>
      <c r="J506" s="22" t="n"/>
    </row>
    <row r="507">
      <c r="A507" s="14" t="n"/>
      <c r="D507" s="22" t="n"/>
      <c r="J507" s="22" t="n"/>
    </row>
    <row r="508">
      <c r="A508" s="14" t="n"/>
      <c r="D508" s="22" t="n"/>
      <c r="J508" s="22" t="n"/>
    </row>
    <row r="509">
      <c r="A509" s="14" t="n"/>
      <c r="D509" s="22" t="n"/>
      <c r="J509" s="22" t="n"/>
    </row>
    <row r="510">
      <c r="A510" s="14" t="n"/>
      <c r="D510" s="22" t="n"/>
      <c r="J510" s="22" t="n"/>
    </row>
    <row r="511">
      <c r="A511" s="14" t="n"/>
      <c r="D511" s="22" t="n"/>
      <c r="J511" s="22" t="n"/>
    </row>
    <row r="512">
      <c r="A512" s="14" t="n"/>
      <c r="D512" s="22" t="n"/>
      <c r="J512" s="22" t="n"/>
    </row>
    <row r="513">
      <c r="A513" s="14" t="n"/>
      <c r="D513" s="22" t="n"/>
      <c r="J513" s="22" t="n"/>
    </row>
    <row r="514">
      <c r="A514" s="14" t="n"/>
      <c r="D514" s="22" t="n"/>
      <c r="J514" s="22" t="n"/>
    </row>
    <row r="515">
      <c r="A515" s="14" t="n"/>
      <c r="D515" s="22" t="n"/>
      <c r="J515" s="22" t="n"/>
    </row>
    <row r="516">
      <c r="A516" s="14" t="n"/>
      <c r="D516" s="22" t="n"/>
      <c r="J516" s="22" t="n"/>
    </row>
    <row r="517">
      <c r="A517" s="14" t="n"/>
      <c r="D517" s="22" t="n"/>
      <c r="J517" s="22" t="n"/>
    </row>
    <row r="518">
      <c r="A518" s="14" t="n"/>
      <c r="D518" s="22" t="n"/>
      <c r="J518" s="22" t="n"/>
    </row>
    <row r="519">
      <c r="A519" s="14" t="n"/>
      <c r="D519" s="22" t="n"/>
      <c r="J519" s="22" t="n"/>
    </row>
    <row r="520">
      <c r="A520" s="14" t="n"/>
      <c r="D520" s="22" t="n"/>
      <c r="J520" s="22" t="n"/>
    </row>
    <row r="521">
      <c r="A521" s="14" t="n"/>
      <c r="D521" s="22" t="n"/>
      <c r="J521" s="22" t="n"/>
    </row>
    <row r="522">
      <c r="A522" s="14" t="n"/>
      <c r="D522" s="22" t="n"/>
      <c r="J522" s="22" t="n"/>
    </row>
    <row r="523">
      <c r="A523" s="14" t="n"/>
      <c r="D523" s="22" t="n"/>
      <c r="J523" s="22" t="n"/>
    </row>
    <row r="524">
      <c r="A524" s="14" t="n"/>
      <c r="D524" s="22" t="n"/>
      <c r="J524" s="22" t="n"/>
    </row>
    <row r="525">
      <c r="A525" s="14" t="n"/>
      <c r="D525" s="22" t="n"/>
      <c r="J525" s="22" t="n"/>
    </row>
    <row r="526">
      <c r="A526" s="14" t="n"/>
      <c r="D526" s="22" t="n"/>
      <c r="J526" s="22" t="n"/>
    </row>
    <row r="527">
      <c r="A527" s="14" t="n"/>
      <c r="D527" s="22" t="n"/>
      <c r="J527" s="22" t="n"/>
    </row>
    <row r="528">
      <c r="A528" s="14" t="n"/>
      <c r="D528" s="22" t="n"/>
      <c r="J528" s="22" t="n"/>
    </row>
    <row r="529">
      <c r="A529" s="14" t="n"/>
      <c r="D529" s="22" t="n"/>
      <c r="J529" s="22" t="n"/>
    </row>
    <row r="530">
      <c r="A530" s="14" t="n"/>
      <c r="D530" s="22" t="n"/>
      <c r="J530" s="22" t="n"/>
    </row>
    <row r="531">
      <c r="A531" s="14" t="n"/>
      <c r="D531" s="22" t="n"/>
      <c r="J531" s="22" t="n"/>
    </row>
    <row r="532">
      <c r="A532" s="14" t="n"/>
      <c r="D532" s="22" t="n"/>
      <c r="J532" s="22" t="n"/>
    </row>
    <row r="533">
      <c r="A533" s="14" t="n"/>
      <c r="D533" s="22" t="n"/>
      <c r="J533" s="22" t="n"/>
    </row>
    <row r="534">
      <c r="A534" s="14" t="n"/>
      <c r="D534" s="22" t="n"/>
      <c r="J534" s="22" t="n"/>
    </row>
    <row r="535">
      <c r="A535" s="14" t="n"/>
      <c r="D535" s="22" t="n"/>
      <c r="J535" s="22" t="n"/>
    </row>
    <row r="536">
      <c r="A536" s="14" t="n"/>
      <c r="D536" s="22" t="n"/>
      <c r="J536" s="22" t="n"/>
    </row>
    <row r="537">
      <c r="A537" s="14" t="n"/>
      <c r="D537" s="22" t="n"/>
      <c r="J537" s="22" t="n"/>
    </row>
    <row r="538">
      <c r="A538" s="14" t="n"/>
      <c r="D538" s="22" t="n"/>
      <c r="J538" s="22" t="n"/>
    </row>
    <row r="539">
      <c r="A539" s="14" t="n"/>
      <c r="D539" s="22" t="n"/>
      <c r="J539" s="22" t="n"/>
    </row>
    <row r="540">
      <c r="A540" s="14" t="n"/>
      <c r="D540" s="22" t="n"/>
      <c r="J540" s="22" t="n"/>
    </row>
    <row r="541">
      <c r="A541" s="14" t="n"/>
      <c r="D541" s="22" t="n"/>
      <c r="J541" s="22" t="n"/>
    </row>
    <row r="542">
      <c r="A542" s="14" t="n"/>
      <c r="D542" s="22" t="n"/>
      <c r="J542" s="22" t="n"/>
    </row>
    <row r="543">
      <c r="A543" s="14" t="n"/>
      <c r="D543" s="22" t="n"/>
      <c r="J543" s="22" t="n"/>
    </row>
    <row r="544">
      <c r="A544" s="14" t="n"/>
      <c r="D544" s="22" t="n"/>
      <c r="J544" s="22" t="n"/>
    </row>
    <row r="545">
      <c r="A545" s="14" t="n"/>
      <c r="D545" s="22" t="n"/>
      <c r="J545" s="22" t="n"/>
    </row>
    <row r="546">
      <c r="A546" s="14" t="n"/>
      <c r="D546" s="22" t="n"/>
      <c r="J546" s="22" t="n"/>
    </row>
    <row r="547">
      <c r="A547" s="14" t="n"/>
      <c r="D547" s="22" t="n"/>
      <c r="J547" s="22" t="n"/>
    </row>
    <row r="548">
      <c r="A548" s="14" t="n"/>
      <c r="D548" s="22" t="n"/>
      <c r="J548" s="22" t="n"/>
    </row>
    <row r="549">
      <c r="A549" s="14" t="n"/>
      <c r="D549" s="22" t="n"/>
      <c r="J549" s="22" t="n"/>
    </row>
    <row r="550">
      <c r="A550" s="14" t="n"/>
      <c r="D550" s="22" t="n"/>
      <c r="J550" s="22" t="n"/>
    </row>
    <row r="551">
      <c r="A551" s="14" t="n"/>
      <c r="D551" s="22" t="n"/>
      <c r="J551" s="22" t="n"/>
    </row>
    <row r="552">
      <c r="A552" s="14" t="n"/>
      <c r="D552" s="22" t="n"/>
      <c r="J552" s="22" t="n"/>
    </row>
    <row r="553">
      <c r="A553" s="14" t="n"/>
      <c r="D553" s="22" t="n"/>
      <c r="J553" s="22" t="n"/>
    </row>
    <row r="554">
      <c r="A554" s="14" t="n"/>
      <c r="D554" s="22" t="n"/>
      <c r="J554" s="22" t="n"/>
    </row>
    <row r="555">
      <c r="A555" s="14" t="n"/>
      <c r="D555" s="22" t="n"/>
      <c r="J555" s="22" t="n"/>
    </row>
    <row r="556">
      <c r="A556" s="14" t="n"/>
      <c r="D556" s="22" t="n"/>
      <c r="J556" s="22" t="n"/>
    </row>
    <row r="557">
      <c r="A557" s="14" t="n"/>
      <c r="D557" s="22" t="n"/>
      <c r="J557" s="22" t="n"/>
    </row>
    <row r="558">
      <c r="A558" s="14" t="n"/>
      <c r="D558" s="22" t="n"/>
      <c r="J558" s="22" t="n"/>
    </row>
    <row r="559">
      <c r="A559" s="14" t="n"/>
      <c r="D559" s="22" t="n"/>
      <c r="J559" s="22" t="n"/>
    </row>
    <row r="560">
      <c r="A560" s="14" t="n"/>
      <c r="D560" s="22" t="n"/>
      <c r="J560" s="22" t="n"/>
    </row>
    <row r="561">
      <c r="A561" s="14" t="n"/>
      <c r="D561" s="22" t="n"/>
      <c r="J561" s="22" t="n"/>
    </row>
    <row r="562">
      <c r="A562" s="14" t="n"/>
      <c r="D562" s="22" t="n"/>
      <c r="J562" s="22" t="n"/>
    </row>
    <row r="563">
      <c r="A563" s="14" t="n"/>
      <c r="D563" s="22" t="n"/>
      <c r="J563" s="22" t="n"/>
    </row>
    <row r="564">
      <c r="A564" s="14" t="n"/>
      <c r="D564" s="22" t="n"/>
      <c r="J564" s="22" t="n"/>
    </row>
    <row r="565">
      <c r="A565" s="14" t="n"/>
      <c r="D565" s="22" t="n"/>
      <c r="J565" s="22" t="n"/>
    </row>
    <row r="566">
      <c r="A566" s="14" t="n"/>
      <c r="D566" s="22" t="n"/>
      <c r="J566" s="22" t="n"/>
    </row>
    <row r="567">
      <c r="A567" s="14" t="n"/>
      <c r="D567" s="22" t="n"/>
      <c r="J567" s="22" t="n"/>
    </row>
    <row r="568">
      <c r="A568" s="14" t="n"/>
      <c r="D568" s="22" t="n"/>
      <c r="J568" s="22" t="n"/>
    </row>
    <row r="569">
      <c r="A569" s="14" t="n"/>
      <c r="D569" s="22" t="n"/>
      <c r="J569" s="22" t="n"/>
    </row>
    <row r="570">
      <c r="A570" s="14" t="n"/>
      <c r="D570" s="22" t="n"/>
      <c r="J570" s="22" t="n"/>
    </row>
    <row r="571">
      <c r="A571" s="14" t="n"/>
      <c r="D571" s="22" t="n"/>
      <c r="J571" s="22" t="n"/>
    </row>
    <row r="572">
      <c r="A572" s="14" t="n"/>
      <c r="D572" s="22" t="n"/>
      <c r="J572" s="22" t="n"/>
    </row>
    <row r="573">
      <c r="A573" s="14" t="n"/>
      <c r="D573" s="22" t="n"/>
      <c r="J573" s="22" t="n"/>
    </row>
    <row r="574">
      <c r="A574" s="14" t="n"/>
      <c r="D574" s="22" t="n"/>
      <c r="J574" s="22" t="n"/>
    </row>
    <row r="575">
      <c r="A575" s="14" t="n"/>
      <c r="D575" s="22" t="n"/>
      <c r="J575" s="22" t="n"/>
    </row>
    <row r="576">
      <c r="A576" s="14" t="n"/>
      <c r="D576" s="22" t="n"/>
      <c r="J576" s="22" t="n"/>
    </row>
    <row r="577">
      <c r="A577" s="14" t="n"/>
      <c r="D577" s="22" t="n"/>
      <c r="J577" s="22" t="n"/>
    </row>
    <row r="578">
      <c r="A578" s="14" t="n"/>
      <c r="D578" s="22" t="n"/>
      <c r="J578" s="22" t="n"/>
    </row>
    <row r="579">
      <c r="A579" s="14" t="n"/>
      <c r="D579" s="22" t="n"/>
      <c r="J579" s="22" t="n"/>
    </row>
    <row r="580">
      <c r="A580" s="14" t="n"/>
      <c r="D580" s="22" t="n"/>
      <c r="J580" s="22" t="n"/>
    </row>
    <row r="581">
      <c r="A581" s="14" t="n"/>
      <c r="D581" s="22" t="n"/>
      <c r="J581" s="22" t="n"/>
    </row>
    <row r="582">
      <c r="A582" s="14" t="n"/>
      <c r="D582" s="22" t="n"/>
      <c r="J582" s="22" t="n"/>
    </row>
    <row r="583">
      <c r="A583" s="14" t="n"/>
      <c r="D583" s="22" t="n"/>
      <c r="J583" s="22" t="n"/>
    </row>
    <row r="584">
      <c r="A584" s="14" t="n"/>
      <c r="D584" s="22" t="n"/>
      <c r="J584" s="22" t="n"/>
    </row>
    <row r="585">
      <c r="A585" s="14" t="n"/>
      <c r="D585" s="22" t="n"/>
      <c r="J585" s="22" t="n"/>
    </row>
    <row r="586">
      <c r="A586" s="14" t="n"/>
      <c r="D586" s="22" t="n"/>
      <c r="J586" s="22" t="n"/>
    </row>
    <row r="587">
      <c r="A587" s="14" t="n"/>
      <c r="D587" s="22" t="n"/>
      <c r="J587" s="22" t="n"/>
    </row>
    <row r="588">
      <c r="A588" s="14" t="n"/>
      <c r="D588" s="22" t="n"/>
      <c r="J588" s="22" t="n"/>
    </row>
    <row r="589">
      <c r="A589" s="14" t="n"/>
      <c r="D589" s="22" t="n"/>
      <c r="J589" s="22" t="n"/>
    </row>
    <row r="590">
      <c r="A590" s="14" t="n"/>
      <c r="D590" s="22" t="n"/>
      <c r="J590" s="22" t="n"/>
    </row>
    <row r="591">
      <c r="A591" s="14" t="n"/>
      <c r="D591" s="22" t="n"/>
      <c r="J591" s="22" t="n"/>
    </row>
    <row r="592">
      <c r="A592" s="14" t="n"/>
      <c r="D592" s="22" t="n"/>
      <c r="J592" s="22" t="n"/>
    </row>
    <row r="593">
      <c r="A593" s="14" t="n"/>
      <c r="D593" s="22" t="n"/>
      <c r="J593" s="22" t="n"/>
    </row>
    <row r="594">
      <c r="A594" s="14" t="n"/>
      <c r="D594" s="22" t="n"/>
      <c r="J594" s="22" t="n"/>
    </row>
    <row r="595">
      <c r="A595" s="14" t="n"/>
      <c r="D595" s="22" t="n"/>
      <c r="J595" s="22" t="n"/>
    </row>
    <row r="596">
      <c r="A596" s="14" t="n"/>
      <c r="D596" s="22" t="n"/>
      <c r="J596" s="22" t="n"/>
    </row>
    <row r="597">
      <c r="A597" s="14" t="n"/>
      <c r="D597" s="22" t="n"/>
      <c r="J597" s="22" t="n"/>
    </row>
    <row r="598">
      <c r="A598" s="14" t="n"/>
      <c r="D598" s="22" t="n"/>
      <c r="J598" s="22" t="n"/>
    </row>
    <row r="599">
      <c r="A599" s="14" t="n"/>
      <c r="D599" s="22" t="n"/>
      <c r="J599" s="22" t="n"/>
    </row>
    <row r="600">
      <c r="A600" s="14" t="n"/>
      <c r="D600" s="22" t="n"/>
      <c r="J600" s="22" t="n"/>
    </row>
    <row r="601">
      <c r="A601" s="14" t="n"/>
      <c r="D601" s="22" t="n"/>
      <c r="J601" s="22" t="n"/>
    </row>
    <row r="602">
      <c r="A602" s="14" t="n"/>
      <c r="D602" s="22" t="n"/>
      <c r="J602" s="22" t="n"/>
    </row>
    <row r="603">
      <c r="A603" s="14" t="n"/>
      <c r="D603" s="22" t="n"/>
      <c r="J603" s="22" t="n"/>
    </row>
    <row r="604">
      <c r="A604" s="14" t="n"/>
      <c r="D604" s="22" t="n"/>
      <c r="J604" s="22" t="n"/>
    </row>
    <row r="605">
      <c r="A605" s="14" t="n"/>
      <c r="D605" s="22" t="n"/>
      <c r="J605" s="22" t="n"/>
    </row>
    <row r="606">
      <c r="A606" s="14" t="n"/>
      <c r="D606" s="22" t="n"/>
      <c r="J606" s="22" t="n"/>
    </row>
    <row r="607">
      <c r="A607" s="14" t="n"/>
      <c r="D607" s="22" t="n"/>
      <c r="J607" s="22" t="n"/>
    </row>
    <row r="608">
      <c r="A608" s="14" t="n"/>
      <c r="D608" s="22" t="n"/>
      <c r="J608" s="22" t="n"/>
    </row>
    <row r="609">
      <c r="A609" s="14" t="n"/>
      <c r="D609" s="22" t="n"/>
      <c r="J609" s="22" t="n"/>
    </row>
    <row r="610">
      <c r="A610" s="14" t="n"/>
      <c r="D610" s="22" t="n"/>
      <c r="J610" s="22" t="n"/>
    </row>
    <row r="611">
      <c r="A611" s="14" t="n"/>
      <c r="D611" s="22" t="n"/>
      <c r="J611" s="22" t="n"/>
    </row>
    <row r="612">
      <c r="A612" s="14" t="n"/>
      <c r="D612" s="22" t="n"/>
      <c r="J612" s="22" t="n"/>
    </row>
    <row r="613">
      <c r="A613" s="14" t="n"/>
      <c r="D613" s="22" t="n"/>
      <c r="J613" s="22" t="n"/>
    </row>
    <row r="614">
      <c r="A614" s="14" t="n"/>
      <c r="D614" s="22" t="n"/>
      <c r="J614" s="22" t="n"/>
    </row>
    <row r="615">
      <c r="A615" s="14" t="n"/>
      <c r="D615" s="22" t="n"/>
      <c r="J615" s="22" t="n"/>
    </row>
    <row r="616">
      <c r="A616" s="14" t="n"/>
      <c r="D616" s="22" t="n"/>
      <c r="J616" s="22" t="n"/>
    </row>
    <row r="617">
      <c r="A617" s="14" t="n"/>
      <c r="D617" s="22" t="n"/>
      <c r="J617" s="22" t="n"/>
    </row>
    <row r="618">
      <c r="A618" s="14" t="n"/>
      <c r="D618" s="22" t="n"/>
      <c r="J618" s="22" t="n"/>
    </row>
    <row r="619">
      <c r="A619" s="14" t="n"/>
      <c r="D619" s="22" t="n"/>
      <c r="J619" s="22" t="n"/>
    </row>
    <row r="620">
      <c r="A620" s="14" t="n"/>
      <c r="D620" s="22" t="n"/>
      <c r="J620" s="22" t="n"/>
    </row>
    <row r="621">
      <c r="A621" s="14" t="n"/>
      <c r="D621" s="22" t="n"/>
      <c r="J621" s="22" t="n"/>
    </row>
    <row r="622">
      <c r="A622" s="14" t="n"/>
      <c r="D622" s="22" t="n"/>
      <c r="J622" s="22" t="n"/>
    </row>
    <row r="623">
      <c r="A623" s="14" t="n"/>
      <c r="D623" s="22" t="n"/>
      <c r="J623" s="22" t="n"/>
    </row>
    <row r="624">
      <c r="A624" s="14" t="n"/>
      <c r="D624" s="22" t="n"/>
      <c r="J624" s="22" t="n"/>
    </row>
    <row r="625">
      <c r="A625" s="14" t="n"/>
      <c r="D625" s="22" t="n"/>
      <c r="J625" s="22" t="n"/>
    </row>
    <row r="626">
      <c r="A626" s="14" t="n"/>
      <c r="D626" s="22" t="n"/>
      <c r="J626" s="22" t="n"/>
    </row>
    <row r="627">
      <c r="A627" s="14" t="n"/>
      <c r="D627" s="22" t="n"/>
      <c r="J627" s="22" t="n"/>
    </row>
    <row r="628">
      <c r="A628" s="14" t="n"/>
      <c r="D628" s="22" t="n"/>
      <c r="J628" s="22" t="n"/>
    </row>
    <row r="629">
      <c r="A629" s="14" t="n"/>
      <c r="D629" s="22" t="n"/>
      <c r="J629" s="22" t="n"/>
    </row>
    <row r="630">
      <c r="A630" s="14" t="n"/>
      <c r="D630" s="22" t="n"/>
      <c r="J630" s="22" t="n"/>
    </row>
    <row r="631">
      <c r="A631" s="14" t="n"/>
      <c r="D631" s="22" t="n"/>
      <c r="J631" s="22" t="n"/>
    </row>
    <row r="632">
      <c r="A632" s="14" t="n"/>
      <c r="D632" s="22" t="n"/>
      <c r="J632" s="22" t="n"/>
    </row>
    <row r="633">
      <c r="A633" s="14" t="n"/>
      <c r="D633" s="22" t="n"/>
      <c r="J633" s="22" t="n"/>
    </row>
    <row r="634">
      <c r="A634" s="14" t="n"/>
      <c r="D634" s="22" t="n"/>
      <c r="J634" s="22" t="n"/>
    </row>
    <row r="635">
      <c r="A635" s="14" t="n"/>
      <c r="D635" s="22" t="n"/>
      <c r="J635" s="22" t="n"/>
    </row>
    <row r="636">
      <c r="A636" s="14" t="n"/>
      <c r="D636" s="22" t="n"/>
      <c r="J636" s="22" t="n"/>
    </row>
    <row r="637">
      <c r="A637" s="14" t="n"/>
      <c r="D637" s="22" t="n"/>
      <c r="J637" s="22" t="n"/>
    </row>
    <row r="638">
      <c r="A638" s="14" t="n"/>
      <c r="D638" s="22" t="n"/>
      <c r="J638" s="22" t="n"/>
    </row>
    <row r="639">
      <c r="A639" s="14" t="n"/>
      <c r="D639" s="22" t="n"/>
      <c r="J639" s="22" t="n"/>
    </row>
    <row r="640">
      <c r="A640" s="14" t="n"/>
      <c r="D640" s="22" t="n"/>
      <c r="J640" s="22" t="n"/>
    </row>
    <row r="641">
      <c r="A641" s="14" t="n"/>
      <c r="D641" s="22" t="n"/>
      <c r="J641" s="22" t="n"/>
    </row>
    <row r="642">
      <c r="A642" s="14" t="n"/>
      <c r="D642" s="22" t="n"/>
      <c r="J642" s="22" t="n"/>
    </row>
    <row r="643">
      <c r="A643" s="14" t="n"/>
      <c r="D643" s="22" t="n"/>
      <c r="J643" s="22" t="n"/>
    </row>
    <row r="644">
      <c r="A644" s="14" t="n"/>
      <c r="D644" s="22" t="n"/>
      <c r="J644" s="22" t="n"/>
    </row>
    <row r="645">
      <c r="A645" s="14" t="n"/>
      <c r="D645" s="22" t="n"/>
      <c r="J645" s="22" t="n"/>
    </row>
    <row r="646">
      <c r="A646" s="14" t="n"/>
      <c r="D646" s="22" t="n"/>
      <c r="J646" s="22" t="n"/>
    </row>
    <row r="647">
      <c r="A647" s="14" t="n"/>
      <c r="D647" s="22" t="n"/>
      <c r="J647" s="22" t="n"/>
    </row>
    <row r="648">
      <c r="A648" s="14" t="n"/>
      <c r="D648" s="22" t="n"/>
      <c r="J648" s="22" t="n"/>
    </row>
    <row r="649">
      <c r="A649" s="14" t="n"/>
      <c r="D649" s="22" t="n"/>
      <c r="J649" s="22" t="n"/>
    </row>
    <row r="650">
      <c r="A650" s="14" t="n"/>
      <c r="D650" s="22" t="n"/>
      <c r="J650" s="22" t="n"/>
    </row>
    <row r="651">
      <c r="A651" s="14" t="n"/>
      <c r="D651" s="22" t="n"/>
      <c r="J651" s="22" t="n"/>
    </row>
    <row r="652">
      <c r="A652" s="14" t="n"/>
      <c r="D652" s="22" t="n"/>
      <c r="J652" s="22" t="n"/>
    </row>
    <row r="653">
      <c r="A653" s="14" t="n"/>
      <c r="D653" s="22" t="n"/>
      <c r="J653" s="22" t="n"/>
    </row>
    <row r="654">
      <c r="A654" s="14" t="n"/>
      <c r="D654" s="22" t="n"/>
      <c r="J654" s="22" t="n"/>
    </row>
    <row r="655">
      <c r="A655" s="14" t="n"/>
      <c r="D655" s="22" t="n"/>
      <c r="J655" s="22" t="n"/>
    </row>
    <row r="656">
      <c r="A656" s="14" t="n"/>
      <c r="D656" s="22" t="n"/>
      <c r="J656" s="22" t="n"/>
    </row>
    <row r="657">
      <c r="A657" s="14" t="n"/>
      <c r="D657" s="22" t="n"/>
      <c r="J657" s="22" t="n"/>
    </row>
    <row r="658">
      <c r="A658" s="14" t="n"/>
      <c r="D658" s="22" t="n"/>
      <c r="J658" s="22" t="n"/>
    </row>
    <row r="659">
      <c r="A659" s="14" t="n"/>
      <c r="D659" s="22" t="n"/>
      <c r="J659" s="22" t="n"/>
    </row>
    <row r="660">
      <c r="A660" s="14" t="n"/>
      <c r="D660" s="22" t="n"/>
      <c r="J660" s="22" t="n"/>
    </row>
    <row r="661">
      <c r="A661" s="14" t="n"/>
      <c r="D661" s="22" t="n"/>
      <c r="J661" s="22" t="n"/>
    </row>
    <row r="662">
      <c r="A662" s="14" t="n"/>
      <c r="D662" s="22" t="n"/>
      <c r="J662" s="22" t="n"/>
    </row>
    <row r="663">
      <c r="A663" s="14" t="n"/>
      <c r="D663" s="22" t="n"/>
      <c r="J663" s="22" t="n"/>
    </row>
    <row r="664">
      <c r="A664" s="14" t="n"/>
      <c r="D664" s="22" t="n"/>
      <c r="J664" s="22" t="n"/>
    </row>
    <row r="665">
      <c r="A665" s="14" t="n"/>
      <c r="D665" s="22" t="n"/>
      <c r="J665" s="22" t="n"/>
    </row>
    <row r="666">
      <c r="A666" s="14" t="n"/>
      <c r="D666" s="22" t="n"/>
      <c r="J666" s="22" t="n"/>
    </row>
    <row r="667">
      <c r="A667" s="14" t="n"/>
      <c r="D667" s="22" t="n"/>
      <c r="J667" s="22" t="n"/>
    </row>
    <row r="668">
      <c r="A668" s="14" t="n"/>
      <c r="D668" s="22" t="n"/>
      <c r="J668" s="22" t="n"/>
    </row>
    <row r="669">
      <c r="A669" s="14" t="n"/>
      <c r="D669" s="22" t="n"/>
      <c r="J669" s="22" t="n"/>
    </row>
    <row r="670">
      <c r="A670" s="14" t="n"/>
      <c r="D670" s="22" t="n"/>
      <c r="J670" s="22" t="n"/>
    </row>
    <row r="671">
      <c r="A671" s="14" t="n"/>
      <c r="D671" s="22" t="n"/>
      <c r="J671" s="22" t="n"/>
    </row>
    <row r="672">
      <c r="A672" s="14" t="n"/>
      <c r="D672" s="22" t="n"/>
      <c r="J672" s="22" t="n"/>
    </row>
    <row r="673">
      <c r="A673" s="14" t="n"/>
      <c r="D673" s="22" t="n"/>
      <c r="J673" s="22" t="n"/>
    </row>
    <row r="674">
      <c r="A674" s="14" t="n"/>
      <c r="D674" s="22" t="n"/>
      <c r="J674" s="22" t="n"/>
    </row>
    <row r="675">
      <c r="A675" s="14" t="n"/>
      <c r="D675" s="22" t="n"/>
      <c r="J675" s="22" t="n"/>
    </row>
    <row r="676">
      <c r="A676" s="14" t="n"/>
      <c r="D676" s="22" t="n"/>
      <c r="J676" s="22" t="n"/>
    </row>
    <row r="677">
      <c r="A677" s="14" t="n"/>
      <c r="D677" s="22" t="n"/>
      <c r="J677" s="22" t="n"/>
    </row>
    <row r="678">
      <c r="A678" s="14" t="n"/>
      <c r="D678" s="22" t="n"/>
      <c r="J678" s="22" t="n"/>
    </row>
    <row r="679">
      <c r="A679" s="14" t="n"/>
      <c r="D679" s="22" t="n"/>
      <c r="J679" s="22" t="n"/>
    </row>
    <row r="680">
      <c r="A680" s="14" t="n"/>
      <c r="D680" s="22" t="n"/>
      <c r="J680" s="22" t="n"/>
    </row>
    <row r="681">
      <c r="A681" s="14" t="n"/>
      <c r="D681" s="22" t="n"/>
      <c r="J681" s="22" t="n"/>
    </row>
    <row r="682">
      <c r="A682" s="14" t="n"/>
      <c r="D682" s="22" t="n"/>
      <c r="J682" s="22" t="n"/>
    </row>
    <row r="683">
      <c r="A683" s="14" t="n"/>
      <c r="D683" s="22" t="n"/>
      <c r="J683" s="22" t="n"/>
    </row>
    <row r="684">
      <c r="A684" s="14" t="n"/>
      <c r="D684" s="22" t="n"/>
      <c r="J684" s="22" t="n"/>
    </row>
    <row r="685">
      <c r="A685" s="14" t="n"/>
      <c r="D685" s="22" t="n"/>
      <c r="J685" s="22" t="n"/>
    </row>
    <row r="686">
      <c r="A686" s="14" t="n"/>
      <c r="D686" s="22" t="n"/>
      <c r="J686" s="22" t="n"/>
    </row>
    <row r="687">
      <c r="A687" s="14" t="n"/>
      <c r="D687" s="22" t="n"/>
      <c r="J687" s="22" t="n"/>
    </row>
    <row r="688">
      <c r="A688" s="14" t="n"/>
      <c r="D688" s="22" t="n"/>
      <c r="J688" s="22" t="n"/>
    </row>
    <row r="689">
      <c r="A689" s="14" t="n"/>
      <c r="D689" s="22" t="n"/>
      <c r="J689" s="22" t="n"/>
    </row>
    <row r="690">
      <c r="A690" s="14" t="n"/>
      <c r="D690" s="22" t="n"/>
      <c r="J690" s="22" t="n"/>
    </row>
    <row r="691">
      <c r="A691" s="14" t="n"/>
      <c r="D691" s="22" t="n"/>
      <c r="J691" s="22" t="n"/>
    </row>
    <row r="692">
      <c r="A692" s="14" t="n"/>
      <c r="D692" s="22" t="n"/>
      <c r="J692" s="22" t="n"/>
    </row>
    <row r="693">
      <c r="A693" s="14" t="n"/>
      <c r="D693" s="22" t="n"/>
      <c r="J693" s="22" t="n"/>
    </row>
    <row r="694">
      <c r="A694" s="14" t="n"/>
      <c r="D694" s="22" t="n"/>
      <c r="J694" s="22" t="n"/>
    </row>
    <row r="695">
      <c r="A695" s="14" t="n"/>
      <c r="D695" s="22" t="n"/>
      <c r="J695" s="22" t="n"/>
    </row>
    <row r="696">
      <c r="A696" s="14" t="n"/>
      <c r="D696" s="22" t="n"/>
      <c r="J696" s="22" t="n"/>
    </row>
    <row r="697">
      <c r="A697" s="14" t="n"/>
      <c r="D697" s="22" t="n"/>
      <c r="J697" s="22" t="n"/>
    </row>
    <row r="698">
      <c r="A698" s="14" t="n"/>
      <c r="D698" s="22" t="n"/>
      <c r="J698" s="22" t="n"/>
    </row>
    <row r="699">
      <c r="A699" s="14" t="n"/>
      <c r="D699" s="22" t="n"/>
      <c r="J699" s="22" t="n"/>
    </row>
    <row r="700">
      <c r="A700" s="14" t="n"/>
      <c r="D700" s="22" t="n"/>
      <c r="J700" s="22" t="n"/>
    </row>
    <row r="701">
      <c r="A701" s="14" t="n"/>
      <c r="D701" s="22" t="n"/>
      <c r="J701" s="22" t="n"/>
    </row>
    <row r="702">
      <c r="A702" s="14" t="n"/>
      <c r="D702" s="22" t="n"/>
      <c r="J702" s="22" t="n"/>
    </row>
    <row r="703">
      <c r="A703" s="14" t="n"/>
      <c r="D703" s="22" t="n"/>
      <c r="J703" s="22" t="n"/>
    </row>
    <row r="704">
      <c r="A704" s="14" t="n"/>
      <c r="D704" s="22" t="n"/>
      <c r="J704" s="22" t="n"/>
    </row>
    <row r="705">
      <c r="A705" s="14" t="n"/>
      <c r="D705" s="22" t="n"/>
      <c r="J705" s="22" t="n"/>
    </row>
    <row r="706">
      <c r="A706" s="14" t="n"/>
      <c r="D706" s="22" t="n"/>
      <c r="J706" s="22" t="n"/>
    </row>
    <row r="707">
      <c r="A707" s="14" t="n"/>
      <c r="D707" s="22" t="n"/>
      <c r="J707" s="22" t="n"/>
    </row>
    <row r="708">
      <c r="A708" s="14" t="n"/>
      <c r="D708" s="22" t="n"/>
      <c r="J708" s="22" t="n"/>
    </row>
    <row r="709">
      <c r="A709" s="14" t="n"/>
      <c r="D709" s="22" t="n"/>
      <c r="J709" s="22" t="n"/>
    </row>
    <row r="710">
      <c r="A710" s="14" t="n"/>
      <c r="D710" s="22" t="n"/>
      <c r="J710" s="22" t="n"/>
    </row>
    <row r="711">
      <c r="A711" s="14" t="n"/>
      <c r="D711" s="22" t="n"/>
      <c r="J711" s="22" t="n"/>
    </row>
    <row r="712">
      <c r="A712" s="14" t="n"/>
      <c r="D712" s="22" t="n"/>
      <c r="J712" s="22" t="n"/>
    </row>
    <row r="713">
      <c r="A713" s="14" t="n"/>
      <c r="D713" s="22" t="n"/>
      <c r="J713" s="22" t="n"/>
    </row>
    <row r="714">
      <c r="A714" s="14" t="n"/>
      <c r="D714" s="22" t="n"/>
      <c r="J714" s="22" t="n"/>
    </row>
    <row r="715">
      <c r="A715" s="14" t="n"/>
      <c r="D715" s="22" t="n"/>
      <c r="J715" s="22" t="n"/>
    </row>
    <row r="716">
      <c r="A716" s="14" t="n"/>
      <c r="D716" s="22" t="n"/>
      <c r="J716" s="22" t="n"/>
    </row>
    <row r="717">
      <c r="A717" s="14" t="n"/>
      <c r="D717" s="22" t="n"/>
      <c r="J717" s="22" t="n"/>
    </row>
    <row r="718">
      <c r="A718" s="14" t="n"/>
      <c r="D718" s="22" t="n"/>
      <c r="J718" s="22" t="n"/>
    </row>
    <row r="719">
      <c r="A719" s="14" t="n"/>
      <c r="D719" s="22" t="n"/>
      <c r="J719" s="22" t="n"/>
    </row>
    <row r="720">
      <c r="A720" s="14" t="n"/>
      <c r="D720" s="22" t="n"/>
      <c r="J720" s="22" t="n"/>
    </row>
    <row r="721">
      <c r="A721" s="14" t="n"/>
      <c r="D721" s="22" t="n"/>
      <c r="J721" s="22" t="n"/>
    </row>
    <row r="722">
      <c r="A722" s="14" t="n"/>
      <c r="D722" s="22" t="n"/>
      <c r="J722" s="22" t="n"/>
    </row>
    <row r="723">
      <c r="A723" s="14" t="n"/>
      <c r="D723" s="22" t="n"/>
      <c r="J723" s="22" t="n"/>
    </row>
    <row r="724">
      <c r="A724" s="14" t="n"/>
      <c r="D724" s="22" t="n"/>
      <c r="J724" s="22" t="n"/>
    </row>
    <row r="725">
      <c r="A725" s="14" t="n"/>
      <c r="D725" s="22" t="n"/>
      <c r="J725" s="22" t="n"/>
    </row>
    <row r="726">
      <c r="A726" s="14" t="n"/>
      <c r="D726" s="22" t="n"/>
      <c r="J726" s="22" t="n"/>
    </row>
    <row r="727">
      <c r="A727" s="14" t="n"/>
      <c r="D727" s="22" t="n"/>
      <c r="J727" s="22" t="n"/>
    </row>
    <row r="728">
      <c r="A728" s="14" t="n"/>
      <c r="D728" s="22" t="n"/>
      <c r="J728" s="22" t="n"/>
    </row>
    <row r="729">
      <c r="A729" s="14" t="n"/>
      <c r="D729" s="22" t="n"/>
      <c r="J729" s="22" t="n"/>
    </row>
    <row r="730">
      <c r="A730" s="14" t="n"/>
      <c r="D730" s="22" t="n"/>
      <c r="J730" s="22" t="n"/>
    </row>
    <row r="731">
      <c r="A731" s="14" t="n"/>
      <c r="D731" s="22" t="n"/>
      <c r="J731" s="22" t="n"/>
    </row>
    <row r="732">
      <c r="A732" s="14" t="n"/>
      <c r="D732" s="22" t="n"/>
      <c r="J732" s="22" t="n"/>
    </row>
    <row r="733">
      <c r="A733" s="14" t="n"/>
      <c r="D733" s="22" t="n"/>
      <c r="J733" s="22" t="n"/>
    </row>
    <row r="734">
      <c r="A734" s="14" t="n"/>
      <c r="D734" s="22" t="n"/>
      <c r="J734" s="22" t="n"/>
    </row>
    <row r="735">
      <c r="A735" s="14" t="n"/>
      <c r="D735" s="22" t="n"/>
      <c r="J735" s="22" t="n"/>
    </row>
    <row r="736">
      <c r="A736" s="14" t="n"/>
      <c r="D736" s="22" t="n"/>
      <c r="J736" s="22" t="n"/>
    </row>
    <row r="737">
      <c r="A737" s="14" t="n"/>
      <c r="D737" s="22" t="n"/>
      <c r="J737" s="22" t="n"/>
    </row>
    <row r="738">
      <c r="A738" s="14" t="n"/>
      <c r="D738" s="22" t="n"/>
      <c r="J738" s="22" t="n"/>
    </row>
    <row r="739">
      <c r="A739" s="14" t="n"/>
      <c r="D739" s="22" t="n"/>
      <c r="J739" s="22" t="n"/>
    </row>
    <row r="740">
      <c r="A740" s="14" t="n"/>
      <c r="D740" s="22" t="n"/>
      <c r="J740" s="22" t="n"/>
    </row>
    <row r="741">
      <c r="A741" s="14" t="n"/>
      <c r="D741" s="22" t="n"/>
      <c r="J741" s="22" t="n"/>
    </row>
    <row r="742">
      <c r="A742" s="14" t="n"/>
      <c r="D742" s="22" t="n"/>
      <c r="J742" s="22" t="n"/>
    </row>
    <row r="743">
      <c r="A743" s="14" t="n"/>
      <c r="D743" s="22" t="n"/>
      <c r="J743" s="22" t="n"/>
    </row>
    <row r="744">
      <c r="A744" s="14" t="n"/>
      <c r="D744" s="22" t="n"/>
      <c r="J744" s="22" t="n"/>
    </row>
    <row r="745">
      <c r="A745" s="14" t="n"/>
      <c r="D745" s="22" t="n"/>
      <c r="J745" s="22" t="n"/>
    </row>
    <row r="746">
      <c r="A746" s="14" t="n"/>
      <c r="D746" s="22" t="n"/>
      <c r="J746" s="22" t="n"/>
    </row>
    <row r="747">
      <c r="A747" s="14" t="n"/>
      <c r="D747" s="22" t="n"/>
      <c r="J747" s="22" t="n"/>
    </row>
    <row r="748">
      <c r="A748" s="14" t="n"/>
      <c r="D748" s="22" t="n"/>
      <c r="J748" s="22" t="n"/>
    </row>
    <row r="749">
      <c r="A749" s="14" t="n"/>
      <c r="D749" s="22" t="n"/>
      <c r="J749" s="22" t="n"/>
    </row>
    <row r="750">
      <c r="A750" s="14" t="n"/>
      <c r="D750" s="22" t="n"/>
      <c r="J750" s="22" t="n"/>
    </row>
    <row r="751">
      <c r="A751" s="14" t="n"/>
      <c r="D751" s="22" t="n"/>
      <c r="J751" s="22" t="n"/>
    </row>
    <row r="752">
      <c r="A752" s="14" t="n"/>
      <c r="D752" s="22" t="n"/>
      <c r="J752" s="22" t="n"/>
    </row>
    <row r="753">
      <c r="A753" s="14" t="n"/>
      <c r="D753" s="22" t="n"/>
      <c r="J753" s="22" t="n"/>
    </row>
    <row r="754">
      <c r="A754" s="14" t="n"/>
      <c r="D754" s="22" t="n"/>
      <c r="J754" s="22" t="n"/>
    </row>
    <row r="755">
      <c r="A755" s="14" t="n"/>
      <c r="D755" s="22" t="n"/>
      <c r="J755" s="22" t="n"/>
    </row>
    <row r="756">
      <c r="A756" s="14" t="n"/>
      <c r="D756" s="22" t="n"/>
      <c r="J756" s="22" t="n"/>
    </row>
    <row r="757">
      <c r="A757" s="14" t="n"/>
      <c r="D757" s="22" t="n"/>
      <c r="J757" s="22" t="n"/>
    </row>
    <row r="758">
      <c r="A758" s="14" t="n"/>
      <c r="D758" s="22" t="n"/>
      <c r="J758" s="22" t="n"/>
    </row>
    <row r="759">
      <c r="A759" s="14" t="n"/>
      <c r="D759" s="22" t="n"/>
      <c r="J759" s="22" t="n"/>
    </row>
    <row r="760">
      <c r="A760" s="14" t="n"/>
      <c r="D760" s="22" t="n"/>
      <c r="J760" s="22" t="n"/>
    </row>
    <row r="761">
      <c r="A761" s="14" t="n"/>
      <c r="D761" s="22" t="n"/>
      <c r="J761" s="22" t="n"/>
    </row>
    <row r="762">
      <c r="A762" s="14" t="n"/>
      <c r="D762" s="22" t="n"/>
      <c r="J762" s="22" t="n"/>
    </row>
    <row r="763">
      <c r="A763" s="14" t="n"/>
      <c r="D763" s="22" t="n"/>
      <c r="J763" s="22" t="n"/>
    </row>
    <row r="764">
      <c r="A764" s="14" t="n"/>
      <c r="D764" s="22" t="n"/>
      <c r="J764" s="22" t="n"/>
    </row>
    <row r="765">
      <c r="A765" s="14" t="n"/>
      <c r="D765" s="22" t="n"/>
      <c r="J765" s="22" t="n"/>
    </row>
    <row r="766">
      <c r="A766" s="14" t="n"/>
      <c r="D766" s="22" t="n"/>
      <c r="J766" s="22" t="n"/>
    </row>
    <row r="767">
      <c r="A767" s="14" t="n"/>
      <c r="D767" s="22" t="n"/>
      <c r="J767" s="22" t="n"/>
    </row>
    <row r="768">
      <c r="A768" s="14" t="n"/>
      <c r="D768" s="22" t="n"/>
      <c r="J768" s="22" t="n"/>
    </row>
    <row r="769">
      <c r="A769" s="14" t="n"/>
      <c r="D769" s="22" t="n"/>
      <c r="J769" s="22" t="n"/>
    </row>
    <row r="770">
      <c r="A770" s="14" t="n"/>
      <c r="D770" s="22" t="n"/>
      <c r="J770" s="22" t="n"/>
    </row>
    <row r="771">
      <c r="A771" s="14" t="n"/>
      <c r="D771" s="22" t="n"/>
      <c r="J771" s="22" t="n"/>
    </row>
    <row r="772">
      <c r="A772" s="14" t="n"/>
      <c r="D772" s="22" t="n"/>
      <c r="J772" s="22" t="n"/>
    </row>
    <row r="773">
      <c r="A773" s="14" t="n"/>
      <c r="D773" s="22" t="n"/>
      <c r="J773" s="22" t="n"/>
    </row>
    <row r="774">
      <c r="A774" s="14" t="n"/>
      <c r="D774" s="22" t="n"/>
      <c r="J774" s="22" t="n"/>
    </row>
    <row r="775">
      <c r="A775" s="14" t="n"/>
      <c r="D775" s="22" t="n"/>
      <c r="J775" s="22" t="n"/>
    </row>
    <row r="776">
      <c r="A776" s="14" t="n"/>
      <c r="D776" s="22" t="n"/>
      <c r="J776" s="22" t="n"/>
    </row>
    <row r="777">
      <c r="A777" s="14" t="n"/>
      <c r="D777" s="22" t="n"/>
      <c r="J777" s="22" t="n"/>
    </row>
    <row r="778">
      <c r="A778" s="14" t="n"/>
      <c r="D778" s="22" t="n"/>
      <c r="J778" s="22" t="n"/>
    </row>
    <row r="779">
      <c r="A779" s="14" t="n"/>
      <c r="D779" s="22" t="n"/>
      <c r="J779" s="22" t="n"/>
    </row>
    <row r="780">
      <c r="A780" s="14" t="n"/>
      <c r="D780" s="22" t="n"/>
      <c r="J780" s="22" t="n"/>
    </row>
    <row r="781">
      <c r="A781" s="14" t="n"/>
      <c r="D781" s="22" t="n"/>
      <c r="J781" s="22" t="n"/>
    </row>
    <row r="782">
      <c r="A782" s="14" t="n"/>
      <c r="D782" s="22" t="n"/>
      <c r="J782" s="22" t="n"/>
    </row>
    <row r="783">
      <c r="A783" s="14" t="n"/>
      <c r="D783" s="22" t="n"/>
      <c r="J783" s="22" t="n"/>
    </row>
    <row r="784">
      <c r="A784" s="14" t="n"/>
      <c r="D784" s="22" t="n"/>
      <c r="J784" s="22" t="n"/>
    </row>
    <row r="785">
      <c r="A785" s="14" t="n"/>
      <c r="D785" s="22" t="n"/>
      <c r="J785" s="22" t="n"/>
    </row>
    <row r="786">
      <c r="A786" s="14" t="n"/>
      <c r="D786" s="22" t="n"/>
      <c r="J786" s="22" t="n"/>
    </row>
    <row r="787">
      <c r="A787" s="14" t="n"/>
      <c r="D787" s="22" t="n"/>
      <c r="J787" s="22" t="n"/>
    </row>
    <row r="788">
      <c r="A788" s="14" t="n"/>
      <c r="D788" s="22" t="n"/>
      <c r="J788" s="22" t="n"/>
    </row>
    <row r="789">
      <c r="A789" s="14" t="n"/>
      <c r="D789" s="22" t="n"/>
      <c r="J789" s="22" t="n"/>
    </row>
    <row r="790">
      <c r="A790" s="14" t="n"/>
      <c r="D790" s="22" t="n"/>
      <c r="J790" s="22" t="n"/>
    </row>
    <row r="791">
      <c r="A791" s="14" t="n"/>
      <c r="D791" s="22" t="n"/>
      <c r="J791" s="22" t="n"/>
    </row>
    <row r="792">
      <c r="A792" s="14" t="n"/>
      <c r="D792" s="22" t="n"/>
      <c r="J792" s="22" t="n"/>
    </row>
    <row r="793">
      <c r="A793" s="14" t="n"/>
      <c r="D793" s="22" t="n"/>
      <c r="J793" s="22" t="n"/>
    </row>
    <row r="794">
      <c r="A794" s="14" t="n"/>
      <c r="D794" s="22" t="n"/>
      <c r="J794" s="22" t="n"/>
    </row>
    <row r="795">
      <c r="A795" s="14" t="n"/>
      <c r="D795" s="22" t="n"/>
      <c r="J795" s="22" t="n"/>
    </row>
    <row r="796">
      <c r="A796" s="14" t="n"/>
      <c r="D796" s="22" t="n"/>
      <c r="J796" s="22" t="n"/>
    </row>
    <row r="797">
      <c r="A797" s="14" t="n"/>
      <c r="D797" s="22" t="n"/>
      <c r="J797" s="22" t="n"/>
    </row>
    <row r="798">
      <c r="A798" s="14" t="n"/>
      <c r="D798" s="22" t="n"/>
      <c r="J798" s="22" t="n"/>
    </row>
    <row r="799">
      <c r="A799" s="14" t="n"/>
      <c r="D799" s="22" t="n"/>
      <c r="J799" s="22" t="n"/>
    </row>
    <row r="800">
      <c r="A800" s="14" t="n"/>
      <c r="D800" s="22" t="n"/>
      <c r="J800" s="22" t="n"/>
    </row>
    <row r="801">
      <c r="A801" s="14" t="n"/>
      <c r="D801" s="22" t="n"/>
      <c r="J801" s="22" t="n"/>
    </row>
    <row r="802">
      <c r="A802" s="14" t="n"/>
      <c r="D802" s="22" t="n"/>
      <c r="J802" s="22" t="n"/>
    </row>
    <row r="803">
      <c r="A803" s="14" t="n"/>
      <c r="D803" s="22" t="n"/>
      <c r="J803" s="22" t="n"/>
    </row>
    <row r="804">
      <c r="A804" s="14" t="n"/>
      <c r="D804" s="22" t="n"/>
      <c r="J804" s="22" t="n"/>
    </row>
    <row r="805">
      <c r="A805" s="14" t="n"/>
      <c r="D805" s="22" t="n"/>
      <c r="J805" s="22" t="n"/>
    </row>
    <row r="806">
      <c r="A806" s="14" t="n"/>
      <c r="D806" s="22" t="n"/>
      <c r="J806" s="22" t="n"/>
    </row>
    <row r="807">
      <c r="A807" s="14" t="n"/>
      <c r="D807" s="22" t="n"/>
      <c r="J807" s="22" t="n"/>
    </row>
    <row r="808">
      <c r="A808" s="14" t="n"/>
      <c r="D808" s="22" t="n"/>
      <c r="J808" s="22" t="n"/>
    </row>
    <row r="809">
      <c r="A809" s="14" t="n"/>
      <c r="D809" s="22" t="n"/>
      <c r="J809" s="22" t="n"/>
    </row>
    <row r="810">
      <c r="A810" s="14" t="n"/>
      <c r="D810" s="22" t="n"/>
      <c r="J810" s="22" t="n"/>
    </row>
    <row r="811">
      <c r="A811" s="14" t="n"/>
      <c r="D811" s="22" t="n"/>
      <c r="J811" s="22" t="n"/>
    </row>
    <row r="812">
      <c r="A812" s="14" t="n"/>
      <c r="D812" s="22" t="n"/>
      <c r="J812" s="22" t="n"/>
    </row>
    <row r="813">
      <c r="A813" s="14" t="n"/>
      <c r="D813" s="22" t="n"/>
      <c r="J813" s="22" t="n"/>
    </row>
    <row r="814">
      <c r="A814" s="14" t="n"/>
      <c r="D814" s="22" t="n"/>
      <c r="J814" s="22" t="n"/>
    </row>
    <row r="815">
      <c r="A815" s="14" t="n"/>
      <c r="D815" s="22" t="n"/>
      <c r="J815" s="22" t="n"/>
    </row>
    <row r="816">
      <c r="A816" s="14" t="n"/>
      <c r="D816" s="22" t="n"/>
      <c r="J816" s="22" t="n"/>
    </row>
    <row r="817">
      <c r="A817" s="14" t="n"/>
      <c r="D817" s="22" t="n"/>
      <c r="J817" s="22" t="n"/>
    </row>
    <row r="818">
      <c r="A818" s="14" t="n"/>
      <c r="D818" s="22" t="n"/>
      <c r="J818" s="22" t="n"/>
    </row>
    <row r="819">
      <c r="A819" s="14" t="n"/>
      <c r="D819" s="22" t="n"/>
      <c r="J819" s="22" t="n"/>
    </row>
    <row r="820">
      <c r="A820" s="14" t="n"/>
      <c r="D820" s="22" t="n"/>
      <c r="J820" s="22" t="n"/>
    </row>
    <row r="821">
      <c r="A821" s="14" t="n"/>
      <c r="D821" s="22" t="n"/>
      <c r="J821" s="22" t="n"/>
    </row>
    <row r="822">
      <c r="A822" s="14" t="n"/>
      <c r="D822" s="22" t="n"/>
      <c r="J822" s="22" t="n"/>
    </row>
    <row r="823">
      <c r="A823" s="14" t="n"/>
      <c r="D823" s="22" t="n"/>
      <c r="J823" s="22" t="n"/>
    </row>
    <row r="824">
      <c r="A824" s="14" t="n"/>
      <c r="D824" s="22" t="n"/>
      <c r="J824" s="22" t="n"/>
    </row>
    <row r="825">
      <c r="A825" s="14" t="n"/>
      <c r="D825" s="22" t="n"/>
      <c r="J825" s="22" t="n"/>
    </row>
    <row r="826">
      <c r="A826" s="14" t="n"/>
      <c r="D826" s="22" t="n"/>
      <c r="J826" s="22" t="n"/>
    </row>
    <row r="827">
      <c r="A827" s="14" t="n"/>
      <c r="D827" s="22" t="n"/>
      <c r="J827" s="22" t="n"/>
    </row>
    <row r="828">
      <c r="A828" s="14" t="n"/>
      <c r="D828" s="22" t="n"/>
      <c r="J828" s="22" t="n"/>
    </row>
    <row r="829">
      <c r="A829" s="14" t="n"/>
      <c r="D829" s="22" t="n"/>
      <c r="J829" s="22" t="n"/>
    </row>
    <row r="830">
      <c r="A830" s="14" t="n"/>
      <c r="D830" s="22" t="n"/>
      <c r="J830" s="22" t="n"/>
    </row>
    <row r="831">
      <c r="A831" s="14" t="n"/>
      <c r="D831" s="22" t="n"/>
      <c r="J831" s="22" t="n"/>
    </row>
    <row r="832">
      <c r="A832" s="14" t="n"/>
      <c r="D832" s="22" t="n"/>
      <c r="J832" s="22" t="n"/>
    </row>
    <row r="833">
      <c r="A833" s="14" t="n"/>
      <c r="D833" s="22" t="n"/>
      <c r="J833" s="22" t="n"/>
    </row>
    <row r="834">
      <c r="A834" s="14" t="n"/>
      <c r="D834" s="22" t="n"/>
      <c r="J834" s="22" t="n"/>
    </row>
    <row r="835">
      <c r="A835" s="14" t="n"/>
      <c r="D835" s="22" t="n"/>
      <c r="J835" s="22" t="n"/>
    </row>
    <row r="836">
      <c r="A836" s="14" t="n"/>
      <c r="D836" s="22" t="n"/>
      <c r="J836" s="22" t="n"/>
    </row>
    <row r="837">
      <c r="A837" s="14" t="n"/>
      <c r="D837" s="22" t="n"/>
      <c r="J837" s="22" t="n"/>
    </row>
    <row r="838">
      <c r="A838" s="14" t="n"/>
      <c r="D838" s="22" t="n"/>
      <c r="J838" s="22" t="n"/>
    </row>
    <row r="839">
      <c r="A839" s="14" t="n"/>
      <c r="D839" s="22" t="n"/>
      <c r="J839" s="22" t="n"/>
    </row>
    <row r="840">
      <c r="A840" s="14" t="n"/>
      <c r="D840" s="22" t="n"/>
      <c r="J840" s="22" t="n"/>
    </row>
    <row r="841">
      <c r="A841" s="14" t="n"/>
      <c r="D841" s="22" t="n"/>
      <c r="J841" s="22" t="n"/>
    </row>
    <row r="842">
      <c r="A842" s="14" t="n"/>
      <c r="D842" s="22" t="n"/>
      <c r="J842" s="22" t="n"/>
    </row>
    <row r="843">
      <c r="A843" s="14" t="n"/>
      <c r="D843" s="22" t="n"/>
      <c r="J843" s="22" t="n"/>
    </row>
    <row r="844">
      <c r="A844" s="14" t="n"/>
      <c r="D844" s="22" t="n"/>
      <c r="J844" s="22" t="n"/>
    </row>
    <row r="845">
      <c r="A845" s="14" t="n"/>
      <c r="D845" s="22" t="n"/>
      <c r="J845" s="22" t="n"/>
    </row>
    <row r="846">
      <c r="A846" s="14" t="n"/>
      <c r="D846" s="22" t="n"/>
      <c r="J846" s="22" t="n"/>
    </row>
    <row r="847">
      <c r="A847" s="14" t="n"/>
      <c r="D847" s="22" t="n"/>
      <c r="J847" s="22" t="n"/>
    </row>
    <row r="848">
      <c r="A848" s="14" t="n"/>
      <c r="D848" s="22" t="n"/>
      <c r="J848" s="22" t="n"/>
    </row>
    <row r="849">
      <c r="A849" s="14" t="n"/>
      <c r="D849" s="22" t="n"/>
      <c r="J849" s="22" t="n"/>
    </row>
    <row r="850">
      <c r="A850" s="14" t="n"/>
      <c r="D850" s="22" t="n"/>
      <c r="J850" s="22" t="n"/>
    </row>
    <row r="851">
      <c r="A851" s="14" t="n"/>
      <c r="D851" s="22" t="n"/>
      <c r="J851" s="22" t="n"/>
    </row>
    <row r="852">
      <c r="A852" s="14" t="n"/>
      <c r="D852" s="22" t="n"/>
      <c r="J852" s="22" t="n"/>
    </row>
    <row r="853">
      <c r="A853" s="14" t="n"/>
      <c r="D853" s="22" t="n"/>
      <c r="J853" s="22" t="n"/>
    </row>
    <row r="854">
      <c r="A854" s="14" t="n"/>
      <c r="D854" s="22" t="n"/>
      <c r="J854" s="22" t="n"/>
    </row>
    <row r="855">
      <c r="A855" s="14" t="n"/>
      <c r="D855" s="22" t="n"/>
      <c r="J855" s="22" t="n"/>
    </row>
    <row r="856">
      <c r="A856" s="14" t="n"/>
      <c r="D856" s="22" t="n"/>
      <c r="J856" s="22" t="n"/>
    </row>
    <row r="857">
      <c r="A857" s="14" t="n"/>
      <c r="D857" s="22" t="n"/>
      <c r="J857" s="22" t="n"/>
    </row>
    <row r="858">
      <c r="A858" s="14" t="n"/>
      <c r="D858" s="22" t="n"/>
      <c r="J858" s="22" t="n"/>
    </row>
    <row r="859">
      <c r="A859" s="14" t="n"/>
      <c r="D859" s="22" t="n"/>
      <c r="J859" s="22" t="n"/>
    </row>
    <row r="860">
      <c r="A860" s="14" t="n"/>
      <c r="D860" s="22" t="n"/>
      <c r="J860" s="22" t="n"/>
    </row>
    <row r="861">
      <c r="A861" s="14" t="n"/>
      <c r="D861" s="22" t="n"/>
      <c r="J861" s="22" t="n"/>
    </row>
    <row r="862">
      <c r="A862" s="14" t="n"/>
      <c r="D862" s="22" t="n"/>
      <c r="J862" s="22" t="n"/>
    </row>
    <row r="863">
      <c r="A863" s="14" t="n"/>
      <c r="D863" s="22" t="n"/>
      <c r="J863" s="22" t="n"/>
    </row>
    <row r="864">
      <c r="A864" s="14" t="n"/>
      <c r="D864" s="22" t="n"/>
      <c r="J864" s="22" t="n"/>
    </row>
    <row r="865">
      <c r="A865" s="14" t="n"/>
      <c r="D865" s="22" t="n"/>
      <c r="J865" s="22" t="n"/>
    </row>
    <row r="866">
      <c r="A866" s="14" t="n"/>
      <c r="D866" s="22" t="n"/>
      <c r="J866" s="22" t="n"/>
    </row>
    <row r="867">
      <c r="A867" s="14" t="n"/>
      <c r="D867" s="22" t="n"/>
      <c r="J867" s="22" t="n"/>
    </row>
    <row r="868">
      <c r="A868" s="14" t="n"/>
      <c r="D868" s="22" t="n"/>
      <c r="J868" s="22" t="n"/>
    </row>
    <row r="869">
      <c r="A869" s="14" t="n"/>
      <c r="D869" s="22" t="n"/>
      <c r="J869" s="22" t="n"/>
    </row>
    <row r="870">
      <c r="A870" s="14" t="n"/>
      <c r="D870" s="22" t="n"/>
      <c r="J870" s="22" t="n"/>
    </row>
    <row r="871">
      <c r="A871" s="14" t="n"/>
      <c r="D871" s="22" t="n"/>
      <c r="J871" s="22" t="n"/>
    </row>
    <row r="872">
      <c r="A872" s="14" t="n"/>
      <c r="D872" s="22" t="n"/>
      <c r="J872" s="22" t="n"/>
    </row>
    <row r="873">
      <c r="A873" s="14" t="n"/>
      <c r="D873" s="22" t="n"/>
      <c r="J873" s="22" t="n"/>
    </row>
    <row r="874">
      <c r="A874" s="14" t="n"/>
      <c r="D874" s="22" t="n"/>
      <c r="J874" s="22" t="n"/>
    </row>
    <row r="875">
      <c r="A875" s="14" t="n"/>
      <c r="D875" s="22" t="n"/>
      <c r="J875" s="22" t="n"/>
    </row>
    <row r="876">
      <c r="A876" s="14" t="n"/>
      <c r="D876" s="22" t="n"/>
      <c r="J876" s="22" t="n"/>
    </row>
    <row r="877">
      <c r="A877" s="14" t="n"/>
      <c r="D877" s="22" t="n"/>
      <c r="J877" s="22" t="n"/>
    </row>
    <row r="878">
      <c r="A878" s="14" t="n"/>
      <c r="D878" s="22" t="n"/>
      <c r="J878" s="22" t="n"/>
    </row>
    <row r="879">
      <c r="A879" s="14" t="n"/>
      <c r="D879" s="22" t="n"/>
      <c r="J879" s="22" t="n"/>
    </row>
    <row r="880">
      <c r="A880" s="14" t="n"/>
      <c r="D880" s="22" t="n"/>
      <c r="J880" s="22" t="n"/>
    </row>
    <row r="881">
      <c r="A881" s="14" t="n"/>
      <c r="D881" s="22" t="n"/>
      <c r="J881" s="22" t="n"/>
    </row>
    <row r="882">
      <c r="A882" s="14" t="n"/>
      <c r="D882" s="22" t="n"/>
      <c r="J882" s="22" t="n"/>
    </row>
    <row r="883">
      <c r="A883" s="14" t="n"/>
      <c r="D883" s="22" t="n"/>
      <c r="J883" s="22" t="n"/>
    </row>
    <row r="884">
      <c r="A884" s="14" t="n"/>
      <c r="D884" s="22" t="n"/>
      <c r="J884" s="22" t="n"/>
    </row>
    <row r="885">
      <c r="A885" s="14" t="n"/>
      <c r="D885" s="22" t="n"/>
      <c r="J885" s="22" t="n"/>
    </row>
    <row r="886">
      <c r="A886" s="14" t="n"/>
      <c r="D886" s="22" t="n"/>
      <c r="J886" s="22" t="n"/>
    </row>
    <row r="887">
      <c r="A887" s="14" t="n"/>
      <c r="D887" s="22" t="n"/>
      <c r="J887" s="22" t="n"/>
    </row>
    <row r="888">
      <c r="A888" s="14" t="n"/>
      <c r="D888" s="22" t="n"/>
      <c r="J888" s="22" t="n"/>
    </row>
    <row r="889">
      <c r="A889" s="14" t="n"/>
      <c r="D889" s="22" t="n"/>
      <c r="J889" s="22" t="n"/>
    </row>
    <row r="890">
      <c r="A890" s="14" t="n"/>
      <c r="D890" s="22" t="n"/>
      <c r="J890" s="22" t="n"/>
    </row>
    <row r="891">
      <c r="A891" s="14" t="n"/>
      <c r="D891" s="22" t="n"/>
      <c r="J891" s="22" t="n"/>
    </row>
    <row r="892">
      <c r="A892" s="14" t="n"/>
      <c r="D892" s="22" t="n"/>
      <c r="J892" s="22" t="n"/>
    </row>
    <row r="893">
      <c r="A893" s="14" t="n"/>
      <c r="D893" s="22" t="n"/>
      <c r="J893" s="22" t="n"/>
    </row>
    <row r="894">
      <c r="A894" s="14" t="n"/>
      <c r="D894" s="22" t="n"/>
      <c r="J894" s="22" t="n"/>
    </row>
    <row r="895">
      <c r="A895" s="14" t="n"/>
      <c r="D895" s="22" t="n"/>
      <c r="J895" s="22" t="n"/>
    </row>
    <row r="896">
      <c r="A896" s="14" t="n"/>
      <c r="D896" s="22" t="n"/>
      <c r="J896" s="22" t="n"/>
    </row>
    <row r="897">
      <c r="A897" s="14" t="n"/>
      <c r="D897" s="22" t="n"/>
      <c r="J897" s="22" t="n"/>
    </row>
    <row r="898">
      <c r="A898" s="14" t="n"/>
      <c r="D898" s="22" t="n"/>
      <c r="J898" s="22" t="n"/>
    </row>
    <row r="899">
      <c r="A899" s="14" t="n"/>
      <c r="D899" s="22" t="n"/>
      <c r="J899" s="22" t="n"/>
    </row>
    <row r="900">
      <c r="A900" s="14" t="n"/>
      <c r="D900" s="22" t="n"/>
      <c r="J900" s="22" t="n"/>
    </row>
    <row r="901">
      <c r="A901" s="14" t="n"/>
      <c r="D901" s="22" t="n"/>
      <c r="J901" s="22" t="n"/>
    </row>
    <row r="902">
      <c r="A902" s="14" t="n"/>
      <c r="D902" s="22" t="n"/>
      <c r="J902" s="22" t="n"/>
    </row>
    <row r="903">
      <c r="A903" s="14" t="n"/>
      <c r="D903" s="22" t="n"/>
      <c r="J903" s="22" t="n"/>
    </row>
    <row r="904">
      <c r="A904" s="14" t="n"/>
      <c r="D904" s="22" t="n"/>
      <c r="J904" s="22" t="n"/>
    </row>
    <row r="905">
      <c r="A905" s="14" t="n"/>
      <c r="D905" s="22" t="n"/>
      <c r="J905" s="22" t="n"/>
    </row>
    <row r="906">
      <c r="A906" s="14" t="n"/>
      <c r="D906" s="22" t="n"/>
      <c r="J906" s="22" t="n"/>
    </row>
    <row r="907">
      <c r="A907" s="14" t="n"/>
      <c r="D907" s="22" t="n"/>
      <c r="J907" s="22" t="n"/>
    </row>
    <row r="908">
      <c r="A908" s="14" t="n"/>
      <c r="D908" s="22" t="n"/>
      <c r="J908" s="22" t="n"/>
    </row>
    <row r="909">
      <c r="A909" s="14" t="n"/>
      <c r="D909" s="22" t="n"/>
      <c r="J909" s="22" t="n"/>
    </row>
    <row r="910">
      <c r="A910" s="14" t="n"/>
      <c r="D910" s="22" t="n"/>
      <c r="J910" s="22" t="n"/>
    </row>
    <row r="911">
      <c r="A911" s="14" t="n"/>
      <c r="D911" s="22" t="n"/>
      <c r="J911" s="22" t="n"/>
    </row>
    <row r="912">
      <c r="A912" s="14" t="n"/>
      <c r="D912" s="22" t="n"/>
      <c r="J912" s="22" t="n"/>
    </row>
    <row r="913">
      <c r="A913" s="14" t="n"/>
      <c r="D913" s="22" t="n"/>
      <c r="J913" s="22" t="n"/>
    </row>
    <row r="914">
      <c r="A914" s="14" t="n"/>
      <c r="D914" s="22" t="n"/>
      <c r="J914" s="22" t="n"/>
    </row>
    <row r="915">
      <c r="A915" s="14" t="n"/>
      <c r="D915" s="22" t="n"/>
      <c r="J915" s="22" t="n"/>
    </row>
    <row r="916">
      <c r="A916" s="14" t="n"/>
      <c r="D916" s="22" t="n"/>
      <c r="J916" s="22" t="n"/>
    </row>
    <row r="917">
      <c r="A917" s="14" t="n"/>
      <c r="D917" s="22" t="n"/>
      <c r="J917" s="22" t="n"/>
    </row>
    <row r="918">
      <c r="A918" s="14" t="n"/>
      <c r="D918" s="22" t="n"/>
      <c r="J918" s="22" t="n"/>
    </row>
    <row r="919">
      <c r="A919" s="14" t="n"/>
      <c r="D919" s="22" t="n"/>
      <c r="J919" s="22" t="n"/>
    </row>
    <row r="920">
      <c r="A920" s="14" t="n"/>
      <c r="D920" s="22" t="n"/>
      <c r="J920" s="22" t="n"/>
    </row>
    <row r="921">
      <c r="A921" s="14" t="n"/>
      <c r="D921" s="22" t="n"/>
      <c r="J921" s="22" t="n"/>
    </row>
    <row r="922">
      <c r="A922" s="14" t="n"/>
      <c r="D922" s="22" t="n"/>
      <c r="J922" s="22" t="n"/>
    </row>
    <row r="923">
      <c r="A923" s="14" t="n"/>
      <c r="D923" s="22" t="n"/>
      <c r="J923" s="22" t="n"/>
    </row>
    <row r="924">
      <c r="A924" s="14" t="n"/>
      <c r="D924" s="22" t="n"/>
      <c r="J924" s="22" t="n"/>
    </row>
    <row r="925">
      <c r="A925" s="14" t="n"/>
      <c r="D925" s="22" t="n"/>
      <c r="J925" s="22" t="n"/>
    </row>
    <row r="926">
      <c r="A926" s="14" t="n"/>
      <c r="D926" s="22" t="n"/>
      <c r="J926" s="22" t="n"/>
    </row>
    <row r="927">
      <c r="A927" s="14" t="n"/>
      <c r="D927" s="22" t="n"/>
      <c r="J927" s="22" t="n"/>
    </row>
    <row r="928">
      <c r="A928" s="14" t="n"/>
      <c r="D928" s="22" t="n"/>
      <c r="J928" s="22" t="n"/>
    </row>
    <row r="929">
      <c r="A929" s="14" t="n"/>
      <c r="D929" s="22" t="n"/>
      <c r="J929" s="22" t="n"/>
    </row>
    <row r="930">
      <c r="A930" s="14" t="n"/>
      <c r="D930" s="22" t="n"/>
      <c r="J930" s="22" t="n"/>
    </row>
    <row r="931">
      <c r="A931" s="14" t="n"/>
      <c r="D931" s="22" t="n"/>
      <c r="J931" s="22" t="n"/>
    </row>
    <row r="932">
      <c r="A932" s="14" t="n"/>
      <c r="D932" s="22" t="n"/>
      <c r="J932" s="22" t="n"/>
    </row>
    <row r="933">
      <c r="A933" s="14" t="n"/>
      <c r="D933" s="22" t="n"/>
      <c r="J933" s="22" t="n"/>
    </row>
    <row r="934">
      <c r="A934" s="14" t="n"/>
      <c r="D934" s="22" t="n"/>
      <c r="J934" s="22" t="n"/>
    </row>
    <row r="935">
      <c r="A935" s="14" t="n"/>
      <c r="D935" s="22" t="n"/>
      <c r="J935" s="22" t="n"/>
    </row>
    <row r="936">
      <c r="A936" s="14" t="n"/>
      <c r="D936" s="22" t="n"/>
      <c r="J936" s="22" t="n"/>
    </row>
    <row r="937">
      <c r="A937" s="14" t="n"/>
      <c r="D937" s="22" t="n"/>
      <c r="J937" s="22" t="n"/>
    </row>
    <row r="938">
      <c r="A938" s="14" t="n"/>
      <c r="D938" s="22" t="n"/>
      <c r="J938" s="22" t="n"/>
    </row>
    <row r="939">
      <c r="A939" s="14" t="n"/>
      <c r="D939" s="22" t="n"/>
      <c r="J939" s="22" t="n"/>
    </row>
    <row r="940">
      <c r="A940" s="14" t="n"/>
      <c r="D940" s="22" t="n"/>
      <c r="J940" s="22" t="n"/>
    </row>
    <row r="941">
      <c r="A941" s="14" t="n"/>
      <c r="D941" s="22" t="n"/>
      <c r="J941" s="22" t="n"/>
    </row>
    <row r="942">
      <c r="A942" s="14" t="n"/>
      <c r="D942" s="22" t="n"/>
      <c r="J942" s="22" t="n"/>
    </row>
    <row r="943">
      <c r="A943" s="14" t="n"/>
      <c r="D943" s="22" t="n"/>
      <c r="J943" s="22" t="n"/>
    </row>
    <row r="944">
      <c r="A944" s="14" t="n"/>
      <c r="D944" s="22" t="n"/>
      <c r="J944" s="22" t="n"/>
    </row>
    <row r="945">
      <c r="A945" s="14" t="n"/>
      <c r="D945" s="22" t="n"/>
      <c r="J945" s="22" t="n"/>
    </row>
    <row r="946">
      <c r="A946" s="14" t="n"/>
      <c r="D946" s="22" t="n"/>
      <c r="J946" s="22" t="n"/>
    </row>
    <row r="947">
      <c r="A947" s="14" t="n"/>
      <c r="D947" s="22" t="n"/>
      <c r="J947" s="22" t="n"/>
    </row>
    <row r="948">
      <c r="A948" s="14" t="n"/>
      <c r="D948" s="22" t="n"/>
      <c r="J948" s="22" t="n"/>
    </row>
    <row r="949">
      <c r="A949" s="14" t="n"/>
      <c r="D949" s="22" t="n"/>
      <c r="J949" s="22" t="n"/>
    </row>
    <row r="950">
      <c r="A950" s="14" t="n"/>
      <c r="D950" s="22" t="n"/>
      <c r="J950" s="22" t="n"/>
    </row>
    <row r="951">
      <c r="A951" s="14" t="n"/>
      <c r="D951" s="22" t="n"/>
      <c r="J951" s="22" t="n"/>
    </row>
    <row r="952">
      <c r="A952" s="14" t="n"/>
      <c r="D952" s="22" t="n"/>
      <c r="J952" s="22" t="n"/>
    </row>
    <row r="953">
      <c r="A953" s="14" t="n"/>
      <c r="D953" s="22" t="n"/>
      <c r="J953" s="22" t="n"/>
    </row>
    <row r="954">
      <c r="A954" s="14" t="n"/>
      <c r="D954" s="22" t="n"/>
      <c r="J954" s="22" t="n"/>
    </row>
    <row r="955">
      <c r="A955" s="14" t="n"/>
      <c r="D955" s="22" t="n"/>
      <c r="J955" s="22" t="n"/>
    </row>
    <row r="956">
      <c r="A956" s="14" t="n"/>
      <c r="D956" s="22" t="n"/>
      <c r="J956" s="22" t="n"/>
    </row>
    <row r="957">
      <c r="A957" s="14" t="n"/>
      <c r="D957" s="22" t="n"/>
      <c r="J957" s="22" t="n"/>
    </row>
    <row r="958">
      <c r="A958" s="14" t="n"/>
      <c r="D958" s="22" t="n"/>
      <c r="J958" s="22" t="n"/>
    </row>
    <row r="959">
      <c r="A959" s="14" t="n"/>
      <c r="D959" s="22" t="n"/>
      <c r="J959" s="22" t="n"/>
    </row>
    <row r="960">
      <c r="A960" s="14" t="n"/>
      <c r="D960" s="22" t="n"/>
      <c r="J960" s="22" t="n"/>
    </row>
    <row r="961">
      <c r="A961" s="14" t="n"/>
      <c r="D961" s="22" t="n"/>
      <c r="J961" s="22" t="n"/>
    </row>
    <row r="962">
      <c r="A962" s="14" t="n"/>
      <c r="D962" s="22" t="n"/>
      <c r="J962" s="22" t="n"/>
    </row>
    <row r="963">
      <c r="A963" s="14" t="n"/>
      <c r="D963" s="22" t="n"/>
      <c r="J963" s="22" t="n"/>
    </row>
    <row r="964">
      <c r="A964" s="14" t="n"/>
      <c r="D964" s="22" t="n"/>
      <c r="J964" s="22" t="n"/>
    </row>
    <row r="965">
      <c r="A965" s="14" t="n"/>
      <c r="D965" s="22" t="n"/>
      <c r="J965" s="22" t="n"/>
    </row>
    <row r="966">
      <c r="A966" s="14" t="n"/>
      <c r="D966" s="22" t="n"/>
      <c r="J966" s="22" t="n"/>
    </row>
    <row r="967">
      <c r="A967" s="14" t="n"/>
      <c r="D967" s="22" t="n"/>
      <c r="J967" s="22" t="n"/>
    </row>
    <row r="968">
      <c r="A968" s="14" t="n"/>
      <c r="D968" s="22" t="n"/>
      <c r="J968" s="22" t="n"/>
    </row>
    <row r="969">
      <c r="A969" s="14" t="n"/>
      <c r="D969" s="22" t="n"/>
      <c r="J969" s="22" t="n"/>
    </row>
    <row r="970">
      <c r="A970" s="14" t="n"/>
      <c r="D970" s="22" t="n"/>
      <c r="J970" s="22" t="n"/>
    </row>
    <row r="971">
      <c r="A971" s="14" t="n"/>
      <c r="D971" s="22" t="n"/>
      <c r="J971" s="22" t="n"/>
    </row>
    <row r="972">
      <c r="A972" s="14" t="n"/>
      <c r="D972" s="22" t="n"/>
      <c r="J972" s="22" t="n"/>
    </row>
    <row r="973">
      <c r="A973" s="14" t="n"/>
      <c r="D973" s="22" t="n"/>
      <c r="J973" s="22" t="n"/>
    </row>
    <row r="974">
      <c r="A974" s="14" t="n"/>
      <c r="D974" s="22" t="n"/>
      <c r="J974" s="22" t="n"/>
    </row>
    <row r="975">
      <c r="A975" s="14" t="n"/>
      <c r="D975" s="22" t="n"/>
      <c r="J975" s="22" t="n"/>
    </row>
    <row r="976">
      <c r="A976" s="14" t="n"/>
      <c r="D976" s="22" t="n"/>
      <c r="J976" s="22" t="n"/>
    </row>
    <row r="977">
      <c r="A977" s="14" t="n"/>
      <c r="D977" s="22" t="n"/>
      <c r="J977" s="22" t="n"/>
    </row>
    <row r="978">
      <c r="A978" s="14" t="n"/>
      <c r="D978" s="22" t="n"/>
      <c r="J978" s="22" t="n"/>
    </row>
    <row r="979">
      <c r="A979" s="14" t="n"/>
      <c r="D979" s="22" t="n"/>
      <c r="J979" s="22" t="n"/>
    </row>
    <row r="980">
      <c r="A980" s="14" t="n"/>
      <c r="D980" s="22" t="n"/>
      <c r="J980" s="22" t="n"/>
    </row>
    <row r="981">
      <c r="A981" s="14" t="n"/>
      <c r="D981" s="22" t="n"/>
      <c r="J981" s="22" t="n"/>
    </row>
    <row r="982">
      <c r="A982" s="14" t="n"/>
      <c r="D982" s="22" t="n"/>
      <c r="J982" s="22" t="n"/>
    </row>
    <row r="983">
      <c r="A983" s="14" t="n"/>
      <c r="D983" s="22" t="n"/>
      <c r="J983" s="22" t="n"/>
    </row>
    <row r="984">
      <c r="A984" s="14" t="n"/>
      <c r="D984" s="22" t="n"/>
      <c r="J984" s="22" t="n"/>
    </row>
    <row r="985">
      <c r="A985" s="14" t="n"/>
      <c r="D985" s="22" t="n"/>
      <c r="J985" s="22" t="n"/>
    </row>
    <row r="986">
      <c r="A986" s="14" t="n"/>
      <c r="D986" s="22" t="n"/>
      <c r="J986" s="22" t="n"/>
    </row>
    <row r="987">
      <c r="A987" s="14" t="n"/>
      <c r="D987" s="22" t="n"/>
      <c r="J987" s="22" t="n"/>
    </row>
    <row r="988">
      <c r="A988" s="14" t="n"/>
      <c r="D988" s="22" t="n"/>
      <c r="J988" s="22" t="n"/>
    </row>
    <row r="989">
      <c r="A989" s="14" t="n"/>
      <c r="D989" s="22" t="n"/>
      <c r="J989" s="22" t="n"/>
    </row>
    <row r="990">
      <c r="A990" s="14" t="n"/>
      <c r="D990" s="22" t="n"/>
      <c r="J990" s="22" t="n"/>
    </row>
    <row r="991">
      <c r="A991" s="14" t="n"/>
      <c r="D991" s="22" t="n"/>
      <c r="J991" s="22" t="n"/>
    </row>
    <row r="992">
      <c r="A992" s="14" t="n"/>
      <c r="D992" s="22" t="n"/>
      <c r="J992" s="22" t="n"/>
    </row>
    <row r="993">
      <c r="A993" s="14" t="n"/>
      <c r="D993" s="22" t="n"/>
      <c r="J993" s="22" t="n"/>
    </row>
    <row r="994">
      <c r="A994" s="14" t="n"/>
      <c r="D994" s="22" t="n"/>
      <c r="J994" s="22" t="n"/>
    </row>
    <row r="995">
      <c r="A995" s="14" t="n"/>
      <c r="D995" s="22" t="n"/>
      <c r="J995" s="22" t="n"/>
    </row>
    <row r="996">
      <c r="A996" s="14" t="n"/>
      <c r="D996" s="22" t="n"/>
      <c r="J996" s="22" t="n"/>
    </row>
    <row r="997">
      <c r="A997" s="14" t="n"/>
      <c r="D997" s="22" t="n"/>
      <c r="J997" s="22" t="n"/>
    </row>
    <row r="998">
      <c r="A998" s="14" t="n"/>
      <c r="D998" s="22" t="n"/>
      <c r="J998" s="22" t="n"/>
    </row>
    <row r="999">
      <c r="A999" s="14" t="n"/>
      <c r="D999" s="22" t="n"/>
      <c r="J999" s="22" t="n"/>
    </row>
    <row r="1000">
      <c r="A1000" s="14" t="n"/>
      <c r="D1000" s="22" t="n"/>
      <c r="J1000" s="22" t="n"/>
    </row>
    <row r="1001">
      <c r="A1001" s="14" t="n"/>
      <c r="D1001" s="22" t="n"/>
      <c r="J1001" s="22" t="n"/>
    </row>
    <row r="1002">
      <c r="A1002" s="14" t="n"/>
      <c r="D1002" s="22" t="n"/>
      <c r="J1002" s="22" t="n"/>
    </row>
    <row r="1003">
      <c r="A1003" s="14" t="n"/>
      <c r="D1003" s="22" t="n"/>
      <c r="J1003" s="22" t="n"/>
    </row>
    <row r="1004">
      <c r="A1004" s="14" t="n"/>
      <c r="D1004" s="22" t="n"/>
      <c r="J1004" s="22" t="n"/>
    </row>
    <row r="1005">
      <c r="A1005" s="14" t="n"/>
      <c r="D1005" s="22" t="n"/>
      <c r="J1005" s="22" t="n"/>
    </row>
    <row r="1006">
      <c r="A1006" s="14" t="n"/>
      <c r="D1006" s="22" t="n"/>
      <c r="J1006" s="22" t="n"/>
    </row>
    <row r="1007">
      <c r="A1007" s="14" t="n"/>
      <c r="D1007" s="22" t="n"/>
      <c r="J1007" s="22" t="n"/>
    </row>
    <row r="1008">
      <c r="A1008" s="14" t="n"/>
      <c r="D1008" s="22" t="n"/>
      <c r="J1008" s="22" t="n"/>
    </row>
    <row r="1009">
      <c r="A1009" s="14" t="n"/>
      <c r="D1009" s="22" t="n"/>
      <c r="J1009" s="22" t="n"/>
    </row>
    <row r="1010">
      <c r="A1010" s="14" t="n"/>
      <c r="D1010" s="22" t="n"/>
      <c r="J1010" s="22" t="n"/>
    </row>
    <row r="1011">
      <c r="A1011" s="14" t="n"/>
      <c r="D1011" s="22" t="n"/>
      <c r="J1011" s="22" t="n"/>
    </row>
    <row r="1012">
      <c r="A1012" s="14" t="n"/>
      <c r="D1012" s="22" t="n"/>
      <c r="J1012" s="22" t="n"/>
    </row>
    <row r="1013">
      <c r="A1013" s="14" t="n"/>
      <c r="D1013" s="22" t="n"/>
      <c r="J1013" s="22" t="n"/>
    </row>
    <row r="1014">
      <c r="A1014" s="14" t="n"/>
      <c r="D1014" s="22" t="n"/>
      <c r="J1014" s="22" t="n"/>
    </row>
    <row r="1015">
      <c r="A1015" s="14" t="n"/>
      <c r="D1015" s="22" t="n"/>
      <c r="J1015" s="22" t="n"/>
    </row>
    <row r="1016">
      <c r="A1016" s="14" t="n"/>
      <c r="D1016" s="22" t="n"/>
      <c r="J1016" s="22" t="n"/>
    </row>
    <row r="1017">
      <c r="A1017" s="14" t="n"/>
      <c r="D1017" s="22" t="n"/>
      <c r="J1017" s="22" t="n"/>
    </row>
    <row r="1018">
      <c r="A1018" s="14" t="n"/>
      <c r="D1018" s="22" t="n"/>
      <c r="J1018" s="22" t="n"/>
    </row>
    <row r="1019">
      <c r="A1019" s="14" t="n"/>
      <c r="D1019" s="22" t="n"/>
      <c r="J1019" s="22" t="n"/>
    </row>
    <row r="1020">
      <c r="A1020" s="14" t="n"/>
      <c r="D1020" s="22" t="n"/>
      <c r="J1020" s="22" t="n"/>
    </row>
    <row r="1021">
      <c r="A1021" s="14" t="n"/>
      <c r="D1021" s="22" t="n"/>
      <c r="J1021" s="22" t="n"/>
    </row>
    <row r="1022">
      <c r="A1022" s="14" t="n"/>
      <c r="D1022" s="22" t="n"/>
      <c r="J1022" s="22" t="n"/>
    </row>
    <row r="1023">
      <c r="A1023" s="14" t="n"/>
      <c r="D1023" s="22" t="n"/>
      <c r="J1023" s="22" t="n"/>
    </row>
    <row r="1024">
      <c r="A1024" s="14" t="n"/>
      <c r="D1024" s="22" t="n"/>
      <c r="J1024" s="22" t="n"/>
    </row>
    <row r="1025">
      <c r="A1025" s="14" t="n"/>
      <c r="D1025" s="22" t="n"/>
      <c r="J1025" s="22" t="n"/>
    </row>
    <row r="1026">
      <c r="A1026" s="14" t="n"/>
      <c r="D1026" s="22" t="n"/>
      <c r="J1026" s="22" t="n"/>
    </row>
    <row r="1027">
      <c r="A1027" s="14" t="n"/>
      <c r="D1027" s="22" t="n"/>
      <c r="J1027" s="22" t="n"/>
    </row>
    <row r="1028">
      <c r="A1028" s="14" t="n"/>
      <c r="D1028" s="22" t="n"/>
      <c r="J1028" s="22" t="n"/>
    </row>
    <row r="1029">
      <c r="A1029" s="14" t="n"/>
      <c r="D1029" s="22" t="n"/>
      <c r="J1029" s="22" t="n"/>
    </row>
    <row r="1030">
      <c r="A1030" s="14" t="n"/>
      <c r="D1030" s="22" t="n"/>
      <c r="J1030" s="22" t="n"/>
    </row>
    <row r="1031">
      <c r="A1031" s="14" t="n"/>
      <c r="D1031" s="22" t="n"/>
      <c r="J1031" s="22" t="n"/>
    </row>
    <row r="1032">
      <c r="A1032" s="14" t="n"/>
      <c r="D1032" s="22" t="n"/>
      <c r="J1032" s="22" t="n"/>
    </row>
    <row r="1033">
      <c r="A1033" s="14" t="n"/>
      <c r="D1033" s="22" t="n"/>
      <c r="J1033" s="22" t="n"/>
    </row>
    <row r="1034">
      <c r="A1034" s="14" t="n"/>
      <c r="D1034" s="22" t="n"/>
      <c r="J1034" s="22" t="n"/>
    </row>
    <row r="1035">
      <c r="A1035" s="14" t="n"/>
      <c r="D1035" s="22" t="n"/>
      <c r="J1035" s="22" t="n"/>
    </row>
    <row r="1036">
      <c r="A1036" s="14" t="n"/>
      <c r="D1036" s="22" t="n"/>
      <c r="J1036" s="22" t="n"/>
    </row>
    <row r="1037">
      <c r="A1037" s="14" t="n"/>
      <c r="D1037" s="22" t="n"/>
      <c r="J1037" s="22" t="n"/>
    </row>
    <row r="1038">
      <c r="A1038" s="14" t="n"/>
      <c r="D1038" s="22" t="n"/>
      <c r="J1038" s="22" t="n"/>
    </row>
    <row r="1039">
      <c r="A1039" s="14" t="n"/>
      <c r="D1039" s="22" t="n"/>
      <c r="J1039" s="22" t="n"/>
    </row>
    <row r="1040">
      <c r="A1040" s="14" t="n"/>
      <c r="D1040" s="22" t="n"/>
      <c r="J1040" s="22" t="n"/>
    </row>
    <row r="1041">
      <c r="A1041" s="14" t="n"/>
      <c r="D1041" s="22" t="n"/>
      <c r="J1041" s="22" t="n"/>
    </row>
    <row r="1042">
      <c r="A1042" s="14" t="n"/>
      <c r="D1042" s="22" t="n"/>
      <c r="J1042" s="22" t="n"/>
    </row>
    <row r="1043">
      <c r="A1043" s="14" t="n"/>
      <c r="D1043" s="22" t="n"/>
      <c r="J1043" s="22" t="n"/>
    </row>
    <row r="1044">
      <c r="A1044" s="14" t="n"/>
      <c r="D1044" s="22" t="n"/>
      <c r="J1044" s="22" t="n"/>
    </row>
    <row r="1045">
      <c r="A1045" s="14" t="n"/>
      <c r="D1045" s="22" t="n"/>
      <c r="J1045" s="22" t="n"/>
    </row>
    <row r="1046">
      <c r="A1046" s="14" t="n"/>
      <c r="D1046" s="22" t="n"/>
      <c r="J1046" s="22" t="n"/>
    </row>
    <row r="1047">
      <c r="A1047" s="14" t="n"/>
      <c r="D1047" s="22" t="n"/>
      <c r="J1047" s="22" t="n"/>
    </row>
    <row r="1048">
      <c r="A1048" s="14" t="n"/>
      <c r="D1048" s="22" t="n"/>
      <c r="J1048" s="22" t="n"/>
    </row>
    <row r="1049">
      <c r="A1049" s="14" t="n"/>
      <c r="D1049" s="22" t="n"/>
      <c r="J1049" s="22" t="n"/>
    </row>
    <row r="1050">
      <c r="A1050" s="14" t="n"/>
      <c r="D1050" s="22" t="n"/>
      <c r="J1050" s="22" t="n"/>
    </row>
    <row r="1051">
      <c r="A1051" s="14" t="n"/>
      <c r="D1051" s="22" t="n"/>
      <c r="J1051" s="22" t="n"/>
    </row>
    <row r="1052">
      <c r="A1052" s="14" t="n"/>
      <c r="D1052" s="22" t="n"/>
      <c r="J1052" s="22" t="n"/>
    </row>
    <row r="1053">
      <c r="A1053" s="14" t="n"/>
      <c r="D1053" s="22" t="n"/>
      <c r="J1053" s="22" t="n"/>
    </row>
    <row r="1054">
      <c r="A1054" s="14" t="n"/>
      <c r="D1054" s="22" t="n"/>
      <c r="J1054" s="22" t="n"/>
    </row>
    <row r="1055">
      <c r="A1055" s="14" t="n"/>
      <c r="D1055" s="22" t="n"/>
      <c r="J1055" s="22" t="n"/>
    </row>
    <row r="1056">
      <c r="A1056" s="14" t="n"/>
      <c r="D1056" s="22" t="n"/>
      <c r="J1056" s="22" t="n"/>
    </row>
    <row r="1057">
      <c r="A1057" s="14" t="n"/>
      <c r="D1057" s="22" t="n"/>
      <c r="J1057" s="22" t="n"/>
    </row>
    <row r="1058">
      <c r="A1058" s="14" t="n"/>
      <c r="D1058" s="22" t="n"/>
      <c r="J1058" s="22" t="n"/>
    </row>
    <row r="1059">
      <c r="A1059" s="14" t="n"/>
      <c r="D1059" s="22" t="n"/>
      <c r="J1059" s="22" t="n"/>
    </row>
    <row r="1060">
      <c r="A1060" s="14" t="n"/>
      <c r="D1060" s="22" t="n"/>
      <c r="J1060" s="22" t="n"/>
    </row>
    <row r="1061">
      <c r="A1061" s="14" t="n"/>
      <c r="D1061" s="22" t="n"/>
      <c r="J1061" s="22" t="n"/>
    </row>
    <row r="1062">
      <c r="A1062" s="14" t="n"/>
      <c r="D1062" s="22" t="n"/>
      <c r="J1062" s="22" t="n"/>
    </row>
    <row r="1063">
      <c r="A1063" s="14" t="n"/>
      <c r="D1063" s="22" t="n"/>
      <c r="J1063" s="22" t="n"/>
    </row>
    <row r="1064">
      <c r="A1064" s="14" t="n"/>
      <c r="D1064" s="22" t="n"/>
      <c r="J1064" s="22" t="n"/>
    </row>
    <row r="1065">
      <c r="A1065" s="14" t="n"/>
      <c r="D1065" s="22" t="n"/>
      <c r="J1065" s="22" t="n"/>
    </row>
    <row r="1066">
      <c r="A1066" s="14" t="n"/>
      <c r="D1066" s="22" t="n"/>
      <c r="J1066" s="22" t="n"/>
    </row>
    <row r="1067">
      <c r="A1067" s="14" t="n"/>
      <c r="D1067" s="22" t="n"/>
      <c r="J1067" s="22" t="n"/>
    </row>
    <row r="1068">
      <c r="A1068" s="14" t="n"/>
      <c r="D1068" s="22" t="n"/>
      <c r="J1068" s="22" t="n"/>
    </row>
    <row r="1069">
      <c r="A1069" s="14" t="n"/>
      <c r="D1069" s="22" t="n"/>
      <c r="J1069" s="22" t="n"/>
    </row>
    <row r="1070">
      <c r="A1070" s="14" t="n"/>
      <c r="D1070" s="22" t="n"/>
      <c r="J1070" s="22" t="n"/>
    </row>
    <row r="1071">
      <c r="A1071" s="14" t="n"/>
      <c r="D1071" s="22" t="n"/>
      <c r="J1071" s="22" t="n"/>
    </row>
    <row r="1072">
      <c r="A1072" s="14" t="n"/>
      <c r="D1072" s="22" t="n"/>
      <c r="J1072" s="22" t="n"/>
    </row>
    <row r="1073">
      <c r="A1073" s="14" t="n"/>
      <c r="D1073" s="22" t="n"/>
      <c r="J1073" s="22" t="n"/>
    </row>
    <row r="1074">
      <c r="A1074" s="14" t="n"/>
      <c r="D1074" s="22" t="n"/>
      <c r="J1074" s="22" t="n"/>
    </row>
    <row r="1075">
      <c r="A1075" s="14" t="n"/>
      <c r="D1075" s="22" t="n"/>
      <c r="J1075" s="22" t="n"/>
    </row>
    <row r="1076">
      <c r="A1076" s="14" t="n"/>
      <c r="D1076" s="22" t="n"/>
      <c r="J1076" s="22" t="n"/>
    </row>
    <row r="1077">
      <c r="A1077" s="14" t="n"/>
      <c r="D1077" s="22" t="n"/>
      <c r="J1077" s="22" t="n"/>
    </row>
    <row r="1078">
      <c r="A1078" s="14" t="n"/>
      <c r="D1078" s="22" t="n"/>
      <c r="J1078" s="22" t="n"/>
    </row>
    <row r="1079">
      <c r="A1079" s="14" t="n"/>
      <c r="D1079" s="22" t="n"/>
      <c r="J1079" s="22" t="n"/>
    </row>
    <row r="1080">
      <c r="A1080" s="14" t="n"/>
      <c r="D1080" s="22" t="n"/>
      <c r="J1080" s="22" t="n"/>
    </row>
    <row r="1081">
      <c r="A1081" s="14" t="n"/>
      <c r="D1081" s="22" t="n"/>
      <c r="J1081" s="22" t="n"/>
    </row>
    <row r="1082">
      <c r="A1082" s="14" t="n"/>
      <c r="D1082" s="22" t="n"/>
      <c r="J1082" s="22" t="n"/>
    </row>
    <row r="1083">
      <c r="A1083" s="14" t="n"/>
      <c r="D1083" s="22" t="n"/>
      <c r="J1083" s="22" t="n"/>
    </row>
    <row r="1084">
      <c r="A1084" s="14" t="n"/>
      <c r="D1084" s="22" t="n"/>
      <c r="J1084" s="22" t="n"/>
    </row>
    <row r="1085">
      <c r="A1085" s="14" t="n"/>
      <c r="D1085" s="22" t="n"/>
      <c r="J1085" s="22" t="n"/>
    </row>
    <row r="1086">
      <c r="A1086" s="14" t="n"/>
      <c r="D1086" s="22" t="n"/>
      <c r="J1086" s="22" t="n"/>
    </row>
    <row r="1087">
      <c r="A1087" s="14" t="n"/>
      <c r="D1087" s="22" t="n"/>
      <c r="J1087" s="22" t="n"/>
    </row>
    <row r="1088">
      <c r="A1088" s="14" t="n"/>
      <c r="D1088" s="22" t="n"/>
      <c r="J1088" s="22" t="n"/>
    </row>
    <row r="1089">
      <c r="A1089" s="14" t="n"/>
      <c r="D1089" s="22" t="n"/>
      <c r="J1089" s="22" t="n"/>
    </row>
    <row r="1090">
      <c r="A1090" s="14" t="n"/>
      <c r="D1090" s="22" t="n"/>
      <c r="J1090" s="22" t="n"/>
    </row>
    <row r="1091">
      <c r="A1091" s="14" t="n"/>
      <c r="D1091" s="22" t="n"/>
      <c r="J1091" s="22" t="n"/>
    </row>
    <row r="1092">
      <c r="A1092" s="14" t="n"/>
      <c r="D1092" s="22" t="n"/>
      <c r="J1092" s="22" t="n"/>
    </row>
    <row r="1093">
      <c r="A1093" s="14" t="n"/>
      <c r="D1093" s="22" t="n"/>
      <c r="J1093" s="22" t="n"/>
    </row>
    <row r="1094">
      <c r="A1094" s="14" t="n"/>
      <c r="D1094" s="22" t="n"/>
      <c r="J1094" s="22" t="n"/>
    </row>
    <row r="1095">
      <c r="A1095" s="14" t="n"/>
      <c r="D1095" s="22" t="n"/>
      <c r="J1095" s="22" t="n"/>
    </row>
    <row r="1096">
      <c r="A1096" s="14" t="n"/>
      <c r="D1096" s="22" t="n"/>
      <c r="J1096" s="22" t="n"/>
    </row>
    <row r="1097">
      <c r="A1097" s="14" t="n"/>
      <c r="D1097" s="22" t="n"/>
      <c r="J1097" s="22" t="n"/>
    </row>
    <row r="1098">
      <c r="A1098" s="14" t="n"/>
      <c r="D1098" s="22" t="n"/>
      <c r="J1098" s="22" t="n"/>
    </row>
    <row r="1099">
      <c r="A1099" s="14" t="n"/>
      <c r="D1099" s="22" t="n"/>
      <c r="J1099" s="22" t="n"/>
    </row>
    <row r="1100">
      <c r="A1100" s="14" t="n"/>
      <c r="D1100" s="22" t="n"/>
      <c r="J1100" s="22" t="n"/>
    </row>
    <row r="1101">
      <c r="A1101" s="14" t="n"/>
      <c r="D1101" s="22" t="n"/>
      <c r="J1101" s="22" t="n"/>
    </row>
    <row r="1102">
      <c r="A1102" s="14" t="n"/>
      <c r="D1102" s="22" t="n"/>
      <c r="J1102" s="22" t="n"/>
    </row>
    <row r="1103">
      <c r="A1103" s="14" t="n"/>
      <c r="D1103" s="22" t="n"/>
      <c r="J1103" s="22" t="n"/>
    </row>
    <row r="1104">
      <c r="A1104" s="14" t="n"/>
      <c r="D1104" s="22" t="n"/>
      <c r="J1104" s="22" t="n"/>
    </row>
    <row r="1105">
      <c r="A1105" s="14" t="n"/>
      <c r="D1105" s="22" t="n"/>
      <c r="J1105" s="22" t="n"/>
    </row>
    <row r="1106">
      <c r="A1106" s="14" t="n"/>
      <c r="D1106" s="22" t="n"/>
      <c r="J1106" s="22" t="n"/>
    </row>
    <row r="1107">
      <c r="A1107" s="14" t="n"/>
      <c r="D1107" s="22" t="n"/>
      <c r="J1107" s="22" t="n"/>
    </row>
    <row r="1108">
      <c r="A1108" s="14" t="n"/>
      <c r="D1108" s="22" t="n"/>
      <c r="J1108" s="22" t="n"/>
    </row>
    <row r="1109">
      <c r="A1109" s="14" t="n"/>
      <c r="D1109" s="22" t="n"/>
      <c r="J1109" s="22" t="n"/>
    </row>
    <row r="1110">
      <c r="A1110" s="14" t="n"/>
      <c r="D1110" s="22" t="n"/>
      <c r="J1110" s="22" t="n"/>
    </row>
    <row r="1111">
      <c r="A1111" s="14" t="n"/>
      <c r="D1111" s="22" t="n"/>
      <c r="J1111" s="22" t="n"/>
    </row>
    <row r="1112">
      <c r="A1112" s="14" t="n"/>
      <c r="D1112" s="22" t="n"/>
      <c r="J1112" s="22" t="n"/>
    </row>
    <row r="1113">
      <c r="A1113" s="14" t="n"/>
      <c r="D1113" s="22" t="n"/>
      <c r="J1113" s="22" t="n"/>
    </row>
    <row r="1114">
      <c r="A1114" s="14" t="n"/>
      <c r="D1114" s="22" t="n"/>
      <c r="J1114" s="22" t="n"/>
    </row>
    <row r="1115">
      <c r="A1115" s="14" t="n"/>
      <c r="D1115" s="22" t="n"/>
      <c r="J1115" s="22" t="n"/>
    </row>
    <row r="1116">
      <c r="A1116" s="14" t="n"/>
      <c r="D1116" s="22" t="n"/>
      <c r="J1116" s="22" t="n"/>
    </row>
    <row r="1117">
      <c r="A1117" s="14" t="n"/>
      <c r="D1117" s="22" t="n"/>
      <c r="J1117" s="22" t="n"/>
    </row>
    <row r="1118">
      <c r="A1118" s="14" t="n"/>
      <c r="D1118" s="22" t="n"/>
      <c r="J1118" s="22" t="n"/>
    </row>
    <row r="1119">
      <c r="A1119" s="14" t="n"/>
      <c r="D1119" s="22" t="n"/>
      <c r="J1119" s="22" t="n"/>
    </row>
    <row r="1120">
      <c r="A1120" s="14" t="n"/>
      <c r="D1120" s="22" t="n"/>
      <c r="J1120" s="22" t="n"/>
    </row>
    <row r="1121">
      <c r="A1121" s="14" t="n"/>
      <c r="D1121" s="22" t="n"/>
      <c r="J1121" s="22" t="n"/>
    </row>
    <row r="1122">
      <c r="A1122" s="14" t="n"/>
      <c r="D1122" s="22" t="n"/>
      <c r="J1122" s="22" t="n"/>
    </row>
    <row r="1123">
      <c r="A1123" s="14" t="n"/>
      <c r="D1123" s="22" t="n"/>
      <c r="J1123" s="22" t="n"/>
    </row>
    <row r="1124">
      <c r="A1124" s="14" t="n"/>
      <c r="D1124" s="22" t="n"/>
      <c r="J1124" s="22" t="n"/>
    </row>
    <row r="1125">
      <c r="A1125" s="14" t="n"/>
      <c r="D1125" s="22" t="n"/>
      <c r="J1125" s="22" t="n"/>
    </row>
    <row r="1126">
      <c r="A1126" s="14" t="n"/>
      <c r="D1126" s="22" t="n"/>
      <c r="J1126" s="22" t="n"/>
    </row>
    <row r="1127">
      <c r="A1127" s="14" t="n"/>
      <c r="D1127" s="22" t="n"/>
      <c r="J1127" s="22" t="n"/>
    </row>
    <row r="1128">
      <c r="A1128" s="14" t="n"/>
      <c r="D1128" s="22" t="n"/>
      <c r="J1128" s="22" t="n"/>
    </row>
    <row r="1129">
      <c r="A1129" s="14" t="n"/>
      <c r="D1129" s="22" t="n"/>
      <c r="J1129" s="22" t="n"/>
    </row>
    <row r="1130">
      <c r="A1130" s="14" t="n"/>
      <c r="D1130" s="22" t="n"/>
      <c r="J1130" s="22" t="n"/>
    </row>
    <row r="1131">
      <c r="A1131" s="14" t="n"/>
      <c r="D1131" s="22" t="n"/>
      <c r="J1131" s="22" t="n"/>
    </row>
    <row r="1132">
      <c r="A1132" s="14" t="n"/>
      <c r="D1132" s="22" t="n"/>
      <c r="J1132" s="22" t="n"/>
    </row>
    <row r="1133">
      <c r="A1133" s="14" t="n"/>
      <c r="D1133" s="22" t="n"/>
      <c r="J1133" s="22" t="n"/>
    </row>
    <row r="1134">
      <c r="A1134" s="14" t="n"/>
      <c r="D1134" s="22" t="n"/>
      <c r="J1134" s="22" t="n"/>
    </row>
    <row r="1135">
      <c r="A1135" s="14" t="n"/>
      <c r="D1135" s="22" t="n"/>
      <c r="J1135" s="22" t="n"/>
    </row>
    <row r="1136">
      <c r="A1136" s="14" t="n"/>
      <c r="D1136" s="22" t="n"/>
      <c r="J1136" s="22" t="n"/>
    </row>
    <row r="1137">
      <c r="A1137" s="14" t="n"/>
      <c r="D1137" s="22" t="n"/>
      <c r="J1137" s="22" t="n"/>
    </row>
    <row r="1138">
      <c r="A1138" s="14" t="n"/>
      <c r="D1138" s="22" t="n"/>
      <c r="J1138" s="22" t="n"/>
    </row>
    <row r="1139">
      <c r="A1139" s="14" t="n"/>
      <c r="D1139" s="22" t="n"/>
      <c r="J1139" s="22" t="n"/>
    </row>
    <row r="1140">
      <c r="A1140" s="14" t="n"/>
      <c r="D1140" s="22" t="n"/>
      <c r="J1140" s="22" t="n"/>
    </row>
    <row r="1141">
      <c r="A1141" s="14" t="n"/>
      <c r="D1141" s="22" t="n"/>
      <c r="J1141" s="22" t="n"/>
    </row>
    <row r="1142">
      <c r="A1142" s="14" t="n"/>
      <c r="D1142" s="22" t="n"/>
      <c r="J1142" s="22" t="n"/>
    </row>
    <row r="1143">
      <c r="A1143" s="14" t="n"/>
      <c r="D1143" s="22" t="n"/>
      <c r="J1143" s="22" t="n"/>
    </row>
    <row r="1144">
      <c r="A1144" s="14" t="n"/>
      <c r="D1144" s="22" t="n"/>
      <c r="J1144" s="22" t="n"/>
    </row>
    <row r="1145">
      <c r="A1145" s="14" t="n"/>
      <c r="D1145" s="22" t="n"/>
      <c r="J1145" s="22" t="n"/>
    </row>
    <row r="1146">
      <c r="A1146" s="14" t="n"/>
      <c r="D1146" s="22" t="n"/>
      <c r="J1146" s="22" t="n"/>
    </row>
    <row r="1147">
      <c r="A1147" s="14" t="n"/>
      <c r="D1147" s="22" t="n"/>
      <c r="J1147" s="22" t="n"/>
    </row>
    <row r="1148">
      <c r="A1148" s="14" t="n"/>
      <c r="D1148" s="22" t="n"/>
      <c r="J1148" s="22" t="n"/>
    </row>
    <row r="1149">
      <c r="A1149" s="14" t="n"/>
      <c r="D1149" s="22" t="n"/>
      <c r="J1149" s="22" t="n"/>
    </row>
    <row r="1150">
      <c r="A1150" s="14" t="n"/>
      <c r="D1150" s="22" t="n"/>
      <c r="J1150" s="22" t="n"/>
    </row>
    <row r="1151">
      <c r="A1151" s="14" t="n"/>
      <c r="D1151" s="22" t="n"/>
      <c r="J1151" s="22" t="n"/>
    </row>
    <row r="1152">
      <c r="A1152" s="14" t="n"/>
      <c r="D1152" s="22" t="n"/>
      <c r="J1152" s="22" t="n"/>
    </row>
    <row r="1153">
      <c r="A1153" s="14" t="n"/>
      <c r="D1153" s="22" t="n"/>
      <c r="J1153" s="22" t="n"/>
    </row>
    <row r="1154">
      <c r="A1154" s="14" t="n"/>
      <c r="D1154" s="22" t="n"/>
      <c r="J1154" s="22" t="n"/>
    </row>
    <row r="1155">
      <c r="A1155" s="14" t="n"/>
      <c r="D1155" s="22" t="n"/>
      <c r="J1155" s="22" t="n"/>
    </row>
    <row r="1156">
      <c r="A1156" s="14" t="n"/>
      <c r="D1156" s="22" t="n"/>
      <c r="J1156" s="22" t="n"/>
    </row>
    <row r="1157">
      <c r="A1157" s="14" t="n"/>
      <c r="D1157" s="22" t="n"/>
      <c r="J1157" s="22" t="n"/>
    </row>
    <row r="1158">
      <c r="A1158" s="14" t="n"/>
      <c r="D1158" s="22" t="n"/>
      <c r="J1158" s="22" t="n"/>
    </row>
    <row r="1159">
      <c r="A1159" s="14" t="n"/>
      <c r="D1159" s="22" t="n"/>
      <c r="J1159" s="22" t="n"/>
    </row>
    <row r="1160">
      <c r="A1160" s="14" t="n"/>
      <c r="D1160" s="22" t="n"/>
      <c r="J1160" s="22" t="n"/>
    </row>
    <row r="1161">
      <c r="A1161" s="14" t="n"/>
      <c r="D1161" s="22" t="n"/>
      <c r="J1161" s="22" t="n"/>
    </row>
    <row r="1162">
      <c r="A1162" s="14" t="n"/>
      <c r="D1162" s="22" t="n"/>
      <c r="J1162" s="22" t="n"/>
    </row>
    <row r="1163">
      <c r="A1163" s="14" t="n"/>
      <c r="D1163" s="22" t="n"/>
      <c r="J1163" s="22" t="n"/>
    </row>
    <row r="1164">
      <c r="A1164" s="14" t="n"/>
      <c r="D1164" s="22" t="n"/>
      <c r="J1164" s="22" t="n"/>
    </row>
    <row r="1165">
      <c r="A1165" s="14" t="n"/>
      <c r="D1165" s="22" t="n"/>
      <c r="J1165" s="22" t="n"/>
    </row>
    <row r="1166">
      <c r="A1166" s="14" t="n"/>
      <c r="D1166" s="22" t="n"/>
      <c r="J1166" s="22" t="n"/>
    </row>
    <row r="1167">
      <c r="A1167" s="14" t="n"/>
      <c r="D1167" s="22" t="n"/>
      <c r="J1167" s="22" t="n"/>
    </row>
    <row r="1168">
      <c r="A1168" s="14" t="n"/>
      <c r="D1168" s="22" t="n"/>
      <c r="J1168" s="22" t="n"/>
    </row>
    <row r="1169">
      <c r="A1169" s="14" t="n"/>
      <c r="D1169" s="22" t="n"/>
      <c r="J1169" s="22" t="n"/>
    </row>
    <row r="1170">
      <c r="A1170" s="14" t="n"/>
      <c r="D1170" s="22" t="n"/>
      <c r="J1170" s="22" t="n"/>
    </row>
    <row r="1171">
      <c r="A1171" s="14" t="n"/>
      <c r="D1171" s="22" t="n"/>
      <c r="J1171" s="22" t="n"/>
    </row>
    <row r="1172">
      <c r="A1172" s="14" t="n"/>
      <c r="D1172" s="22" t="n"/>
      <c r="J1172" s="22" t="n"/>
    </row>
    <row r="1173">
      <c r="A1173" s="14" t="n"/>
      <c r="D1173" s="22" t="n"/>
      <c r="J1173" s="22" t="n"/>
    </row>
    <row r="1174">
      <c r="A1174" s="14" t="n"/>
      <c r="D1174" s="22" t="n"/>
      <c r="J1174" s="22" t="n"/>
    </row>
    <row r="1175">
      <c r="A1175" s="14" t="n"/>
      <c r="D1175" s="22" t="n"/>
      <c r="J1175" s="22" t="n"/>
    </row>
    <row r="1176">
      <c r="A1176" s="14" t="n"/>
      <c r="D1176" s="22" t="n"/>
      <c r="J1176" s="22" t="n"/>
    </row>
    <row r="1177">
      <c r="A1177" s="14" t="n"/>
      <c r="D1177" s="22" t="n"/>
      <c r="J1177" s="22" t="n"/>
    </row>
    <row r="1178">
      <c r="A1178" s="14" t="n"/>
      <c r="D1178" s="22" t="n"/>
      <c r="J1178" s="22" t="n"/>
    </row>
    <row r="1179">
      <c r="A1179" s="14" t="n"/>
      <c r="D1179" s="22" t="n"/>
      <c r="J1179" s="22" t="n"/>
    </row>
    <row r="1180">
      <c r="A1180" s="14" t="n"/>
      <c r="D1180" s="22" t="n"/>
      <c r="J1180" s="22" t="n"/>
    </row>
    <row r="1181">
      <c r="A1181" s="14" t="n"/>
      <c r="D1181" s="22" t="n"/>
      <c r="J1181" s="22" t="n"/>
    </row>
    <row r="1182">
      <c r="A1182" s="14" t="n"/>
      <c r="D1182" s="22" t="n"/>
      <c r="J1182" s="22" t="n"/>
    </row>
    <row r="1183">
      <c r="A1183" s="14" t="n"/>
      <c r="D1183" s="22" t="n"/>
      <c r="J1183" s="22" t="n"/>
    </row>
    <row r="1184">
      <c r="A1184" s="14" t="n"/>
      <c r="D1184" s="22" t="n"/>
      <c r="J1184" s="22" t="n"/>
    </row>
    <row r="1185">
      <c r="A1185" s="14" t="n"/>
      <c r="D1185" s="22" t="n"/>
      <c r="J1185" s="22" t="n"/>
    </row>
    <row r="1186">
      <c r="A1186" s="14" t="n"/>
      <c r="D1186" s="22" t="n"/>
      <c r="J1186" s="22" t="n"/>
    </row>
    <row r="1187">
      <c r="A1187" s="14" t="n"/>
      <c r="D1187" s="22" t="n"/>
      <c r="J1187" s="22" t="n"/>
    </row>
    <row r="1188">
      <c r="A1188" s="14" t="n"/>
      <c r="D1188" s="22" t="n"/>
      <c r="J1188" s="22" t="n"/>
    </row>
    <row r="1189">
      <c r="A1189" s="14" t="n"/>
      <c r="D1189" s="22" t="n"/>
      <c r="J1189" s="22" t="n"/>
    </row>
    <row r="1190">
      <c r="A1190" s="14" t="n"/>
      <c r="D1190" s="22" t="n"/>
      <c r="J1190" s="22" t="n"/>
    </row>
    <row r="1191">
      <c r="A1191" s="14" t="n"/>
      <c r="D1191" s="22" t="n"/>
      <c r="J1191" s="22" t="n"/>
    </row>
    <row r="1192">
      <c r="A1192" s="14" t="n"/>
      <c r="D1192" s="22" t="n"/>
      <c r="J1192" s="22" t="n"/>
    </row>
    <row r="1193">
      <c r="A1193" s="14" t="n"/>
      <c r="D1193" s="22" t="n"/>
      <c r="J1193" s="22" t="n"/>
    </row>
    <row r="1194">
      <c r="A1194" s="14" t="n"/>
      <c r="D1194" s="22" t="n"/>
      <c r="J1194" s="22" t="n"/>
    </row>
    <row r="1195">
      <c r="A1195" s="14" t="n"/>
      <c r="D1195" s="22" t="n"/>
      <c r="J1195" s="22" t="n"/>
    </row>
    <row r="1196">
      <c r="A1196" s="14" t="n"/>
      <c r="D1196" s="22" t="n"/>
      <c r="J1196" s="22" t="n"/>
    </row>
    <row r="1197">
      <c r="A1197" s="14" t="n"/>
      <c r="D1197" s="22" t="n"/>
      <c r="J1197" s="22" t="n"/>
    </row>
    <row r="1198">
      <c r="A1198" s="14" t="n"/>
      <c r="D1198" s="22" t="n"/>
      <c r="J1198" s="22" t="n"/>
    </row>
    <row r="1199">
      <c r="A1199" s="14" t="n"/>
      <c r="D1199" s="22" t="n"/>
      <c r="J1199" s="22" t="n"/>
    </row>
    <row r="1200">
      <c r="A1200" s="14" t="n"/>
      <c r="D1200" s="22" t="n"/>
      <c r="J1200" s="22" t="n"/>
    </row>
    <row r="1201">
      <c r="A1201" s="14" t="n"/>
      <c r="D1201" s="22" t="n"/>
      <c r="J1201" s="22" t="n"/>
    </row>
    <row r="1202">
      <c r="A1202" s="14" t="n"/>
      <c r="D1202" s="22" t="n"/>
      <c r="J1202" s="22" t="n"/>
    </row>
    <row r="1203">
      <c r="A1203" s="14" t="n"/>
      <c r="D1203" s="22" t="n"/>
      <c r="J1203" s="22" t="n"/>
    </row>
    <row r="1204">
      <c r="A1204" s="14" t="n"/>
      <c r="D1204" s="22" t="n"/>
      <c r="J1204" s="22" t="n"/>
    </row>
    <row r="1205">
      <c r="A1205" s="14" t="n"/>
      <c r="D1205" s="22" t="n"/>
      <c r="J1205" s="22" t="n"/>
    </row>
    <row r="1206">
      <c r="A1206" s="14" t="n"/>
      <c r="D1206" s="22" t="n"/>
      <c r="J1206" s="22" t="n"/>
    </row>
    <row r="1207">
      <c r="A1207" s="14" t="n"/>
      <c r="D1207" s="22" t="n"/>
      <c r="J1207" s="22" t="n"/>
    </row>
    <row r="1208">
      <c r="A1208" s="14" t="n"/>
      <c r="D1208" s="22" t="n"/>
      <c r="J1208" s="22" t="n"/>
    </row>
    <row r="1209">
      <c r="A1209" s="14" t="n"/>
      <c r="D1209" s="22" t="n"/>
      <c r="J1209" s="22" t="n"/>
    </row>
    <row r="1210">
      <c r="A1210" s="14" t="n"/>
      <c r="D1210" s="22" t="n"/>
      <c r="J1210" s="22" t="n"/>
    </row>
    <row r="1211">
      <c r="A1211" s="14" t="n"/>
      <c r="D1211" s="22" t="n"/>
      <c r="J1211" s="22" t="n"/>
    </row>
    <row r="1212">
      <c r="A1212" s="14" t="n"/>
      <c r="D1212" s="22" t="n"/>
      <c r="J1212" s="22" t="n"/>
    </row>
    <row r="1213">
      <c r="A1213" s="14" t="n"/>
      <c r="D1213" s="22" t="n"/>
      <c r="J1213" s="22" t="n"/>
    </row>
    <row r="1214">
      <c r="A1214" s="14" t="n"/>
      <c r="D1214" s="22" t="n"/>
      <c r="J1214" s="22" t="n"/>
    </row>
    <row r="1215">
      <c r="A1215" s="14" t="n"/>
      <c r="D1215" s="22" t="n"/>
      <c r="J1215" s="22" t="n"/>
    </row>
    <row r="1216">
      <c r="A1216" s="14" t="n"/>
      <c r="D1216" s="22" t="n"/>
      <c r="J1216" s="22" t="n"/>
    </row>
    <row r="1217">
      <c r="A1217" s="14" t="n"/>
      <c r="D1217" s="22" t="n"/>
      <c r="J1217" s="22" t="n"/>
    </row>
    <row r="1218">
      <c r="A1218" s="14" t="n"/>
      <c r="D1218" s="22" t="n"/>
      <c r="J1218" s="22" t="n"/>
    </row>
    <row r="1219">
      <c r="A1219" s="14" t="n"/>
      <c r="D1219" s="22" t="n"/>
      <c r="J1219" s="22" t="n"/>
    </row>
    <row r="1220">
      <c r="A1220" s="14" t="n"/>
      <c r="D1220" s="22" t="n"/>
      <c r="J1220" s="22" t="n"/>
    </row>
    <row r="1221">
      <c r="A1221" s="14" t="n"/>
      <c r="D1221" s="22" t="n"/>
      <c r="J1221" s="22" t="n"/>
    </row>
    <row r="1222">
      <c r="A1222" s="14" t="n"/>
      <c r="D1222" s="22" t="n"/>
      <c r="J1222" s="22" t="n"/>
    </row>
    <row r="1223">
      <c r="A1223" s="14" t="n"/>
      <c r="D1223" s="22" t="n"/>
      <c r="J1223" s="22" t="n"/>
    </row>
    <row r="1224">
      <c r="A1224" s="14" t="n"/>
      <c r="D1224" s="22" t="n"/>
      <c r="J1224" s="22" t="n"/>
    </row>
    <row r="1225">
      <c r="A1225" s="14" t="n"/>
      <c r="D1225" s="22" t="n"/>
      <c r="J1225" s="22" t="n"/>
    </row>
    <row r="1226">
      <c r="A1226" s="14" t="n"/>
      <c r="D1226" s="22" t="n"/>
      <c r="J1226" s="22" t="n"/>
    </row>
    <row r="1227">
      <c r="A1227" s="14" t="n"/>
      <c r="D1227" s="22" t="n"/>
      <c r="J1227" s="22" t="n"/>
    </row>
    <row r="1228">
      <c r="A1228" s="14" t="n"/>
      <c r="D1228" s="22" t="n"/>
      <c r="J1228" s="22" t="n"/>
    </row>
    <row r="1229">
      <c r="A1229" s="14" t="n"/>
      <c r="D1229" s="22" t="n"/>
      <c r="J1229" s="22" t="n"/>
    </row>
    <row r="1230">
      <c r="A1230" s="14" t="n"/>
      <c r="D1230" s="22" t="n"/>
      <c r="J1230" s="22" t="n"/>
    </row>
    <row r="1231">
      <c r="A1231" s="14" t="n"/>
      <c r="D1231" s="22" t="n"/>
      <c r="J1231" s="22" t="n"/>
    </row>
    <row r="1232">
      <c r="A1232" s="14" t="n"/>
      <c r="D1232" s="22" t="n"/>
      <c r="J1232" s="22" t="n"/>
    </row>
    <row r="1233">
      <c r="A1233" s="14" t="n"/>
      <c r="D1233" s="22" t="n"/>
      <c r="J1233" s="22" t="n"/>
    </row>
    <row r="1234">
      <c r="A1234" s="14" t="n"/>
      <c r="D1234" s="22" t="n"/>
      <c r="J1234" s="22" t="n"/>
    </row>
    <row r="1235">
      <c r="A1235" s="14" t="n"/>
      <c r="D1235" s="22" t="n"/>
      <c r="J1235" s="22" t="n"/>
    </row>
    <row r="1236">
      <c r="A1236" s="14" t="n"/>
      <c r="D1236" s="22" t="n"/>
      <c r="J1236" s="22" t="n"/>
    </row>
    <row r="1237">
      <c r="A1237" s="14" t="n"/>
      <c r="D1237" s="22" t="n"/>
      <c r="J1237" s="22" t="n"/>
    </row>
    <row r="1238">
      <c r="A1238" s="14" t="n"/>
      <c r="D1238" s="22" t="n"/>
      <c r="J1238" s="22" t="n"/>
    </row>
    <row r="1239">
      <c r="A1239" s="14" t="n"/>
      <c r="D1239" s="22" t="n"/>
      <c r="J1239" s="22" t="n"/>
    </row>
    <row r="1240">
      <c r="A1240" s="14" t="n"/>
      <c r="D1240" s="22" t="n"/>
      <c r="J1240" s="22" t="n"/>
    </row>
    <row r="1241">
      <c r="A1241" s="14" t="n"/>
      <c r="D1241" s="22" t="n"/>
      <c r="J1241" s="22" t="n"/>
    </row>
    <row r="1242">
      <c r="A1242" s="14" t="n"/>
      <c r="D1242" s="22" t="n"/>
      <c r="J1242" s="22" t="n"/>
    </row>
    <row r="1243">
      <c r="A1243" s="14" t="n"/>
      <c r="D1243" s="22" t="n"/>
      <c r="J1243" s="22" t="n"/>
    </row>
    <row r="1244">
      <c r="A1244" s="14" t="n"/>
      <c r="D1244" s="22" t="n"/>
      <c r="J1244" s="22" t="n"/>
    </row>
    <row r="1245">
      <c r="A1245" s="14" t="n"/>
      <c r="D1245" s="22" t="n"/>
      <c r="J1245" s="22" t="n"/>
    </row>
    <row r="1246">
      <c r="A1246" s="14" t="n"/>
      <c r="D1246" s="22" t="n"/>
      <c r="J1246" s="22" t="n"/>
    </row>
    <row r="1247">
      <c r="A1247" s="14" t="n"/>
      <c r="D1247" s="22" t="n"/>
      <c r="J1247" s="22" t="n"/>
    </row>
    <row r="1248">
      <c r="A1248" s="14" t="n"/>
      <c r="D1248" s="22" t="n"/>
      <c r="J1248" s="22" t="n"/>
    </row>
    <row r="1249">
      <c r="A1249" s="14" t="n"/>
      <c r="D1249" s="22" t="n"/>
      <c r="J1249" s="22" t="n"/>
    </row>
    <row r="1250">
      <c r="A1250" s="14" t="n"/>
      <c r="D1250" s="22" t="n"/>
      <c r="J1250" s="22" t="n"/>
    </row>
    <row r="1251">
      <c r="A1251" s="14" t="n"/>
      <c r="D1251" s="22" t="n"/>
      <c r="J1251" s="22" t="n"/>
    </row>
    <row r="1252">
      <c r="A1252" s="14" t="n"/>
      <c r="D1252" s="22" t="n"/>
      <c r="J1252" s="22" t="n"/>
    </row>
    <row r="1253">
      <c r="A1253" s="14" t="n"/>
      <c r="D1253" s="22" t="n"/>
      <c r="J1253" s="22" t="n"/>
    </row>
    <row r="1254">
      <c r="A1254" s="14" t="n"/>
      <c r="D1254" s="22" t="n"/>
      <c r="J1254" s="22" t="n"/>
    </row>
    <row r="1255">
      <c r="A1255" s="14" t="n"/>
      <c r="D1255" s="22" t="n"/>
      <c r="J1255" s="22" t="n"/>
    </row>
    <row r="1256">
      <c r="A1256" s="14" t="n"/>
      <c r="D1256" s="22" t="n"/>
      <c r="J1256" s="22" t="n"/>
    </row>
    <row r="1257">
      <c r="A1257" s="14" t="n"/>
      <c r="D1257" s="22" t="n"/>
      <c r="J1257" s="22" t="n"/>
    </row>
    <row r="1258">
      <c r="A1258" s="14" t="n"/>
      <c r="D1258" s="22" t="n"/>
      <c r="J1258" s="22" t="n"/>
    </row>
    <row r="1259">
      <c r="A1259" s="14" t="n"/>
      <c r="D1259" s="22" t="n"/>
      <c r="J1259" s="22" t="n"/>
    </row>
    <row r="1260">
      <c r="A1260" s="14" t="n"/>
      <c r="D1260" s="22" t="n"/>
      <c r="J1260" s="22" t="n"/>
    </row>
    <row r="1261">
      <c r="A1261" s="14" t="n"/>
      <c r="D1261" s="22" t="n"/>
      <c r="J1261" s="22" t="n"/>
    </row>
    <row r="1262">
      <c r="A1262" s="14" t="n"/>
      <c r="D1262" s="22" t="n"/>
      <c r="J1262" s="22" t="n"/>
    </row>
    <row r="1263">
      <c r="A1263" s="14" t="n"/>
      <c r="D1263" s="22" t="n"/>
      <c r="J1263" s="22" t="n"/>
    </row>
    <row r="1264">
      <c r="A1264" s="14" t="n"/>
      <c r="D1264" s="22" t="n"/>
      <c r="J1264" s="22" t="n"/>
    </row>
    <row r="1265">
      <c r="A1265" s="14" t="n"/>
      <c r="D1265" s="22" t="n"/>
      <c r="J1265" s="22" t="n"/>
    </row>
    <row r="1266">
      <c r="A1266" s="14" t="n"/>
      <c r="D1266" s="22" t="n"/>
      <c r="J1266" s="22" t="n"/>
    </row>
    <row r="1267">
      <c r="A1267" s="14" t="n"/>
      <c r="D1267" s="22" t="n"/>
      <c r="J1267" s="22" t="n"/>
    </row>
    <row r="1268">
      <c r="A1268" s="14" t="n"/>
      <c r="D1268" s="22" t="n"/>
      <c r="J1268" s="22" t="n"/>
    </row>
    <row r="1269">
      <c r="A1269" s="14" t="n"/>
      <c r="D1269" s="22" t="n"/>
      <c r="J1269" s="22" t="n"/>
    </row>
    <row r="1270">
      <c r="A1270" s="14" t="n"/>
      <c r="D1270" s="22" t="n"/>
      <c r="J1270" s="22" t="n"/>
    </row>
    <row r="1271">
      <c r="A1271" s="14" t="n"/>
      <c r="D1271" s="22" t="n"/>
      <c r="J1271" s="22" t="n"/>
    </row>
    <row r="1272">
      <c r="A1272" s="14" t="n"/>
      <c r="D1272" s="22" t="n"/>
      <c r="J1272" s="22" t="n"/>
    </row>
    <row r="1273">
      <c r="A1273" s="14" t="n"/>
      <c r="D1273" s="22" t="n"/>
      <c r="J1273" s="22" t="n"/>
    </row>
    <row r="1274">
      <c r="A1274" s="14" t="n"/>
      <c r="D1274" s="22" t="n"/>
      <c r="J1274" s="22" t="n"/>
    </row>
    <row r="1275">
      <c r="A1275" s="14" t="n"/>
      <c r="D1275" s="22" t="n"/>
      <c r="J1275" s="22" t="n"/>
    </row>
    <row r="1276">
      <c r="A1276" s="14" t="n"/>
      <c r="D1276" s="22" t="n"/>
      <c r="J1276" s="22" t="n"/>
    </row>
    <row r="1277">
      <c r="A1277" s="14" t="n"/>
      <c r="D1277" s="22" t="n"/>
      <c r="J1277" s="22" t="n"/>
    </row>
    <row r="1278">
      <c r="A1278" s="14" t="n"/>
      <c r="D1278" s="22" t="n"/>
      <c r="J1278" s="22" t="n"/>
    </row>
    <row r="1279">
      <c r="A1279" s="14" t="n"/>
      <c r="D1279" s="22" t="n"/>
      <c r="J1279" s="22" t="n"/>
    </row>
    <row r="1280">
      <c r="A1280" s="14" t="n"/>
      <c r="D1280" s="22" t="n"/>
      <c r="J1280" s="22" t="n"/>
    </row>
    <row r="1281">
      <c r="A1281" s="14" t="n"/>
      <c r="D1281" s="22" t="n"/>
      <c r="J1281" s="22" t="n"/>
    </row>
    <row r="1282">
      <c r="A1282" s="14" t="n"/>
      <c r="D1282" s="22" t="n"/>
      <c r="J1282" s="22" t="n"/>
    </row>
    <row r="1283">
      <c r="A1283" s="14" t="n"/>
      <c r="D1283" s="22" t="n"/>
      <c r="J1283" s="22" t="n"/>
    </row>
    <row r="1284">
      <c r="A1284" s="14" t="n"/>
      <c r="D1284" s="22" t="n"/>
      <c r="J1284" s="22" t="n"/>
    </row>
    <row r="1285">
      <c r="A1285" s="14" t="n"/>
      <c r="D1285" s="22" t="n"/>
      <c r="J1285" s="22" t="n"/>
    </row>
    <row r="1286">
      <c r="A1286" s="14" t="n"/>
      <c r="D1286" s="22" t="n"/>
      <c r="J1286" s="22" t="n"/>
    </row>
    <row r="1287">
      <c r="A1287" s="14" t="n"/>
      <c r="D1287" s="22" t="n"/>
      <c r="J1287" s="22" t="n"/>
    </row>
    <row r="1288">
      <c r="A1288" s="14" t="n"/>
      <c r="D1288" s="22" t="n"/>
      <c r="J1288" s="22" t="n"/>
    </row>
    <row r="1289">
      <c r="A1289" s="14" t="n"/>
      <c r="D1289" s="22" t="n"/>
      <c r="J1289" s="22" t="n"/>
    </row>
    <row r="1290">
      <c r="A1290" s="14" t="n"/>
      <c r="D1290" s="22" t="n"/>
      <c r="J1290" s="22" t="n"/>
    </row>
    <row r="1291">
      <c r="A1291" s="14" t="n"/>
      <c r="D1291" s="22" t="n"/>
      <c r="J1291" s="22" t="n"/>
    </row>
    <row r="1292">
      <c r="A1292" s="14" t="n"/>
      <c r="D1292" s="22" t="n"/>
      <c r="J1292" s="22" t="n"/>
    </row>
    <row r="1293">
      <c r="A1293" s="14" t="n"/>
      <c r="D1293" s="22" t="n"/>
      <c r="J1293" s="22" t="n"/>
    </row>
    <row r="1294">
      <c r="A1294" s="14" t="n"/>
      <c r="D1294" s="22" t="n"/>
      <c r="J1294" s="22" t="n"/>
    </row>
    <row r="1295">
      <c r="A1295" s="14" t="n"/>
      <c r="D1295" s="22" t="n"/>
      <c r="J1295" s="22" t="n"/>
    </row>
    <row r="1296">
      <c r="A1296" s="14" t="n"/>
      <c r="D1296" s="22" t="n"/>
      <c r="J1296" s="22" t="n"/>
    </row>
    <row r="1297">
      <c r="A1297" s="14" t="n"/>
      <c r="D1297" s="22" t="n"/>
      <c r="J1297" s="22" t="n"/>
    </row>
    <row r="1298">
      <c r="A1298" s="14" t="n"/>
      <c r="D1298" s="22" t="n"/>
      <c r="J1298" s="22" t="n"/>
    </row>
    <row r="1299">
      <c r="A1299" s="14" t="n"/>
      <c r="D1299" s="22" t="n"/>
      <c r="J1299" s="22" t="n"/>
    </row>
    <row r="1300">
      <c r="A1300" s="14" t="n"/>
      <c r="D1300" s="22" t="n"/>
      <c r="J1300" s="22" t="n"/>
    </row>
    <row r="1301">
      <c r="A1301" s="14" t="n"/>
      <c r="D1301" s="22" t="n"/>
      <c r="J1301" s="22" t="n"/>
    </row>
    <row r="1302">
      <c r="A1302" s="14" t="n"/>
      <c r="D1302" s="22" t="n"/>
      <c r="J1302" s="22" t="n"/>
    </row>
    <row r="1303">
      <c r="A1303" s="14" t="n"/>
      <c r="D1303" s="22" t="n"/>
      <c r="J1303" s="22" t="n"/>
    </row>
    <row r="1304">
      <c r="A1304" s="14" t="n"/>
      <c r="D1304" s="22" t="n"/>
      <c r="J1304" s="22" t="n"/>
    </row>
    <row r="1305">
      <c r="A1305" s="14" t="n"/>
      <c r="D1305" s="22" t="n"/>
      <c r="J1305" s="22" t="n"/>
    </row>
    <row r="1306">
      <c r="A1306" s="14" t="n"/>
      <c r="D1306" s="22" t="n"/>
      <c r="J1306" s="22" t="n"/>
    </row>
    <row r="1307">
      <c r="A1307" s="14" t="n"/>
      <c r="D1307" s="22" t="n"/>
      <c r="J1307" s="22" t="n"/>
    </row>
    <row r="1308">
      <c r="A1308" s="14" t="n"/>
      <c r="D1308" s="22" t="n"/>
      <c r="J1308" s="22" t="n"/>
    </row>
    <row r="1309">
      <c r="A1309" s="14" t="n"/>
      <c r="D1309" s="22" t="n"/>
      <c r="J1309" s="22" t="n"/>
    </row>
    <row r="1310">
      <c r="A1310" s="14" t="n"/>
      <c r="D1310" s="22" t="n"/>
      <c r="J1310" s="22" t="n"/>
    </row>
    <row r="1311">
      <c r="A1311" s="14" t="n"/>
      <c r="D1311" s="22" t="n"/>
      <c r="J1311" s="22" t="n"/>
    </row>
    <row r="1312">
      <c r="A1312" s="14" t="n"/>
      <c r="D1312" s="22" t="n"/>
      <c r="J1312" s="22" t="n"/>
    </row>
    <row r="1313">
      <c r="A1313" s="14" t="n"/>
      <c r="D1313" s="22" t="n"/>
      <c r="J1313" s="22" t="n"/>
    </row>
    <row r="1314">
      <c r="A1314" s="14" t="n"/>
      <c r="D1314" s="22" t="n"/>
      <c r="J1314" s="22" t="n"/>
    </row>
    <row r="1315">
      <c r="A1315" s="14" t="n"/>
      <c r="D1315" s="22" t="n"/>
      <c r="J1315" s="22" t="n"/>
    </row>
    <row r="1316">
      <c r="A1316" s="14" t="n"/>
      <c r="D1316" s="22" t="n"/>
      <c r="J1316" s="22" t="n"/>
    </row>
    <row r="1317">
      <c r="A1317" s="14" t="n"/>
      <c r="D1317" s="22" t="n"/>
      <c r="J1317" s="22" t="n"/>
    </row>
    <row r="1318">
      <c r="A1318" s="14" t="n"/>
      <c r="D1318" s="22" t="n"/>
      <c r="J1318" s="22" t="n"/>
    </row>
    <row r="1319">
      <c r="A1319" s="14" t="n"/>
      <c r="D1319" s="22" t="n"/>
      <c r="J1319" s="22" t="n"/>
    </row>
    <row r="1320">
      <c r="A1320" s="14" t="n"/>
      <c r="D1320" s="22" t="n"/>
      <c r="J1320" s="22" t="n"/>
    </row>
    <row r="1321">
      <c r="A1321" s="14" t="n"/>
      <c r="D1321" s="22" t="n"/>
      <c r="J1321" s="22" t="n"/>
    </row>
    <row r="1322">
      <c r="A1322" s="14" t="n"/>
      <c r="D1322" s="22" t="n"/>
      <c r="J1322" s="22" t="n"/>
    </row>
    <row r="1323">
      <c r="A1323" s="14" t="n"/>
      <c r="D1323" s="22" t="n"/>
      <c r="J1323" s="22" t="n"/>
    </row>
    <row r="1324">
      <c r="A1324" s="14" t="n"/>
      <c r="D1324" s="22" t="n"/>
      <c r="J1324" s="22" t="n"/>
    </row>
    <row r="1325">
      <c r="A1325" s="14" t="n"/>
      <c r="D1325" s="22" t="n"/>
      <c r="J1325" s="22" t="n"/>
    </row>
    <row r="1326">
      <c r="A1326" s="14" t="n"/>
      <c r="D1326" s="22" t="n"/>
      <c r="J1326" s="22" t="n"/>
    </row>
    <row r="1327">
      <c r="A1327" s="14" t="n"/>
      <c r="D1327" s="22" t="n"/>
      <c r="J1327" s="22" t="n"/>
    </row>
    <row r="1328">
      <c r="A1328" s="14" t="n"/>
      <c r="D1328" s="22" t="n"/>
      <c r="J1328" s="22" t="n"/>
    </row>
    <row r="1329">
      <c r="A1329" s="14" t="n"/>
      <c r="D1329" s="22" t="n"/>
      <c r="J1329" s="22" t="n"/>
    </row>
    <row r="1330">
      <c r="A1330" s="14" t="n"/>
      <c r="D1330" s="22" t="n"/>
      <c r="J1330" s="22" t="n"/>
    </row>
    <row r="1331">
      <c r="A1331" s="14" t="n"/>
      <c r="D1331" s="22" t="n"/>
      <c r="J1331" s="22" t="n"/>
    </row>
    <row r="1332">
      <c r="A1332" s="14" t="n"/>
      <c r="D1332" s="22" t="n"/>
      <c r="J1332" s="22" t="n"/>
    </row>
    <row r="1333">
      <c r="A1333" s="14" t="n"/>
      <c r="D1333" s="22" t="n"/>
      <c r="J1333" s="22" t="n"/>
    </row>
    <row r="1334">
      <c r="A1334" s="14" t="n"/>
      <c r="D1334" s="22" t="n"/>
      <c r="J1334" s="22" t="n"/>
    </row>
    <row r="1335">
      <c r="A1335" s="14" t="n"/>
      <c r="D1335" s="22" t="n"/>
      <c r="J1335" s="22" t="n"/>
    </row>
    <row r="1336">
      <c r="A1336" s="14" t="n"/>
      <c r="D1336" s="22" t="n"/>
      <c r="J1336" s="22" t="n"/>
    </row>
    <row r="1337">
      <c r="A1337" s="14" t="n"/>
      <c r="D1337" s="22" t="n"/>
      <c r="J1337" s="22" t="n"/>
    </row>
    <row r="1338">
      <c r="A1338" s="14" t="n"/>
      <c r="D1338" s="22" t="n"/>
      <c r="J1338" s="22" t="n"/>
    </row>
    <row r="1339">
      <c r="A1339" s="14" t="n"/>
      <c r="D1339" s="22" t="n"/>
      <c r="J1339" s="22" t="n"/>
    </row>
    <row r="1340">
      <c r="A1340" s="14" t="n"/>
      <c r="D1340" s="22" t="n"/>
      <c r="J1340" s="22" t="n"/>
    </row>
    <row r="1341">
      <c r="A1341" s="14" t="n"/>
      <c r="D1341" s="22" t="n"/>
      <c r="J1341" s="22" t="n"/>
    </row>
    <row r="1342">
      <c r="A1342" s="14" t="n"/>
      <c r="D1342" s="22" t="n"/>
      <c r="J1342" s="22" t="n"/>
    </row>
    <row r="1343">
      <c r="A1343" s="14" t="n"/>
      <c r="D1343" s="22" t="n"/>
      <c r="J1343" s="22" t="n"/>
    </row>
    <row r="1344">
      <c r="A1344" s="14" t="n"/>
      <c r="D1344" s="22" t="n"/>
      <c r="J1344" s="22" t="n"/>
    </row>
    <row r="1345">
      <c r="A1345" s="14" t="n"/>
      <c r="D1345" s="22" t="n"/>
      <c r="J1345" s="22" t="n"/>
    </row>
    <row r="1346">
      <c r="A1346" s="14" t="n"/>
      <c r="D1346" s="22" t="n"/>
      <c r="J1346" s="22" t="n"/>
    </row>
    <row r="1347">
      <c r="A1347" s="14" t="n"/>
      <c r="D1347" s="22" t="n"/>
      <c r="J1347" s="22" t="n"/>
    </row>
    <row r="1348">
      <c r="A1348" s="14" t="n"/>
      <c r="D1348" s="22" t="n"/>
      <c r="J1348" s="22" t="n"/>
    </row>
    <row r="1349">
      <c r="A1349" s="14" t="n"/>
      <c r="D1349" s="22" t="n"/>
      <c r="J1349" s="22" t="n"/>
    </row>
    <row r="1350">
      <c r="A1350" s="14" t="n"/>
      <c r="D1350" s="22" t="n"/>
      <c r="J1350" s="22" t="n"/>
    </row>
    <row r="1351">
      <c r="A1351" s="14" t="n"/>
      <c r="D1351" s="22" t="n"/>
      <c r="J1351" s="22" t="n"/>
    </row>
    <row r="1352">
      <c r="A1352" s="14" t="n"/>
      <c r="D1352" s="22" t="n"/>
      <c r="J1352" s="22" t="n"/>
    </row>
    <row r="1353">
      <c r="A1353" s="14" t="n"/>
      <c r="D1353" s="22" t="n"/>
      <c r="J1353" s="22" t="n"/>
    </row>
    <row r="1354">
      <c r="A1354" s="14" t="n"/>
      <c r="D1354" s="22" t="n"/>
      <c r="J1354" s="22" t="n"/>
    </row>
    <row r="1355">
      <c r="A1355" s="14" t="n"/>
      <c r="D1355" s="22" t="n"/>
      <c r="J1355" s="22" t="n"/>
    </row>
    <row r="1356">
      <c r="A1356" s="14" t="n"/>
      <c r="D1356" s="22" t="n"/>
      <c r="J1356" s="22" t="n"/>
    </row>
    <row r="1357">
      <c r="A1357" s="14" t="n"/>
      <c r="D1357" s="22" t="n"/>
      <c r="J1357" s="22" t="n"/>
    </row>
    <row r="1358">
      <c r="A1358" s="14" t="n"/>
      <c r="D1358" s="22" t="n"/>
      <c r="J1358" s="22" t="n"/>
    </row>
    <row r="1359">
      <c r="A1359" s="14" t="n"/>
      <c r="D1359" s="22" t="n"/>
      <c r="J1359" s="22" t="n"/>
    </row>
    <row r="1360">
      <c r="A1360" s="14" t="n"/>
      <c r="D1360" s="22" t="n"/>
      <c r="J1360" s="22" t="n"/>
    </row>
    <row r="1361">
      <c r="A1361" s="14" t="n"/>
      <c r="D1361" s="22" t="n"/>
      <c r="J1361" s="22" t="n"/>
    </row>
    <row r="1362">
      <c r="A1362" s="14" t="n"/>
      <c r="D1362" s="22" t="n"/>
      <c r="J1362" s="22" t="n"/>
    </row>
    <row r="1363">
      <c r="A1363" s="14" t="n"/>
      <c r="D1363" s="22" t="n"/>
      <c r="J1363" s="22" t="n"/>
    </row>
    <row r="1364">
      <c r="A1364" s="14" t="n"/>
      <c r="D1364" s="22" t="n"/>
      <c r="J1364" s="22" t="n"/>
    </row>
    <row r="1365">
      <c r="A1365" s="14" t="n"/>
      <c r="D1365" s="22" t="n"/>
      <c r="J1365" s="22" t="n"/>
    </row>
    <row r="1366">
      <c r="A1366" s="14" t="n"/>
      <c r="D1366" s="22" t="n"/>
      <c r="J1366" s="22" t="n"/>
    </row>
    <row r="1367">
      <c r="A1367" s="14" t="n"/>
      <c r="D1367" s="22" t="n"/>
      <c r="J1367" s="22" t="n"/>
    </row>
    <row r="1368">
      <c r="A1368" s="14" t="n"/>
      <c r="D1368" s="22" t="n"/>
      <c r="J1368" s="22" t="n"/>
    </row>
    <row r="1369">
      <c r="A1369" s="14" t="n"/>
      <c r="D1369" s="22" t="n"/>
      <c r="J1369" s="22" t="n"/>
    </row>
    <row r="1370">
      <c r="A1370" s="14" t="n"/>
      <c r="D1370" s="22" t="n"/>
      <c r="J1370" s="22" t="n"/>
    </row>
    <row r="1371">
      <c r="A1371" s="14" t="n"/>
      <c r="D1371" s="22" t="n"/>
      <c r="J1371" s="22" t="n"/>
    </row>
    <row r="1372">
      <c r="A1372" s="14" t="n"/>
      <c r="D1372" s="22" t="n"/>
      <c r="J1372" s="22" t="n"/>
    </row>
    <row r="1373">
      <c r="A1373" s="14" t="n"/>
      <c r="D1373" s="22" t="n"/>
      <c r="J1373" s="22" t="n"/>
    </row>
    <row r="1374">
      <c r="A1374" s="14" t="n"/>
      <c r="D1374" s="22" t="n"/>
      <c r="J1374" s="22" t="n"/>
    </row>
    <row r="1375">
      <c r="A1375" s="14" t="n"/>
      <c r="D1375" s="22" t="n"/>
      <c r="J1375" s="22" t="n"/>
    </row>
    <row r="1376">
      <c r="A1376" s="14" t="n"/>
      <c r="D1376" s="22" t="n"/>
      <c r="J1376" s="22" t="n"/>
    </row>
    <row r="1377">
      <c r="A1377" s="14" t="n"/>
      <c r="D1377" s="22" t="n"/>
      <c r="J1377" s="22" t="n"/>
    </row>
    <row r="1378">
      <c r="A1378" s="14" t="n"/>
      <c r="D1378" s="22" t="n"/>
      <c r="J1378" s="22" t="n"/>
    </row>
    <row r="1379">
      <c r="A1379" s="14" t="n"/>
      <c r="D1379" s="22" t="n"/>
      <c r="J1379" s="22" t="n"/>
    </row>
    <row r="1380">
      <c r="A1380" s="14" t="n"/>
      <c r="D1380" s="22" t="n"/>
      <c r="J1380" s="22" t="n"/>
    </row>
    <row r="1381">
      <c r="A1381" s="14" t="n"/>
      <c r="D1381" s="22" t="n"/>
      <c r="J1381" s="22" t="n"/>
    </row>
    <row r="1382">
      <c r="A1382" s="14" t="n"/>
      <c r="D1382" s="22" t="n"/>
      <c r="J1382" s="22" t="n"/>
    </row>
    <row r="1383">
      <c r="A1383" s="14" t="n"/>
      <c r="D1383" s="22" t="n"/>
      <c r="J1383" s="22" t="n"/>
    </row>
    <row r="1384">
      <c r="A1384" s="14" t="n"/>
      <c r="D1384" s="22" t="n"/>
      <c r="J1384" s="22" t="n"/>
    </row>
    <row r="1385">
      <c r="A1385" s="14" t="n"/>
      <c r="D1385" s="22" t="n"/>
      <c r="J1385" s="22" t="n"/>
    </row>
    <row r="1386">
      <c r="A1386" s="14" t="n"/>
      <c r="D1386" s="22" t="n"/>
      <c r="J1386" s="22" t="n"/>
    </row>
    <row r="1387">
      <c r="A1387" s="14" t="n"/>
      <c r="D1387" s="22" t="n"/>
      <c r="J1387" s="22" t="n"/>
    </row>
    <row r="1388">
      <c r="A1388" s="14" t="n"/>
      <c r="D1388" s="22" t="n"/>
      <c r="J1388" s="22" t="n"/>
    </row>
    <row r="1389">
      <c r="A1389" s="14" t="n"/>
      <c r="D1389" s="22" t="n"/>
      <c r="J1389" s="22" t="n"/>
    </row>
    <row r="1390">
      <c r="A1390" s="14" t="n"/>
      <c r="D1390" s="22" t="n"/>
      <c r="J1390" s="22" t="n"/>
    </row>
    <row r="1391">
      <c r="A1391" s="14" t="n"/>
      <c r="D1391" s="22" t="n"/>
      <c r="J1391" s="22" t="n"/>
    </row>
    <row r="1392">
      <c r="A1392" s="14" t="n"/>
      <c r="D1392" s="22" t="n"/>
      <c r="J1392" s="22" t="n"/>
    </row>
    <row r="1393">
      <c r="A1393" s="14" t="n"/>
      <c r="D1393" s="22" t="n"/>
      <c r="J1393" s="22" t="n"/>
    </row>
    <row r="1394">
      <c r="A1394" s="14" t="n"/>
      <c r="D1394" s="22" t="n"/>
      <c r="J1394" s="22" t="n"/>
    </row>
    <row r="1395">
      <c r="A1395" s="14" t="n"/>
      <c r="D1395" s="22" t="n"/>
      <c r="J1395" s="22" t="n"/>
    </row>
    <row r="1396">
      <c r="A1396" s="14" t="n"/>
      <c r="D1396" s="22" t="n"/>
      <c r="J1396" s="22" t="n"/>
    </row>
    <row r="1397">
      <c r="A1397" s="14" t="n"/>
      <c r="D1397" s="22" t="n"/>
      <c r="J1397" s="22" t="n"/>
    </row>
    <row r="1398">
      <c r="A1398" s="14" t="n"/>
      <c r="D1398" s="22" t="n"/>
      <c r="J1398" s="22" t="n"/>
    </row>
    <row r="1399">
      <c r="A1399" s="14" t="n"/>
      <c r="D1399" s="22" t="n"/>
      <c r="J1399" s="22" t="n"/>
    </row>
    <row r="1400">
      <c r="A1400" s="14" t="n"/>
      <c r="D1400" s="22" t="n"/>
      <c r="J1400" s="22" t="n"/>
    </row>
    <row r="1401">
      <c r="A1401" s="14" t="n"/>
      <c r="D1401" s="22" t="n"/>
      <c r="J1401" s="22" t="n"/>
    </row>
    <row r="1402">
      <c r="A1402" s="14" t="n"/>
      <c r="D1402" s="22" t="n"/>
      <c r="J1402" s="22" t="n"/>
    </row>
    <row r="1403">
      <c r="A1403" s="14" t="n"/>
      <c r="D1403" s="22" t="n"/>
      <c r="J1403" s="22" t="n"/>
    </row>
    <row r="1404">
      <c r="A1404" s="14" t="n"/>
      <c r="D1404" s="22" t="n"/>
      <c r="J1404" s="22" t="n"/>
    </row>
    <row r="1405">
      <c r="A1405" s="14" t="n"/>
      <c r="D1405" s="22" t="n"/>
      <c r="J1405" s="22" t="n"/>
    </row>
    <row r="1406">
      <c r="A1406" s="14" t="n"/>
      <c r="D1406" s="22" t="n"/>
      <c r="J1406" s="22" t="n"/>
    </row>
    <row r="1407">
      <c r="A1407" s="14" t="n"/>
      <c r="D1407" s="22" t="n"/>
      <c r="J1407" s="22" t="n"/>
    </row>
    <row r="1408">
      <c r="A1408" s="14" t="n"/>
      <c r="D1408" s="22" t="n"/>
      <c r="J1408" s="22" t="n"/>
    </row>
    <row r="1409">
      <c r="A1409" s="14" t="n"/>
      <c r="D1409" s="22" t="n"/>
      <c r="J1409" s="22" t="n"/>
    </row>
    <row r="1410">
      <c r="A1410" s="14" t="n"/>
      <c r="D1410" s="22" t="n"/>
      <c r="J1410" s="22" t="n"/>
    </row>
    <row r="1411">
      <c r="A1411" s="14" t="n"/>
      <c r="D1411" s="22" t="n"/>
      <c r="J1411" s="22" t="n"/>
    </row>
    <row r="1412">
      <c r="A1412" s="14" t="n"/>
      <c r="D1412" s="22" t="n"/>
      <c r="J1412" s="22" t="n"/>
    </row>
    <row r="1413">
      <c r="A1413" s="14" t="n"/>
      <c r="D1413" s="22" t="n"/>
      <c r="J1413" s="22" t="n"/>
    </row>
    <row r="1414">
      <c r="A1414" s="14" t="n"/>
      <c r="D1414" s="22" t="n"/>
      <c r="J1414" s="22" t="n"/>
    </row>
    <row r="1415">
      <c r="A1415" s="14" t="n"/>
      <c r="D1415" s="22" t="n"/>
      <c r="J1415" s="22" t="n"/>
    </row>
    <row r="1416">
      <c r="A1416" s="14" t="n"/>
      <c r="D1416" s="22" t="n"/>
      <c r="J1416" s="22" t="n"/>
    </row>
    <row r="1417">
      <c r="A1417" s="14" t="n"/>
      <c r="D1417" s="22" t="n"/>
      <c r="J1417" s="22" t="n"/>
    </row>
    <row r="1418">
      <c r="A1418" s="14" t="n"/>
      <c r="D1418" s="22" t="n"/>
      <c r="J1418" s="22" t="n"/>
    </row>
    <row r="1419">
      <c r="A1419" s="14" t="n"/>
      <c r="D1419" s="22" t="n"/>
      <c r="J1419" s="22" t="n"/>
    </row>
    <row r="1420">
      <c r="A1420" s="14" t="n"/>
      <c r="D1420" s="22" t="n"/>
      <c r="J1420" s="22" t="n"/>
    </row>
    <row r="1421">
      <c r="A1421" s="14" t="n"/>
      <c r="D1421" s="22" t="n"/>
      <c r="J1421" s="22" t="n"/>
    </row>
    <row r="1422">
      <c r="A1422" s="14" t="n"/>
      <c r="D1422" s="22" t="n"/>
      <c r="J1422" s="22" t="n"/>
    </row>
    <row r="1423">
      <c r="A1423" s="14" t="n"/>
      <c r="D1423" s="22" t="n"/>
      <c r="J1423" s="22" t="n"/>
    </row>
    <row r="1424">
      <c r="A1424" s="14" t="n"/>
      <c r="D1424" s="22" t="n"/>
      <c r="J1424" s="22" t="n"/>
    </row>
    <row r="1425">
      <c r="A1425" s="14" t="n"/>
      <c r="D1425" s="22" t="n"/>
      <c r="J1425" s="22" t="n"/>
    </row>
    <row r="1426">
      <c r="A1426" s="14" t="n"/>
      <c r="D1426" s="22" t="n"/>
      <c r="J1426" s="22" t="n"/>
    </row>
    <row r="1427">
      <c r="A1427" s="14" t="n"/>
      <c r="D1427" s="22" t="n"/>
      <c r="J1427" s="22" t="n"/>
    </row>
    <row r="1428">
      <c r="A1428" s="14" t="n"/>
      <c r="D1428" s="22" t="n"/>
      <c r="J1428" s="22" t="n"/>
    </row>
    <row r="1429">
      <c r="A1429" s="14" t="n"/>
      <c r="D1429" s="22" t="n"/>
      <c r="J1429" s="22" t="n"/>
    </row>
    <row r="1430">
      <c r="A1430" s="14" t="n"/>
      <c r="D1430" s="22" t="n"/>
      <c r="J1430" s="22" t="n"/>
    </row>
    <row r="1431">
      <c r="A1431" s="14" t="n"/>
      <c r="D1431" s="22" t="n"/>
      <c r="J1431" s="22" t="n"/>
    </row>
    <row r="1432">
      <c r="A1432" s="14" t="n"/>
      <c r="D1432" s="22" t="n"/>
      <c r="J1432" s="22" t="n"/>
    </row>
    <row r="1433">
      <c r="A1433" s="14" t="n"/>
      <c r="D1433" s="22" t="n"/>
      <c r="J1433" s="22" t="n"/>
    </row>
    <row r="1434">
      <c r="A1434" s="14" t="n"/>
      <c r="D1434" s="22" t="n"/>
      <c r="J1434" s="22" t="n"/>
    </row>
    <row r="1435">
      <c r="A1435" s="14" t="n"/>
      <c r="D1435" s="22" t="n"/>
      <c r="J1435" s="22" t="n"/>
    </row>
    <row r="1436">
      <c r="A1436" s="14" t="n"/>
      <c r="D1436" s="22" t="n"/>
      <c r="J1436" s="22" t="n"/>
    </row>
    <row r="1437">
      <c r="A1437" s="14" t="n"/>
      <c r="D1437" s="22" t="n"/>
      <c r="J1437" s="22" t="n"/>
    </row>
    <row r="1438">
      <c r="A1438" s="14" t="n"/>
      <c r="D1438" s="22" t="n"/>
      <c r="J1438" s="22" t="n"/>
    </row>
    <row r="1439">
      <c r="A1439" s="14" t="n"/>
      <c r="D1439" s="22" t="n"/>
      <c r="J1439" s="22" t="n"/>
    </row>
    <row r="1440">
      <c r="A1440" s="14" t="n"/>
      <c r="D1440" s="22" t="n"/>
      <c r="J1440" s="22" t="n"/>
    </row>
    <row r="1441">
      <c r="A1441" s="14" t="n"/>
      <c r="D1441" s="22" t="n"/>
      <c r="J1441" s="22" t="n"/>
    </row>
    <row r="1442">
      <c r="A1442" s="14" t="n"/>
      <c r="D1442" s="22" t="n"/>
      <c r="J1442" s="22" t="n"/>
    </row>
    <row r="1443">
      <c r="A1443" s="14" t="n"/>
      <c r="D1443" s="22" t="n"/>
      <c r="J1443" s="22" t="n"/>
    </row>
    <row r="1444">
      <c r="A1444" s="14" t="n"/>
      <c r="D1444" s="22" t="n"/>
      <c r="J1444" s="22" t="n"/>
    </row>
    <row r="1445">
      <c r="A1445" s="14" t="n"/>
      <c r="D1445" s="22" t="n"/>
      <c r="J1445" s="22" t="n"/>
    </row>
    <row r="1446">
      <c r="A1446" s="14" t="n"/>
      <c r="D1446" s="22" t="n"/>
      <c r="J1446" s="22" t="n"/>
    </row>
    <row r="1447">
      <c r="A1447" s="14" t="n"/>
      <c r="D1447" s="22" t="n"/>
      <c r="J1447" s="22" t="n"/>
    </row>
    <row r="1448">
      <c r="A1448" s="14" t="n"/>
      <c r="D1448" s="22" t="n"/>
      <c r="J1448" s="22" t="n"/>
    </row>
    <row r="1449">
      <c r="A1449" s="14" t="n"/>
      <c r="D1449" s="22" t="n"/>
      <c r="J1449" s="22" t="n"/>
    </row>
    <row r="1450">
      <c r="A1450" s="14" t="n"/>
      <c r="D1450" s="22" t="n"/>
      <c r="J1450" s="22" t="n"/>
    </row>
    <row r="1451">
      <c r="A1451" s="14" t="n"/>
      <c r="D1451" s="22" t="n"/>
      <c r="J1451" s="22" t="n"/>
    </row>
    <row r="1452">
      <c r="A1452" s="14" t="n"/>
      <c r="D1452" s="22" t="n"/>
      <c r="J1452" s="22" t="n"/>
    </row>
    <row r="1453">
      <c r="A1453" s="14" t="n"/>
      <c r="D1453" s="22" t="n"/>
      <c r="J1453" s="22" t="n"/>
    </row>
    <row r="1454">
      <c r="A1454" s="14" t="n"/>
      <c r="D1454" s="22" t="n"/>
      <c r="J1454" s="22" t="n"/>
    </row>
    <row r="1455">
      <c r="A1455" s="14" t="n"/>
      <c r="D1455" s="22" t="n"/>
      <c r="J1455" s="22" t="n"/>
    </row>
    <row r="1456">
      <c r="A1456" s="14" t="n"/>
      <c r="D1456" s="22" t="n"/>
      <c r="J1456" s="22" t="n"/>
    </row>
    <row r="1457">
      <c r="A1457" s="14" t="n"/>
      <c r="D1457" s="22" t="n"/>
      <c r="J1457" s="22" t="n"/>
    </row>
    <row r="1458">
      <c r="A1458" s="14" t="n"/>
      <c r="D1458" s="22" t="n"/>
      <c r="J1458" s="22" t="n"/>
    </row>
    <row r="1459">
      <c r="A1459" s="14" t="n"/>
      <c r="D1459" s="22" t="n"/>
      <c r="J1459" s="22" t="n"/>
    </row>
    <row r="1460">
      <c r="A1460" s="14" t="n"/>
      <c r="D1460" s="22" t="n"/>
      <c r="J1460" s="22" t="n"/>
    </row>
    <row r="1461">
      <c r="A1461" s="14" t="n"/>
      <c r="D1461" s="22" t="n"/>
      <c r="J1461" s="22" t="n"/>
    </row>
    <row r="1462">
      <c r="A1462" s="14" t="n"/>
      <c r="D1462" s="22" t="n"/>
      <c r="J1462" s="22" t="n"/>
    </row>
    <row r="1463">
      <c r="A1463" s="14" t="n"/>
      <c r="D1463" s="22" t="n"/>
      <c r="J1463" s="22" t="n"/>
    </row>
    <row r="1464">
      <c r="A1464" s="14" t="n"/>
      <c r="D1464" s="22" t="n"/>
      <c r="J1464" s="22" t="n"/>
    </row>
    <row r="1465">
      <c r="A1465" s="14" t="n"/>
      <c r="D1465" s="22" t="n"/>
      <c r="J1465" s="22" t="n"/>
    </row>
    <row r="1466">
      <c r="A1466" s="14" t="n"/>
      <c r="D1466" s="22" t="n"/>
      <c r="J1466" s="22" t="n"/>
    </row>
    <row r="1467">
      <c r="A1467" s="14" t="n"/>
      <c r="D1467" s="22" t="n"/>
      <c r="J1467" s="22" t="n"/>
    </row>
    <row r="1468">
      <c r="A1468" s="14" t="n"/>
      <c r="D1468" s="22" t="n"/>
      <c r="J1468" s="22" t="n"/>
    </row>
    <row r="1469">
      <c r="A1469" s="14" t="n"/>
      <c r="D1469" s="22" t="n"/>
      <c r="J1469" s="22" t="n"/>
    </row>
    <row r="1470">
      <c r="A1470" s="14" t="n"/>
      <c r="D1470" s="22" t="n"/>
      <c r="J1470" s="22" t="n"/>
    </row>
    <row r="1471">
      <c r="A1471" s="14" t="n"/>
      <c r="D1471" s="22" t="n"/>
      <c r="J1471" s="22" t="n"/>
    </row>
    <row r="1472">
      <c r="A1472" s="14" t="n"/>
      <c r="D1472" s="22" t="n"/>
      <c r="J1472" s="22" t="n"/>
    </row>
    <row r="1473">
      <c r="A1473" s="14" t="n"/>
      <c r="D1473" s="22" t="n"/>
      <c r="J1473" s="22" t="n"/>
    </row>
    <row r="1474">
      <c r="A1474" s="14" t="n"/>
      <c r="D1474" s="22" t="n"/>
      <c r="J1474" s="22" t="n"/>
    </row>
    <row r="1475">
      <c r="A1475" s="14" t="n"/>
      <c r="D1475" s="22" t="n"/>
      <c r="J1475" s="22" t="n"/>
    </row>
    <row r="1476">
      <c r="A1476" s="14" t="n"/>
      <c r="D1476" s="22" t="n"/>
      <c r="J1476" s="22" t="n"/>
    </row>
    <row r="1477">
      <c r="A1477" s="14" t="n"/>
      <c r="D1477" s="22" t="n"/>
      <c r="J1477" s="22" t="n"/>
    </row>
    <row r="1478">
      <c r="A1478" s="14" t="n"/>
      <c r="D1478" s="22" t="n"/>
      <c r="J1478" s="22" t="n"/>
    </row>
    <row r="1479">
      <c r="A1479" s="14" t="n"/>
      <c r="D1479" s="22" t="n"/>
      <c r="J1479" s="22" t="n"/>
    </row>
    <row r="1480">
      <c r="A1480" s="14" t="n"/>
      <c r="D1480" s="22" t="n"/>
      <c r="J1480" s="22" t="n"/>
    </row>
    <row r="1481">
      <c r="A1481" s="14" t="n"/>
      <c r="D1481" s="22" t="n"/>
      <c r="J1481" s="22" t="n"/>
    </row>
    <row r="1482">
      <c r="A1482" s="14" t="n"/>
      <c r="D1482" s="22" t="n"/>
      <c r="J1482" s="22" t="n"/>
    </row>
    <row r="1483">
      <c r="A1483" s="14" t="n"/>
      <c r="D1483" s="22" t="n"/>
      <c r="J1483" s="22" t="n"/>
    </row>
    <row r="1484">
      <c r="A1484" s="14" t="n"/>
      <c r="D1484" s="22" t="n"/>
      <c r="J1484" s="22" t="n"/>
    </row>
    <row r="1485">
      <c r="A1485" s="14" t="n"/>
      <c r="D1485" s="22" t="n"/>
      <c r="J1485" s="22" t="n"/>
    </row>
    <row r="1486">
      <c r="A1486" s="14" t="n"/>
      <c r="D1486" s="22" t="n"/>
      <c r="J1486" s="22" t="n"/>
    </row>
    <row r="1487">
      <c r="A1487" s="14" t="n"/>
      <c r="D1487" s="22" t="n"/>
      <c r="J1487" s="22" t="n"/>
    </row>
    <row r="1488">
      <c r="A1488" s="14" t="n"/>
      <c r="D1488" s="22" t="n"/>
      <c r="J1488" s="22" t="n"/>
    </row>
    <row r="1489">
      <c r="A1489" s="14" t="n"/>
      <c r="D1489" s="22" t="n"/>
      <c r="J1489" s="22" t="n"/>
    </row>
    <row r="1490">
      <c r="A1490" s="14" t="n"/>
      <c r="D1490" s="22" t="n"/>
      <c r="J1490" s="22" t="n"/>
    </row>
    <row r="1491">
      <c r="A1491" s="14" t="n"/>
      <c r="D1491" s="22" t="n"/>
      <c r="J1491" s="22" t="n"/>
    </row>
    <row r="1492">
      <c r="A1492" s="14" t="n"/>
      <c r="D1492" s="22" t="n"/>
      <c r="J1492" s="22" t="n"/>
    </row>
    <row r="1493">
      <c r="A1493" s="14" t="n"/>
      <c r="D1493" s="22" t="n"/>
      <c r="J1493" s="22" t="n"/>
    </row>
    <row r="1494">
      <c r="A1494" s="14" t="n"/>
      <c r="D1494" s="22" t="n"/>
      <c r="J1494" s="22" t="n"/>
    </row>
    <row r="1495">
      <c r="A1495" s="14" t="n"/>
      <c r="D1495" s="22" t="n"/>
      <c r="J1495" s="22" t="n"/>
    </row>
    <row r="1496">
      <c r="A1496" s="14" t="n"/>
      <c r="D1496" s="22" t="n"/>
      <c r="J1496" s="22" t="n"/>
    </row>
    <row r="1497">
      <c r="A1497" s="14" t="n"/>
      <c r="D1497" s="22" t="n"/>
      <c r="J1497" s="22" t="n"/>
    </row>
    <row r="1498">
      <c r="A1498" s="14" t="n"/>
      <c r="D1498" s="22" t="n"/>
      <c r="J1498" s="22" t="n"/>
    </row>
    <row r="1499">
      <c r="A1499" s="14" t="n"/>
      <c r="D1499" s="22" t="n"/>
      <c r="J1499" s="22" t="n"/>
    </row>
    <row r="1500">
      <c r="A1500" s="14" t="n"/>
      <c r="D1500" s="22" t="n"/>
      <c r="J1500" s="22" t="n"/>
    </row>
    <row r="1501">
      <c r="A1501" s="14" t="n"/>
      <c r="D1501" s="22" t="n"/>
      <c r="J1501" s="22" t="n"/>
    </row>
    <row r="1502">
      <c r="A1502" s="14" t="n"/>
      <c r="D1502" s="22" t="n"/>
      <c r="J1502" s="22" t="n"/>
    </row>
    <row r="1503">
      <c r="A1503" s="14" t="n"/>
      <c r="D1503" s="22" t="n"/>
      <c r="J1503" s="22" t="n"/>
    </row>
    <row r="1504">
      <c r="A1504" s="14" t="n"/>
      <c r="D1504" s="22" t="n"/>
      <c r="J1504" s="22" t="n"/>
    </row>
    <row r="1505">
      <c r="A1505" s="14" t="n"/>
      <c r="D1505" s="22" t="n"/>
      <c r="J1505" s="22" t="n"/>
    </row>
    <row r="1506">
      <c r="A1506" s="14" t="n"/>
      <c r="D1506" s="22" t="n"/>
      <c r="J1506" s="22" t="n"/>
    </row>
    <row r="1507">
      <c r="A1507" s="14" t="n"/>
      <c r="D1507" s="22" t="n"/>
      <c r="J1507" s="22" t="n"/>
    </row>
    <row r="1508">
      <c r="A1508" s="14" t="n"/>
      <c r="D1508" s="22" t="n"/>
      <c r="J1508" s="22" t="n"/>
    </row>
    <row r="1509">
      <c r="A1509" s="14" t="n"/>
      <c r="D1509" s="22" t="n"/>
      <c r="J1509" s="22" t="n"/>
    </row>
    <row r="1510">
      <c r="A1510" s="14" t="n"/>
      <c r="D1510" s="22" t="n"/>
      <c r="J1510" s="22" t="n"/>
    </row>
    <row r="1511">
      <c r="A1511" s="14" t="n"/>
      <c r="D1511" s="22" t="n"/>
      <c r="J1511" s="22" t="n"/>
    </row>
    <row r="1512">
      <c r="A1512" s="14" t="n"/>
      <c r="D1512" s="22" t="n"/>
      <c r="J1512" s="22" t="n"/>
    </row>
    <row r="1513">
      <c r="A1513" s="14" t="n"/>
      <c r="D1513" s="22" t="n"/>
      <c r="J1513" s="22" t="n"/>
    </row>
    <row r="1514">
      <c r="A1514" s="14" t="n"/>
      <c r="D1514" s="22" t="n"/>
      <c r="J1514" s="22" t="n"/>
    </row>
    <row r="1515">
      <c r="A1515" s="14" t="n"/>
      <c r="D1515" s="22" t="n"/>
      <c r="J1515" s="22" t="n"/>
    </row>
    <row r="1516">
      <c r="A1516" s="14" t="n"/>
      <c r="D1516" s="22" t="n"/>
      <c r="J1516" s="22" t="n"/>
    </row>
    <row r="1517">
      <c r="A1517" s="14" t="n"/>
      <c r="D1517" s="22" t="n"/>
      <c r="J1517" s="22" t="n"/>
    </row>
    <row r="1518">
      <c r="A1518" s="14" t="n"/>
      <c r="D1518" s="22" t="n"/>
      <c r="J1518" s="22" t="n"/>
    </row>
    <row r="1519">
      <c r="A1519" s="14" t="n"/>
      <c r="D1519" s="22" t="n"/>
      <c r="J1519" s="22" t="n"/>
    </row>
    <row r="1520">
      <c r="A1520" s="14" t="n"/>
      <c r="D1520" s="22" t="n"/>
      <c r="J1520" s="22" t="n"/>
    </row>
    <row r="1521">
      <c r="A1521" s="14" t="n"/>
      <c r="D1521" s="22" t="n"/>
      <c r="J1521" s="22" t="n"/>
    </row>
    <row r="1522">
      <c r="A1522" s="14" t="n"/>
      <c r="D1522" s="22" t="n"/>
      <c r="J1522" s="22" t="n"/>
    </row>
    <row r="1523">
      <c r="A1523" s="14" t="n"/>
      <c r="D1523" s="22" t="n"/>
      <c r="J1523" s="22" t="n"/>
    </row>
    <row r="1524">
      <c r="A1524" s="14" t="n"/>
      <c r="D1524" s="22" t="n"/>
      <c r="J1524" s="22" t="n"/>
    </row>
    <row r="1525">
      <c r="A1525" s="14" t="n"/>
      <c r="D1525" s="22" t="n"/>
      <c r="J1525" s="22" t="n"/>
    </row>
    <row r="1526">
      <c r="A1526" s="14" t="n"/>
      <c r="D1526" s="22" t="n"/>
      <c r="J1526" s="22" t="n"/>
    </row>
    <row r="1527">
      <c r="A1527" s="14" t="n"/>
      <c r="D1527" s="22" t="n"/>
      <c r="J1527" s="22" t="n"/>
    </row>
    <row r="1528">
      <c r="A1528" s="14" t="n"/>
      <c r="D1528" s="22" t="n"/>
      <c r="J1528" s="22" t="n"/>
    </row>
    <row r="1529">
      <c r="A1529" s="14" t="n"/>
      <c r="D1529" s="22" t="n"/>
      <c r="J1529" s="22" t="n"/>
    </row>
    <row r="1530">
      <c r="A1530" s="14" t="n"/>
      <c r="D1530" s="22" t="n"/>
      <c r="J1530" s="22" t="n"/>
    </row>
    <row r="1531">
      <c r="A1531" s="14" t="n"/>
      <c r="D1531" s="22" t="n"/>
      <c r="J1531" s="22" t="n"/>
    </row>
    <row r="1532">
      <c r="A1532" s="14" t="n"/>
      <c r="D1532" s="22" t="n"/>
      <c r="J1532" s="22" t="n"/>
    </row>
    <row r="1533">
      <c r="A1533" s="14" t="n"/>
      <c r="D1533" s="22" t="n"/>
      <c r="J1533" s="22" t="n"/>
    </row>
    <row r="1534">
      <c r="A1534" s="14" t="n"/>
      <c r="D1534" s="22" t="n"/>
      <c r="J1534" s="22" t="n"/>
    </row>
    <row r="1535">
      <c r="A1535" s="14" t="n"/>
      <c r="D1535" s="22" t="n"/>
      <c r="J1535" s="22" t="n"/>
    </row>
    <row r="1536">
      <c r="A1536" s="14" t="n"/>
      <c r="D1536" s="22" t="n"/>
      <c r="J1536" s="22" t="n"/>
    </row>
    <row r="1537">
      <c r="A1537" s="14" t="n"/>
      <c r="D1537" s="22" t="n"/>
      <c r="J1537" s="22" t="n"/>
    </row>
    <row r="1538">
      <c r="A1538" s="14" t="n"/>
      <c r="D1538" s="22" t="n"/>
      <c r="J1538" s="22" t="n"/>
    </row>
    <row r="1539">
      <c r="A1539" s="14" t="n"/>
      <c r="D1539" s="22" t="n"/>
      <c r="J1539" s="22" t="n"/>
    </row>
    <row r="1540">
      <c r="A1540" s="14" t="n"/>
      <c r="D1540" s="22" t="n"/>
      <c r="J1540" s="22" t="n"/>
    </row>
    <row r="1541">
      <c r="A1541" s="14" t="n"/>
      <c r="D1541" s="22" t="n"/>
      <c r="J1541" s="22" t="n"/>
    </row>
    <row r="1542">
      <c r="A1542" s="14" t="n"/>
      <c r="D1542" s="22" t="n"/>
      <c r="J1542" s="22" t="n"/>
    </row>
    <row r="1543">
      <c r="A1543" s="14" t="n"/>
      <c r="D1543" s="22" t="n"/>
      <c r="J1543" s="22" t="n"/>
    </row>
    <row r="1544">
      <c r="A1544" s="14" t="n"/>
      <c r="D1544" s="22" t="n"/>
      <c r="J1544" s="22" t="n"/>
    </row>
    <row r="1545">
      <c r="A1545" s="14" t="n"/>
      <c r="D1545" s="22" t="n"/>
      <c r="J1545" s="22" t="n"/>
    </row>
    <row r="1546">
      <c r="A1546" s="14" t="n"/>
      <c r="D1546" s="22" t="n"/>
      <c r="J1546" s="22" t="n"/>
    </row>
    <row r="1547">
      <c r="A1547" s="14" t="n"/>
      <c r="D1547" s="22" t="n"/>
      <c r="J1547" s="22" t="n"/>
    </row>
    <row r="1548">
      <c r="A1548" s="14" t="n"/>
      <c r="D1548" s="22" t="n"/>
      <c r="J1548" s="22" t="n"/>
    </row>
    <row r="1549">
      <c r="A1549" s="14" t="n"/>
      <c r="D1549" s="22" t="n"/>
      <c r="J1549" s="22" t="n"/>
    </row>
    <row r="1550">
      <c r="A1550" s="14" t="n"/>
      <c r="D1550" s="22" t="n"/>
      <c r="J1550" s="22" t="n"/>
    </row>
    <row r="1551">
      <c r="A1551" s="14" t="n"/>
      <c r="D1551" s="22" t="n"/>
      <c r="J1551" s="22" t="n"/>
    </row>
    <row r="1552">
      <c r="A1552" s="14" t="n"/>
      <c r="D1552" s="22" t="n"/>
      <c r="J1552" s="22" t="n"/>
    </row>
    <row r="1553">
      <c r="A1553" s="14" t="n"/>
      <c r="D1553" s="22" t="n"/>
      <c r="J1553" s="22" t="n"/>
    </row>
    <row r="1554">
      <c r="A1554" s="14" t="n"/>
      <c r="D1554" s="22" t="n"/>
      <c r="J1554" s="22" t="n"/>
    </row>
    <row r="1555">
      <c r="A1555" s="14" t="n"/>
      <c r="D1555" s="22" t="n"/>
      <c r="J1555" s="22" t="n"/>
    </row>
    <row r="1556">
      <c r="A1556" s="14" t="n"/>
      <c r="D1556" s="22" t="n"/>
      <c r="J1556" s="22" t="n"/>
    </row>
    <row r="1557">
      <c r="A1557" s="14" t="n"/>
      <c r="D1557" s="22" t="n"/>
      <c r="J1557" s="22" t="n"/>
    </row>
    <row r="1558">
      <c r="A1558" s="14" t="n"/>
      <c r="D1558" s="22" t="n"/>
      <c r="J1558" s="22" t="n"/>
    </row>
    <row r="1559">
      <c r="A1559" s="14" t="n"/>
      <c r="D1559" s="22" t="n"/>
      <c r="J1559" s="22" t="n"/>
    </row>
    <row r="1560">
      <c r="A1560" s="14" t="n"/>
      <c r="D1560" s="22" t="n"/>
      <c r="J1560" s="22" t="n"/>
    </row>
    <row r="1561">
      <c r="A1561" s="14" t="n"/>
      <c r="D1561" s="22" t="n"/>
      <c r="J1561" s="22" t="n"/>
    </row>
    <row r="1562">
      <c r="A1562" s="14" t="n"/>
      <c r="D1562" s="22" t="n"/>
      <c r="J1562" s="22" t="n"/>
    </row>
    <row r="1563">
      <c r="A1563" s="14" t="n"/>
      <c r="D1563" s="22" t="n"/>
      <c r="J1563" s="22" t="n"/>
    </row>
    <row r="1564">
      <c r="A1564" s="14" t="n"/>
      <c r="D1564" s="22" t="n"/>
      <c r="J1564" s="22" t="n"/>
    </row>
    <row r="1565">
      <c r="A1565" s="14" t="n"/>
      <c r="D1565" s="22" t="n"/>
      <c r="J1565" s="22" t="n"/>
    </row>
    <row r="1566">
      <c r="A1566" s="14" t="n"/>
      <c r="D1566" s="22" t="n"/>
      <c r="J1566" s="22" t="n"/>
    </row>
    <row r="1567">
      <c r="A1567" s="14" t="n"/>
      <c r="D1567" s="22" t="n"/>
      <c r="J1567" s="22" t="n"/>
    </row>
    <row r="1568">
      <c r="A1568" s="14" t="n"/>
      <c r="D1568" s="22" t="n"/>
      <c r="J1568" s="22" t="n"/>
    </row>
    <row r="1569">
      <c r="A1569" s="14" t="n"/>
      <c r="D1569" s="22" t="n"/>
      <c r="J1569" s="22" t="n"/>
    </row>
    <row r="1570">
      <c r="A1570" s="14" t="n"/>
      <c r="D1570" s="22" t="n"/>
      <c r="J1570" s="22" t="n"/>
    </row>
    <row r="1571">
      <c r="A1571" s="14" t="n"/>
      <c r="D1571" s="22" t="n"/>
      <c r="J1571" s="22" t="n"/>
    </row>
    <row r="1572">
      <c r="A1572" s="14" t="n"/>
      <c r="D1572" s="22" t="n"/>
      <c r="J1572" s="22" t="n"/>
    </row>
    <row r="1573">
      <c r="A1573" s="14" t="n"/>
      <c r="D1573" s="22" t="n"/>
      <c r="J1573" s="22" t="n"/>
    </row>
    <row r="1574">
      <c r="A1574" s="14" t="n"/>
      <c r="D1574" s="22" t="n"/>
      <c r="J1574" s="22" t="n"/>
    </row>
    <row r="1575">
      <c r="A1575" s="14" t="n"/>
      <c r="D1575" s="22" t="n"/>
      <c r="J1575" s="22" t="n"/>
    </row>
    <row r="1576">
      <c r="A1576" s="14" t="n"/>
      <c r="D1576" s="22" t="n"/>
      <c r="J1576" s="22" t="n"/>
    </row>
    <row r="1577">
      <c r="A1577" s="14" t="n"/>
      <c r="D1577" s="22" t="n"/>
      <c r="J1577" s="22" t="n"/>
    </row>
    <row r="1578">
      <c r="A1578" s="14" t="n"/>
      <c r="D1578" s="22" t="n"/>
      <c r="J1578" s="22" t="n"/>
    </row>
    <row r="1579">
      <c r="A1579" s="14" t="n"/>
      <c r="D1579" s="22" t="n"/>
      <c r="J1579" s="22" t="n"/>
    </row>
    <row r="1580">
      <c r="A1580" s="14" t="n"/>
      <c r="D1580" s="22" t="n"/>
      <c r="J1580" s="22" t="n"/>
    </row>
    <row r="1581">
      <c r="A1581" s="14" t="n"/>
      <c r="D1581" s="22" t="n"/>
      <c r="J1581" s="22" t="n"/>
    </row>
    <row r="1582">
      <c r="A1582" s="14" t="n"/>
      <c r="D1582" s="22" t="n"/>
      <c r="J1582" s="22" t="n"/>
    </row>
    <row r="1583">
      <c r="A1583" s="14" t="n"/>
      <c r="D1583" s="22" t="n"/>
      <c r="J1583" s="22" t="n"/>
    </row>
    <row r="1584">
      <c r="A1584" s="14" t="n"/>
      <c r="D1584" s="22" t="n"/>
      <c r="J1584" s="22" t="n"/>
    </row>
    <row r="1585">
      <c r="A1585" s="14" t="n"/>
      <c r="D1585" s="22" t="n"/>
      <c r="J1585" s="22" t="n"/>
    </row>
    <row r="1586">
      <c r="A1586" s="14" t="n"/>
      <c r="D1586" s="22" t="n"/>
      <c r="J1586" s="22" t="n"/>
    </row>
    <row r="1587">
      <c r="A1587" s="14" t="n"/>
      <c r="D1587" s="22" t="n"/>
      <c r="J1587" s="22" t="n"/>
    </row>
    <row r="1588">
      <c r="A1588" s="14" t="n"/>
      <c r="D1588" s="22" t="n"/>
      <c r="J1588" s="22" t="n"/>
    </row>
    <row r="1589">
      <c r="A1589" s="14" t="n"/>
      <c r="D1589" s="22" t="n"/>
      <c r="J1589" s="22" t="n"/>
    </row>
    <row r="1590">
      <c r="A1590" s="14" t="n"/>
      <c r="D1590" s="22" t="n"/>
      <c r="J1590" s="22" t="n"/>
    </row>
    <row r="1591">
      <c r="A1591" s="14" t="n"/>
      <c r="D1591" s="22" t="n"/>
      <c r="J1591" s="22" t="n"/>
    </row>
    <row r="1592">
      <c r="A1592" s="14" t="n"/>
      <c r="D1592" s="22" t="n"/>
      <c r="J1592" s="22" t="n"/>
    </row>
    <row r="1593">
      <c r="A1593" s="14" t="n"/>
      <c r="D1593" s="22" t="n"/>
      <c r="J1593" s="22" t="n"/>
    </row>
    <row r="1594">
      <c r="A1594" s="14" t="n"/>
      <c r="D1594" s="22" t="n"/>
      <c r="J1594" s="22" t="n"/>
    </row>
    <row r="1595">
      <c r="A1595" s="14" t="n"/>
      <c r="D1595" s="22" t="n"/>
      <c r="J1595" s="22" t="n"/>
    </row>
    <row r="1596">
      <c r="A1596" s="14" t="n"/>
      <c r="D1596" s="22" t="n"/>
      <c r="J1596" s="22" t="n"/>
    </row>
    <row r="1597">
      <c r="A1597" s="14" t="n"/>
      <c r="D1597" s="22" t="n"/>
      <c r="J1597" s="22" t="n"/>
    </row>
    <row r="1598">
      <c r="A1598" s="14" t="n"/>
      <c r="D1598" s="22" t="n"/>
      <c r="J1598" s="22" t="n"/>
    </row>
    <row r="1599">
      <c r="A1599" s="14" t="n"/>
      <c r="D1599" s="22" t="n"/>
      <c r="J1599" s="22" t="n"/>
    </row>
    <row r="1600">
      <c r="A1600" s="14" t="n"/>
      <c r="D1600" s="22" t="n"/>
      <c r="J1600" s="22" t="n"/>
    </row>
    <row r="1601">
      <c r="A1601" s="14" t="n"/>
      <c r="D1601" s="22" t="n"/>
      <c r="J1601" s="22" t="n"/>
    </row>
    <row r="1602">
      <c r="A1602" s="14" t="n"/>
      <c r="D1602" s="22" t="n"/>
      <c r="J1602" s="22" t="n"/>
    </row>
    <row r="1603">
      <c r="A1603" s="14" t="n"/>
      <c r="D1603" s="22" t="n"/>
      <c r="J1603" s="22" t="n"/>
    </row>
    <row r="1604">
      <c r="A1604" s="14" t="n"/>
      <c r="D1604" s="22" t="n"/>
      <c r="J1604" s="22" t="n"/>
    </row>
    <row r="1605">
      <c r="A1605" s="14" t="n"/>
      <c r="D1605" s="22" t="n"/>
      <c r="J1605" s="22" t="n"/>
    </row>
    <row r="1606">
      <c r="A1606" s="14" t="n"/>
      <c r="D1606" s="22" t="n"/>
      <c r="J1606" s="22" t="n"/>
    </row>
    <row r="1607">
      <c r="A1607" s="14" t="n"/>
      <c r="D1607" s="22" t="n"/>
      <c r="J1607" s="22" t="n"/>
    </row>
    <row r="1608">
      <c r="A1608" s="14" t="n"/>
      <c r="D1608" s="22" t="n"/>
      <c r="J1608" s="22" t="n"/>
    </row>
    <row r="1609">
      <c r="A1609" s="14" t="n"/>
      <c r="D1609" s="22" t="n"/>
      <c r="J1609" s="22" t="n"/>
    </row>
    <row r="1610">
      <c r="A1610" s="14" t="n"/>
      <c r="D1610" s="22" t="n"/>
      <c r="J1610" s="22" t="n"/>
    </row>
    <row r="1611">
      <c r="A1611" s="14" t="n"/>
      <c r="D1611" s="22" t="n"/>
      <c r="J1611" s="22" t="n"/>
    </row>
    <row r="1612">
      <c r="A1612" s="14" t="n"/>
      <c r="D1612" s="22" t="n"/>
      <c r="J1612" s="22" t="n"/>
    </row>
    <row r="1613">
      <c r="A1613" s="14" t="n"/>
      <c r="D1613" s="22" t="n"/>
      <c r="J1613" s="22" t="n"/>
    </row>
    <row r="1614">
      <c r="A1614" s="14" t="n"/>
      <c r="D1614" s="22" t="n"/>
      <c r="J1614" s="22" t="n"/>
    </row>
    <row r="1615">
      <c r="A1615" s="14" t="n"/>
      <c r="D1615" s="22" t="n"/>
      <c r="J1615" s="22" t="n"/>
    </row>
    <row r="1616">
      <c r="A1616" s="14" t="n"/>
      <c r="D1616" s="22" t="n"/>
      <c r="J1616" s="22" t="n"/>
    </row>
    <row r="1617">
      <c r="A1617" s="14" t="n"/>
      <c r="D1617" s="22" t="n"/>
      <c r="J1617" s="22" t="n"/>
    </row>
    <row r="1618">
      <c r="A1618" s="14" t="n"/>
      <c r="D1618" s="22" t="n"/>
      <c r="J1618" s="22" t="n"/>
    </row>
    <row r="1619">
      <c r="A1619" s="14" t="n"/>
      <c r="D1619" s="22" t="n"/>
      <c r="J1619" s="22" t="n"/>
    </row>
    <row r="1620">
      <c r="A1620" s="14" t="n"/>
      <c r="D1620" s="22" t="n"/>
      <c r="J1620" s="22" t="n"/>
    </row>
    <row r="1621">
      <c r="A1621" s="14" t="n"/>
      <c r="D1621" s="22" t="n"/>
      <c r="J1621" s="22" t="n"/>
    </row>
    <row r="1622">
      <c r="A1622" s="14" t="n"/>
      <c r="D1622" s="22" t="n"/>
      <c r="J1622" s="22" t="n"/>
    </row>
    <row r="1623">
      <c r="A1623" s="14" t="n"/>
      <c r="D1623" s="22" t="n"/>
      <c r="J1623" s="22" t="n"/>
    </row>
    <row r="1624">
      <c r="A1624" s="14" t="n"/>
      <c r="D1624" s="22" t="n"/>
      <c r="J1624" s="22" t="n"/>
    </row>
    <row r="1625">
      <c r="A1625" s="14" t="n"/>
      <c r="D1625" s="22" t="n"/>
      <c r="J1625" s="22" t="n"/>
    </row>
    <row r="1626">
      <c r="A1626" s="14" t="n"/>
      <c r="D1626" s="22" t="n"/>
      <c r="J1626" s="22" t="n"/>
    </row>
    <row r="1627">
      <c r="A1627" s="14" t="n"/>
      <c r="D1627" s="22" t="n"/>
      <c r="J1627" s="22" t="n"/>
    </row>
    <row r="1628">
      <c r="A1628" s="14" t="n"/>
      <c r="D1628" s="22" t="n"/>
      <c r="J1628" s="22" t="n"/>
    </row>
    <row r="1629">
      <c r="A1629" s="14" t="n"/>
      <c r="D1629" s="22" t="n"/>
      <c r="J1629" s="22" t="n"/>
    </row>
    <row r="1630">
      <c r="A1630" s="14" t="n"/>
      <c r="D1630" s="22" t="n"/>
      <c r="J1630" s="22" t="n"/>
    </row>
    <row r="1631">
      <c r="A1631" s="14" t="n"/>
      <c r="D1631" s="22" t="n"/>
      <c r="J1631" s="22" t="n"/>
    </row>
    <row r="1632">
      <c r="A1632" s="14" t="n"/>
      <c r="D1632" s="22" t="n"/>
      <c r="J1632" s="22" t="n"/>
    </row>
    <row r="1633">
      <c r="A1633" s="14" t="n"/>
      <c r="D1633" s="22" t="n"/>
      <c r="J1633" s="22" t="n"/>
    </row>
    <row r="1634">
      <c r="A1634" s="14" t="n"/>
      <c r="D1634" s="22" t="n"/>
      <c r="J1634" s="22" t="n"/>
    </row>
    <row r="1635">
      <c r="A1635" s="14" t="n"/>
      <c r="D1635" s="22" t="n"/>
      <c r="J1635" s="22" t="n"/>
    </row>
    <row r="1636">
      <c r="A1636" s="14" t="n"/>
      <c r="D1636" s="22" t="n"/>
      <c r="J1636" s="22" t="n"/>
    </row>
    <row r="1637">
      <c r="A1637" s="14" t="n"/>
      <c r="D1637" s="22" t="n"/>
      <c r="J1637" s="22" t="n"/>
    </row>
    <row r="1638">
      <c r="A1638" s="14" t="n"/>
      <c r="D1638" s="22" t="n"/>
      <c r="J1638" s="22" t="n"/>
    </row>
    <row r="1639">
      <c r="A1639" s="14" t="n"/>
      <c r="D1639" s="22" t="n"/>
      <c r="J1639" s="22" t="n"/>
    </row>
    <row r="1640">
      <c r="A1640" s="14" t="n"/>
      <c r="D1640" s="22" t="n"/>
      <c r="J1640" s="22" t="n"/>
    </row>
    <row r="1641">
      <c r="A1641" s="14" t="n"/>
      <c r="D1641" s="22" t="n"/>
      <c r="J1641" s="22" t="n"/>
    </row>
    <row r="1642">
      <c r="A1642" s="14" t="n"/>
      <c r="D1642" s="22" t="n"/>
      <c r="J1642" s="22" t="n"/>
    </row>
    <row r="1643">
      <c r="A1643" s="14" t="n"/>
      <c r="D1643" s="22" t="n"/>
      <c r="J1643" s="22" t="n"/>
    </row>
    <row r="1644">
      <c r="A1644" s="14" t="n"/>
      <c r="D1644" s="22" t="n"/>
      <c r="J1644" s="22" t="n"/>
    </row>
    <row r="1645">
      <c r="A1645" s="14" t="n"/>
      <c r="D1645" s="22" t="n"/>
      <c r="J1645" s="22" t="n"/>
    </row>
    <row r="1646">
      <c r="A1646" s="14" t="n"/>
      <c r="D1646" s="22" t="n"/>
      <c r="J1646" s="22" t="n"/>
    </row>
    <row r="1647">
      <c r="A1647" s="14" t="n"/>
      <c r="D1647" s="22" t="n"/>
      <c r="J1647" s="22" t="n"/>
    </row>
    <row r="1648">
      <c r="A1648" s="14" t="n"/>
      <c r="D1648" s="22" t="n"/>
      <c r="J1648" s="22" t="n"/>
    </row>
    <row r="1649">
      <c r="A1649" s="14" t="n"/>
      <c r="D1649" s="22" t="n"/>
      <c r="J1649" s="22" t="n"/>
    </row>
    <row r="1650">
      <c r="A1650" s="14" t="n"/>
      <c r="D1650" s="22" t="n"/>
      <c r="J1650" s="22" t="n"/>
    </row>
    <row r="1651">
      <c r="A1651" s="14" t="n"/>
      <c r="D1651" s="22" t="n"/>
      <c r="J1651" s="22" t="n"/>
    </row>
    <row r="1652">
      <c r="A1652" s="14" t="n"/>
      <c r="D1652" s="22" t="n"/>
      <c r="J1652" s="22" t="n"/>
    </row>
    <row r="1653">
      <c r="A1653" s="14" t="n"/>
      <c r="D1653" s="22" t="n"/>
      <c r="J1653" s="22" t="n"/>
    </row>
    <row r="1654">
      <c r="A1654" s="14" t="n"/>
      <c r="D1654" s="22" t="n"/>
      <c r="J1654" s="22" t="n"/>
    </row>
    <row r="1655">
      <c r="A1655" s="14" t="n"/>
      <c r="D1655" s="22" t="n"/>
      <c r="J1655" s="22" t="n"/>
    </row>
    <row r="1656">
      <c r="A1656" s="14" t="n"/>
      <c r="D1656" s="22" t="n"/>
      <c r="J1656" s="22" t="n"/>
    </row>
    <row r="1657">
      <c r="A1657" s="14" t="n"/>
      <c r="D1657" s="22" t="n"/>
      <c r="J1657" s="22" t="n"/>
    </row>
    <row r="1658">
      <c r="A1658" s="14" t="n"/>
      <c r="D1658" s="22" t="n"/>
      <c r="J1658" s="22" t="n"/>
    </row>
    <row r="1659">
      <c r="A1659" s="14" t="n"/>
      <c r="D1659" s="22" t="n"/>
      <c r="J1659" s="22" t="n"/>
    </row>
    <row r="1660">
      <c r="A1660" s="14" t="n"/>
      <c r="D1660" s="22" t="n"/>
      <c r="J1660" s="22" t="n"/>
    </row>
    <row r="1661">
      <c r="A1661" s="14" t="n"/>
      <c r="D1661" s="22" t="n"/>
      <c r="J1661" s="22" t="n"/>
    </row>
    <row r="1662">
      <c r="A1662" s="14" t="n"/>
      <c r="D1662" s="22" t="n"/>
      <c r="J1662" s="22" t="n"/>
    </row>
    <row r="1663">
      <c r="A1663" s="14" t="n"/>
      <c r="D1663" s="22" t="n"/>
      <c r="J1663" s="22" t="n"/>
    </row>
    <row r="1664">
      <c r="A1664" s="14" t="n"/>
      <c r="D1664" s="22" t="n"/>
      <c r="J1664" s="22" t="n"/>
    </row>
    <row r="1665">
      <c r="A1665" s="14" t="n"/>
      <c r="D1665" s="22" t="n"/>
      <c r="J1665" s="22" t="n"/>
    </row>
    <row r="1666">
      <c r="A1666" s="14" t="n"/>
      <c r="D1666" s="22" t="n"/>
      <c r="J1666" s="22" t="n"/>
    </row>
    <row r="1667">
      <c r="A1667" s="14" t="n"/>
      <c r="D1667" s="22" t="n"/>
      <c r="J1667" s="22" t="n"/>
    </row>
    <row r="1668">
      <c r="A1668" s="14" t="n"/>
      <c r="D1668" s="22" t="n"/>
      <c r="J1668" s="22" t="n"/>
    </row>
    <row r="1669">
      <c r="A1669" s="14" t="n"/>
      <c r="D1669" s="22" t="n"/>
      <c r="J1669" s="22" t="n"/>
    </row>
    <row r="1670">
      <c r="A1670" s="14" t="n"/>
      <c r="D1670" s="22" t="n"/>
      <c r="J1670" s="22" t="n"/>
    </row>
    <row r="1671">
      <c r="A1671" s="14" t="n"/>
      <c r="D1671" s="22" t="n"/>
      <c r="J1671" s="22" t="n"/>
    </row>
    <row r="1672">
      <c r="A1672" s="14" t="n"/>
      <c r="D1672" s="22" t="n"/>
      <c r="J1672" s="22" t="n"/>
    </row>
    <row r="1673">
      <c r="A1673" s="14" t="n"/>
      <c r="D1673" s="22" t="n"/>
      <c r="J1673" s="22" t="n"/>
    </row>
    <row r="1674">
      <c r="A1674" s="14" t="n"/>
      <c r="D1674" s="22" t="n"/>
      <c r="J1674" s="22" t="n"/>
    </row>
    <row r="1675">
      <c r="A1675" s="14" t="n"/>
      <c r="D1675" s="22" t="n"/>
      <c r="J1675" s="22" t="n"/>
    </row>
    <row r="1676">
      <c r="A1676" s="14" t="n"/>
      <c r="D1676" s="22" t="n"/>
      <c r="J1676" s="22" t="n"/>
    </row>
    <row r="1677">
      <c r="A1677" s="14" t="n"/>
      <c r="D1677" s="22" t="n"/>
      <c r="J1677" s="22" t="n"/>
    </row>
    <row r="1678">
      <c r="A1678" s="14" t="n"/>
      <c r="D1678" s="22" t="n"/>
      <c r="J1678" s="22" t="n"/>
    </row>
    <row r="1679">
      <c r="A1679" s="14" t="n"/>
      <c r="D1679" s="22" t="n"/>
      <c r="J1679" s="22" t="n"/>
    </row>
    <row r="1680">
      <c r="A1680" s="14" t="n"/>
      <c r="D1680" s="22" t="n"/>
      <c r="J1680" s="22" t="n"/>
    </row>
    <row r="1681">
      <c r="A1681" s="14" t="n"/>
      <c r="D1681" s="22" t="n"/>
      <c r="J1681" s="22" t="n"/>
    </row>
    <row r="1682">
      <c r="A1682" s="14" t="n"/>
      <c r="D1682" s="22" t="n"/>
      <c r="J1682" s="22" t="n"/>
    </row>
    <row r="1683">
      <c r="A1683" s="14" t="n"/>
      <c r="D1683" s="22" t="n"/>
      <c r="J1683" s="22" t="n"/>
    </row>
    <row r="1684">
      <c r="A1684" s="14" t="n"/>
      <c r="D1684" s="22" t="n"/>
      <c r="J1684" s="22" t="n"/>
    </row>
    <row r="1685">
      <c r="A1685" s="14" t="n"/>
      <c r="D1685" s="22" t="n"/>
      <c r="J1685" s="22" t="n"/>
    </row>
    <row r="1686">
      <c r="A1686" s="14" t="n"/>
      <c r="D1686" s="22" t="n"/>
      <c r="J1686" s="22" t="n"/>
    </row>
    <row r="1687">
      <c r="A1687" s="14" t="n"/>
      <c r="D1687" s="22" t="n"/>
      <c r="J1687" s="22" t="n"/>
    </row>
    <row r="1688">
      <c r="A1688" s="14" t="n"/>
      <c r="D1688" s="22" t="n"/>
      <c r="J1688" s="22" t="n"/>
    </row>
    <row r="1689">
      <c r="A1689" s="14" t="n"/>
      <c r="D1689" s="22" t="n"/>
      <c r="J1689" s="22" t="n"/>
    </row>
    <row r="1690">
      <c r="A1690" s="14" t="n"/>
      <c r="D1690" s="22" t="n"/>
      <c r="J1690" s="22" t="n"/>
    </row>
    <row r="1691">
      <c r="A1691" s="14" t="n"/>
      <c r="D1691" s="22" t="n"/>
      <c r="J1691" s="22" t="n"/>
    </row>
    <row r="1692">
      <c r="A1692" s="14" t="n"/>
      <c r="D1692" s="22" t="n"/>
      <c r="J1692" s="22" t="n"/>
    </row>
    <row r="1693">
      <c r="A1693" s="14" t="n"/>
      <c r="D1693" s="22" t="n"/>
      <c r="J1693" s="22" t="n"/>
    </row>
    <row r="1694">
      <c r="A1694" s="14" t="n"/>
      <c r="D1694" s="22" t="n"/>
      <c r="J1694" s="22" t="n"/>
    </row>
    <row r="1695">
      <c r="A1695" s="14" t="n"/>
      <c r="D1695" s="22" t="n"/>
      <c r="J1695" s="22" t="n"/>
    </row>
    <row r="1696">
      <c r="A1696" s="14" t="n"/>
      <c r="D1696" s="22" t="n"/>
      <c r="J1696" s="22" t="n"/>
    </row>
    <row r="1697">
      <c r="A1697" s="14" t="n"/>
      <c r="D1697" s="22" t="n"/>
      <c r="J1697" s="22" t="n"/>
    </row>
    <row r="1698">
      <c r="A1698" s="14" t="n"/>
      <c r="D1698" s="22" t="n"/>
      <c r="J1698" s="22" t="n"/>
    </row>
    <row r="1699">
      <c r="A1699" s="14" t="n"/>
      <c r="D1699" s="22" t="n"/>
      <c r="J1699" s="22" t="n"/>
    </row>
    <row r="1700">
      <c r="A1700" s="14" t="n"/>
      <c r="D1700" s="22" t="n"/>
      <c r="J1700" s="22" t="n"/>
    </row>
    <row r="1701">
      <c r="A1701" s="14" t="n"/>
      <c r="D1701" s="22" t="n"/>
      <c r="J1701" s="22" t="n"/>
    </row>
    <row r="1702">
      <c r="A1702" s="14" t="n"/>
      <c r="D1702" s="22" t="n"/>
      <c r="J1702" s="22" t="n"/>
    </row>
    <row r="1703">
      <c r="A1703" s="14" t="n"/>
      <c r="D1703" s="22" t="n"/>
      <c r="J1703" s="22" t="n"/>
    </row>
    <row r="1704">
      <c r="A1704" s="14" t="n"/>
      <c r="D1704" s="22" t="n"/>
      <c r="J1704" s="22" t="n"/>
    </row>
    <row r="1705">
      <c r="A1705" s="14" t="n"/>
      <c r="D1705" s="22" t="n"/>
      <c r="J1705" s="22" t="n"/>
    </row>
    <row r="1706">
      <c r="A1706" s="14" t="n"/>
      <c r="D1706" s="22" t="n"/>
      <c r="J1706" s="22" t="n"/>
    </row>
    <row r="1707">
      <c r="A1707" s="14" t="n"/>
      <c r="D1707" s="22" t="n"/>
      <c r="J1707" s="22" t="n"/>
    </row>
    <row r="1708">
      <c r="A1708" s="14" t="n"/>
      <c r="D1708" s="22" t="n"/>
      <c r="J1708" s="22" t="n"/>
    </row>
    <row r="1709">
      <c r="A1709" s="14" t="n"/>
      <c r="D1709" s="22" t="n"/>
      <c r="J1709" s="22" t="n"/>
    </row>
    <row r="1710">
      <c r="A1710" s="14" t="n"/>
      <c r="D1710" s="22" t="n"/>
      <c r="J1710" s="22" t="n"/>
    </row>
    <row r="1711">
      <c r="A1711" s="14" t="n"/>
      <c r="D1711" s="22" t="n"/>
      <c r="J1711" s="22" t="n"/>
    </row>
    <row r="1712">
      <c r="A1712" s="14" t="n"/>
      <c r="D1712" s="22" t="n"/>
      <c r="J1712" s="22" t="n"/>
    </row>
    <row r="1713">
      <c r="A1713" s="14" t="n"/>
      <c r="D1713" s="22" t="n"/>
      <c r="J1713" s="22" t="n"/>
    </row>
    <row r="1714">
      <c r="A1714" s="14" t="n"/>
      <c r="D1714" s="22" t="n"/>
      <c r="J1714" s="22" t="n"/>
    </row>
    <row r="1715">
      <c r="A1715" s="14" t="n"/>
      <c r="D1715" s="22" t="n"/>
      <c r="J1715" s="22" t="n"/>
    </row>
    <row r="1716">
      <c r="A1716" s="14" t="n"/>
      <c r="D1716" s="22" t="n"/>
      <c r="J1716" s="22" t="n"/>
    </row>
    <row r="1717">
      <c r="A1717" s="14" t="n"/>
      <c r="D1717" s="22" t="n"/>
      <c r="J1717" s="22" t="n"/>
    </row>
    <row r="1718">
      <c r="A1718" s="14" t="n"/>
      <c r="D1718" s="22" t="n"/>
      <c r="J1718" s="22" t="n"/>
    </row>
    <row r="1719">
      <c r="A1719" s="14" t="n"/>
      <c r="D1719" s="22" t="n"/>
      <c r="J1719" s="22" t="n"/>
    </row>
    <row r="1720">
      <c r="A1720" s="14" t="n"/>
      <c r="D1720" s="22" t="n"/>
      <c r="J1720" s="22" t="n"/>
    </row>
    <row r="1721">
      <c r="A1721" s="14" t="n"/>
      <c r="D1721" s="22" t="n"/>
      <c r="J1721" s="22" t="n"/>
    </row>
    <row r="1722">
      <c r="A1722" s="14" t="n"/>
      <c r="D1722" s="22" t="n"/>
      <c r="J1722" s="22" t="n"/>
    </row>
    <row r="1723">
      <c r="A1723" s="14" t="n"/>
      <c r="D1723" s="22" t="n"/>
      <c r="J1723" s="22" t="n"/>
    </row>
    <row r="1724">
      <c r="A1724" s="14" t="n"/>
      <c r="D1724" s="22" t="n"/>
      <c r="J1724" s="22" t="n"/>
    </row>
    <row r="1725">
      <c r="A1725" s="14" t="n"/>
      <c r="D1725" s="22" t="n"/>
      <c r="J1725" s="22" t="n"/>
    </row>
    <row r="1726">
      <c r="A1726" s="14" t="n"/>
      <c r="D1726" s="22" t="n"/>
      <c r="J1726" s="22" t="n"/>
    </row>
    <row r="1727">
      <c r="A1727" s="14" t="n"/>
      <c r="D1727" s="22" t="n"/>
      <c r="J1727" s="22" t="n"/>
    </row>
    <row r="1728">
      <c r="A1728" s="14" t="n"/>
      <c r="D1728" s="22" t="n"/>
      <c r="J1728" s="22" t="n"/>
    </row>
    <row r="1729">
      <c r="A1729" s="14" t="n"/>
      <c r="D1729" s="22" t="n"/>
      <c r="J1729" s="22" t="n"/>
    </row>
    <row r="1730">
      <c r="A1730" s="14" t="n"/>
      <c r="D1730" s="22" t="n"/>
      <c r="J1730" s="22" t="n"/>
    </row>
    <row r="1731">
      <c r="A1731" s="14" t="n"/>
      <c r="D1731" s="22" t="n"/>
      <c r="J1731" s="22" t="n"/>
    </row>
    <row r="1732">
      <c r="A1732" s="14" t="n"/>
      <c r="D1732" s="22" t="n"/>
      <c r="J1732" s="22" t="n"/>
    </row>
    <row r="1733">
      <c r="A1733" s="14" t="n"/>
      <c r="D1733" s="22" t="n"/>
      <c r="J1733" s="22" t="n"/>
    </row>
    <row r="1734">
      <c r="A1734" s="14" t="n"/>
      <c r="D1734" s="22" t="n"/>
      <c r="J1734" s="22" t="n"/>
    </row>
    <row r="1735">
      <c r="A1735" s="14" t="n"/>
      <c r="D1735" s="22" t="n"/>
      <c r="J1735" s="22" t="n"/>
    </row>
    <row r="1736">
      <c r="A1736" s="14" t="n"/>
      <c r="D1736" s="22" t="n"/>
      <c r="J1736" s="22" t="n"/>
    </row>
    <row r="1737">
      <c r="A1737" s="14" t="n"/>
      <c r="D1737" s="22" t="n"/>
      <c r="J1737" s="22" t="n"/>
    </row>
    <row r="1738">
      <c r="A1738" s="14" t="n"/>
      <c r="D1738" s="22" t="n"/>
      <c r="J1738" s="22" t="n"/>
    </row>
    <row r="1739">
      <c r="A1739" s="14" t="n"/>
      <c r="D1739" s="22" t="n"/>
      <c r="J1739" s="22" t="n"/>
    </row>
    <row r="1740">
      <c r="A1740" s="14" t="n"/>
      <c r="D1740" s="22" t="n"/>
      <c r="J1740" s="22" t="n"/>
    </row>
    <row r="1741">
      <c r="A1741" s="14" t="n"/>
      <c r="D1741" s="22" t="n"/>
      <c r="J1741" s="22" t="n"/>
    </row>
    <row r="1742">
      <c r="A1742" s="14" t="n"/>
      <c r="D1742" s="22" t="n"/>
      <c r="J1742" s="22" t="n"/>
    </row>
    <row r="1743">
      <c r="A1743" s="14" t="n"/>
      <c r="D1743" s="22" t="n"/>
      <c r="J1743" s="22" t="n"/>
    </row>
    <row r="1744">
      <c r="A1744" s="14" t="n"/>
      <c r="D1744" s="22" t="n"/>
      <c r="J1744" s="22" t="n"/>
    </row>
    <row r="1745">
      <c r="A1745" s="14" t="n"/>
      <c r="D1745" s="22" t="n"/>
      <c r="J1745" s="22" t="n"/>
    </row>
    <row r="1746">
      <c r="A1746" s="14" t="n"/>
      <c r="D1746" s="22" t="n"/>
      <c r="J1746" s="22" t="n"/>
    </row>
    <row r="1747">
      <c r="A1747" s="14" t="n"/>
      <c r="D1747" s="22" t="n"/>
      <c r="J1747" s="22" t="n"/>
    </row>
    <row r="1748">
      <c r="A1748" s="14" t="n"/>
      <c r="D1748" s="22" t="n"/>
      <c r="J1748" s="22" t="n"/>
    </row>
    <row r="1749">
      <c r="A1749" s="14" t="n"/>
      <c r="D1749" s="22" t="n"/>
      <c r="J1749" s="22" t="n"/>
    </row>
    <row r="1750">
      <c r="A1750" s="14" t="n"/>
      <c r="D1750" s="22" t="n"/>
      <c r="J1750" s="22" t="n"/>
    </row>
    <row r="1751">
      <c r="A1751" s="14" t="n"/>
      <c r="D1751" s="22" t="n"/>
      <c r="J1751" s="22" t="n"/>
    </row>
    <row r="1752">
      <c r="A1752" s="14" t="n"/>
      <c r="D1752" s="22" t="n"/>
      <c r="J1752" s="22" t="n"/>
    </row>
    <row r="1753">
      <c r="A1753" s="14" t="n"/>
      <c r="D1753" s="22" t="n"/>
      <c r="J1753" s="22" t="n"/>
    </row>
    <row r="1754">
      <c r="A1754" s="14" t="n"/>
      <c r="D1754" s="22" t="n"/>
      <c r="J1754" s="22" t="n"/>
    </row>
    <row r="1755">
      <c r="A1755" s="14" t="n"/>
      <c r="D1755" s="22" t="n"/>
      <c r="J1755" s="22" t="n"/>
    </row>
    <row r="1756">
      <c r="A1756" s="14" t="n"/>
      <c r="D1756" s="22" t="n"/>
      <c r="J1756" s="22" t="n"/>
    </row>
    <row r="1757">
      <c r="A1757" s="14" t="n"/>
      <c r="D1757" s="22" t="n"/>
      <c r="J1757" s="22" t="n"/>
    </row>
    <row r="1758">
      <c r="A1758" s="14" t="n"/>
      <c r="D1758" s="22" t="n"/>
      <c r="J1758" s="22" t="n"/>
    </row>
    <row r="1759">
      <c r="A1759" s="14" t="n"/>
      <c r="D1759" s="22" t="n"/>
      <c r="J1759" s="22" t="n"/>
    </row>
    <row r="1760">
      <c r="A1760" s="14" t="n"/>
      <c r="D1760" s="22" t="n"/>
      <c r="J1760" s="22" t="n"/>
    </row>
    <row r="1761">
      <c r="A1761" s="14" t="n"/>
      <c r="D1761" s="22" t="n"/>
      <c r="J1761" s="22" t="n"/>
    </row>
    <row r="1762">
      <c r="A1762" s="14" t="n"/>
      <c r="D1762" s="22" t="n"/>
      <c r="J1762" s="22" t="n"/>
    </row>
    <row r="1763">
      <c r="A1763" s="14" t="n"/>
      <c r="D1763" s="22" t="n"/>
      <c r="J1763" s="22" t="n"/>
    </row>
    <row r="1764">
      <c r="A1764" s="14" t="n"/>
      <c r="D1764" s="22" t="n"/>
      <c r="J1764" s="22" t="n"/>
    </row>
    <row r="1765">
      <c r="A1765" s="14" t="n"/>
      <c r="D1765" s="22" t="n"/>
      <c r="J1765" s="22" t="n"/>
    </row>
    <row r="1766">
      <c r="A1766" s="14" t="n"/>
      <c r="D1766" s="22" t="n"/>
      <c r="J1766" s="22" t="n"/>
    </row>
    <row r="1767">
      <c r="A1767" s="14" t="n"/>
      <c r="D1767" s="22" t="n"/>
      <c r="J1767" s="22" t="n"/>
    </row>
    <row r="1768">
      <c r="A1768" s="14" t="n"/>
      <c r="D1768" s="22" t="n"/>
      <c r="J1768" s="22" t="n"/>
    </row>
    <row r="1769">
      <c r="A1769" s="14" t="n"/>
      <c r="D1769" s="22" t="n"/>
      <c r="J1769" s="22" t="n"/>
    </row>
    <row r="1770">
      <c r="A1770" s="14" t="n"/>
      <c r="D1770" s="22" t="n"/>
      <c r="J1770" s="22" t="n"/>
    </row>
    <row r="1771">
      <c r="A1771" s="14" t="n"/>
      <c r="D1771" s="22" t="n"/>
      <c r="J1771" s="22" t="n"/>
    </row>
    <row r="1772">
      <c r="A1772" s="14" t="n"/>
      <c r="D1772" s="22" t="n"/>
      <c r="J1772" s="22" t="n"/>
    </row>
    <row r="1773">
      <c r="A1773" s="14" t="n"/>
      <c r="D1773" s="22" t="n"/>
      <c r="J1773" s="22" t="n"/>
    </row>
    <row r="1774">
      <c r="A1774" s="14" t="n"/>
      <c r="D1774" s="22" t="n"/>
      <c r="J1774" s="22" t="n"/>
    </row>
    <row r="1775">
      <c r="A1775" s="14" t="n"/>
      <c r="D1775" s="22" t="n"/>
      <c r="J1775" s="22" t="n"/>
    </row>
    <row r="1776">
      <c r="A1776" s="14" t="n"/>
      <c r="D1776" s="22" t="n"/>
      <c r="J1776" s="22" t="n"/>
    </row>
    <row r="1777">
      <c r="A1777" s="14" t="n"/>
      <c r="D1777" s="22" t="n"/>
      <c r="J1777" s="22" t="n"/>
    </row>
    <row r="1778">
      <c r="A1778" s="14" t="n"/>
      <c r="D1778" s="22" t="n"/>
      <c r="J1778" s="22" t="n"/>
    </row>
    <row r="1779">
      <c r="A1779" s="14" t="n"/>
      <c r="D1779" s="22" t="n"/>
      <c r="J1779" s="22" t="n"/>
    </row>
    <row r="1780">
      <c r="A1780" s="14" t="n"/>
      <c r="D1780" s="22" t="n"/>
      <c r="J1780" s="22" t="n"/>
    </row>
    <row r="1781">
      <c r="A1781" s="14" t="n"/>
      <c r="D1781" s="22" t="n"/>
      <c r="J1781" s="22" t="n"/>
    </row>
    <row r="1782">
      <c r="A1782" s="14" t="n"/>
      <c r="D1782" s="22" t="n"/>
      <c r="J1782" s="22" t="n"/>
    </row>
    <row r="1783">
      <c r="A1783" s="14" t="n"/>
      <c r="D1783" s="22" t="n"/>
      <c r="J1783" s="22" t="n"/>
    </row>
    <row r="1784">
      <c r="A1784" s="14" t="n"/>
      <c r="D1784" s="22" t="n"/>
      <c r="J1784" s="22" t="n"/>
    </row>
    <row r="1785">
      <c r="A1785" s="14" t="n"/>
      <c r="D1785" s="22" t="n"/>
      <c r="J1785" s="22" t="n"/>
    </row>
    <row r="1786">
      <c r="A1786" s="14" t="n"/>
      <c r="D1786" s="22" t="n"/>
      <c r="J1786" s="22" t="n"/>
    </row>
    <row r="1787">
      <c r="A1787" s="14" t="n"/>
      <c r="D1787" s="22" t="n"/>
      <c r="J1787" s="22" t="n"/>
    </row>
    <row r="1788">
      <c r="A1788" s="14" t="n"/>
      <c r="D1788" s="22" t="n"/>
      <c r="J1788" s="22" t="n"/>
    </row>
    <row r="1789">
      <c r="A1789" s="14" t="n"/>
      <c r="D1789" s="22" t="n"/>
      <c r="J1789" s="22" t="n"/>
    </row>
    <row r="1790">
      <c r="A1790" s="14" t="n"/>
      <c r="D1790" s="22" t="n"/>
      <c r="J1790" s="22" t="n"/>
    </row>
    <row r="1791">
      <c r="A1791" s="14" t="n"/>
      <c r="D1791" s="22" t="n"/>
      <c r="J1791" s="22" t="n"/>
    </row>
    <row r="1792">
      <c r="A1792" s="14" t="n"/>
      <c r="D1792" s="22" t="n"/>
      <c r="J1792" s="22" t="n"/>
    </row>
    <row r="1793">
      <c r="A1793" s="14" t="n"/>
      <c r="D1793" s="22" t="n"/>
      <c r="J1793" s="22" t="n"/>
    </row>
    <row r="1794">
      <c r="A1794" s="14" t="n"/>
      <c r="D1794" s="22" t="n"/>
      <c r="J1794" s="22" t="n"/>
    </row>
    <row r="1795">
      <c r="A1795" s="14" t="n"/>
      <c r="D1795" s="22" t="n"/>
      <c r="J1795" s="22" t="n"/>
    </row>
    <row r="1796">
      <c r="A1796" s="14" t="n"/>
      <c r="D1796" s="22" t="n"/>
      <c r="J1796" s="22" t="n"/>
    </row>
    <row r="1797">
      <c r="A1797" s="14" t="n"/>
      <c r="D1797" s="22" t="n"/>
      <c r="J1797" s="22" t="n"/>
    </row>
    <row r="1798">
      <c r="A1798" s="14" t="n"/>
      <c r="D1798" s="22" t="n"/>
      <c r="J1798" s="22" t="n"/>
    </row>
    <row r="1799">
      <c r="A1799" s="14" t="n"/>
      <c r="D1799" s="22" t="n"/>
      <c r="J1799" s="22" t="n"/>
    </row>
    <row r="1800">
      <c r="A1800" s="14" t="n"/>
      <c r="D1800" s="22" t="n"/>
      <c r="J1800" s="22" t="n"/>
    </row>
    <row r="1801">
      <c r="A1801" s="14" t="n"/>
      <c r="D1801" s="22" t="n"/>
      <c r="J1801" s="22" t="n"/>
    </row>
    <row r="1802">
      <c r="A1802" s="14" t="n"/>
      <c r="D1802" s="22" t="n"/>
      <c r="J1802" s="22" t="n"/>
    </row>
    <row r="1803">
      <c r="A1803" s="14" t="n"/>
      <c r="D1803" s="22" t="n"/>
      <c r="J1803" s="22" t="n"/>
    </row>
    <row r="1804">
      <c r="A1804" s="14" t="n"/>
      <c r="D1804" s="22" t="n"/>
      <c r="J1804" s="22" t="n"/>
    </row>
    <row r="1805">
      <c r="A1805" s="14" t="n"/>
      <c r="D1805" s="22" t="n"/>
      <c r="J1805" s="22" t="n"/>
    </row>
    <row r="1806">
      <c r="A1806" s="14" t="n"/>
      <c r="D1806" s="22" t="n"/>
      <c r="J1806" s="22" t="n"/>
    </row>
    <row r="1807">
      <c r="A1807" s="14" t="n"/>
      <c r="D1807" s="22" t="n"/>
      <c r="J1807" s="22" t="n"/>
    </row>
    <row r="1808">
      <c r="A1808" s="14" t="n"/>
      <c r="D1808" s="22" t="n"/>
      <c r="J1808" s="22" t="n"/>
    </row>
    <row r="1809">
      <c r="A1809" s="14" t="n"/>
      <c r="D1809" s="22" t="n"/>
      <c r="J1809" s="22" t="n"/>
    </row>
    <row r="1810">
      <c r="A1810" s="14" t="n"/>
      <c r="D1810" s="22" t="n"/>
      <c r="J1810" s="22" t="n"/>
    </row>
    <row r="1811">
      <c r="A1811" s="14" t="n"/>
      <c r="D1811" s="22" t="n"/>
      <c r="J1811" s="22" t="n"/>
    </row>
    <row r="1812">
      <c r="A1812" s="14" t="n"/>
      <c r="D1812" s="22" t="n"/>
      <c r="J1812" s="22" t="n"/>
    </row>
    <row r="1813">
      <c r="A1813" s="14" t="n"/>
      <c r="D1813" s="22" t="n"/>
      <c r="J1813" s="22" t="n"/>
    </row>
    <row r="1814">
      <c r="A1814" s="14" t="n"/>
      <c r="D1814" s="22" t="n"/>
      <c r="J1814" s="22" t="n"/>
    </row>
    <row r="1815">
      <c r="A1815" s="14" t="n"/>
      <c r="D1815" s="22" t="n"/>
      <c r="J1815" s="22" t="n"/>
    </row>
    <row r="1816">
      <c r="A1816" s="14" t="n"/>
      <c r="D1816" s="22" t="n"/>
      <c r="J1816" s="22" t="n"/>
    </row>
    <row r="1817">
      <c r="A1817" s="14" t="n"/>
      <c r="D1817" s="22" t="n"/>
      <c r="J1817" s="22" t="n"/>
    </row>
    <row r="1818">
      <c r="A1818" s="14" t="n"/>
      <c r="D1818" s="22" t="n"/>
      <c r="J1818" s="22" t="n"/>
    </row>
    <row r="1819">
      <c r="A1819" s="14" t="n"/>
      <c r="D1819" s="22" t="n"/>
      <c r="J1819" s="22" t="n"/>
    </row>
    <row r="1820">
      <c r="A1820" s="14" t="n"/>
      <c r="D1820" s="22" t="n"/>
      <c r="J1820" s="22" t="n"/>
    </row>
    <row r="1821">
      <c r="A1821" s="14" t="n"/>
      <c r="D1821" s="22" t="n"/>
      <c r="J1821" s="22" t="n"/>
    </row>
    <row r="1822">
      <c r="A1822" s="14" t="n"/>
      <c r="D1822" s="22" t="n"/>
      <c r="J1822" s="22" t="n"/>
    </row>
    <row r="1823">
      <c r="A1823" s="14" t="n"/>
      <c r="D1823" s="22" t="n"/>
      <c r="J1823" s="22" t="n"/>
    </row>
    <row r="1824">
      <c r="A1824" s="14" t="n"/>
      <c r="D1824" s="22" t="n"/>
      <c r="J1824" s="22" t="n"/>
    </row>
    <row r="1825">
      <c r="A1825" s="14" t="n"/>
      <c r="D1825" s="22" t="n"/>
      <c r="J1825" s="22" t="n"/>
    </row>
    <row r="1826">
      <c r="A1826" s="14" t="n"/>
      <c r="D1826" s="22" t="n"/>
      <c r="J1826" s="22" t="n"/>
    </row>
    <row r="1827">
      <c r="A1827" s="14" t="n"/>
      <c r="D1827" s="22" t="n"/>
      <c r="J1827" s="22" t="n"/>
    </row>
    <row r="1828">
      <c r="A1828" s="14" t="n"/>
      <c r="D1828" s="22" t="n"/>
      <c r="J1828" s="22" t="n"/>
    </row>
    <row r="1829">
      <c r="A1829" s="14" t="n"/>
      <c r="D1829" s="22" t="n"/>
      <c r="J1829" s="22" t="n"/>
    </row>
    <row r="1830">
      <c r="A1830" s="14" t="n"/>
      <c r="D1830" s="22" t="n"/>
      <c r="J1830" s="22" t="n"/>
    </row>
    <row r="1831">
      <c r="A1831" s="14" t="n"/>
      <c r="D1831" s="22" t="n"/>
      <c r="J1831" s="22" t="n"/>
    </row>
    <row r="1832">
      <c r="A1832" s="14" t="n"/>
      <c r="D1832" s="22" t="n"/>
      <c r="J1832" s="22" t="n"/>
    </row>
    <row r="1833">
      <c r="A1833" s="14" t="n"/>
      <c r="D1833" s="22" t="n"/>
      <c r="J1833" s="22" t="n"/>
    </row>
    <row r="1834">
      <c r="A1834" s="14" t="n"/>
      <c r="D1834" s="22" t="n"/>
      <c r="J1834" s="22" t="n"/>
    </row>
    <row r="1835">
      <c r="A1835" s="14" t="n"/>
      <c r="D1835" s="22" t="n"/>
      <c r="J1835" s="22" t="n"/>
    </row>
    <row r="1836">
      <c r="A1836" s="14" t="n"/>
      <c r="D1836" s="22" t="n"/>
      <c r="J1836" s="22" t="n"/>
    </row>
    <row r="1837">
      <c r="A1837" s="14" t="n"/>
      <c r="D1837" s="22" t="n"/>
      <c r="J1837" s="22" t="n"/>
    </row>
    <row r="1838">
      <c r="A1838" s="14" t="n"/>
      <c r="D1838" s="22" t="n"/>
      <c r="J1838" s="22" t="n"/>
    </row>
    <row r="1839">
      <c r="A1839" s="14" t="n"/>
      <c r="D1839" s="22" t="n"/>
      <c r="J1839" s="22" t="n"/>
    </row>
    <row r="1840">
      <c r="A1840" s="14" t="n"/>
      <c r="D1840" s="22" t="n"/>
      <c r="J1840" s="22" t="n"/>
    </row>
    <row r="1841">
      <c r="A1841" s="14" t="n"/>
      <c r="D1841" s="22" t="n"/>
      <c r="J1841" s="22" t="n"/>
    </row>
    <row r="1842">
      <c r="A1842" s="14" t="n"/>
      <c r="D1842" s="22" t="n"/>
      <c r="J1842" s="22" t="n"/>
    </row>
    <row r="1843">
      <c r="A1843" s="14" t="n"/>
      <c r="D1843" s="22" t="n"/>
      <c r="J1843" s="22" t="n"/>
    </row>
    <row r="1844">
      <c r="A1844" s="14" t="n"/>
      <c r="D1844" s="22" t="n"/>
      <c r="J1844" s="22" t="n"/>
    </row>
    <row r="1845">
      <c r="A1845" s="14" t="n"/>
      <c r="D1845" s="22" t="n"/>
      <c r="J1845" s="22" t="n"/>
    </row>
    <row r="1846">
      <c r="A1846" s="14" t="n"/>
      <c r="D1846" s="22" t="n"/>
      <c r="J1846" s="22" t="n"/>
    </row>
    <row r="1847">
      <c r="A1847" s="14" t="n"/>
      <c r="D1847" s="22" t="n"/>
      <c r="J1847" s="22" t="n"/>
    </row>
    <row r="1848">
      <c r="A1848" s="14" t="n"/>
      <c r="D1848" s="22" t="n"/>
      <c r="J1848" s="22" t="n"/>
    </row>
    <row r="1849">
      <c r="A1849" s="14" t="n"/>
      <c r="D1849" s="22" t="n"/>
      <c r="J1849" s="22" t="n"/>
    </row>
    <row r="1850">
      <c r="A1850" s="14" t="n"/>
      <c r="D1850" s="22" t="n"/>
      <c r="J1850" s="22" t="n"/>
    </row>
    <row r="1851">
      <c r="A1851" s="14" t="n"/>
      <c r="D1851" s="22" t="n"/>
      <c r="J1851" s="22" t="n"/>
    </row>
    <row r="1852">
      <c r="A1852" s="14" t="n"/>
      <c r="D1852" s="22" t="n"/>
      <c r="J1852" s="22" t="n"/>
    </row>
    <row r="1853">
      <c r="A1853" s="14" t="n"/>
      <c r="D1853" s="22" t="n"/>
      <c r="J1853" s="22" t="n"/>
    </row>
    <row r="1854">
      <c r="A1854" s="14" t="n"/>
      <c r="D1854" s="22" t="n"/>
      <c r="J1854" s="22" t="n"/>
    </row>
    <row r="1855">
      <c r="A1855" s="14" t="n"/>
      <c r="D1855" s="22" t="n"/>
      <c r="J1855" s="22" t="n"/>
    </row>
    <row r="1856">
      <c r="A1856" s="14" t="n"/>
      <c r="D1856" s="22" t="n"/>
      <c r="J1856" s="22" t="n"/>
    </row>
    <row r="1857">
      <c r="A1857" s="14" t="n"/>
      <c r="D1857" s="22" t="n"/>
      <c r="J1857" s="22" t="n"/>
    </row>
    <row r="1858">
      <c r="A1858" s="14" t="n"/>
      <c r="D1858" s="22" t="n"/>
      <c r="J1858" s="22" t="n"/>
    </row>
    <row r="1859">
      <c r="A1859" s="14" t="n"/>
      <c r="D1859" s="22" t="n"/>
      <c r="J1859" s="22" t="n"/>
    </row>
    <row r="1860">
      <c r="A1860" s="14" t="n"/>
      <c r="D1860" s="22" t="n"/>
      <c r="J1860" s="22" t="n"/>
    </row>
    <row r="1861">
      <c r="A1861" s="14" t="n"/>
      <c r="D1861" s="22" t="n"/>
      <c r="J1861" s="22" t="n"/>
    </row>
    <row r="1862">
      <c r="A1862" s="14" t="n"/>
      <c r="D1862" s="22" t="n"/>
      <c r="J1862" s="22" t="n"/>
    </row>
    <row r="1863">
      <c r="A1863" s="14" t="n"/>
      <c r="D1863" s="22" t="n"/>
      <c r="J1863" s="22" t="n"/>
    </row>
    <row r="1864">
      <c r="A1864" s="14" t="n"/>
      <c r="D1864" s="22" t="n"/>
      <c r="J1864" s="22" t="n"/>
    </row>
    <row r="1865">
      <c r="A1865" s="14" t="n"/>
      <c r="D1865" s="22" t="n"/>
      <c r="J1865" s="22" t="n"/>
    </row>
    <row r="1866">
      <c r="A1866" s="14" t="n"/>
      <c r="D1866" s="22" t="n"/>
      <c r="J1866" s="22" t="n"/>
    </row>
    <row r="1867">
      <c r="A1867" s="14" t="n"/>
      <c r="D1867" s="22" t="n"/>
      <c r="J1867" s="22" t="n"/>
    </row>
    <row r="1868">
      <c r="A1868" s="14" t="n"/>
      <c r="D1868" s="22" t="n"/>
      <c r="J1868" s="22" t="n"/>
    </row>
    <row r="1869">
      <c r="A1869" s="14" t="n"/>
      <c r="D1869" s="22" t="n"/>
      <c r="J1869" s="22" t="n"/>
    </row>
    <row r="1870">
      <c r="A1870" s="14" t="n"/>
      <c r="D1870" s="22" t="n"/>
      <c r="J1870" s="22" t="n"/>
    </row>
    <row r="1871">
      <c r="A1871" s="14" t="n"/>
      <c r="D1871" s="22" t="n"/>
      <c r="J1871" s="22" t="n"/>
    </row>
    <row r="1872">
      <c r="A1872" s="14" t="n"/>
      <c r="D1872" s="22" t="n"/>
      <c r="J1872" s="22" t="n"/>
    </row>
    <row r="1873">
      <c r="A1873" s="14" t="n"/>
      <c r="D1873" s="22" t="n"/>
      <c r="J1873" s="22" t="n"/>
    </row>
    <row r="1874">
      <c r="A1874" s="14" t="n"/>
      <c r="D1874" s="22" t="n"/>
      <c r="J1874" s="22" t="n"/>
    </row>
    <row r="1875">
      <c r="A1875" s="14" t="n"/>
      <c r="D1875" s="22" t="n"/>
      <c r="J1875" s="22" t="n"/>
    </row>
    <row r="1876">
      <c r="A1876" s="14" t="n"/>
      <c r="D1876" s="22" t="n"/>
      <c r="J1876" s="22" t="n"/>
    </row>
    <row r="1877">
      <c r="A1877" s="14" t="n"/>
      <c r="D1877" s="22" t="n"/>
      <c r="J1877" s="22" t="n"/>
    </row>
    <row r="1878">
      <c r="A1878" s="14" t="n"/>
      <c r="D1878" s="22" t="n"/>
      <c r="J1878" s="22" t="n"/>
    </row>
    <row r="1879">
      <c r="A1879" s="14" t="n"/>
      <c r="D1879" s="22" t="n"/>
      <c r="J1879" s="22" t="n"/>
    </row>
    <row r="1880">
      <c r="A1880" s="14" t="n"/>
      <c r="D1880" s="22" t="n"/>
      <c r="J1880" s="22" t="n"/>
    </row>
    <row r="1881">
      <c r="A1881" s="14" t="n"/>
      <c r="D1881" s="22" t="n"/>
      <c r="J1881" s="22" t="n"/>
    </row>
    <row r="1882">
      <c r="A1882" s="14" t="n"/>
      <c r="D1882" s="22" t="n"/>
      <c r="J1882" s="22" t="n"/>
    </row>
    <row r="1883">
      <c r="A1883" s="14" t="n"/>
      <c r="D1883" s="22" t="n"/>
      <c r="J1883" s="22" t="n"/>
    </row>
    <row r="1884">
      <c r="A1884" s="14" t="n"/>
      <c r="D1884" s="22" t="n"/>
      <c r="J1884" s="22" t="n"/>
    </row>
    <row r="1885">
      <c r="A1885" s="14" t="n"/>
      <c r="D1885" s="22" t="n"/>
      <c r="J1885" s="22" t="n"/>
    </row>
    <row r="1886">
      <c r="A1886" s="14" t="n"/>
      <c r="D1886" s="22" t="n"/>
      <c r="J1886" s="22" t="n"/>
    </row>
    <row r="1887">
      <c r="A1887" s="14" t="n"/>
      <c r="D1887" s="22" t="n"/>
      <c r="J1887" s="22" t="n"/>
    </row>
    <row r="1888">
      <c r="A1888" s="14" t="n"/>
      <c r="D1888" s="22" t="n"/>
      <c r="J1888" s="22" t="n"/>
    </row>
    <row r="1889">
      <c r="A1889" s="14" t="n"/>
      <c r="D1889" s="22" t="n"/>
      <c r="J1889" s="22" t="n"/>
    </row>
    <row r="1890">
      <c r="A1890" s="14" t="n"/>
      <c r="D1890" s="22" t="n"/>
      <c r="J1890" s="22" t="n"/>
    </row>
    <row r="1891">
      <c r="A1891" s="14" t="n"/>
      <c r="D1891" s="22" t="n"/>
      <c r="J1891" s="22" t="n"/>
    </row>
    <row r="1892">
      <c r="A1892" s="14" t="n"/>
      <c r="D1892" s="22" t="n"/>
      <c r="J1892" s="22" t="n"/>
    </row>
    <row r="1893">
      <c r="A1893" s="14" t="n"/>
      <c r="D1893" s="22" t="n"/>
      <c r="J1893" s="22" t="n"/>
    </row>
    <row r="1894">
      <c r="A1894" s="14" t="n"/>
      <c r="D1894" s="22" t="n"/>
      <c r="J1894" s="22" t="n"/>
    </row>
    <row r="1895">
      <c r="A1895" s="14" t="n"/>
      <c r="D1895" s="22" t="n"/>
      <c r="J1895" s="22" t="n"/>
    </row>
    <row r="1896">
      <c r="A1896" s="14" t="n"/>
      <c r="D1896" s="22" t="n"/>
      <c r="J1896" s="22" t="n"/>
    </row>
    <row r="1897">
      <c r="A1897" s="14" t="n"/>
      <c r="D1897" s="22" t="n"/>
      <c r="J1897" s="22" t="n"/>
    </row>
    <row r="1898">
      <c r="A1898" s="14" t="n"/>
      <c r="D1898" s="22" t="n"/>
      <c r="J1898" s="22" t="n"/>
    </row>
    <row r="1899">
      <c r="A1899" s="14" t="n"/>
      <c r="D1899" s="22" t="n"/>
      <c r="J1899" s="22" t="n"/>
    </row>
    <row r="1900">
      <c r="A1900" s="14" t="n"/>
      <c r="D1900" s="22" t="n"/>
      <c r="J1900" s="22" t="n"/>
    </row>
    <row r="1901">
      <c r="A1901" s="14" t="n"/>
      <c r="D1901" s="22" t="n"/>
      <c r="J1901" s="22" t="n"/>
    </row>
    <row r="1902">
      <c r="A1902" s="14" t="n"/>
      <c r="D1902" s="22" t="n"/>
      <c r="J1902" s="22" t="n"/>
    </row>
    <row r="1903">
      <c r="A1903" s="14" t="n"/>
      <c r="D1903" s="22" t="n"/>
      <c r="J1903" s="22" t="n"/>
    </row>
    <row r="1904">
      <c r="A1904" s="14" t="n"/>
      <c r="D1904" s="22" t="n"/>
      <c r="J1904" s="22" t="n"/>
    </row>
    <row r="1905">
      <c r="A1905" s="14" t="n"/>
      <c r="D1905" s="22" t="n"/>
      <c r="J1905" s="22" t="n"/>
    </row>
    <row r="1906">
      <c r="A1906" s="14" t="n"/>
      <c r="D1906" s="22" t="n"/>
      <c r="J1906" s="22" t="n"/>
    </row>
    <row r="1907">
      <c r="A1907" s="14" t="n"/>
      <c r="D1907" s="22" t="n"/>
      <c r="J1907" s="22" t="n"/>
    </row>
    <row r="1908">
      <c r="A1908" s="14" t="n"/>
      <c r="D1908" s="22" t="n"/>
      <c r="J1908" s="22" t="n"/>
    </row>
    <row r="1909">
      <c r="A1909" s="14" t="n"/>
      <c r="D1909" s="22" t="n"/>
      <c r="J1909" s="22" t="n"/>
    </row>
    <row r="1910">
      <c r="A1910" s="14" t="n"/>
      <c r="D1910" s="22" t="n"/>
      <c r="J1910" s="22" t="n"/>
    </row>
    <row r="1911">
      <c r="A1911" s="14" t="n"/>
      <c r="D1911" s="22" t="n"/>
      <c r="J1911" s="22" t="n"/>
    </row>
    <row r="1912">
      <c r="A1912" s="14" t="n"/>
      <c r="D1912" s="22" t="n"/>
      <c r="J1912" s="22" t="n"/>
    </row>
    <row r="1913">
      <c r="A1913" s="14" t="n"/>
      <c r="D1913" s="22" t="n"/>
      <c r="J1913" s="22" t="n"/>
    </row>
    <row r="1914">
      <c r="A1914" s="14" t="n"/>
      <c r="D1914" s="22" t="n"/>
      <c r="J1914" s="22" t="n"/>
    </row>
    <row r="1915">
      <c r="A1915" s="14" t="n"/>
      <c r="D1915" s="22" t="n"/>
      <c r="J1915" s="22" t="n"/>
    </row>
    <row r="1916">
      <c r="A1916" s="14" t="n"/>
      <c r="D1916" s="22" t="n"/>
      <c r="J1916" s="22" t="n"/>
    </row>
    <row r="1917">
      <c r="A1917" s="14" t="n"/>
      <c r="D1917" s="22" t="n"/>
      <c r="J1917" s="22" t="n"/>
    </row>
    <row r="1918">
      <c r="A1918" s="14" t="n"/>
      <c r="D1918" s="22" t="n"/>
      <c r="J1918" s="22" t="n"/>
    </row>
    <row r="1919">
      <c r="A1919" s="14" t="n"/>
      <c r="D1919" s="22" t="n"/>
      <c r="J1919" s="22" t="n"/>
    </row>
    <row r="1920">
      <c r="A1920" s="14" t="n"/>
      <c r="D1920" s="22" t="n"/>
      <c r="J1920" s="22" t="n"/>
    </row>
    <row r="1921">
      <c r="A1921" s="14" t="n"/>
      <c r="D1921" s="22" t="n"/>
      <c r="J1921" s="22" t="n"/>
    </row>
    <row r="1922">
      <c r="A1922" s="14" t="n"/>
      <c r="D1922" s="22" t="n"/>
      <c r="J1922" s="22" t="n"/>
    </row>
    <row r="1923">
      <c r="A1923" s="14" t="n"/>
      <c r="D1923" s="22" t="n"/>
      <c r="J1923" s="22" t="n"/>
    </row>
    <row r="1924">
      <c r="A1924" s="14" t="n"/>
      <c r="D1924" s="22" t="n"/>
      <c r="J1924" s="22" t="n"/>
    </row>
    <row r="1925">
      <c r="A1925" s="14" t="n"/>
      <c r="D1925" s="22" t="n"/>
      <c r="J1925" s="22" t="n"/>
    </row>
    <row r="1926">
      <c r="A1926" s="14" t="n"/>
      <c r="D1926" s="22" t="n"/>
      <c r="J1926" s="22" t="n"/>
    </row>
    <row r="1927">
      <c r="A1927" s="14" t="n"/>
      <c r="D1927" s="22" t="n"/>
      <c r="J1927" s="22" t="n"/>
    </row>
    <row r="1928">
      <c r="A1928" s="14" t="n"/>
      <c r="D1928" s="22" t="n"/>
      <c r="J1928" s="22" t="n"/>
    </row>
    <row r="1929">
      <c r="A1929" s="14" t="n"/>
      <c r="D1929" s="22" t="n"/>
      <c r="J1929" s="22" t="n"/>
    </row>
    <row r="1930">
      <c r="A1930" s="14" t="n"/>
      <c r="D1930" s="22" t="n"/>
      <c r="J1930" s="22" t="n"/>
    </row>
    <row r="1931">
      <c r="A1931" s="14" t="n"/>
      <c r="D1931" s="22" t="n"/>
      <c r="J1931" s="22" t="n"/>
    </row>
    <row r="1932">
      <c r="A1932" s="14" t="n"/>
      <c r="D1932" s="22" t="n"/>
      <c r="J1932" s="22" t="n"/>
    </row>
    <row r="1933">
      <c r="A1933" s="14" t="n"/>
      <c r="D1933" s="22" t="n"/>
      <c r="J1933" s="22" t="n"/>
    </row>
    <row r="1934">
      <c r="A1934" s="14" t="n"/>
      <c r="D1934" s="22" t="n"/>
      <c r="J1934" s="22" t="n"/>
    </row>
    <row r="1935">
      <c r="A1935" s="14" t="n"/>
      <c r="D1935" s="22" t="n"/>
      <c r="J1935" s="22" t="n"/>
    </row>
    <row r="1936">
      <c r="A1936" s="14" t="n"/>
      <c r="D1936" s="22" t="n"/>
      <c r="J1936" s="22" t="n"/>
    </row>
    <row r="1937">
      <c r="A1937" s="14" t="n"/>
      <c r="D1937" s="22" t="n"/>
      <c r="J1937" s="22" t="n"/>
    </row>
    <row r="1938">
      <c r="A1938" s="14" t="n"/>
      <c r="D1938" s="22" t="n"/>
      <c r="J1938" s="22" t="n"/>
    </row>
    <row r="1939">
      <c r="A1939" s="14" t="n"/>
      <c r="D1939" s="22" t="n"/>
      <c r="J1939" s="22" t="n"/>
    </row>
    <row r="1940">
      <c r="A1940" s="14" t="n"/>
      <c r="D1940" s="22" t="n"/>
      <c r="J1940" s="22" t="n"/>
    </row>
    <row r="1941">
      <c r="A1941" s="14" t="n"/>
      <c r="D1941" s="22" t="n"/>
      <c r="J1941" s="22" t="n"/>
    </row>
    <row r="1942">
      <c r="A1942" s="14" t="n"/>
      <c r="D1942" s="22" t="n"/>
      <c r="J1942" s="22" t="n"/>
    </row>
    <row r="1943">
      <c r="A1943" s="14" t="n"/>
      <c r="D1943" s="22" t="n"/>
      <c r="J1943" s="22" t="n"/>
    </row>
    <row r="1944">
      <c r="A1944" s="14" t="n"/>
      <c r="D1944" s="22" t="n"/>
      <c r="J1944" s="22" t="n"/>
    </row>
    <row r="1945">
      <c r="A1945" s="14" t="n"/>
      <c r="D1945" s="22" t="n"/>
      <c r="J1945" s="22" t="n"/>
    </row>
    <row r="1946">
      <c r="A1946" s="14" t="n"/>
      <c r="D1946" s="22" t="n"/>
      <c r="J1946" s="22" t="n"/>
    </row>
    <row r="1947">
      <c r="A1947" s="14" t="n"/>
      <c r="D1947" s="22" t="n"/>
      <c r="J1947" s="22" t="n"/>
    </row>
    <row r="1948">
      <c r="A1948" s="14" t="n"/>
      <c r="D1948" s="22" t="n"/>
      <c r="J1948" s="22" t="n"/>
    </row>
    <row r="1949">
      <c r="A1949" s="14" t="n"/>
      <c r="D1949" s="22" t="n"/>
      <c r="J1949" s="22" t="n"/>
    </row>
    <row r="1950">
      <c r="A1950" s="14" t="n"/>
      <c r="D1950" s="22" t="n"/>
      <c r="J1950" s="22" t="n"/>
    </row>
    <row r="1951">
      <c r="A1951" s="14" t="n"/>
      <c r="D1951" s="22" t="n"/>
      <c r="J1951" s="22" t="n"/>
    </row>
    <row r="1952">
      <c r="A1952" s="14" t="n"/>
      <c r="D1952" s="22" t="n"/>
      <c r="J1952" s="22" t="n"/>
    </row>
    <row r="1953">
      <c r="A1953" s="14" t="n"/>
      <c r="D1953" s="22" t="n"/>
      <c r="J1953" s="22" t="n"/>
    </row>
    <row r="1954">
      <c r="A1954" s="14" t="n"/>
      <c r="D1954" s="22" t="n"/>
      <c r="J1954" s="22" t="n"/>
    </row>
    <row r="1955">
      <c r="A1955" s="14" t="n"/>
      <c r="D1955" s="22" t="n"/>
      <c r="J1955" s="22" t="n"/>
    </row>
    <row r="1956">
      <c r="A1956" s="14" t="n"/>
      <c r="D1956" s="22" t="n"/>
      <c r="J1956" s="22" t="n"/>
    </row>
    <row r="1957">
      <c r="A1957" s="14" t="n"/>
      <c r="D1957" s="22" t="n"/>
      <c r="J1957" s="22" t="n"/>
    </row>
    <row r="1958">
      <c r="A1958" s="14" t="n"/>
      <c r="D1958" s="22" t="n"/>
      <c r="J1958" s="22" t="n"/>
    </row>
    <row r="1959">
      <c r="A1959" s="14" t="n"/>
      <c r="D1959" s="22" t="n"/>
      <c r="J1959" s="22" t="n"/>
    </row>
    <row r="1960">
      <c r="A1960" s="14" t="n"/>
      <c r="D1960" s="22" t="n"/>
      <c r="J1960" s="22" t="n"/>
    </row>
    <row r="1961">
      <c r="A1961" s="14" t="n"/>
      <c r="D1961" s="22" t="n"/>
      <c r="J1961" s="22" t="n"/>
    </row>
    <row r="1962">
      <c r="A1962" s="14" t="n"/>
      <c r="D1962" s="22" t="n"/>
      <c r="J1962" s="22" t="n"/>
    </row>
    <row r="1963">
      <c r="A1963" s="14" t="n"/>
      <c r="D1963" s="22" t="n"/>
      <c r="J1963" s="22" t="n"/>
    </row>
    <row r="1964">
      <c r="A1964" s="14" t="n"/>
      <c r="D1964" s="22" t="n"/>
      <c r="J1964" s="22" t="n"/>
    </row>
    <row r="1965">
      <c r="A1965" s="14" t="n"/>
      <c r="D1965" s="22" t="n"/>
      <c r="J1965" s="22" t="n"/>
    </row>
    <row r="1966">
      <c r="A1966" s="14" t="n"/>
      <c r="D1966" s="22" t="n"/>
      <c r="J1966" s="22" t="n"/>
    </row>
    <row r="1967">
      <c r="A1967" s="14" t="n"/>
      <c r="D1967" s="22" t="n"/>
      <c r="J1967" s="22" t="n"/>
    </row>
    <row r="1968">
      <c r="A1968" s="14" t="n"/>
      <c r="D1968" s="22" t="n"/>
      <c r="J1968" s="22" t="n"/>
    </row>
    <row r="1969">
      <c r="A1969" s="14" t="n"/>
      <c r="D1969" s="22" t="n"/>
      <c r="J1969" s="22" t="n"/>
    </row>
    <row r="1970">
      <c r="A1970" s="14" t="n"/>
      <c r="D1970" s="22" t="n"/>
      <c r="J1970" s="22" t="n"/>
    </row>
    <row r="1971">
      <c r="A1971" s="14" t="n"/>
      <c r="D1971" s="22" t="n"/>
      <c r="J1971" s="22" t="n"/>
    </row>
    <row r="1972">
      <c r="A1972" s="14" t="n"/>
      <c r="D1972" s="22" t="n"/>
      <c r="J1972" s="22" t="n"/>
    </row>
    <row r="1973">
      <c r="A1973" s="14" t="n"/>
      <c r="D1973" s="22" t="n"/>
      <c r="J1973" s="22" t="n"/>
    </row>
    <row r="1974">
      <c r="A1974" s="14" t="n"/>
      <c r="D1974" s="22" t="n"/>
      <c r="J1974" s="22" t="n"/>
    </row>
    <row r="1975">
      <c r="A1975" s="14" t="n"/>
      <c r="D1975" s="22" t="n"/>
      <c r="J1975" s="22" t="n"/>
    </row>
    <row r="1976">
      <c r="A1976" s="14" t="n"/>
      <c r="D1976" s="22" t="n"/>
      <c r="J1976" s="22" t="n"/>
    </row>
    <row r="1977">
      <c r="A1977" s="14" t="n"/>
      <c r="D1977" s="22" t="n"/>
      <c r="J1977" s="22" t="n"/>
    </row>
    <row r="1978">
      <c r="A1978" s="14" t="n"/>
      <c r="D1978" s="22" t="n"/>
      <c r="J1978" s="22" t="n"/>
    </row>
    <row r="1979">
      <c r="A1979" s="14" t="n"/>
      <c r="D1979" s="22" t="n"/>
      <c r="J1979" s="22" t="n"/>
    </row>
    <row r="1980">
      <c r="A1980" s="14" t="n"/>
      <c r="D1980" s="22" t="n"/>
      <c r="J1980" s="22" t="n"/>
    </row>
    <row r="1981">
      <c r="A1981" s="14" t="n"/>
      <c r="D1981" s="22" t="n"/>
      <c r="J1981" s="22" t="n"/>
    </row>
    <row r="1982">
      <c r="A1982" s="14" t="n"/>
      <c r="D1982" s="22" t="n"/>
      <c r="J1982" s="22" t="n"/>
    </row>
    <row r="1983">
      <c r="A1983" s="14" t="n"/>
      <c r="D1983" s="22" t="n"/>
      <c r="J1983" s="22" t="n"/>
    </row>
    <row r="1984">
      <c r="A1984" s="14" t="n"/>
      <c r="D1984" s="22" t="n"/>
      <c r="J1984" s="22" t="n"/>
    </row>
    <row r="1985">
      <c r="A1985" s="14" t="n"/>
      <c r="D1985" s="22" t="n"/>
      <c r="J1985" s="22" t="n"/>
    </row>
    <row r="1986">
      <c r="A1986" s="14" t="n"/>
      <c r="D1986" s="22" t="n"/>
      <c r="J1986" s="22" t="n"/>
    </row>
    <row r="1987">
      <c r="A1987" s="14" t="n"/>
      <c r="D1987" s="22" t="n"/>
      <c r="J1987" s="22" t="n"/>
    </row>
    <row r="1988">
      <c r="A1988" s="14" t="n"/>
      <c r="D1988" s="22" t="n"/>
      <c r="J1988" s="22" t="n"/>
    </row>
    <row r="1989">
      <c r="A1989" s="14" t="n"/>
      <c r="D1989" s="22" t="n"/>
      <c r="J1989" s="22" t="n"/>
    </row>
    <row r="1990">
      <c r="A1990" s="14" t="n"/>
      <c r="D1990" s="22" t="n"/>
      <c r="J1990" s="22" t="n"/>
    </row>
    <row r="1991">
      <c r="A1991" s="14" t="n"/>
      <c r="D1991" s="22" t="n"/>
      <c r="J1991" s="22" t="n"/>
    </row>
    <row r="1992">
      <c r="A1992" s="14" t="n"/>
      <c r="D1992" s="22" t="n"/>
      <c r="J1992" s="22" t="n"/>
    </row>
    <row r="1993">
      <c r="A1993" s="14" t="n"/>
      <c r="D1993" s="22" t="n"/>
      <c r="J1993" s="22" t="n"/>
    </row>
    <row r="1994">
      <c r="A1994" s="14" t="n"/>
      <c r="D1994" s="22" t="n"/>
      <c r="J1994" s="22" t="n"/>
    </row>
    <row r="1995">
      <c r="A1995" s="14" t="n"/>
      <c r="D1995" s="22" t="n"/>
      <c r="J1995" s="22" t="n"/>
    </row>
    <row r="1996">
      <c r="A1996" s="14" t="n"/>
      <c r="D1996" s="22" t="n"/>
      <c r="J1996" s="22" t="n"/>
    </row>
    <row r="1997">
      <c r="A1997" s="14" t="n"/>
      <c r="D1997" s="22" t="n"/>
      <c r="J1997" s="22" t="n"/>
    </row>
    <row r="1998">
      <c r="A1998" s="14" t="n"/>
      <c r="D1998" s="22" t="n"/>
      <c r="J1998" s="22" t="n"/>
    </row>
    <row r="1999">
      <c r="A1999" s="14" t="n"/>
      <c r="D1999" s="22" t="n"/>
      <c r="J1999" s="22" t="n"/>
    </row>
    <row r="2000">
      <c r="A2000" s="14" t="n"/>
      <c r="D2000" s="22" t="n"/>
      <c r="J2000" s="22" t="n"/>
    </row>
    <row r="2001">
      <c r="A2001" s="14" t="n"/>
      <c r="D2001" s="22" t="n"/>
      <c r="J2001" s="22" t="n"/>
    </row>
  </sheetData>
  <autoFilter ref="A1:L1"/>
  <dataValidations count="4">
    <dataValidation sqref="E2:E2001" showDropDown="0" showInputMessage="0" showErrorMessage="0" allowBlank="1" type="list">
      <formula1>=Listas!$C$2:$C$7</formula1>
    </dataValidation>
    <dataValidation sqref="F2:F2001" showDropDown="0" showInputMessage="0" showErrorMessage="0" allowBlank="1" type="list">
      <formula1>=Listas!$D$2:$D$16</formula1>
    </dataValidation>
    <dataValidation sqref="K2:K2001" showDropDown="0" showInputMessage="0" showErrorMessage="0" allowBlank="1" type="list">
      <formula1>=Listas!$E$2:$E$4</formula1>
    </dataValidation>
    <dataValidation sqref="L2:L2001" showDropDown="0" showInputMessage="0" showErrorMessage="0" allowBlank="1" type="list">
      <formula1>=Listas!$F$2:$F$4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36" customWidth="1" min="4" max="4"/>
    <col width="20" customWidth="1" min="5" max="5"/>
    <col width="16" customWidth="1" min="6" max="6"/>
    <col width="18" customWidth="1" min="7" max="7"/>
    <col width="16" customWidth="1" min="8" max="8"/>
    <col width="19" customWidth="1" min="9" max="9"/>
    <col width="19" customWidth="1" min="10" max="10"/>
    <col width="14" customWidth="1" min="11" max="11"/>
    <col width="15" customWidth="1" min="12" max="12"/>
    <col width="12" customWidth="1" min="13" max="13"/>
    <col width="18" customWidth="1" min="14" max="14"/>
  </cols>
  <sheetData>
    <row r="1" ht="34" customHeight="1">
      <c r="A1" s="16" t="inlineStr">
        <is>
          <t>Nº Pedido</t>
        </is>
      </c>
      <c r="B1" s="16" t="inlineStr">
        <is>
          <t>Cliente</t>
        </is>
      </c>
      <c r="C1" s="16" t="inlineStr">
        <is>
          <t>Departamento</t>
        </is>
      </c>
      <c r="D1" s="16" t="inlineStr">
        <is>
          <t>Atividade</t>
        </is>
      </c>
      <c r="E1" s="16" t="inlineStr">
        <is>
          <t>Data solicitação</t>
        </is>
      </c>
      <c r="F1" s="16" t="inlineStr">
        <is>
          <t>Prazo (dias)</t>
        </is>
      </c>
      <c r="G1" s="16" t="inlineStr">
        <is>
          <t>Data conclusão</t>
        </is>
      </c>
      <c r="H1" s="16" t="inlineStr">
        <is>
          <t>Nº cobranças</t>
        </is>
      </c>
      <c r="I1" s="16" t="inlineStr">
        <is>
          <t>Última cobrança</t>
        </is>
      </c>
      <c r="J1" s="16" t="inlineStr">
        <is>
          <t>Causa do atraso</t>
        </is>
      </c>
      <c r="K1" s="16" t="inlineStr">
        <is>
          <t>Observação</t>
        </is>
      </c>
      <c r="L1" s="17" t="inlineStr">
        <is>
          <t>Data limite</t>
        </is>
      </c>
      <c r="M1" s="17" t="inlineStr">
        <is>
          <t>Status</t>
        </is>
      </c>
      <c r="N1" s="17" t="inlineStr">
        <is>
          <t>Dias de atraso</t>
        </is>
      </c>
    </row>
    <row r="2">
      <c r="A2" t="inlineStr">
        <is>
          <t>PV1239</t>
        </is>
      </c>
      <c r="B2" t="inlineStr">
        <is>
          <t>Cliente Exemplo 26</t>
        </is>
      </c>
      <c r="C2" t="inlineStr">
        <is>
          <t>Marketing/Arte</t>
        </is>
      </c>
      <c r="D2" t="inlineStr">
        <is>
          <t>Arte de rótulo no idioma</t>
        </is>
      </c>
      <c r="E2" s="22" t="n">
        <v>46282</v>
      </c>
      <c r="G2" s="22" t="n">
        <v>46291</v>
      </c>
      <c r="H2" t="n">
        <v>1</v>
      </c>
      <c r="I2" s="22" t="n">
        <v>46289</v>
      </c>
      <c r="J2" t="inlineStr">
        <is>
          <t>Aguardando aprovação do cliente</t>
        </is>
      </c>
      <c r="K2" t="inlineStr"/>
      <c r="L2" s="20">
        <f>IF(E2="","",E2+IF(F2="",IFERROR(VLOOKUP(C2,Parametros!$E:$F,2,0),0),F2))</f>
        <v/>
      </c>
      <c r="M2" s="21">
        <f>IF(E2="","",IF(G2="",IF(TODAY()&gt;L2,"Atrasada","Em aberto"),IF(G2&lt;=L2,"No prazo","Com atraso")))</f>
        <v/>
      </c>
      <c r="N2" s="18">
        <f>IF(E2="","",MAX(0,IF(G2="",TODAY(),G2)-L2))</f>
        <v/>
      </c>
    </row>
    <row r="3">
      <c r="A3" t="inlineStr">
        <is>
          <t>PV1239</t>
        </is>
      </c>
      <c r="B3" t="inlineStr">
        <is>
          <t>Cliente Exemplo 26</t>
        </is>
      </c>
      <c r="C3" t="inlineStr">
        <is>
          <t>PCP/Produção</t>
        </is>
      </c>
      <c r="D3" t="inlineStr">
        <is>
          <t>Programar produção</t>
        </is>
      </c>
      <c r="E3" s="22" t="n">
        <v>46283</v>
      </c>
      <c r="G3" s="22" t="n"/>
      <c r="H3" t="n">
        <v>3</v>
      </c>
      <c r="I3" s="22" t="n">
        <v>46298</v>
      </c>
      <c r="J3" t="inlineStr">
        <is>
          <t>Fila da produção</t>
        </is>
      </c>
      <c r="K3" t="inlineStr"/>
      <c r="L3" s="20">
        <f>IF(E3="","",E3+IF(F3="",IFERROR(VLOOKUP(C3,Parametros!$E:$F,2,0),0),F3))</f>
        <v/>
      </c>
      <c r="M3" s="21">
        <f>IF(E3="","",IF(G3="",IF(TODAY()&gt;L3,"Atrasada","Em aberto"),IF(G3&lt;=L3,"No prazo","Com atraso")))</f>
        <v/>
      </c>
      <c r="N3" s="18">
        <f>IF(E3="","",MAX(0,IF(G3="",TODAY(),G3)-L3))</f>
        <v/>
      </c>
    </row>
    <row r="4">
      <c r="A4" t="inlineStr">
        <is>
          <t>PV1239</t>
        </is>
      </c>
      <c r="B4" t="inlineStr">
        <is>
          <t>Cliente Exemplo 26</t>
        </is>
      </c>
      <c r="C4" t="inlineStr">
        <is>
          <t>Financeiro</t>
        </is>
      </c>
      <c r="D4" t="inlineStr">
        <is>
          <t>Liberação de crédito / carta de crédito</t>
        </is>
      </c>
      <c r="E4" s="22" t="n">
        <v>46281</v>
      </c>
      <c r="G4" s="22" t="n">
        <v>46284</v>
      </c>
      <c r="H4" t="n">
        <v>2</v>
      </c>
      <c r="I4" s="22" t="n">
        <v>46284</v>
      </c>
      <c r="J4" t="inlineStr"/>
      <c r="K4" t="inlineStr"/>
      <c r="L4" s="20">
        <f>IF(E4="","",E4+IF(F4="",IFERROR(VLOOKUP(C4,Parametros!$E:$F,2,0),0),F4))</f>
        <v/>
      </c>
      <c r="M4" s="21">
        <f>IF(E4="","",IF(G4="",IF(TODAY()&gt;L4,"Atrasada","Em aberto"),IF(G4&lt;=L4,"No prazo","Com atraso")))</f>
        <v/>
      </c>
      <c r="N4" s="18">
        <f>IF(E4="","",MAX(0,IF(G4="",TODAY(),G4)-L4))</f>
        <v/>
      </c>
    </row>
    <row r="5">
      <c r="A5" t="inlineStr">
        <is>
          <t>PV1239</t>
        </is>
      </c>
      <c r="B5" t="inlineStr">
        <is>
          <t>Cliente Exemplo 26</t>
        </is>
      </c>
      <c r="C5" t="inlineStr">
        <is>
          <t>Logística/Embarque</t>
        </is>
      </c>
      <c r="D5" t="inlineStr">
        <is>
          <t>Booking e coleta do contêiner</t>
        </is>
      </c>
      <c r="E5" s="22" t="n">
        <v>46282</v>
      </c>
      <c r="G5" s="22" t="n">
        <v>46289</v>
      </c>
      <c r="H5" t="n">
        <v>1</v>
      </c>
      <c r="I5" s="22" t="n">
        <v>46287</v>
      </c>
      <c r="J5" t="inlineStr">
        <is>
          <t>Aguardando aprovação do cliente</t>
        </is>
      </c>
      <c r="K5" t="inlineStr"/>
      <c r="L5" s="20">
        <f>IF(E5="","",E5+IF(F5="",IFERROR(VLOOKUP(C5,Parametros!$E:$F,2,0),0),F5))</f>
        <v/>
      </c>
      <c r="M5" s="21">
        <f>IF(E5="","",IF(G5="",IF(TODAY()&gt;L5,"Atrasada","Em aberto"),IF(G5&lt;=L5,"No prazo","Com atraso")))</f>
        <v/>
      </c>
      <c r="N5" s="18">
        <f>IF(E5="","",MAX(0,IF(G5="",TODAY(),G5)-L5))</f>
        <v/>
      </c>
    </row>
    <row r="6">
      <c r="A6" t="inlineStr">
        <is>
          <t>PV1239</t>
        </is>
      </c>
      <c r="B6" t="inlineStr">
        <is>
          <t>Cliente Exemplo 26</t>
        </is>
      </c>
      <c r="C6" t="inlineStr">
        <is>
          <t>Comercial/Comex</t>
        </is>
      </c>
      <c r="D6" t="inlineStr">
        <is>
          <t>Proforma e confirmação</t>
        </is>
      </c>
      <c r="E6" s="22" t="n">
        <v>46282</v>
      </c>
      <c r="G6" s="22" t="n">
        <v>46284</v>
      </c>
      <c r="H6" t="n">
        <v>1</v>
      </c>
      <c r="I6" s="22" t="n">
        <v>46284</v>
      </c>
      <c r="J6" t="inlineStr"/>
      <c r="K6" t="inlineStr"/>
      <c r="L6" s="20">
        <f>IF(E6="","",E6+IF(F6="",IFERROR(VLOOKUP(C6,Parametros!$E:$F,2,0),0),F6))</f>
        <v/>
      </c>
      <c r="M6" s="21">
        <f>IF(E6="","",IF(G6="",IF(TODAY()&gt;L6,"Atrasada","Em aberto"),IF(G6&lt;=L6,"No prazo","Com atraso")))</f>
        <v/>
      </c>
      <c r="N6" s="18">
        <f>IF(E6="","",MAX(0,IF(G6="",TODAY(),G6)-L6))</f>
        <v/>
      </c>
    </row>
    <row r="7">
      <c r="A7" t="inlineStr">
        <is>
          <t>PV1238</t>
        </is>
      </c>
      <c r="B7" t="inlineStr">
        <is>
          <t>Cliente Exemplo 25</t>
        </is>
      </c>
      <c r="C7" t="inlineStr">
        <is>
          <t>Qualidade/Regulatório</t>
        </is>
      </c>
      <c r="D7" t="inlineStr">
        <is>
          <t>Certificado sanitário / análise</t>
        </is>
      </c>
      <c r="E7" s="22" t="n">
        <v>46283</v>
      </c>
      <c r="G7" s="22" t="n">
        <v>46289</v>
      </c>
      <c r="H7" t="n">
        <v>1</v>
      </c>
      <c r="I7" s="22" t="n">
        <v>46290</v>
      </c>
      <c r="J7" t="inlineStr"/>
      <c r="K7" t="inlineStr"/>
      <c r="L7" s="20">
        <f>IF(E7="","",E7+IF(F7="",IFERROR(VLOOKUP(C7,Parametros!$E:$F,2,0),0),F7))</f>
        <v/>
      </c>
      <c r="M7" s="21">
        <f>IF(E7="","",IF(G7="",IF(TODAY()&gt;L7,"Atrasada","Em aberto"),IF(G7&lt;=L7,"No prazo","Com atraso")))</f>
        <v/>
      </c>
      <c r="N7" s="18">
        <f>IF(E7="","",MAX(0,IF(G7="",TODAY(),G7)-L7))</f>
        <v/>
      </c>
    </row>
    <row r="8">
      <c r="A8" t="inlineStr">
        <is>
          <t>PV1238</t>
        </is>
      </c>
      <c r="B8" t="inlineStr">
        <is>
          <t>Cliente Exemplo 25</t>
        </is>
      </c>
      <c r="C8" t="inlineStr">
        <is>
          <t>Marketing/Arte</t>
        </is>
      </c>
      <c r="D8" t="inlineStr">
        <is>
          <t>Arte de rótulo no idioma</t>
        </is>
      </c>
      <c r="E8" s="22" t="n">
        <v>46284</v>
      </c>
      <c r="G8" s="22" t="n">
        <v>46290</v>
      </c>
      <c r="H8" t="n">
        <v>1</v>
      </c>
      <c r="I8" s="22" t="n">
        <v>46291</v>
      </c>
      <c r="J8" t="inlineStr"/>
      <c r="K8" t="inlineStr"/>
      <c r="L8" s="20">
        <f>IF(E8="","",E8+IF(F8="",IFERROR(VLOOKUP(C8,Parametros!$E:$F,2,0),0),F8))</f>
        <v/>
      </c>
      <c r="M8" s="21">
        <f>IF(E8="","",IF(G8="",IF(TODAY()&gt;L8,"Atrasada","Em aberto"),IF(G8&lt;=L8,"No prazo","Com atraso")))</f>
        <v/>
      </c>
      <c r="N8" s="18">
        <f>IF(E8="","",MAX(0,IF(G8="",TODAY(),G8)-L8))</f>
        <v/>
      </c>
    </row>
    <row r="9">
      <c r="A9" t="inlineStr">
        <is>
          <t>PV1238</t>
        </is>
      </c>
      <c r="B9" t="inlineStr">
        <is>
          <t>Cliente Exemplo 25</t>
        </is>
      </c>
      <c r="C9" t="inlineStr">
        <is>
          <t>Financeiro</t>
        </is>
      </c>
      <c r="D9" t="inlineStr">
        <is>
          <t>Liberação de crédito / carta de crédito</t>
        </is>
      </c>
      <c r="E9" s="22" t="n">
        <v>46284</v>
      </c>
      <c r="G9" s="22" t="n">
        <v>46286</v>
      </c>
      <c r="H9" t="n">
        <v>1</v>
      </c>
      <c r="I9" s="22" t="n">
        <v>46287</v>
      </c>
      <c r="J9" t="inlineStr"/>
      <c r="K9" t="inlineStr"/>
      <c r="L9" s="20">
        <f>IF(E9="","",E9+IF(F9="",IFERROR(VLOOKUP(C9,Parametros!$E:$F,2,0),0),F9))</f>
        <v/>
      </c>
      <c r="M9" s="21">
        <f>IF(E9="","",IF(G9="",IF(TODAY()&gt;L9,"Atrasada","Em aberto"),IF(G9&lt;=L9,"No prazo","Com atraso")))</f>
        <v/>
      </c>
      <c r="N9" s="18">
        <f>IF(E9="","",MAX(0,IF(G9="",TODAY(),G9)-L9))</f>
        <v/>
      </c>
    </row>
    <row r="10">
      <c r="A10" t="inlineStr">
        <is>
          <t>PV1238</t>
        </is>
      </c>
      <c r="B10" t="inlineStr">
        <is>
          <t>Cliente Exemplo 25</t>
        </is>
      </c>
      <c r="C10" t="inlineStr">
        <is>
          <t>PCP/Produção</t>
        </is>
      </c>
      <c r="D10" t="inlineStr">
        <is>
          <t>Programar produção</t>
        </is>
      </c>
      <c r="E10" s="22" t="n">
        <v>46282</v>
      </c>
      <c r="G10" s="22" t="n">
        <v>46296</v>
      </c>
      <c r="H10" t="n">
        <v>0</v>
      </c>
      <c r="I10" s="22" t="n"/>
      <c r="J10" t="inlineStr"/>
      <c r="K10" t="inlineStr"/>
      <c r="L10" s="20">
        <f>IF(E10="","",E10+IF(F10="",IFERROR(VLOOKUP(C10,Parametros!$E:$F,2,0),0),F10))</f>
        <v/>
      </c>
      <c r="M10" s="21">
        <f>IF(E10="","",IF(G10="",IF(TODAY()&gt;L10,"Atrasada","Em aberto"),IF(G10&lt;=L10,"No prazo","Com atraso")))</f>
        <v/>
      </c>
      <c r="N10" s="18">
        <f>IF(E10="","",MAX(0,IF(G10="",TODAY(),G10)-L10))</f>
        <v/>
      </c>
    </row>
    <row r="11">
      <c r="A11" t="inlineStr">
        <is>
          <t>PV1238</t>
        </is>
      </c>
      <c r="B11" t="inlineStr">
        <is>
          <t>Cliente Exemplo 25</t>
        </is>
      </c>
      <c r="C11" t="inlineStr">
        <is>
          <t>Compras/Suprimentos</t>
        </is>
      </c>
      <c r="D11" t="inlineStr">
        <is>
          <t>Compra de embalagem/insumos</t>
        </is>
      </c>
      <c r="E11" s="22" t="n">
        <v>46283</v>
      </c>
      <c r="G11" s="22" t="n">
        <v>46293</v>
      </c>
      <c r="H11" t="n">
        <v>1</v>
      </c>
      <c r="I11" s="22" t="n">
        <v>46293</v>
      </c>
      <c r="J11" t="inlineStr"/>
      <c r="K11" t="inlineStr"/>
      <c r="L11" s="20">
        <f>IF(E11="","",E11+IF(F11="",IFERROR(VLOOKUP(C11,Parametros!$E:$F,2,0),0),F11))</f>
        <v/>
      </c>
      <c r="M11" s="21">
        <f>IF(E11="","",IF(G11="",IF(TODAY()&gt;L11,"Atrasada","Em aberto"),IF(G11&lt;=L11,"No prazo","Com atraso")))</f>
        <v/>
      </c>
      <c r="N11" s="18">
        <f>IF(E11="","",MAX(0,IF(G11="",TODAY(),G11)-L11))</f>
        <v/>
      </c>
    </row>
    <row r="12">
      <c r="A12" t="inlineStr">
        <is>
          <t>PV1237</t>
        </is>
      </c>
      <c r="B12" t="inlineStr">
        <is>
          <t>Cliente Exemplo 24</t>
        </is>
      </c>
      <c r="C12" t="inlineStr">
        <is>
          <t>PCP/Produção</t>
        </is>
      </c>
      <c r="D12" t="inlineStr">
        <is>
          <t>Programar produção</t>
        </is>
      </c>
      <c r="E12" s="22" t="n">
        <v>46271</v>
      </c>
      <c r="G12" s="22" t="n">
        <v>46283</v>
      </c>
      <c r="H12" t="n">
        <v>0</v>
      </c>
      <c r="I12" s="22" t="n"/>
      <c r="J12" t="inlineStr"/>
      <c r="K12" t="inlineStr"/>
      <c r="L12" s="20">
        <f>IF(E12="","",E12+IF(F12="",IFERROR(VLOOKUP(C12,Parametros!$E:$F,2,0),0),F12))</f>
        <v/>
      </c>
      <c r="M12" s="21">
        <f>IF(E12="","",IF(G12="",IF(TODAY()&gt;L12,"Atrasada","Em aberto"),IF(G12&lt;=L12,"No prazo","Com atraso")))</f>
        <v/>
      </c>
      <c r="N12" s="18">
        <f>IF(E12="","",MAX(0,IF(G12="",TODAY(),G12)-L12))</f>
        <v/>
      </c>
    </row>
    <row r="13">
      <c r="A13" t="inlineStr">
        <is>
          <t>PV1237</t>
        </is>
      </c>
      <c r="B13" t="inlineStr">
        <is>
          <t>Cliente Exemplo 24</t>
        </is>
      </c>
      <c r="C13" t="inlineStr">
        <is>
          <t>Logística/Embarque</t>
        </is>
      </c>
      <c r="D13" t="inlineStr">
        <is>
          <t>Booking e coleta do contêiner</t>
        </is>
      </c>
      <c r="E13" s="22" t="n">
        <v>46272</v>
      </c>
      <c r="G13" s="22" t="n">
        <v>46276</v>
      </c>
      <c r="H13" t="n">
        <v>2</v>
      </c>
      <c r="I13" s="22" t="n">
        <v>46277</v>
      </c>
      <c r="J13" t="inlineStr"/>
      <c r="K13" t="inlineStr"/>
      <c r="L13" s="20">
        <f>IF(E13="","",E13+IF(F13="",IFERROR(VLOOKUP(C13,Parametros!$E:$F,2,0),0),F13))</f>
        <v/>
      </c>
      <c r="M13" s="21">
        <f>IF(E13="","",IF(G13="",IF(TODAY()&gt;L13,"Atrasada","Em aberto"),IF(G13&lt;=L13,"No prazo","Com atraso")))</f>
        <v/>
      </c>
      <c r="N13" s="18">
        <f>IF(E13="","",MAX(0,IF(G13="",TODAY(),G13)-L13))</f>
        <v/>
      </c>
    </row>
    <row r="14">
      <c r="A14" t="inlineStr">
        <is>
          <t>PV1237</t>
        </is>
      </c>
      <c r="B14" t="inlineStr">
        <is>
          <t>Cliente Exemplo 24</t>
        </is>
      </c>
      <c r="C14" t="inlineStr">
        <is>
          <t>Marketing/Arte</t>
        </is>
      </c>
      <c r="D14" t="inlineStr">
        <is>
          <t>Arte de rótulo no idioma</t>
        </is>
      </c>
      <c r="E14" s="22" t="n">
        <v>46273</v>
      </c>
      <c r="G14" s="22" t="n">
        <v>46277</v>
      </c>
      <c r="H14" t="n">
        <v>0</v>
      </c>
      <c r="I14" s="22" t="n"/>
      <c r="J14" t="inlineStr"/>
      <c r="K14" t="inlineStr"/>
      <c r="L14" s="20">
        <f>IF(E14="","",E14+IF(F14="",IFERROR(VLOOKUP(C14,Parametros!$E:$F,2,0),0),F14))</f>
        <v/>
      </c>
      <c r="M14" s="21">
        <f>IF(E14="","",IF(G14="",IF(TODAY()&gt;L14,"Atrasada","Em aberto"),IF(G14&lt;=L14,"No prazo","Com atraso")))</f>
        <v/>
      </c>
      <c r="N14" s="18">
        <f>IF(E14="","",MAX(0,IF(G14="",TODAY(),G14)-L14))</f>
        <v/>
      </c>
    </row>
    <row r="15">
      <c r="A15" t="inlineStr">
        <is>
          <t>PV1237</t>
        </is>
      </c>
      <c r="B15" t="inlineStr">
        <is>
          <t>Cliente Exemplo 24</t>
        </is>
      </c>
      <c r="C15" t="inlineStr">
        <is>
          <t>Qualidade/Regulatório</t>
        </is>
      </c>
      <c r="D15" t="inlineStr">
        <is>
          <t>Certificado sanitário / análise</t>
        </is>
      </c>
      <c r="E15" s="22" t="n">
        <v>46273</v>
      </c>
      <c r="G15" s="22" t="n">
        <v>46288</v>
      </c>
      <c r="H15" t="n">
        <v>2</v>
      </c>
      <c r="I15" s="22" t="n">
        <v>46280</v>
      </c>
      <c r="J15" t="inlineStr">
        <is>
          <t>Aguardando aprovação do cliente</t>
        </is>
      </c>
      <c r="K15" t="inlineStr"/>
      <c r="L15" s="20">
        <f>IF(E15="","",E15+IF(F15="",IFERROR(VLOOKUP(C15,Parametros!$E:$F,2,0),0),F15))</f>
        <v/>
      </c>
      <c r="M15" s="21">
        <f>IF(E15="","",IF(G15="",IF(TODAY()&gt;L15,"Atrasada","Em aberto"),IF(G15&lt;=L15,"No prazo","Com atraso")))</f>
        <v/>
      </c>
      <c r="N15" s="18">
        <f>IF(E15="","",MAX(0,IF(G15="",TODAY(),G15)-L15))</f>
        <v/>
      </c>
    </row>
    <row r="16">
      <c r="A16" t="inlineStr">
        <is>
          <t>PV1237</t>
        </is>
      </c>
      <c r="B16" t="inlineStr">
        <is>
          <t>Cliente Exemplo 24</t>
        </is>
      </c>
      <c r="C16" t="inlineStr">
        <is>
          <t>Financeiro</t>
        </is>
      </c>
      <c r="D16" t="inlineStr">
        <is>
          <t>Liberação de crédito / carta de crédito</t>
        </is>
      </c>
      <c r="E16" s="22" t="n">
        <v>46272</v>
      </c>
      <c r="G16" s="22" t="n">
        <v>46275</v>
      </c>
      <c r="H16" t="n">
        <v>0</v>
      </c>
      <c r="I16" s="22" t="n"/>
      <c r="J16" t="inlineStr"/>
      <c r="K16" t="inlineStr"/>
      <c r="L16" s="20">
        <f>IF(E16="","",E16+IF(F16="",IFERROR(VLOOKUP(C16,Parametros!$E:$F,2,0),0),F16))</f>
        <v/>
      </c>
      <c r="M16" s="21">
        <f>IF(E16="","",IF(G16="",IF(TODAY()&gt;L16,"Atrasada","Em aberto"),IF(G16&lt;=L16,"No prazo","Com atraso")))</f>
        <v/>
      </c>
      <c r="N16" s="18">
        <f>IF(E16="","",MAX(0,IF(G16="",TODAY(),G16)-L16))</f>
        <v/>
      </c>
    </row>
    <row r="17">
      <c r="A17" t="inlineStr">
        <is>
          <t>PV1236</t>
        </is>
      </c>
      <c r="B17" t="inlineStr">
        <is>
          <t>Cliente Exemplo 23</t>
        </is>
      </c>
      <c r="C17" t="inlineStr">
        <is>
          <t>PCP/Produção</t>
        </is>
      </c>
      <c r="D17" t="inlineStr">
        <is>
          <t>Programar produção</t>
        </is>
      </c>
      <c r="E17" s="22" t="n">
        <v>46271</v>
      </c>
      <c r="G17" s="22" t="n">
        <v>46294</v>
      </c>
      <c r="H17" t="n">
        <v>2</v>
      </c>
      <c r="I17" s="22" t="n">
        <v>46286</v>
      </c>
      <c r="J17" t="inlineStr"/>
      <c r="K17" t="inlineStr"/>
      <c r="L17" s="20">
        <f>IF(E17="","",E17+IF(F17="",IFERROR(VLOOKUP(C17,Parametros!$E:$F,2,0),0),F17))</f>
        <v/>
      </c>
      <c r="M17" s="21">
        <f>IF(E17="","",IF(G17="",IF(TODAY()&gt;L17,"Atrasada","Em aberto"),IF(G17&lt;=L17,"No prazo","Com atraso")))</f>
        <v/>
      </c>
      <c r="N17" s="18">
        <f>IF(E17="","",MAX(0,IF(G17="",TODAY(),G17)-L17))</f>
        <v/>
      </c>
    </row>
    <row r="18">
      <c r="A18" t="inlineStr">
        <is>
          <t>PV1236</t>
        </is>
      </c>
      <c r="B18" t="inlineStr">
        <is>
          <t>Cliente Exemplo 23</t>
        </is>
      </c>
      <c r="C18" t="inlineStr">
        <is>
          <t>Documentação/Despachante</t>
        </is>
      </c>
      <c r="D18" t="inlineStr">
        <is>
          <t>Documentos de exportação</t>
        </is>
      </c>
      <c r="E18" s="22" t="n">
        <v>46271</v>
      </c>
      <c r="G18" s="22" t="n">
        <v>46280</v>
      </c>
      <c r="H18" t="n">
        <v>3</v>
      </c>
      <c r="I18" s="22" t="n">
        <v>46276</v>
      </c>
      <c r="J18" t="inlineStr">
        <is>
          <t>Aguardando aprovação do cliente</t>
        </is>
      </c>
      <c r="K18" t="inlineStr"/>
      <c r="L18" s="20">
        <f>IF(E18="","",E18+IF(F18="",IFERROR(VLOOKUP(C18,Parametros!$E:$F,2,0),0),F18))</f>
        <v/>
      </c>
      <c r="M18" s="21">
        <f>IF(E18="","",IF(G18="",IF(TODAY()&gt;L18,"Atrasada","Em aberto"),IF(G18&lt;=L18,"No prazo","Com atraso")))</f>
        <v/>
      </c>
      <c r="N18" s="18">
        <f>IF(E18="","",MAX(0,IF(G18="",TODAY(),G18)-L18))</f>
        <v/>
      </c>
    </row>
    <row r="19">
      <c r="A19" t="inlineStr">
        <is>
          <t>PV1236</t>
        </is>
      </c>
      <c r="B19" t="inlineStr">
        <is>
          <t>Cliente Exemplo 23</t>
        </is>
      </c>
      <c r="C19" t="inlineStr">
        <is>
          <t>Logística/Embarque</t>
        </is>
      </c>
      <c r="D19" t="inlineStr">
        <is>
          <t>Booking e coleta do contêiner</t>
        </is>
      </c>
      <c r="E19" s="22" t="n">
        <v>46271</v>
      </c>
      <c r="G19" s="22" t="n">
        <v>46280</v>
      </c>
      <c r="H19" t="n">
        <v>0</v>
      </c>
      <c r="I19" s="22" t="n"/>
      <c r="J19" t="inlineStr"/>
      <c r="K19" t="inlineStr"/>
      <c r="L19" s="20">
        <f>IF(E19="","",E19+IF(F19="",IFERROR(VLOOKUP(C19,Parametros!$E:$F,2,0),0),F19))</f>
        <v/>
      </c>
      <c r="M19" s="21">
        <f>IF(E19="","",IF(G19="",IF(TODAY()&gt;L19,"Atrasada","Em aberto"),IF(G19&lt;=L19,"No prazo","Com atraso")))</f>
        <v/>
      </c>
      <c r="N19" s="18">
        <f>IF(E19="","",MAX(0,IF(G19="",TODAY(),G19)-L19))</f>
        <v/>
      </c>
    </row>
    <row r="20">
      <c r="A20" t="inlineStr">
        <is>
          <t>PV1236</t>
        </is>
      </c>
      <c r="B20" t="inlineStr">
        <is>
          <t>Cliente Exemplo 23</t>
        </is>
      </c>
      <c r="C20" t="inlineStr">
        <is>
          <t>Qualidade/Regulatório</t>
        </is>
      </c>
      <c r="D20" t="inlineStr">
        <is>
          <t>Certificado sanitário / análise</t>
        </is>
      </c>
      <c r="E20" s="22" t="n">
        <v>46273</v>
      </c>
      <c r="G20" s="22" t="n">
        <v>46280</v>
      </c>
      <c r="H20" t="n">
        <v>1</v>
      </c>
      <c r="I20" s="22" t="n">
        <v>46280</v>
      </c>
      <c r="J20" t="inlineStr"/>
      <c r="K20" t="inlineStr"/>
      <c r="L20" s="20">
        <f>IF(E20="","",E20+IF(F20="",IFERROR(VLOOKUP(C20,Parametros!$E:$F,2,0),0),F20))</f>
        <v/>
      </c>
      <c r="M20" s="21">
        <f>IF(E20="","",IF(G20="",IF(TODAY()&gt;L20,"Atrasada","Em aberto"),IF(G20&lt;=L20,"No prazo","Com atraso")))</f>
        <v/>
      </c>
      <c r="N20" s="18">
        <f>IF(E20="","",MAX(0,IF(G20="",TODAY(),G20)-L20))</f>
        <v/>
      </c>
    </row>
    <row r="21">
      <c r="A21" t="inlineStr">
        <is>
          <t>PV1236</t>
        </is>
      </c>
      <c r="B21" t="inlineStr">
        <is>
          <t>Cliente Exemplo 23</t>
        </is>
      </c>
      <c r="C21" t="inlineStr">
        <is>
          <t>Comercial/Comex</t>
        </is>
      </c>
      <c r="D21" t="inlineStr">
        <is>
          <t>Proforma e confirmação</t>
        </is>
      </c>
      <c r="E21" s="22" t="n">
        <v>46270</v>
      </c>
      <c r="G21" s="22" t="n">
        <v>46272</v>
      </c>
      <c r="H21" t="n">
        <v>1</v>
      </c>
      <c r="I21" s="22" t="n">
        <v>46272</v>
      </c>
      <c r="J21" t="inlineStr"/>
      <c r="K21" t="inlineStr"/>
      <c r="L21" s="20">
        <f>IF(E21="","",E21+IF(F21="",IFERROR(VLOOKUP(C21,Parametros!$E:$F,2,0),0),F21))</f>
        <v/>
      </c>
      <c r="M21" s="21">
        <f>IF(E21="","",IF(G21="",IF(TODAY()&gt;L21,"Atrasada","Em aberto"),IF(G21&lt;=L21,"No prazo","Com atraso")))</f>
        <v/>
      </c>
      <c r="N21" s="18">
        <f>IF(E21="","",MAX(0,IF(G21="",TODAY(),G21)-L21))</f>
        <v/>
      </c>
    </row>
    <row r="22">
      <c r="A22" t="inlineStr">
        <is>
          <t>PV1235</t>
        </is>
      </c>
      <c r="B22" t="inlineStr">
        <is>
          <t>Cliente Exemplo 23</t>
        </is>
      </c>
      <c r="C22" t="inlineStr">
        <is>
          <t>Marketing/Arte</t>
        </is>
      </c>
      <c r="D22" t="inlineStr">
        <is>
          <t>Arte de rótulo no idioma</t>
        </is>
      </c>
      <c r="E22" s="22" t="n">
        <v>46278</v>
      </c>
      <c r="G22" s="22" t="n">
        <v>46287</v>
      </c>
      <c r="H22" t="n">
        <v>2</v>
      </c>
      <c r="I22" s="22" t="n">
        <v>46285</v>
      </c>
      <c r="J22" t="inlineStr">
        <is>
          <t>Aguardando aprovação do cliente</t>
        </is>
      </c>
      <c r="K22" t="inlineStr"/>
      <c r="L22" s="20">
        <f>IF(E22="","",E22+IF(F22="",IFERROR(VLOOKUP(C22,Parametros!$E:$F,2,0),0),F22))</f>
        <v/>
      </c>
      <c r="M22" s="21">
        <f>IF(E22="","",IF(G22="",IF(TODAY()&gt;L22,"Atrasada","Em aberto"),IF(G22&lt;=L22,"No prazo","Com atraso")))</f>
        <v/>
      </c>
      <c r="N22" s="18">
        <f>IF(E22="","",MAX(0,IF(G22="",TODAY(),G22)-L22))</f>
        <v/>
      </c>
    </row>
    <row r="23">
      <c r="A23" t="inlineStr">
        <is>
          <t>PV1235</t>
        </is>
      </c>
      <c r="B23" t="inlineStr">
        <is>
          <t>Cliente Exemplo 23</t>
        </is>
      </c>
      <c r="C23" t="inlineStr">
        <is>
          <t>Documentação/Despachante</t>
        </is>
      </c>
      <c r="D23" t="inlineStr">
        <is>
          <t>Documentos de exportação</t>
        </is>
      </c>
      <c r="E23" s="22" t="n">
        <v>46280</v>
      </c>
      <c r="G23" s="22" t="n">
        <v>46293</v>
      </c>
      <c r="H23" t="n">
        <v>0</v>
      </c>
      <c r="I23" s="22" t="n"/>
      <c r="J23" t="inlineStr"/>
      <c r="K23" t="inlineStr"/>
      <c r="L23" s="20">
        <f>IF(E23="","",E23+IF(F23="",IFERROR(VLOOKUP(C23,Parametros!$E:$F,2,0),0),F23))</f>
        <v/>
      </c>
      <c r="M23" s="21">
        <f>IF(E23="","",IF(G23="",IF(TODAY()&gt;L23,"Atrasada","Em aberto"),IF(G23&lt;=L23,"No prazo","Com atraso")))</f>
        <v/>
      </c>
      <c r="N23" s="18">
        <f>IF(E23="","",MAX(0,IF(G23="",TODAY(),G23)-L23))</f>
        <v/>
      </c>
    </row>
    <row r="24">
      <c r="A24" t="inlineStr">
        <is>
          <t>PV1235</t>
        </is>
      </c>
      <c r="B24" t="inlineStr">
        <is>
          <t>Cliente Exemplo 23</t>
        </is>
      </c>
      <c r="C24" t="inlineStr">
        <is>
          <t>Qualidade/Regulatório</t>
        </is>
      </c>
      <c r="D24" t="inlineStr">
        <is>
          <t>Certificado sanitário / análise</t>
        </is>
      </c>
      <c r="E24" s="22" t="n">
        <v>46281</v>
      </c>
      <c r="G24" s="22" t="n">
        <v>46285</v>
      </c>
      <c r="H24" t="n">
        <v>0</v>
      </c>
      <c r="I24" s="22" t="n"/>
      <c r="J24" t="inlineStr"/>
      <c r="K24" t="inlineStr"/>
      <c r="L24" s="20">
        <f>IF(E24="","",E24+IF(F24="",IFERROR(VLOOKUP(C24,Parametros!$E:$F,2,0),0),F24))</f>
        <v/>
      </c>
      <c r="M24" s="21">
        <f>IF(E24="","",IF(G24="",IF(TODAY()&gt;L24,"Atrasada","Em aberto"),IF(G24&lt;=L24,"No prazo","Com atraso")))</f>
        <v/>
      </c>
      <c r="N24" s="18">
        <f>IF(E24="","",MAX(0,IF(G24="",TODAY(),G24)-L24))</f>
        <v/>
      </c>
    </row>
    <row r="25">
      <c r="A25" t="inlineStr">
        <is>
          <t>PV1235</t>
        </is>
      </c>
      <c r="B25" t="inlineStr">
        <is>
          <t>Cliente Exemplo 23</t>
        </is>
      </c>
      <c r="C25" t="inlineStr">
        <is>
          <t>Logística/Embarque</t>
        </is>
      </c>
      <c r="D25" t="inlineStr">
        <is>
          <t>Booking e coleta do contêiner</t>
        </is>
      </c>
      <c r="E25" s="22" t="n">
        <v>46280</v>
      </c>
      <c r="G25" s="22" t="n">
        <v>46287</v>
      </c>
      <c r="H25" t="n">
        <v>1</v>
      </c>
      <c r="I25" s="22" t="n">
        <v>46285</v>
      </c>
      <c r="J25" t="inlineStr">
        <is>
          <t>Aguardando aprovação do cliente</t>
        </is>
      </c>
      <c r="K25" t="inlineStr"/>
      <c r="L25" s="20">
        <f>IF(E25="","",E25+IF(F25="",IFERROR(VLOOKUP(C25,Parametros!$E:$F,2,0),0),F25))</f>
        <v/>
      </c>
      <c r="M25" s="21">
        <f>IF(E25="","",IF(G25="",IF(TODAY()&gt;L25,"Atrasada","Em aberto"),IF(G25&lt;=L25,"No prazo","Com atraso")))</f>
        <v/>
      </c>
      <c r="N25" s="18">
        <f>IF(E25="","",MAX(0,IF(G25="",TODAY(),G25)-L25))</f>
        <v/>
      </c>
    </row>
    <row r="26">
      <c r="A26" t="inlineStr">
        <is>
          <t>PV1235</t>
        </is>
      </c>
      <c r="B26" t="inlineStr">
        <is>
          <t>Cliente Exemplo 23</t>
        </is>
      </c>
      <c r="C26" t="inlineStr">
        <is>
          <t>PCP/Produção</t>
        </is>
      </c>
      <c r="D26" t="inlineStr">
        <is>
          <t>Programar produção</t>
        </is>
      </c>
      <c r="E26" s="22" t="n">
        <v>46279</v>
      </c>
      <c r="G26" s="22" t="n">
        <v>46296</v>
      </c>
      <c r="H26" t="n">
        <v>1</v>
      </c>
      <c r="I26" s="22" t="n">
        <v>46294</v>
      </c>
      <c r="J26" t="inlineStr">
        <is>
          <t>Fornecedor atrasou</t>
        </is>
      </c>
      <c r="K26" t="inlineStr"/>
      <c r="L26" s="20">
        <f>IF(E26="","",E26+IF(F26="",IFERROR(VLOOKUP(C26,Parametros!$E:$F,2,0),0),F26))</f>
        <v/>
      </c>
      <c r="M26" s="21">
        <f>IF(E26="","",IF(G26="",IF(TODAY()&gt;L26,"Atrasada","Em aberto"),IF(G26&lt;=L26,"No prazo","Com atraso")))</f>
        <v/>
      </c>
      <c r="N26" s="18">
        <f>IF(E26="","",MAX(0,IF(G26="",TODAY(),G26)-L26))</f>
        <v/>
      </c>
    </row>
    <row r="27">
      <c r="A27" t="inlineStr">
        <is>
          <t>PV1234</t>
        </is>
      </c>
      <c r="B27" t="inlineStr">
        <is>
          <t>Cliente Exemplo 22</t>
        </is>
      </c>
      <c r="C27" t="inlineStr">
        <is>
          <t>Documentação/Despachante</t>
        </is>
      </c>
      <c r="D27" t="inlineStr">
        <is>
          <t>Documentos de exportação</t>
        </is>
      </c>
      <c r="E27" s="22" t="n">
        <v>46286</v>
      </c>
      <c r="G27" s="22" t="n">
        <v>46293</v>
      </c>
      <c r="H27" t="n">
        <v>1</v>
      </c>
      <c r="I27" s="22" t="n">
        <v>46291</v>
      </c>
      <c r="J27" t="inlineStr"/>
      <c r="K27" t="inlineStr"/>
      <c r="L27" s="20">
        <f>IF(E27="","",E27+IF(F27="",IFERROR(VLOOKUP(C27,Parametros!$E:$F,2,0),0),F27))</f>
        <v/>
      </c>
      <c r="M27" s="21">
        <f>IF(E27="","",IF(G27="",IF(TODAY()&gt;L27,"Atrasada","Em aberto"),IF(G27&lt;=L27,"No prazo","Com atraso")))</f>
        <v/>
      </c>
      <c r="N27" s="18">
        <f>IF(E27="","",MAX(0,IF(G27="",TODAY(),G27)-L27))</f>
        <v/>
      </c>
    </row>
    <row r="28">
      <c r="A28" t="inlineStr">
        <is>
          <t>PV1234</t>
        </is>
      </c>
      <c r="B28" t="inlineStr">
        <is>
          <t>Cliente Exemplo 22</t>
        </is>
      </c>
      <c r="C28" t="inlineStr">
        <is>
          <t>PCP/Produção</t>
        </is>
      </c>
      <c r="D28" t="inlineStr">
        <is>
          <t>Programar produção</t>
        </is>
      </c>
      <c r="E28" s="22" t="n">
        <v>46287</v>
      </c>
      <c r="G28" s="22" t="n"/>
      <c r="H28" t="n">
        <v>1</v>
      </c>
      <c r="I28" s="22" t="n">
        <v>46302</v>
      </c>
      <c r="J28" t="inlineStr"/>
      <c r="K28" t="inlineStr"/>
      <c r="L28" s="20">
        <f>IF(E28="","",E28+IF(F28="",IFERROR(VLOOKUP(C28,Parametros!$E:$F,2,0),0),F28))</f>
        <v/>
      </c>
      <c r="M28" s="21">
        <f>IF(E28="","",IF(G28="",IF(TODAY()&gt;L28,"Atrasada","Em aberto"),IF(G28&lt;=L28,"No prazo","Com atraso")))</f>
        <v/>
      </c>
      <c r="N28" s="18">
        <f>IF(E28="","",MAX(0,IF(G28="",TODAY(),G28)-L28))</f>
        <v/>
      </c>
    </row>
    <row r="29">
      <c r="A29" t="inlineStr">
        <is>
          <t>PV1234</t>
        </is>
      </c>
      <c r="B29" t="inlineStr">
        <is>
          <t>Cliente Exemplo 22</t>
        </is>
      </c>
      <c r="C29" t="inlineStr">
        <is>
          <t>Compras/Suprimentos</t>
        </is>
      </c>
      <c r="D29" t="inlineStr">
        <is>
          <t>Compra de embalagem/insumos</t>
        </is>
      </c>
      <c r="E29" s="22" t="n">
        <v>46287</v>
      </c>
      <c r="G29" s="22" t="n">
        <v>46299</v>
      </c>
      <c r="H29" t="n">
        <v>0</v>
      </c>
      <c r="I29" s="22" t="n"/>
      <c r="J29" t="inlineStr">
        <is>
          <t>Fila da produção</t>
        </is>
      </c>
      <c r="K29" t="inlineStr"/>
      <c r="L29" s="20">
        <f>IF(E29="","",E29+IF(F29="",IFERROR(VLOOKUP(C29,Parametros!$E:$F,2,0),0),F29))</f>
        <v/>
      </c>
      <c r="M29" s="21">
        <f>IF(E29="","",IF(G29="",IF(TODAY()&gt;L29,"Atrasada","Em aberto"),IF(G29&lt;=L29,"No prazo","Com atraso")))</f>
        <v/>
      </c>
      <c r="N29" s="18">
        <f>IF(E29="","",MAX(0,IF(G29="",TODAY(),G29)-L29))</f>
        <v/>
      </c>
    </row>
    <row r="30">
      <c r="A30" t="inlineStr">
        <is>
          <t>PV1234</t>
        </is>
      </c>
      <c r="B30" t="inlineStr">
        <is>
          <t>Cliente Exemplo 22</t>
        </is>
      </c>
      <c r="C30" t="inlineStr">
        <is>
          <t>Qualidade/Regulatório</t>
        </is>
      </c>
      <c r="D30" t="inlineStr">
        <is>
          <t>Certificado sanitário / análise</t>
        </is>
      </c>
      <c r="E30" s="22" t="n">
        <v>46284</v>
      </c>
      <c r="G30" s="22" t="n">
        <v>46291</v>
      </c>
      <c r="H30" t="n">
        <v>1</v>
      </c>
      <c r="I30" s="22" t="n">
        <v>46291</v>
      </c>
      <c r="J30" t="inlineStr"/>
      <c r="K30" t="inlineStr"/>
      <c r="L30" s="20">
        <f>IF(E30="","",E30+IF(F30="",IFERROR(VLOOKUP(C30,Parametros!$E:$F,2,0),0),F30))</f>
        <v/>
      </c>
      <c r="M30" s="21">
        <f>IF(E30="","",IF(G30="",IF(TODAY()&gt;L30,"Atrasada","Em aberto"),IF(G30&lt;=L30,"No prazo","Com atraso")))</f>
        <v/>
      </c>
      <c r="N30" s="18">
        <f>IF(E30="","",MAX(0,IF(G30="",TODAY(),G30)-L30))</f>
        <v/>
      </c>
    </row>
    <row r="31">
      <c r="A31" t="inlineStr">
        <is>
          <t>PV1234</t>
        </is>
      </c>
      <c r="B31" t="inlineStr">
        <is>
          <t>Cliente Exemplo 22</t>
        </is>
      </c>
      <c r="C31" t="inlineStr">
        <is>
          <t>Comercial/Comex</t>
        </is>
      </c>
      <c r="D31" t="inlineStr">
        <is>
          <t>Proforma e confirmação</t>
        </is>
      </c>
      <c r="E31" s="22" t="n">
        <v>46287</v>
      </c>
      <c r="G31" s="22" t="n">
        <v>46289</v>
      </c>
      <c r="H31" t="n">
        <v>0</v>
      </c>
      <c r="I31" s="22" t="n"/>
      <c r="J31" t="inlineStr"/>
      <c r="K31" t="inlineStr"/>
      <c r="L31" s="20">
        <f>IF(E31="","",E31+IF(F31="",IFERROR(VLOOKUP(C31,Parametros!$E:$F,2,0),0),F31))</f>
        <v/>
      </c>
      <c r="M31" s="21">
        <f>IF(E31="","",IF(G31="",IF(TODAY()&gt;L31,"Atrasada","Em aberto"),IF(G31&lt;=L31,"No prazo","Com atraso")))</f>
        <v/>
      </c>
      <c r="N31" s="18">
        <f>IF(E31="","",MAX(0,IF(G31="",TODAY(),G31)-L31))</f>
        <v/>
      </c>
    </row>
    <row r="32">
      <c r="A32" t="inlineStr">
        <is>
          <t>PV1233</t>
        </is>
      </c>
      <c r="B32" t="inlineStr">
        <is>
          <t>Cliente Exemplo 22</t>
        </is>
      </c>
      <c r="C32" t="inlineStr">
        <is>
          <t>Compras/Suprimentos</t>
        </is>
      </c>
      <c r="D32" t="inlineStr">
        <is>
          <t>Compra de embalagem/insumos</t>
        </is>
      </c>
      <c r="E32" s="22" t="n">
        <v>46266</v>
      </c>
      <c r="G32" s="22" t="n">
        <v>46275</v>
      </c>
      <c r="H32" t="n">
        <v>1</v>
      </c>
      <c r="I32" s="22" t="n">
        <v>46276</v>
      </c>
      <c r="J32" t="inlineStr"/>
      <c r="K32" t="inlineStr"/>
      <c r="L32" s="20">
        <f>IF(E32="","",E32+IF(F32="",IFERROR(VLOOKUP(C32,Parametros!$E:$F,2,0),0),F32))</f>
        <v/>
      </c>
      <c r="M32" s="21">
        <f>IF(E32="","",IF(G32="",IF(TODAY()&gt;L32,"Atrasada","Em aberto"),IF(G32&lt;=L32,"No prazo","Com atraso")))</f>
        <v/>
      </c>
      <c r="N32" s="18">
        <f>IF(E32="","",MAX(0,IF(G32="",TODAY(),G32)-L32))</f>
        <v/>
      </c>
    </row>
    <row r="33">
      <c r="A33" t="inlineStr">
        <is>
          <t>PV1233</t>
        </is>
      </c>
      <c r="B33" t="inlineStr">
        <is>
          <t>Cliente Exemplo 22</t>
        </is>
      </c>
      <c r="C33" t="inlineStr">
        <is>
          <t>Qualidade/Regulatório</t>
        </is>
      </c>
      <c r="D33" t="inlineStr">
        <is>
          <t>Certificado sanitário / análise</t>
        </is>
      </c>
      <c r="E33" s="22" t="n">
        <v>46269</v>
      </c>
      <c r="G33" s="22" t="n">
        <v>46278</v>
      </c>
      <c r="H33" t="n">
        <v>1</v>
      </c>
      <c r="I33" s="22" t="n">
        <v>46276</v>
      </c>
      <c r="J33" t="inlineStr"/>
      <c r="K33" t="inlineStr"/>
      <c r="L33" s="20">
        <f>IF(E33="","",E33+IF(F33="",IFERROR(VLOOKUP(C33,Parametros!$E:$F,2,0),0),F33))</f>
        <v/>
      </c>
      <c r="M33" s="21">
        <f>IF(E33="","",IF(G33="",IF(TODAY()&gt;L33,"Atrasada","Em aberto"),IF(G33&lt;=L33,"No prazo","Com atraso")))</f>
        <v/>
      </c>
      <c r="N33" s="18">
        <f>IF(E33="","",MAX(0,IF(G33="",TODAY(),G33)-L33))</f>
        <v/>
      </c>
    </row>
    <row r="34">
      <c r="A34" t="inlineStr">
        <is>
          <t>PV1233</t>
        </is>
      </c>
      <c r="B34" t="inlineStr">
        <is>
          <t>Cliente Exemplo 22</t>
        </is>
      </c>
      <c r="C34" t="inlineStr">
        <is>
          <t>Financeiro</t>
        </is>
      </c>
      <c r="D34" t="inlineStr">
        <is>
          <t>Liberação de crédito / carta de crédito</t>
        </is>
      </c>
      <c r="E34" s="22" t="n">
        <v>46269</v>
      </c>
      <c r="G34" s="22" t="n">
        <v>46271</v>
      </c>
      <c r="H34" t="n">
        <v>1</v>
      </c>
      <c r="I34" s="22" t="n">
        <v>46272</v>
      </c>
      <c r="J34" t="inlineStr"/>
      <c r="K34" t="inlineStr"/>
      <c r="L34" s="20">
        <f>IF(E34="","",E34+IF(F34="",IFERROR(VLOOKUP(C34,Parametros!$E:$F,2,0),0),F34))</f>
        <v/>
      </c>
      <c r="M34" s="21">
        <f>IF(E34="","",IF(G34="",IF(TODAY()&gt;L34,"Atrasada","Em aberto"),IF(G34&lt;=L34,"No prazo","Com atraso")))</f>
        <v/>
      </c>
      <c r="N34" s="18">
        <f>IF(E34="","",MAX(0,IF(G34="",TODAY(),G34)-L34))</f>
        <v/>
      </c>
    </row>
    <row r="35">
      <c r="A35" t="inlineStr">
        <is>
          <t>PV1233</t>
        </is>
      </c>
      <c r="B35" t="inlineStr">
        <is>
          <t>Cliente Exemplo 22</t>
        </is>
      </c>
      <c r="C35" t="inlineStr">
        <is>
          <t>Marketing/Arte</t>
        </is>
      </c>
      <c r="D35" t="inlineStr">
        <is>
          <t>Arte de rótulo no idioma</t>
        </is>
      </c>
      <c r="E35" s="22" t="n">
        <v>46267</v>
      </c>
      <c r="G35" s="22" t="n">
        <v>46282</v>
      </c>
      <c r="H35" t="n">
        <v>0</v>
      </c>
      <c r="I35" s="22" t="n"/>
      <c r="J35" t="inlineStr">
        <is>
          <t>Aguardando aprovação do cliente</t>
        </is>
      </c>
      <c r="K35" t="inlineStr"/>
      <c r="L35" s="20">
        <f>IF(E35="","",E35+IF(F35="",IFERROR(VLOOKUP(C35,Parametros!$E:$F,2,0),0),F35))</f>
        <v/>
      </c>
      <c r="M35" s="21">
        <f>IF(E35="","",IF(G35="",IF(TODAY()&gt;L35,"Atrasada","Em aberto"),IF(G35&lt;=L35,"No prazo","Com atraso")))</f>
        <v/>
      </c>
      <c r="N35" s="18">
        <f>IF(E35="","",MAX(0,IF(G35="",TODAY(),G35)-L35))</f>
        <v/>
      </c>
    </row>
    <row r="36">
      <c r="A36" t="inlineStr">
        <is>
          <t>PV1233</t>
        </is>
      </c>
      <c r="B36" t="inlineStr">
        <is>
          <t>Cliente Exemplo 22</t>
        </is>
      </c>
      <c r="C36" t="inlineStr">
        <is>
          <t>PCP/Produção</t>
        </is>
      </c>
      <c r="D36" t="inlineStr">
        <is>
          <t>Programar produção</t>
        </is>
      </c>
      <c r="E36" s="22" t="n">
        <v>46269</v>
      </c>
      <c r="G36" s="22" t="n">
        <v>46288</v>
      </c>
      <c r="H36" t="n">
        <v>3</v>
      </c>
      <c r="I36" s="22" t="n">
        <v>46284</v>
      </c>
      <c r="J36" t="inlineStr">
        <is>
          <t>Aguardando aprovação do cliente</t>
        </is>
      </c>
      <c r="K36" t="inlineStr"/>
      <c r="L36" s="20">
        <f>IF(E36="","",E36+IF(F36="",IFERROR(VLOOKUP(C36,Parametros!$E:$F,2,0),0),F36))</f>
        <v/>
      </c>
      <c r="M36" s="21">
        <f>IF(E36="","",IF(G36="",IF(TODAY()&gt;L36,"Atrasada","Em aberto"),IF(G36&lt;=L36,"No prazo","Com atraso")))</f>
        <v/>
      </c>
      <c r="N36" s="18">
        <f>IF(E36="","",MAX(0,IF(G36="",TODAY(),G36)-L36))</f>
        <v/>
      </c>
    </row>
    <row r="37">
      <c r="A37" t="inlineStr">
        <is>
          <t>PV1232</t>
        </is>
      </c>
      <c r="B37" t="inlineStr">
        <is>
          <t>Cliente Exemplo 22</t>
        </is>
      </c>
      <c r="C37" t="inlineStr">
        <is>
          <t>Logística/Embarque</t>
        </is>
      </c>
      <c r="D37" t="inlineStr">
        <is>
          <t>Booking e coleta do contêiner</t>
        </is>
      </c>
      <c r="E37" s="22" t="n">
        <v>46272</v>
      </c>
      <c r="G37" s="22" t="n">
        <v>46285</v>
      </c>
      <c r="H37" t="n">
        <v>3</v>
      </c>
      <c r="I37" s="22" t="n">
        <v>46277</v>
      </c>
      <c r="J37" t="inlineStr">
        <is>
          <t>Aguardando aprovação do cliente</t>
        </is>
      </c>
      <c r="K37" t="inlineStr"/>
      <c r="L37" s="20">
        <f>IF(E37="","",E37+IF(F37="",IFERROR(VLOOKUP(C37,Parametros!$E:$F,2,0),0),F37))</f>
        <v/>
      </c>
      <c r="M37" s="21">
        <f>IF(E37="","",IF(G37="",IF(TODAY()&gt;L37,"Atrasada","Em aberto"),IF(G37&lt;=L37,"No prazo","Com atraso")))</f>
        <v/>
      </c>
      <c r="N37" s="18">
        <f>IF(E37="","",MAX(0,IF(G37="",TODAY(),G37)-L37))</f>
        <v/>
      </c>
    </row>
    <row r="38">
      <c r="A38" t="inlineStr">
        <is>
          <t>PV1232</t>
        </is>
      </c>
      <c r="B38" t="inlineStr">
        <is>
          <t>Cliente Exemplo 22</t>
        </is>
      </c>
      <c r="C38" t="inlineStr">
        <is>
          <t>Documentação/Despachante</t>
        </is>
      </c>
      <c r="D38" t="inlineStr">
        <is>
          <t>Documentos de exportação</t>
        </is>
      </c>
      <c r="E38" s="22" t="n">
        <v>46273</v>
      </c>
      <c r="G38" s="22" t="n">
        <v>46278</v>
      </c>
      <c r="H38" t="n">
        <v>1</v>
      </c>
      <c r="I38" s="22" t="n">
        <v>46278</v>
      </c>
      <c r="J38" t="inlineStr"/>
      <c r="K38" t="inlineStr"/>
      <c r="L38" s="20">
        <f>IF(E38="","",E38+IF(F38="",IFERROR(VLOOKUP(C38,Parametros!$E:$F,2,0),0),F38))</f>
        <v/>
      </c>
      <c r="M38" s="21">
        <f>IF(E38="","",IF(G38="",IF(TODAY()&gt;L38,"Atrasada","Em aberto"),IF(G38&lt;=L38,"No prazo","Com atraso")))</f>
        <v/>
      </c>
      <c r="N38" s="18">
        <f>IF(E38="","",MAX(0,IF(G38="",TODAY(),G38)-L38))</f>
        <v/>
      </c>
    </row>
    <row r="39">
      <c r="A39" t="inlineStr">
        <is>
          <t>PV1232</t>
        </is>
      </c>
      <c r="B39" t="inlineStr">
        <is>
          <t>Cliente Exemplo 22</t>
        </is>
      </c>
      <c r="C39" t="inlineStr">
        <is>
          <t>Financeiro</t>
        </is>
      </c>
      <c r="D39" t="inlineStr">
        <is>
          <t>Liberação de crédito / carta de crédito</t>
        </is>
      </c>
      <c r="E39" s="22" t="n">
        <v>46272</v>
      </c>
      <c r="G39" s="22" t="n">
        <v>46279</v>
      </c>
      <c r="H39" t="n">
        <v>2</v>
      </c>
      <c r="I39" s="22" t="n">
        <v>46275</v>
      </c>
      <c r="J39" t="inlineStr">
        <is>
          <t>Fila da produção</t>
        </is>
      </c>
      <c r="K39" t="inlineStr"/>
      <c r="L39" s="20">
        <f>IF(E39="","",E39+IF(F39="",IFERROR(VLOOKUP(C39,Parametros!$E:$F,2,0),0),F39))</f>
        <v/>
      </c>
      <c r="M39" s="21">
        <f>IF(E39="","",IF(G39="",IF(TODAY()&gt;L39,"Atrasada","Em aberto"),IF(G39&lt;=L39,"No prazo","Com atraso")))</f>
        <v/>
      </c>
      <c r="N39" s="18">
        <f>IF(E39="","",MAX(0,IF(G39="",TODAY(),G39)-L39))</f>
        <v/>
      </c>
    </row>
    <row r="40">
      <c r="A40" t="inlineStr">
        <is>
          <t>PV1232</t>
        </is>
      </c>
      <c r="B40" t="inlineStr">
        <is>
          <t>Cliente Exemplo 22</t>
        </is>
      </c>
      <c r="C40" t="inlineStr">
        <is>
          <t>Qualidade/Regulatório</t>
        </is>
      </c>
      <c r="D40" t="inlineStr">
        <is>
          <t>Certificado sanitário / análise</t>
        </is>
      </c>
      <c r="E40" s="22" t="n">
        <v>46273</v>
      </c>
      <c r="G40" s="22" t="n">
        <v>46284</v>
      </c>
      <c r="H40" t="n">
        <v>1</v>
      </c>
      <c r="I40" s="22" t="n">
        <v>46280</v>
      </c>
      <c r="J40" t="inlineStr"/>
      <c r="K40" t="inlineStr"/>
      <c r="L40" s="20">
        <f>IF(E40="","",E40+IF(F40="",IFERROR(VLOOKUP(C40,Parametros!$E:$F,2,0),0),F40))</f>
        <v/>
      </c>
      <c r="M40" s="21">
        <f>IF(E40="","",IF(G40="",IF(TODAY()&gt;L40,"Atrasada","Em aberto"),IF(G40&lt;=L40,"No prazo","Com atraso")))</f>
        <v/>
      </c>
      <c r="N40" s="18">
        <f>IF(E40="","",MAX(0,IF(G40="",TODAY(),G40)-L40))</f>
        <v/>
      </c>
    </row>
    <row r="41">
      <c r="A41" t="inlineStr">
        <is>
          <t>PV1232</t>
        </is>
      </c>
      <c r="B41" t="inlineStr">
        <is>
          <t>Cliente Exemplo 22</t>
        </is>
      </c>
      <c r="C41" t="inlineStr">
        <is>
          <t>PCP/Produção</t>
        </is>
      </c>
      <c r="D41" t="inlineStr">
        <is>
          <t>Programar produção</t>
        </is>
      </c>
      <c r="E41" s="22" t="n">
        <v>46270</v>
      </c>
      <c r="G41" s="22" t="n">
        <v>46293</v>
      </c>
      <c r="H41" t="n">
        <v>1</v>
      </c>
      <c r="I41" s="22" t="n">
        <v>46285</v>
      </c>
      <c r="J41" t="inlineStr">
        <is>
          <t>Fila da produção</t>
        </is>
      </c>
      <c r="K41" t="inlineStr"/>
      <c r="L41" s="20">
        <f>IF(E41="","",E41+IF(F41="",IFERROR(VLOOKUP(C41,Parametros!$E:$F,2,0),0),F41))</f>
        <v/>
      </c>
      <c r="M41" s="21">
        <f>IF(E41="","",IF(G41="",IF(TODAY()&gt;L41,"Atrasada","Em aberto"),IF(G41&lt;=L41,"No prazo","Com atraso")))</f>
        <v/>
      </c>
      <c r="N41" s="18">
        <f>IF(E41="","",MAX(0,IF(G41="",TODAY(),G41)-L41))</f>
        <v/>
      </c>
    </row>
    <row r="42">
      <c r="A42" t="inlineStr">
        <is>
          <t>PV1231</t>
        </is>
      </c>
      <c r="B42" t="inlineStr">
        <is>
          <t>Cliente Exemplo 22</t>
        </is>
      </c>
      <c r="C42" t="inlineStr">
        <is>
          <t>PCP/Produção</t>
        </is>
      </c>
      <c r="D42" t="inlineStr">
        <is>
          <t>Programar produção</t>
        </is>
      </c>
      <c r="E42" s="22" t="n">
        <v>46273</v>
      </c>
      <c r="G42" s="22" t="n">
        <v>46292</v>
      </c>
      <c r="H42" t="n">
        <v>1</v>
      </c>
      <c r="I42" s="22" t="n">
        <v>46288</v>
      </c>
      <c r="J42" t="inlineStr">
        <is>
          <t>Aguardando aprovação do cliente</t>
        </is>
      </c>
      <c r="K42" t="inlineStr"/>
      <c r="L42" s="20">
        <f>IF(E42="","",E42+IF(F42="",IFERROR(VLOOKUP(C42,Parametros!$E:$F,2,0),0),F42))</f>
        <v/>
      </c>
      <c r="M42" s="21">
        <f>IF(E42="","",IF(G42="",IF(TODAY()&gt;L42,"Atrasada","Em aberto"),IF(G42&lt;=L42,"No prazo","Com atraso")))</f>
        <v/>
      </c>
      <c r="N42" s="18">
        <f>IF(E42="","",MAX(0,IF(G42="",TODAY(),G42)-L42))</f>
        <v/>
      </c>
    </row>
    <row r="43">
      <c r="A43" t="inlineStr">
        <is>
          <t>PV1231</t>
        </is>
      </c>
      <c r="B43" t="inlineStr">
        <is>
          <t>Cliente Exemplo 22</t>
        </is>
      </c>
      <c r="C43" t="inlineStr">
        <is>
          <t>Marketing/Arte</t>
        </is>
      </c>
      <c r="D43" t="inlineStr">
        <is>
          <t>Arte de rótulo no idioma</t>
        </is>
      </c>
      <c r="E43" s="22" t="n">
        <v>46275</v>
      </c>
      <c r="G43" s="22" t="n">
        <v>46290</v>
      </c>
      <c r="H43" t="n">
        <v>2</v>
      </c>
      <c r="I43" s="22" t="n">
        <v>46282</v>
      </c>
      <c r="J43" t="inlineStr">
        <is>
          <t>Fornecedor atrasou</t>
        </is>
      </c>
      <c r="K43" t="inlineStr"/>
      <c r="L43" s="20">
        <f>IF(E43="","",E43+IF(F43="",IFERROR(VLOOKUP(C43,Parametros!$E:$F,2,0),0),F43))</f>
        <v/>
      </c>
      <c r="M43" s="21">
        <f>IF(E43="","",IF(G43="",IF(TODAY()&gt;L43,"Atrasada","Em aberto"),IF(G43&lt;=L43,"No prazo","Com atraso")))</f>
        <v/>
      </c>
      <c r="N43" s="18">
        <f>IF(E43="","",MAX(0,IF(G43="",TODAY(),G43)-L43))</f>
        <v/>
      </c>
    </row>
    <row r="44">
      <c r="A44" t="inlineStr">
        <is>
          <t>PV1231</t>
        </is>
      </c>
      <c r="B44" t="inlineStr">
        <is>
          <t>Cliente Exemplo 22</t>
        </is>
      </c>
      <c r="C44" t="inlineStr">
        <is>
          <t>Qualidade/Regulatório</t>
        </is>
      </c>
      <c r="D44" t="inlineStr">
        <is>
          <t>Certificado sanitário / análise</t>
        </is>
      </c>
      <c r="E44" s="22" t="n">
        <v>46273</v>
      </c>
      <c r="G44" s="22" t="n">
        <v>46288</v>
      </c>
      <c r="H44" t="n">
        <v>3</v>
      </c>
      <c r="I44" s="22" t="n">
        <v>46280</v>
      </c>
      <c r="J44" t="inlineStr">
        <is>
          <t>Fila da produção</t>
        </is>
      </c>
      <c r="K44" t="inlineStr"/>
      <c r="L44" s="20">
        <f>IF(E44="","",E44+IF(F44="",IFERROR(VLOOKUP(C44,Parametros!$E:$F,2,0),0),F44))</f>
        <v/>
      </c>
      <c r="M44" s="21">
        <f>IF(E44="","",IF(G44="",IF(TODAY()&gt;L44,"Atrasada","Em aberto"),IF(G44&lt;=L44,"No prazo","Com atraso")))</f>
        <v/>
      </c>
      <c r="N44" s="18">
        <f>IF(E44="","",MAX(0,IF(G44="",TODAY(),G44)-L44))</f>
        <v/>
      </c>
    </row>
    <row r="45">
      <c r="A45" t="inlineStr">
        <is>
          <t>PV1231</t>
        </is>
      </c>
      <c r="B45" t="inlineStr">
        <is>
          <t>Cliente Exemplo 22</t>
        </is>
      </c>
      <c r="C45" t="inlineStr">
        <is>
          <t>Logística/Embarque</t>
        </is>
      </c>
      <c r="D45" t="inlineStr">
        <is>
          <t>Booking e coleta do contêiner</t>
        </is>
      </c>
      <c r="E45" s="22" t="n">
        <v>46274</v>
      </c>
      <c r="G45" s="22" t="n">
        <v>46281</v>
      </c>
      <c r="H45" t="n">
        <v>1</v>
      </c>
      <c r="I45" s="22" t="n">
        <v>46279</v>
      </c>
      <c r="J45" t="inlineStr">
        <is>
          <t>Fornecedor atrasou</t>
        </is>
      </c>
      <c r="K45" t="inlineStr"/>
      <c r="L45" s="20">
        <f>IF(E45="","",E45+IF(F45="",IFERROR(VLOOKUP(C45,Parametros!$E:$F,2,0),0),F45))</f>
        <v/>
      </c>
      <c r="M45" s="21">
        <f>IF(E45="","",IF(G45="",IF(TODAY()&gt;L45,"Atrasada","Em aberto"),IF(G45&lt;=L45,"No prazo","Com atraso")))</f>
        <v/>
      </c>
      <c r="N45" s="18">
        <f>IF(E45="","",MAX(0,IF(G45="",TODAY(),G45)-L45))</f>
        <v/>
      </c>
    </row>
    <row r="46">
      <c r="A46" t="inlineStr">
        <is>
          <t>PV1231</t>
        </is>
      </c>
      <c r="B46" t="inlineStr">
        <is>
          <t>Cliente Exemplo 22</t>
        </is>
      </c>
      <c r="C46" t="inlineStr">
        <is>
          <t>Documentação/Despachante</t>
        </is>
      </c>
      <c r="D46" t="inlineStr">
        <is>
          <t>Documentos de exportação</t>
        </is>
      </c>
      <c r="E46" s="22" t="n">
        <v>46273</v>
      </c>
      <c r="G46" s="22" t="n">
        <v>46277</v>
      </c>
      <c r="H46" t="n">
        <v>0</v>
      </c>
      <c r="I46" s="22" t="n"/>
      <c r="J46" t="inlineStr"/>
      <c r="K46" t="inlineStr"/>
      <c r="L46" s="20">
        <f>IF(E46="","",E46+IF(F46="",IFERROR(VLOOKUP(C46,Parametros!$E:$F,2,0),0),F46))</f>
        <v/>
      </c>
      <c r="M46" s="21">
        <f>IF(E46="","",IF(G46="",IF(TODAY()&gt;L46,"Atrasada","Em aberto"),IF(G46&lt;=L46,"No prazo","Com atraso")))</f>
        <v/>
      </c>
      <c r="N46" s="18">
        <f>IF(E46="","",MAX(0,IF(G46="",TODAY(),G46)-L46))</f>
        <v/>
      </c>
    </row>
    <row r="47">
      <c r="A47" t="inlineStr">
        <is>
          <t>PV1230</t>
        </is>
      </c>
      <c r="B47" t="inlineStr">
        <is>
          <t>Cliente Exemplo 22</t>
        </is>
      </c>
      <c r="C47" t="inlineStr">
        <is>
          <t>PCP/Produção</t>
        </is>
      </c>
      <c r="D47" t="inlineStr">
        <is>
          <t>Programar produção</t>
        </is>
      </c>
      <c r="E47" s="22" t="n">
        <v>46276</v>
      </c>
      <c r="G47" s="22" t="n">
        <v>46290</v>
      </c>
      <c r="H47" t="n">
        <v>2</v>
      </c>
      <c r="I47" s="22" t="n">
        <v>46291</v>
      </c>
      <c r="J47" t="inlineStr"/>
      <c r="K47" t="inlineStr"/>
      <c r="L47" s="20">
        <f>IF(E47="","",E47+IF(F47="",IFERROR(VLOOKUP(C47,Parametros!$E:$F,2,0),0),F47))</f>
        <v/>
      </c>
      <c r="M47" s="21">
        <f>IF(E47="","",IF(G47="",IF(TODAY()&gt;L47,"Atrasada","Em aberto"),IF(G47&lt;=L47,"No prazo","Com atraso")))</f>
        <v/>
      </c>
      <c r="N47" s="18">
        <f>IF(E47="","",MAX(0,IF(G47="",TODAY(),G47)-L47))</f>
        <v/>
      </c>
    </row>
    <row r="48">
      <c r="A48" t="inlineStr">
        <is>
          <t>PV1230</t>
        </is>
      </c>
      <c r="B48" t="inlineStr">
        <is>
          <t>Cliente Exemplo 22</t>
        </is>
      </c>
      <c r="C48" t="inlineStr">
        <is>
          <t>Documentação/Despachante</t>
        </is>
      </c>
      <c r="D48" t="inlineStr">
        <is>
          <t>Documentos de exportação</t>
        </is>
      </c>
      <c r="E48" s="22" t="n">
        <v>46277</v>
      </c>
      <c r="G48" s="22" t="n">
        <v>46290</v>
      </c>
      <c r="H48" t="n">
        <v>1</v>
      </c>
      <c r="I48" s="22" t="n">
        <v>46282</v>
      </c>
      <c r="J48" t="inlineStr">
        <is>
          <t>Aguardando aprovação do cliente</t>
        </is>
      </c>
      <c r="K48" t="inlineStr"/>
      <c r="L48" s="20">
        <f>IF(E48="","",E48+IF(F48="",IFERROR(VLOOKUP(C48,Parametros!$E:$F,2,0),0),F48))</f>
        <v/>
      </c>
      <c r="M48" s="21">
        <f>IF(E48="","",IF(G48="",IF(TODAY()&gt;L48,"Atrasada","Em aberto"),IF(G48&lt;=L48,"No prazo","Com atraso")))</f>
        <v/>
      </c>
      <c r="N48" s="18">
        <f>IF(E48="","",MAX(0,IF(G48="",TODAY(),G48)-L48))</f>
        <v/>
      </c>
    </row>
    <row r="49">
      <c r="A49" t="inlineStr">
        <is>
          <t>PV1230</t>
        </is>
      </c>
      <c r="B49" t="inlineStr">
        <is>
          <t>Cliente Exemplo 22</t>
        </is>
      </c>
      <c r="C49" t="inlineStr">
        <is>
          <t>Comercial/Comex</t>
        </is>
      </c>
      <c r="D49" t="inlineStr">
        <is>
          <t>Proforma e confirmação</t>
        </is>
      </c>
      <c r="E49" s="22" t="n">
        <v>46278</v>
      </c>
      <c r="G49" s="22" t="n">
        <v>46288</v>
      </c>
      <c r="H49" t="n">
        <v>3</v>
      </c>
      <c r="I49" s="22" t="n">
        <v>46280</v>
      </c>
      <c r="J49" t="inlineStr">
        <is>
          <t>Aguardando aprovação do cliente</t>
        </is>
      </c>
      <c r="K49" t="inlineStr"/>
      <c r="L49" s="20">
        <f>IF(E49="","",E49+IF(F49="",IFERROR(VLOOKUP(C49,Parametros!$E:$F,2,0),0),F49))</f>
        <v/>
      </c>
      <c r="M49" s="21">
        <f>IF(E49="","",IF(G49="",IF(TODAY()&gt;L49,"Atrasada","Em aberto"),IF(G49&lt;=L49,"No prazo","Com atraso")))</f>
        <v/>
      </c>
      <c r="N49" s="18">
        <f>IF(E49="","",MAX(0,IF(G49="",TODAY(),G49)-L49))</f>
        <v/>
      </c>
    </row>
    <row r="50">
      <c r="A50" t="inlineStr">
        <is>
          <t>PV1230</t>
        </is>
      </c>
      <c r="B50" t="inlineStr">
        <is>
          <t>Cliente Exemplo 22</t>
        </is>
      </c>
      <c r="C50" t="inlineStr">
        <is>
          <t>Financeiro</t>
        </is>
      </c>
      <c r="D50" t="inlineStr">
        <is>
          <t>Liberação de crédito / carta de crédito</t>
        </is>
      </c>
      <c r="E50" s="22" t="n">
        <v>46275</v>
      </c>
      <c r="G50" s="22" t="n">
        <v>46282</v>
      </c>
      <c r="H50" t="n">
        <v>3</v>
      </c>
      <c r="I50" s="22" t="n">
        <v>46278</v>
      </c>
      <c r="J50" t="inlineStr">
        <is>
          <t>Fila da produção</t>
        </is>
      </c>
      <c r="K50" t="inlineStr"/>
      <c r="L50" s="20">
        <f>IF(E50="","",E50+IF(F50="",IFERROR(VLOOKUP(C50,Parametros!$E:$F,2,0),0),F50))</f>
        <v/>
      </c>
      <c r="M50" s="21">
        <f>IF(E50="","",IF(G50="",IF(TODAY()&gt;L50,"Atrasada","Em aberto"),IF(G50&lt;=L50,"No prazo","Com atraso")))</f>
        <v/>
      </c>
      <c r="N50" s="18">
        <f>IF(E50="","",MAX(0,IF(G50="",TODAY(),G50)-L50))</f>
        <v/>
      </c>
    </row>
    <row r="51">
      <c r="A51" t="inlineStr">
        <is>
          <t>PV1230</t>
        </is>
      </c>
      <c r="B51" t="inlineStr">
        <is>
          <t>Cliente Exemplo 22</t>
        </is>
      </c>
      <c r="C51" t="inlineStr">
        <is>
          <t>Compras/Suprimentos</t>
        </is>
      </c>
      <c r="D51" t="inlineStr">
        <is>
          <t>Compra de embalagem/insumos</t>
        </is>
      </c>
      <c r="E51" s="22" t="n">
        <v>46276</v>
      </c>
      <c r="G51" s="22" t="n">
        <v>46286</v>
      </c>
      <c r="H51" t="n">
        <v>1</v>
      </c>
      <c r="I51" s="22" t="n">
        <v>46286</v>
      </c>
      <c r="J51" t="inlineStr"/>
      <c r="K51" t="inlineStr"/>
      <c r="L51" s="20">
        <f>IF(E51="","",E51+IF(F51="",IFERROR(VLOOKUP(C51,Parametros!$E:$F,2,0),0),F51))</f>
        <v/>
      </c>
      <c r="M51" s="21">
        <f>IF(E51="","",IF(G51="",IF(TODAY()&gt;L51,"Atrasada","Em aberto"),IF(G51&lt;=L51,"No prazo","Com atraso")))</f>
        <v/>
      </c>
      <c r="N51" s="18">
        <f>IF(E51="","",MAX(0,IF(G51="",TODAY(),G51)-L51))</f>
        <v/>
      </c>
    </row>
    <row r="52">
      <c r="A52" t="inlineStr">
        <is>
          <t>PV1229</t>
        </is>
      </c>
      <c r="B52" t="inlineStr">
        <is>
          <t>Cliente Exemplo 22</t>
        </is>
      </c>
      <c r="C52" t="inlineStr">
        <is>
          <t>Compras/Suprimentos</t>
        </is>
      </c>
      <c r="D52" t="inlineStr">
        <is>
          <t>Compra de embalagem/insumos</t>
        </is>
      </c>
      <c r="E52" s="22" t="n">
        <v>46284</v>
      </c>
      <c r="G52" s="22" t="n">
        <v>46294</v>
      </c>
      <c r="H52" t="n">
        <v>1</v>
      </c>
      <c r="I52" s="22" t="n">
        <v>46294</v>
      </c>
      <c r="J52" t="inlineStr"/>
      <c r="K52" t="inlineStr"/>
      <c r="L52" s="20">
        <f>IF(E52="","",E52+IF(F52="",IFERROR(VLOOKUP(C52,Parametros!$E:$F,2,0),0),F52))</f>
        <v/>
      </c>
      <c r="M52" s="21">
        <f>IF(E52="","",IF(G52="",IF(TODAY()&gt;L52,"Atrasada","Em aberto"),IF(G52&lt;=L52,"No prazo","Com atraso")))</f>
        <v/>
      </c>
      <c r="N52" s="18">
        <f>IF(E52="","",MAX(0,IF(G52="",TODAY(),G52)-L52))</f>
        <v/>
      </c>
    </row>
    <row r="53">
      <c r="A53" t="inlineStr">
        <is>
          <t>PV1229</t>
        </is>
      </c>
      <c r="B53" t="inlineStr">
        <is>
          <t>Cliente Exemplo 22</t>
        </is>
      </c>
      <c r="C53" t="inlineStr">
        <is>
          <t>Logística/Embarque</t>
        </is>
      </c>
      <c r="D53" t="inlineStr">
        <is>
          <t>Booking e coleta do contêiner</t>
        </is>
      </c>
      <c r="E53" s="22" t="n">
        <v>46283</v>
      </c>
      <c r="G53" s="22" t="n">
        <v>46288</v>
      </c>
      <c r="H53" t="n">
        <v>2</v>
      </c>
      <c r="I53" s="22" t="n">
        <v>46288</v>
      </c>
      <c r="J53" t="inlineStr"/>
      <c r="K53" t="inlineStr"/>
      <c r="L53" s="20">
        <f>IF(E53="","",E53+IF(F53="",IFERROR(VLOOKUP(C53,Parametros!$E:$F,2,0),0),F53))</f>
        <v/>
      </c>
      <c r="M53" s="21">
        <f>IF(E53="","",IF(G53="",IF(TODAY()&gt;L53,"Atrasada","Em aberto"),IF(G53&lt;=L53,"No prazo","Com atraso")))</f>
        <v/>
      </c>
      <c r="N53" s="18">
        <f>IF(E53="","",MAX(0,IF(G53="",TODAY(),G53)-L53))</f>
        <v/>
      </c>
    </row>
    <row r="54">
      <c r="A54" t="inlineStr">
        <is>
          <t>PV1229</t>
        </is>
      </c>
      <c r="B54" t="inlineStr">
        <is>
          <t>Cliente Exemplo 22</t>
        </is>
      </c>
      <c r="C54" t="inlineStr">
        <is>
          <t>Qualidade/Regulatório</t>
        </is>
      </c>
      <c r="D54" t="inlineStr">
        <is>
          <t>Certificado sanitário / análise</t>
        </is>
      </c>
      <c r="E54" s="22" t="n">
        <v>46282</v>
      </c>
      <c r="G54" s="22" t="n">
        <v>46289</v>
      </c>
      <c r="H54" t="n">
        <v>2</v>
      </c>
      <c r="I54" s="22" t="n">
        <v>46289</v>
      </c>
      <c r="J54" t="inlineStr"/>
      <c r="K54" t="inlineStr"/>
      <c r="L54" s="20">
        <f>IF(E54="","",E54+IF(F54="",IFERROR(VLOOKUP(C54,Parametros!$E:$F,2,0),0),F54))</f>
        <v/>
      </c>
      <c r="M54" s="21">
        <f>IF(E54="","",IF(G54="",IF(TODAY()&gt;L54,"Atrasada","Em aberto"),IF(G54&lt;=L54,"No prazo","Com atraso")))</f>
        <v/>
      </c>
      <c r="N54" s="18">
        <f>IF(E54="","",MAX(0,IF(G54="",TODAY(),G54)-L54))</f>
        <v/>
      </c>
    </row>
    <row r="55">
      <c r="A55" t="inlineStr">
        <is>
          <t>PV1229</t>
        </is>
      </c>
      <c r="B55" t="inlineStr">
        <is>
          <t>Cliente Exemplo 22</t>
        </is>
      </c>
      <c r="C55" t="inlineStr">
        <is>
          <t>Comercial/Comex</t>
        </is>
      </c>
      <c r="D55" t="inlineStr">
        <is>
          <t>Proforma e confirmação</t>
        </is>
      </c>
      <c r="E55" s="22" t="n">
        <v>46283</v>
      </c>
      <c r="G55" s="22" t="n">
        <v>46289</v>
      </c>
      <c r="H55" t="n">
        <v>2</v>
      </c>
      <c r="I55" s="22" t="n">
        <v>46285</v>
      </c>
      <c r="J55" t="inlineStr">
        <is>
          <t>Aguardando aprovação do cliente</t>
        </is>
      </c>
      <c r="K55" t="inlineStr"/>
      <c r="L55" s="20">
        <f>IF(E55="","",E55+IF(F55="",IFERROR(VLOOKUP(C55,Parametros!$E:$F,2,0),0),F55))</f>
        <v/>
      </c>
      <c r="M55" s="21">
        <f>IF(E55="","",IF(G55="",IF(TODAY()&gt;L55,"Atrasada","Em aberto"),IF(G55&lt;=L55,"No prazo","Com atraso")))</f>
        <v/>
      </c>
      <c r="N55" s="18">
        <f>IF(E55="","",MAX(0,IF(G55="",TODAY(),G55)-L55))</f>
        <v/>
      </c>
    </row>
    <row r="56">
      <c r="A56" t="inlineStr">
        <is>
          <t>PV1229</t>
        </is>
      </c>
      <c r="B56" t="inlineStr">
        <is>
          <t>Cliente Exemplo 22</t>
        </is>
      </c>
      <c r="C56" t="inlineStr">
        <is>
          <t>PCP/Produção</t>
        </is>
      </c>
      <c r="D56" t="inlineStr">
        <is>
          <t>Programar produção</t>
        </is>
      </c>
      <c r="E56" s="22" t="n">
        <v>46285</v>
      </c>
      <c r="G56" s="22" t="n">
        <v>46299</v>
      </c>
      <c r="H56" t="n">
        <v>3</v>
      </c>
      <c r="I56" s="22" t="n">
        <v>46300</v>
      </c>
      <c r="J56" t="inlineStr"/>
      <c r="K56" t="inlineStr"/>
      <c r="L56" s="20">
        <f>IF(E56="","",E56+IF(F56="",IFERROR(VLOOKUP(C56,Parametros!$E:$F,2,0),0),F56))</f>
        <v/>
      </c>
      <c r="M56" s="21">
        <f>IF(E56="","",IF(G56="",IF(TODAY()&gt;L56,"Atrasada","Em aberto"),IF(G56&lt;=L56,"No prazo","Com atraso")))</f>
        <v/>
      </c>
      <c r="N56" s="18">
        <f>IF(E56="","",MAX(0,IF(G56="",TODAY(),G56)-L56))</f>
        <v/>
      </c>
    </row>
    <row r="57">
      <c r="A57" t="inlineStr">
        <is>
          <t>PV1228</t>
        </is>
      </c>
      <c r="B57" t="inlineStr">
        <is>
          <t>Cliente Exemplo 22</t>
        </is>
      </c>
      <c r="C57" t="inlineStr">
        <is>
          <t>Comercial/Comex</t>
        </is>
      </c>
      <c r="D57" t="inlineStr">
        <is>
          <t>Proforma e confirmação</t>
        </is>
      </c>
      <c r="E57" s="22" t="n">
        <v>46287</v>
      </c>
      <c r="G57" s="22" t="n">
        <v>46297</v>
      </c>
      <c r="H57" t="n">
        <v>2</v>
      </c>
      <c r="I57" s="22" t="n">
        <v>46289</v>
      </c>
      <c r="J57" t="inlineStr">
        <is>
          <t>Fila da produção</t>
        </is>
      </c>
      <c r="K57" t="inlineStr"/>
      <c r="L57" s="20">
        <f>IF(E57="","",E57+IF(F57="",IFERROR(VLOOKUP(C57,Parametros!$E:$F,2,0),0),F57))</f>
        <v/>
      </c>
      <c r="M57" s="21">
        <f>IF(E57="","",IF(G57="",IF(TODAY()&gt;L57,"Atrasada","Em aberto"),IF(G57&lt;=L57,"No prazo","Com atraso")))</f>
        <v/>
      </c>
      <c r="N57" s="18">
        <f>IF(E57="","",MAX(0,IF(G57="",TODAY(),G57)-L57))</f>
        <v/>
      </c>
    </row>
    <row r="58">
      <c r="A58" t="inlineStr">
        <is>
          <t>PV1228</t>
        </is>
      </c>
      <c r="B58" t="inlineStr">
        <is>
          <t>Cliente Exemplo 22</t>
        </is>
      </c>
      <c r="C58" t="inlineStr">
        <is>
          <t>Compras/Suprimentos</t>
        </is>
      </c>
      <c r="D58" t="inlineStr">
        <is>
          <t>Compra de embalagem/insumos</t>
        </is>
      </c>
      <c r="E58" s="22" t="n">
        <v>46288</v>
      </c>
      <c r="G58" s="22" t="n">
        <v>46298</v>
      </c>
      <c r="H58" t="n">
        <v>0</v>
      </c>
      <c r="I58" s="22" t="n"/>
      <c r="J58" t="inlineStr"/>
      <c r="K58" t="inlineStr"/>
      <c r="L58" s="20">
        <f>IF(E58="","",E58+IF(F58="",IFERROR(VLOOKUP(C58,Parametros!$E:$F,2,0),0),F58))</f>
        <v/>
      </c>
      <c r="M58" s="21">
        <f>IF(E58="","",IF(G58="",IF(TODAY()&gt;L58,"Atrasada","Em aberto"),IF(G58&lt;=L58,"No prazo","Com atraso")))</f>
        <v/>
      </c>
      <c r="N58" s="18">
        <f>IF(E58="","",MAX(0,IF(G58="",TODAY(),G58)-L58))</f>
        <v/>
      </c>
    </row>
    <row r="59">
      <c r="A59" t="inlineStr">
        <is>
          <t>PV1228</t>
        </is>
      </c>
      <c r="B59" t="inlineStr">
        <is>
          <t>Cliente Exemplo 22</t>
        </is>
      </c>
      <c r="C59" t="inlineStr">
        <is>
          <t>Marketing/Arte</t>
        </is>
      </c>
      <c r="D59" t="inlineStr">
        <is>
          <t>Arte de rótulo no idioma</t>
        </is>
      </c>
      <c r="E59" s="22" t="n">
        <v>46286</v>
      </c>
      <c r="G59" s="22" t="n">
        <v>46297</v>
      </c>
      <c r="H59" t="n">
        <v>1</v>
      </c>
      <c r="I59" s="22" t="n">
        <v>46293</v>
      </c>
      <c r="J59" t="inlineStr">
        <is>
          <t>Fornecedor atrasou</t>
        </is>
      </c>
      <c r="K59" t="inlineStr"/>
      <c r="L59" s="20">
        <f>IF(E59="","",E59+IF(F59="",IFERROR(VLOOKUP(C59,Parametros!$E:$F,2,0),0),F59))</f>
        <v/>
      </c>
      <c r="M59" s="21">
        <f>IF(E59="","",IF(G59="",IF(TODAY()&gt;L59,"Atrasada","Em aberto"),IF(G59&lt;=L59,"No prazo","Com atraso")))</f>
        <v/>
      </c>
      <c r="N59" s="18">
        <f>IF(E59="","",MAX(0,IF(G59="",TODAY(),G59)-L59))</f>
        <v/>
      </c>
    </row>
    <row r="60">
      <c r="A60" t="inlineStr">
        <is>
          <t>PV1228</t>
        </is>
      </c>
      <c r="B60" t="inlineStr">
        <is>
          <t>Cliente Exemplo 22</t>
        </is>
      </c>
      <c r="C60" t="inlineStr">
        <is>
          <t>Qualidade/Regulatório</t>
        </is>
      </c>
      <c r="D60" t="inlineStr">
        <is>
          <t>Certificado sanitário / análise</t>
        </is>
      </c>
      <c r="E60" s="22" t="n">
        <v>46285</v>
      </c>
      <c r="G60" s="22" t="n">
        <v>46294</v>
      </c>
      <c r="H60" t="n">
        <v>0</v>
      </c>
      <c r="I60" s="22" t="n"/>
      <c r="J60" t="inlineStr">
        <is>
          <t>Fila da produção</t>
        </is>
      </c>
      <c r="K60" t="inlineStr"/>
      <c r="L60" s="20">
        <f>IF(E60="","",E60+IF(F60="",IFERROR(VLOOKUP(C60,Parametros!$E:$F,2,0),0),F60))</f>
        <v/>
      </c>
      <c r="M60" s="21">
        <f>IF(E60="","",IF(G60="",IF(TODAY()&gt;L60,"Atrasada","Em aberto"),IF(G60&lt;=L60,"No prazo","Com atraso")))</f>
        <v/>
      </c>
      <c r="N60" s="18">
        <f>IF(E60="","",MAX(0,IF(G60="",TODAY(),G60)-L60))</f>
        <v/>
      </c>
    </row>
    <row r="61">
      <c r="A61" t="inlineStr">
        <is>
          <t>PV1228</t>
        </is>
      </c>
      <c r="B61" t="inlineStr">
        <is>
          <t>Cliente Exemplo 22</t>
        </is>
      </c>
      <c r="C61" t="inlineStr">
        <is>
          <t>PCP/Produção</t>
        </is>
      </c>
      <c r="D61" t="inlineStr">
        <is>
          <t>Programar produção</t>
        </is>
      </c>
      <c r="E61" s="22" t="n">
        <v>46285</v>
      </c>
      <c r="G61" s="22" t="n"/>
      <c r="H61" t="n">
        <v>2</v>
      </c>
      <c r="I61" s="22" t="n">
        <v>46300</v>
      </c>
      <c r="J61" t="inlineStr"/>
      <c r="K61" t="inlineStr"/>
      <c r="L61" s="20">
        <f>IF(E61="","",E61+IF(F61="",IFERROR(VLOOKUP(C61,Parametros!$E:$F,2,0),0),F61))</f>
        <v/>
      </c>
      <c r="M61" s="21">
        <f>IF(E61="","",IF(G61="",IF(TODAY()&gt;L61,"Atrasada","Em aberto"),IF(G61&lt;=L61,"No prazo","Com atraso")))</f>
        <v/>
      </c>
      <c r="N61" s="18">
        <f>IF(E61="","",MAX(0,IF(G61="",TODAY(),G61)-L61))</f>
        <v/>
      </c>
    </row>
    <row r="62">
      <c r="E62" s="22" t="n"/>
      <c r="G62" s="22" t="n"/>
      <c r="I62" s="22" t="n"/>
      <c r="L62" s="20">
        <f>IF(E62="","",E62+IF(F62="",IFERROR(VLOOKUP(C62,Parametros!$E:$F,2,0),0),F62))</f>
        <v/>
      </c>
      <c r="M62" s="21">
        <f>IF(E62="","",IF(G62="",IF(TODAY()&gt;L62,"Atrasada","Em aberto"),IF(G62&lt;=L62,"No prazo","Com atraso")))</f>
        <v/>
      </c>
      <c r="N62" s="18">
        <f>IF(E62="","",MAX(0,IF(G62="",TODAY(),G62)-L62))</f>
        <v/>
      </c>
    </row>
    <row r="63">
      <c r="E63" s="22" t="n"/>
      <c r="G63" s="22" t="n"/>
      <c r="I63" s="22" t="n"/>
      <c r="L63" s="20">
        <f>IF(E63="","",E63+IF(F63="",IFERROR(VLOOKUP(C63,Parametros!$E:$F,2,0),0),F63))</f>
        <v/>
      </c>
      <c r="M63" s="21">
        <f>IF(E63="","",IF(G63="",IF(TODAY()&gt;L63,"Atrasada","Em aberto"),IF(G63&lt;=L63,"No prazo","Com atraso")))</f>
        <v/>
      </c>
      <c r="N63" s="18">
        <f>IF(E63="","",MAX(0,IF(G63="",TODAY(),G63)-L63))</f>
        <v/>
      </c>
    </row>
    <row r="64">
      <c r="E64" s="22" t="n"/>
      <c r="G64" s="22" t="n"/>
      <c r="I64" s="22" t="n"/>
      <c r="L64" s="20">
        <f>IF(E64="","",E64+IF(F64="",IFERROR(VLOOKUP(C64,Parametros!$E:$F,2,0),0),F64))</f>
        <v/>
      </c>
      <c r="M64" s="21">
        <f>IF(E64="","",IF(G64="",IF(TODAY()&gt;L64,"Atrasada","Em aberto"),IF(G64&lt;=L64,"No prazo","Com atraso")))</f>
        <v/>
      </c>
      <c r="N64" s="18">
        <f>IF(E64="","",MAX(0,IF(G64="",TODAY(),G64)-L64))</f>
        <v/>
      </c>
    </row>
    <row r="65">
      <c r="E65" s="22" t="n"/>
      <c r="G65" s="22" t="n"/>
      <c r="I65" s="22" t="n"/>
      <c r="L65" s="20">
        <f>IF(E65="","",E65+IF(F65="",IFERROR(VLOOKUP(C65,Parametros!$E:$F,2,0),0),F65))</f>
        <v/>
      </c>
      <c r="M65" s="21">
        <f>IF(E65="","",IF(G65="",IF(TODAY()&gt;L65,"Atrasada","Em aberto"),IF(G65&lt;=L65,"No prazo","Com atraso")))</f>
        <v/>
      </c>
      <c r="N65" s="18">
        <f>IF(E65="","",MAX(0,IF(G65="",TODAY(),G65)-L65))</f>
        <v/>
      </c>
    </row>
    <row r="66">
      <c r="E66" s="22" t="n"/>
      <c r="G66" s="22" t="n"/>
      <c r="I66" s="22" t="n"/>
      <c r="L66" s="20">
        <f>IF(E66="","",E66+IF(F66="",IFERROR(VLOOKUP(C66,Parametros!$E:$F,2,0),0),F66))</f>
        <v/>
      </c>
      <c r="M66" s="21">
        <f>IF(E66="","",IF(G66="",IF(TODAY()&gt;L66,"Atrasada","Em aberto"),IF(G66&lt;=L66,"No prazo","Com atraso")))</f>
        <v/>
      </c>
      <c r="N66" s="18">
        <f>IF(E66="","",MAX(0,IF(G66="",TODAY(),G66)-L66))</f>
        <v/>
      </c>
    </row>
    <row r="67">
      <c r="E67" s="22" t="n"/>
      <c r="G67" s="22" t="n"/>
      <c r="I67" s="22" t="n"/>
      <c r="L67" s="20">
        <f>IF(E67="","",E67+IF(F67="",IFERROR(VLOOKUP(C67,Parametros!$E:$F,2,0),0),F67))</f>
        <v/>
      </c>
      <c r="M67" s="21">
        <f>IF(E67="","",IF(G67="",IF(TODAY()&gt;L67,"Atrasada","Em aberto"),IF(G67&lt;=L67,"No prazo","Com atraso")))</f>
        <v/>
      </c>
      <c r="N67" s="18">
        <f>IF(E67="","",MAX(0,IF(G67="",TODAY(),G67)-L67))</f>
        <v/>
      </c>
    </row>
    <row r="68">
      <c r="E68" s="22" t="n"/>
      <c r="G68" s="22" t="n"/>
      <c r="I68" s="22" t="n"/>
      <c r="L68" s="20">
        <f>IF(E68="","",E68+IF(F68="",IFERROR(VLOOKUP(C68,Parametros!$E:$F,2,0),0),F68))</f>
        <v/>
      </c>
      <c r="M68" s="21">
        <f>IF(E68="","",IF(G68="",IF(TODAY()&gt;L68,"Atrasada","Em aberto"),IF(G68&lt;=L68,"No prazo","Com atraso")))</f>
        <v/>
      </c>
      <c r="N68" s="18">
        <f>IF(E68="","",MAX(0,IF(G68="",TODAY(),G68)-L68))</f>
        <v/>
      </c>
    </row>
    <row r="69">
      <c r="E69" s="22" t="n"/>
      <c r="G69" s="22" t="n"/>
      <c r="I69" s="22" t="n"/>
      <c r="L69" s="20">
        <f>IF(E69="","",E69+IF(F69="",IFERROR(VLOOKUP(C69,Parametros!$E:$F,2,0),0),F69))</f>
        <v/>
      </c>
      <c r="M69" s="21">
        <f>IF(E69="","",IF(G69="",IF(TODAY()&gt;L69,"Atrasada","Em aberto"),IF(G69&lt;=L69,"No prazo","Com atraso")))</f>
        <v/>
      </c>
      <c r="N69" s="18">
        <f>IF(E69="","",MAX(0,IF(G69="",TODAY(),G69)-L69))</f>
        <v/>
      </c>
    </row>
    <row r="70">
      <c r="E70" s="22" t="n"/>
      <c r="G70" s="22" t="n"/>
      <c r="I70" s="22" t="n"/>
      <c r="L70" s="20">
        <f>IF(E70="","",E70+IF(F70="",IFERROR(VLOOKUP(C70,Parametros!$E:$F,2,0),0),F70))</f>
        <v/>
      </c>
      <c r="M70" s="21">
        <f>IF(E70="","",IF(G70="",IF(TODAY()&gt;L70,"Atrasada","Em aberto"),IF(G70&lt;=L70,"No prazo","Com atraso")))</f>
        <v/>
      </c>
      <c r="N70" s="18">
        <f>IF(E70="","",MAX(0,IF(G70="",TODAY(),G70)-L70))</f>
        <v/>
      </c>
    </row>
    <row r="71">
      <c r="E71" s="22" t="n"/>
      <c r="G71" s="22" t="n"/>
      <c r="I71" s="22" t="n"/>
      <c r="L71" s="20">
        <f>IF(E71="","",E71+IF(F71="",IFERROR(VLOOKUP(C71,Parametros!$E:$F,2,0),0),F71))</f>
        <v/>
      </c>
      <c r="M71" s="21">
        <f>IF(E71="","",IF(G71="",IF(TODAY()&gt;L71,"Atrasada","Em aberto"),IF(G71&lt;=L71,"No prazo","Com atraso")))</f>
        <v/>
      </c>
      <c r="N71" s="18">
        <f>IF(E71="","",MAX(0,IF(G71="",TODAY(),G71)-L71))</f>
        <v/>
      </c>
    </row>
    <row r="72">
      <c r="E72" s="22" t="n"/>
      <c r="G72" s="22" t="n"/>
      <c r="I72" s="22" t="n"/>
      <c r="L72" s="20">
        <f>IF(E72="","",E72+IF(F72="",IFERROR(VLOOKUP(C72,Parametros!$E:$F,2,0),0),F72))</f>
        <v/>
      </c>
      <c r="M72" s="21">
        <f>IF(E72="","",IF(G72="",IF(TODAY()&gt;L72,"Atrasada","Em aberto"),IF(G72&lt;=L72,"No prazo","Com atraso")))</f>
        <v/>
      </c>
      <c r="N72" s="18">
        <f>IF(E72="","",MAX(0,IF(G72="",TODAY(),G72)-L72))</f>
        <v/>
      </c>
    </row>
    <row r="73">
      <c r="E73" s="22" t="n"/>
      <c r="G73" s="22" t="n"/>
      <c r="I73" s="22" t="n"/>
      <c r="L73" s="20">
        <f>IF(E73="","",E73+IF(F73="",IFERROR(VLOOKUP(C73,Parametros!$E:$F,2,0),0),F73))</f>
        <v/>
      </c>
      <c r="M73" s="21">
        <f>IF(E73="","",IF(G73="",IF(TODAY()&gt;L73,"Atrasada","Em aberto"),IF(G73&lt;=L73,"No prazo","Com atraso")))</f>
        <v/>
      </c>
      <c r="N73" s="18">
        <f>IF(E73="","",MAX(0,IF(G73="",TODAY(),G73)-L73))</f>
        <v/>
      </c>
    </row>
    <row r="74">
      <c r="E74" s="22" t="n"/>
      <c r="G74" s="22" t="n"/>
      <c r="I74" s="22" t="n"/>
      <c r="L74" s="20">
        <f>IF(E74="","",E74+IF(F74="",IFERROR(VLOOKUP(C74,Parametros!$E:$F,2,0),0),F74))</f>
        <v/>
      </c>
      <c r="M74" s="21">
        <f>IF(E74="","",IF(G74="",IF(TODAY()&gt;L74,"Atrasada","Em aberto"),IF(G74&lt;=L74,"No prazo","Com atraso")))</f>
        <v/>
      </c>
      <c r="N74" s="18">
        <f>IF(E74="","",MAX(0,IF(G74="",TODAY(),G74)-L74))</f>
        <v/>
      </c>
    </row>
    <row r="75">
      <c r="E75" s="22" t="n"/>
      <c r="G75" s="22" t="n"/>
      <c r="I75" s="22" t="n"/>
      <c r="L75" s="20">
        <f>IF(E75="","",E75+IF(F75="",IFERROR(VLOOKUP(C75,Parametros!$E:$F,2,0),0),F75))</f>
        <v/>
      </c>
      <c r="M75" s="21">
        <f>IF(E75="","",IF(G75="",IF(TODAY()&gt;L75,"Atrasada","Em aberto"),IF(G75&lt;=L75,"No prazo","Com atraso")))</f>
        <v/>
      </c>
      <c r="N75" s="18">
        <f>IF(E75="","",MAX(0,IF(G75="",TODAY(),G75)-L75))</f>
        <v/>
      </c>
    </row>
    <row r="76">
      <c r="E76" s="22" t="n"/>
      <c r="G76" s="22" t="n"/>
      <c r="I76" s="22" t="n"/>
      <c r="L76" s="20">
        <f>IF(E76="","",E76+IF(F76="",IFERROR(VLOOKUP(C76,Parametros!$E:$F,2,0),0),F76))</f>
        <v/>
      </c>
      <c r="M76" s="21">
        <f>IF(E76="","",IF(G76="",IF(TODAY()&gt;L76,"Atrasada","Em aberto"),IF(G76&lt;=L76,"No prazo","Com atraso")))</f>
        <v/>
      </c>
      <c r="N76" s="18">
        <f>IF(E76="","",MAX(0,IF(G76="",TODAY(),G76)-L76))</f>
        <v/>
      </c>
    </row>
    <row r="77">
      <c r="E77" s="22" t="n"/>
      <c r="G77" s="22" t="n"/>
      <c r="I77" s="22" t="n"/>
      <c r="L77" s="20">
        <f>IF(E77="","",E77+IF(F77="",IFERROR(VLOOKUP(C77,Parametros!$E:$F,2,0),0),F77))</f>
        <v/>
      </c>
      <c r="M77" s="21">
        <f>IF(E77="","",IF(G77="",IF(TODAY()&gt;L77,"Atrasada","Em aberto"),IF(G77&lt;=L77,"No prazo","Com atraso")))</f>
        <v/>
      </c>
      <c r="N77" s="18">
        <f>IF(E77="","",MAX(0,IF(G77="",TODAY(),G77)-L77))</f>
        <v/>
      </c>
    </row>
    <row r="78">
      <c r="E78" s="22" t="n"/>
      <c r="G78" s="22" t="n"/>
      <c r="I78" s="22" t="n"/>
      <c r="L78" s="20">
        <f>IF(E78="","",E78+IF(F78="",IFERROR(VLOOKUP(C78,Parametros!$E:$F,2,0),0),F78))</f>
        <v/>
      </c>
      <c r="M78" s="21">
        <f>IF(E78="","",IF(G78="",IF(TODAY()&gt;L78,"Atrasada","Em aberto"),IF(G78&lt;=L78,"No prazo","Com atraso")))</f>
        <v/>
      </c>
      <c r="N78" s="18">
        <f>IF(E78="","",MAX(0,IF(G78="",TODAY(),G78)-L78))</f>
        <v/>
      </c>
    </row>
    <row r="79">
      <c r="E79" s="22" t="n"/>
      <c r="G79" s="22" t="n"/>
      <c r="I79" s="22" t="n"/>
      <c r="L79" s="20">
        <f>IF(E79="","",E79+IF(F79="",IFERROR(VLOOKUP(C79,Parametros!$E:$F,2,0),0),F79))</f>
        <v/>
      </c>
      <c r="M79" s="21">
        <f>IF(E79="","",IF(G79="",IF(TODAY()&gt;L79,"Atrasada","Em aberto"),IF(G79&lt;=L79,"No prazo","Com atraso")))</f>
        <v/>
      </c>
      <c r="N79" s="18">
        <f>IF(E79="","",MAX(0,IF(G79="",TODAY(),G79)-L79))</f>
        <v/>
      </c>
    </row>
    <row r="80">
      <c r="E80" s="22" t="n"/>
      <c r="G80" s="22" t="n"/>
      <c r="I80" s="22" t="n"/>
      <c r="L80" s="20">
        <f>IF(E80="","",E80+IF(F80="",IFERROR(VLOOKUP(C80,Parametros!$E:$F,2,0),0),F80))</f>
        <v/>
      </c>
      <c r="M80" s="21">
        <f>IF(E80="","",IF(G80="",IF(TODAY()&gt;L80,"Atrasada","Em aberto"),IF(G80&lt;=L80,"No prazo","Com atraso")))</f>
        <v/>
      </c>
      <c r="N80" s="18">
        <f>IF(E80="","",MAX(0,IF(G80="",TODAY(),G80)-L80))</f>
        <v/>
      </c>
    </row>
    <row r="81">
      <c r="E81" s="22" t="n"/>
      <c r="G81" s="22" t="n"/>
      <c r="I81" s="22" t="n"/>
      <c r="L81" s="20">
        <f>IF(E81="","",E81+IF(F81="",IFERROR(VLOOKUP(C81,Parametros!$E:$F,2,0),0),F81))</f>
        <v/>
      </c>
      <c r="M81" s="21">
        <f>IF(E81="","",IF(G81="",IF(TODAY()&gt;L81,"Atrasada","Em aberto"),IF(G81&lt;=L81,"No prazo","Com atraso")))</f>
        <v/>
      </c>
      <c r="N81" s="18">
        <f>IF(E81="","",MAX(0,IF(G81="",TODAY(),G81)-L81))</f>
        <v/>
      </c>
    </row>
    <row r="82">
      <c r="E82" s="22" t="n"/>
      <c r="G82" s="22" t="n"/>
      <c r="I82" s="22" t="n"/>
      <c r="L82" s="20">
        <f>IF(E82="","",E82+IF(F82="",IFERROR(VLOOKUP(C82,Parametros!$E:$F,2,0),0),F82))</f>
        <v/>
      </c>
      <c r="M82" s="21">
        <f>IF(E82="","",IF(G82="",IF(TODAY()&gt;L82,"Atrasada","Em aberto"),IF(G82&lt;=L82,"No prazo","Com atraso")))</f>
        <v/>
      </c>
      <c r="N82" s="18">
        <f>IF(E82="","",MAX(0,IF(G82="",TODAY(),G82)-L82))</f>
        <v/>
      </c>
    </row>
    <row r="83">
      <c r="E83" s="22" t="n"/>
      <c r="G83" s="22" t="n"/>
      <c r="I83" s="22" t="n"/>
      <c r="L83" s="20">
        <f>IF(E83="","",E83+IF(F83="",IFERROR(VLOOKUP(C83,Parametros!$E:$F,2,0),0),F83))</f>
        <v/>
      </c>
      <c r="M83" s="21">
        <f>IF(E83="","",IF(G83="",IF(TODAY()&gt;L83,"Atrasada","Em aberto"),IF(G83&lt;=L83,"No prazo","Com atraso")))</f>
        <v/>
      </c>
      <c r="N83" s="18">
        <f>IF(E83="","",MAX(0,IF(G83="",TODAY(),G83)-L83))</f>
        <v/>
      </c>
    </row>
    <row r="84">
      <c r="E84" s="22" t="n"/>
      <c r="G84" s="22" t="n"/>
      <c r="I84" s="22" t="n"/>
      <c r="L84" s="20">
        <f>IF(E84="","",E84+IF(F84="",IFERROR(VLOOKUP(C84,Parametros!$E:$F,2,0),0),F84))</f>
        <v/>
      </c>
      <c r="M84" s="21">
        <f>IF(E84="","",IF(G84="",IF(TODAY()&gt;L84,"Atrasada","Em aberto"),IF(G84&lt;=L84,"No prazo","Com atraso")))</f>
        <v/>
      </c>
      <c r="N84" s="18">
        <f>IF(E84="","",MAX(0,IF(G84="",TODAY(),G84)-L84))</f>
        <v/>
      </c>
    </row>
    <row r="85">
      <c r="E85" s="22" t="n"/>
      <c r="G85" s="22" t="n"/>
      <c r="I85" s="22" t="n"/>
      <c r="L85" s="20">
        <f>IF(E85="","",E85+IF(F85="",IFERROR(VLOOKUP(C85,Parametros!$E:$F,2,0),0),F85))</f>
        <v/>
      </c>
      <c r="M85" s="21">
        <f>IF(E85="","",IF(G85="",IF(TODAY()&gt;L85,"Atrasada","Em aberto"),IF(G85&lt;=L85,"No prazo","Com atraso")))</f>
        <v/>
      </c>
      <c r="N85" s="18">
        <f>IF(E85="","",MAX(0,IF(G85="",TODAY(),G85)-L85))</f>
        <v/>
      </c>
    </row>
    <row r="86">
      <c r="E86" s="22" t="n"/>
      <c r="G86" s="22" t="n"/>
      <c r="I86" s="22" t="n"/>
      <c r="L86" s="20">
        <f>IF(E86="","",E86+IF(F86="",IFERROR(VLOOKUP(C86,Parametros!$E:$F,2,0),0),F86))</f>
        <v/>
      </c>
      <c r="M86" s="21">
        <f>IF(E86="","",IF(G86="",IF(TODAY()&gt;L86,"Atrasada","Em aberto"),IF(G86&lt;=L86,"No prazo","Com atraso")))</f>
        <v/>
      </c>
      <c r="N86" s="18">
        <f>IF(E86="","",MAX(0,IF(G86="",TODAY(),G86)-L86))</f>
        <v/>
      </c>
    </row>
    <row r="87">
      <c r="E87" s="22" t="n"/>
      <c r="G87" s="22" t="n"/>
      <c r="I87" s="22" t="n"/>
      <c r="L87" s="20">
        <f>IF(E87="","",E87+IF(F87="",IFERROR(VLOOKUP(C87,Parametros!$E:$F,2,0),0),F87))</f>
        <v/>
      </c>
      <c r="M87" s="21">
        <f>IF(E87="","",IF(G87="",IF(TODAY()&gt;L87,"Atrasada","Em aberto"),IF(G87&lt;=L87,"No prazo","Com atraso")))</f>
        <v/>
      </c>
      <c r="N87" s="18">
        <f>IF(E87="","",MAX(0,IF(G87="",TODAY(),G87)-L87))</f>
        <v/>
      </c>
    </row>
    <row r="88">
      <c r="E88" s="22" t="n"/>
      <c r="G88" s="22" t="n"/>
      <c r="I88" s="22" t="n"/>
      <c r="L88" s="20">
        <f>IF(E88="","",E88+IF(F88="",IFERROR(VLOOKUP(C88,Parametros!$E:$F,2,0),0),F88))</f>
        <v/>
      </c>
      <c r="M88" s="21">
        <f>IF(E88="","",IF(G88="",IF(TODAY()&gt;L88,"Atrasada","Em aberto"),IF(G88&lt;=L88,"No prazo","Com atraso")))</f>
        <v/>
      </c>
      <c r="N88" s="18">
        <f>IF(E88="","",MAX(0,IF(G88="",TODAY(),G88)-L88))</f>
        <v/>
      </c>
    </row>
    <row r="89">
      <c r="E89" s="22" t="n"/>
      <c r="G89" s="22" t="n"/>
      <c r="I89" s="22" t="n"/>
      <c r="L89" s="20">
        <f>IF(E89="","",E89+IF(F89="",IFERROR(VLOOKUP(C89,Parametros!$E:$F,2,0),0),F89))</f>
        <v/>
      </c>
      <c r="M89" s="21">
        <f>IF(E89="","",IF(G89="",IF(TODAY()&gt;L89,"Atrasada","Em aberto"),IF(G89&lt;=L89,"No prazo","Com atraso")))</f>
        <v/>
      </c>
      <c r="N89" s="18">
        <f>IF(E89="","",MAX(0,IF(G89="",TODAY(),G89)-L89))</f>
        <v/>
      </c>
    </row>
    <row r="90">
      <c r="E90" s="22" t="n"/>
      <c r="G90" s="22" t="n"/>
      <c r="I90" s="22" t="n"/>
      <c r="L90" s="20">
        <f>IF(E90="","",E90+IF(F90="",IFERROR(VLOOKUP(C90,Parametros!$E:$F,2,0),0),F90))</f>
        <v/>
      </c>
      <c r="M90" s="21">
        <f>IF(E90="","",IF(G90="",IF(TODAY()&gt;L90,"Atrasada","Em aberto"),IF(G90&lt;=L90,"No prazo","Com atraso")))</f>
        <v/>
      </c>
      <c r="N90" s="18">
        <f>IF(E90="","",MAX(0,IF(G90="",TODAY(),G90)-L90))</f>
        <v/>
      </c>
    </row>
    <row r="91">
      <c r="E91" s="22" t="n"/>
      <c r="G91" s="22" t="n"/>
      <c r="I91" s="22" t="n"/>
      <c r="L91" s="20">
        <f>IF(E91="","",E91+IF(F91="",IFERROR(VLOOKUP(C91,Parametros!$E:$F,2,0),0),F91))</f>
        <v/>
      </c>
      <c r="M91" s="21">
        <f>IF(E91="","",IF(G91="",IF(TODAY()&gt;L91,"Atrasada","Em aberto"),IF(G91&lt;=L91,"No prazo","Com atraso")))</f>
        <v/>
      </c>
      <c r="N91" s="18">
        <f>IF(E91="","",MAX(0,IF(G91="",TODAY(),G91)-L91))</f>
        <v/>
      </c>
    </row>
    <row r="92">
      <c r="E92" s="22" t="n"/>
      <c r="G92" s="22" t="n"/>
      <c r="I92" s="22" t="n"/>
      <c r="L92" s="20">
        <f>IF(E92="","",E92+IF(F92="",IFERROR(VLOOKUP(C92,Parametros!$E:$F,2,0),0),F92))</f>
        <v/>
      </c>
      <c r="M92" s="21">
        <f>IF(E92="","",IF(G92="",IF(TODAY()&gt;L92,"Atrasada","Em aberto"),IF(G92&lt;=L92,"No prazo","Com atraso")))</f>
        <v/>
      </c>
      <c r="N92" s="18">
        <f>IF(E92="","",MAX(0,IF(G92="",TODAY(),G92)-L92))</f>
        <v/>
      </c>
    </row>
    <row r="93">
      <c r="E93" s="22" t="n"/>
      <c r="G93" s="22" t="n"/>
      <c r="I93" s="22" t="n"/>
      <c r="L93" s="20">
        <f>IF(E93="","",E93+IF(F93="",IFERROR(VLOOKUP(C93,Parametros!$E:$F,2,0),0),F93))</f>
        <v/>
      </c>
      <c r="M93" s="21">
        <f>IF(E93="","",IF(G93="",IF(TODAY()&gt;L93,"Atrasada","Em aberto"),IF(G93&lt;=L93,"No prazo","Com atraso")))</f>
        <v/>
      </c>
      <c r="N93" s="18">
        <f>IF(E93="","",MAX(0,IF(G93="",TODAY(),G93)-L93))</f>
        <v/>
      </c>
    </row>
    <row r="94">
      <c r="E94" s="22" t="n"/>
      <c r="G94" s="22" t="n"/>
      <c r="I94" s="22" t="n"/>
      <c r="L94" s="20">
        <f>IF(E94="","",E94+IF(F94="",IFERROR(VLOOKUP(C94,Parametros!$E:$F,2,0),0),F94))</f>
        <v/>
      </c>
      <c r="M94" s="21">
        <f>IF(E94="","",IF(G94="",IF(TODAY()&gt;L94,"Atrasada","Em aberto"),IF(G94&lt;=L94,"No prazo","Com atraso")))</f>
        <v/>
      </c>
      <c r="N94" s="18">
        <f>IF(E94="","",MAX(0,IF(G94="",TODAY(),G94)-L94))</f>
        <v/>
      </c>
    </row>
    <row r="95">
      <c r="E95" s="22" t="n"/>
      <c r="G95" s="22" t="n"/>
      <c r="I95" s="22" t="n"/>
      <c r="L95" s="20">
        <f>IF(E95="","",E95+IF(F95="",IFERROR(VLOOKUP(C95,Parametros!$E:$F,2,0),0),F95))</f>
        <v/>
      </c>
      <c r="M95" s="21">
        <f>IF(E95="","",IF(G95="",IF(TODAY()&gt;L95,"Atrasada","Em aberto"),IF(G95&lt;=L95,"No prazo","Com atraso")))</f>
        <v/>
      </c>
      <c r="N95" s="18">
        <f>IF(E95="","",MAX(0,IF(G95="",TODAY(),G95)-L95))</f>
        <v/>
      </c>
    </row>
    <row r="96">
      <c r="E96" s="22" t="n"/>
      <c r="G96" s="22" t="n"/>
      <c r="I96" s="22" t="n"/>
      <c r="L96" s="20">
        <f>IF(E96="","",E96+IF(F96="",IFERROR(VLOOKUP(C96,Parametros!$E:$F,2,0),0),F96))</f>
        <v/>
      </c>
      <c r="M96" s="21">
        <f>IF(E96="","",IF(G96="",IF(TODAY()&gt;L96,"Atrasada","Em aberto"),IF(G96&lt;=L96,"No prazo","Com atraso")))</f>
        <v/>
      </c>
      <c r="N96" s="18">
        <f>IF(E96="","",MAX(0,IF(G96="",TODAY(),G96)-L96))</f>
        <v/>
      </c>
    </row>
    <row r="97">
      <c r="E97" s="22" t="n"/>
      <c r="G97" s="22" t="n"/>
      <c r="I97" s="22" t="n"/>
      <c r="L97" s="20">
        <f>IF(E97="","",E97+IF(F97="",IFERROR(VLOOKUP(C97,Parametros!$E:$F,2,0),0),F97))</f>
        <v/>
      </c>
      <c r="M97" s="21">
        <f>IF(E97="","",IF(G97="",IF(TODAY()&gt;L97,"Atrasada","Em aberto"),IF(G97&lt;=L97,"No prazo","Com atraso")))</f>
        <v/>
      </c>
      <c r="N97" s="18">
        <f>IF(E97="","",MAX(0,IF(G97="",TODAY(),G97)-L97))</f>
        <v/>
      </c>
    </row>
    <row r="98">
      <c r="E98" s="22" t="n"/>
      <c r="G98" s="22" t="n"/>
      <c r="I98" s="22" t="n"/>
      <c r="L98" s="20">
        <f>IF(E98="","",E98+IF(F98="",IFERROR(VLOOKUP(C98,Parametros!$E:$F,2,0),0),F98))</f>
        <v/>
      </c>
      <c r="M98" s="21">
        <f>IF(E98="","",IF(G98="",IF(TODAY()&gt;L98,"Atrasada","Em aberto"),IF(G98&lt;=L98,"No prazo","Com atraso")))</f>
        <v/>
      </c>
      <c r="N98" s="18">
        <f>IF(E98="","",MAX(0,IF(G98="",TODAY(),G98)-L98))</f>
        <v/>
      </c>
    </row>
    <row r="99">
      <c r="E99" s="22" t="n"/>
      <c r="G99" s="22" t="n"/>
      <c r="I99" s="22" t="n"/>
      <c r="L99" s="20">
        <f>IF(E99="","",E99+IF(F99="",IFERROR(VLOOKUP(C99,Parametros!$E:$F,2,0),0),F99))</f>
        <v/>
      </c>
      <c r="M99" s="21">
        <f>IF(E99="","",IF(G99="",IF(TODAY()&gt;L99,"Atrasada","Em aberto"),IF(G99&lt;=L99,"No prazo","Com atraso")))</f>
        <v/>
      </c>
      <c r="N99" s="18">
        <f>IF(E99="","",MAX(0,IF(G99="",TODAY(),G99)-L99))</f>
        <v/>
      </c>
    </row>
    <row r="100">
      <c r="E100" s="22" t="n"/>
      <c r="G100" s="22" t="n"/>
      <c r="I100" s="22" t="n"/>
      <c r="L100" s="20">
        <f>IF(E100="","",E100+IF(F100="",IFERROR(VLOOKUP(C100,Parametros!$E:$F,2,0),0),F100))</f>
        <v/>
      </c>
      <c r="M100" s="21">
        <f>IF(E100="","",IF(G100="",IF(TODAY()&gt;L100,"Atrasada","Em aberto"),IF(G100&lt;=L100,"No prazo","Com atraso")))</f>
        <v/>
      </c>
      <c r="N100" s="18">
        <f>IF(E100="","",MAX(0,IF(G100="",TODAY(),G100)-L100))</f>
        <v/>
      </c>
    </row>
    <row r="101">
      <c r="E101" s="22" t="n"/>
      <c r="G101" s="22" t="n"/>
      <c r="I101" s="22" t="n"/>
      <c r="L101" s="20">
        <f>IF(E101="","",E101+IF(F101="",IFERROR(VLOOKUP(C101,Parametros!$E:$F,2,0),0),F101))</f>
        <v/>
      </c>
      <c r="M101" s="21">
        <f>IF(E101="","",IF(G101="",IF(TODAY()&gt;L101,"Atrasada","Em aberto"),IF(G101&lt;=L101,"No prazo","Com atraso")))</f>
        <v/>
      </c>
      <c r="N101" s="18">
        <f>IF(E101="","",MAX(0,IF(G101="",TODAY(),G101)-L101))</f>
        <v/>
      </c>
    </row>
    <row r="102">
      <c r="E102" s="22" t="n"/>
      <c r="G102" s="22" t="n"/>
      <c r="I102" s="22" t="n"/>
      <c r="L102" s="20">
        <f>IF(E102="","",E102+IF(F102="",IFERROR(VLOOKUP(C102,Parametros!$E:$F,2,0),0),F102))</f>
        <v/>
      </c>
      <c r="M102" s="21">
        <f>IF(E102="","",IF(G102="",IF(TODAY()&gt;L102,"Atrasada","Em aberto"),IF(G102&lt;=L102,"No prazo","Com atraso")))</f>
        <v/>
      </c>
      <c r="N102" s="18">
        <f>IF(E102="","",MAX(0,IF(G102="",TODAY(),G102)-L102))</f>
        <v/>
      </c>
    </row>
    <row r="103">
      <c r="E103" s="22" t="n"/>
      <c r="G103" s="22" t="n"/>
      <c r="I103" s="22" t="n"/>
      <c r="L103" s="20">
        <f>IF(E103="","",E103+IF(F103="",IFERROR(VLOOKUP(C103,Parametros!$E:$F,2,0),0),F103))</f>
        <v/>
      </c>
      <c r="M103" s="21">
        <f>IF(E103="","",IF(G103="",IF(TODAY()&gt;L103,"Atrasada","Em aberto"),IF(G103&lt;=L103,"No prazo","Com atraso")))</f>
        <v/>
      </c>
      <c r="N103" s="18">
        <f>IF(E103="","",MAX(0,IF(G103="",TODAY(),G103)-L103))</f>
        <v/>
      </c>
    </row>
    <row r="104">
      <c r="E104" s="22" t="n"/>
      <c r="G104" s="22" t="n"/>
      <c r="I104" s="22" t="n"/>
      <c r="L104" s="20">
        <f>IF(E104="","",E104+IF(F104="",IFERROR(VLOOKUP(C104,Parametros!$E:$F,2,0),0),F104))</f>
        <v/>
      </c>
      <c r="M104" s="21">
        <f>IF(E104="","",IF(G104="",IF(TODAY()&gt;L104,"Atrasada","Em aberto"),IF(G104&lt;=L104,"No prazo","Com atraso")))</f>
        <v/>
      </c>
      <c r="N104" s="18">
        <f>IF(E104="","",MAX(0,IF(G104="",TODAY(),G104)-L104))</f>
        <v/>
      </c>
    </row>
    <row r="105">
      <c r="E105" s="22" t="n"/>
      <c r="G105" s="22" t="n"/>
      <c r="I105" s="22" t="n"/>
      <c r="L105" s="20">
        <f>IF(E105="","",E105+IF(F105="",IFERROR(VLOOKUP(C105,Parametros!$E:$F,2,0),0),F105))</f>
        <v/>
      </c>
      <c r="M105" s="21">
        <f>IF(E105="","",IF(G105="",IF(TODAY()&gt;L105,"Atrasada","Em aberto"),IF(G105&lt;=L105,"No prazo","Com atraso")))</f>
        <v/>
      </c>
      <c r="N105" s="18">
        <f>IF(E105="","",MAX(0,IF(G105="",TODAY(),G105)-L105))</f>
        <v/>
      </c>
    </row>
    <row r="106">
      <c r="E106" s="22" t="n"/>
      <c r="G106" s="22" t="n"/>
      <c r="I106" s="22" t="n"/>
      <c r="L106" s="20">
        <f>IF(E106="","",E106+IF(F106="",IFERROR(VLOOKUP(C106,Parametros!$E:$F,2,0),0),F106))</f>
        <v/>
      </c>
      <c r="M106" s="21">
        <f>IF(E106="","",IF(G106="",IF(TODAY()&gt;L106,"Atrasada","Em aberto"),IF(G106&lt;=L106,"No prazo","Com atraso")))</f>
        <v/>
      </c>
      <c r="N106" s="18">
        <f>IF(E106="","",MAX(0,IF(G106="",TODAY(),G106)-L106))</f>
        <v/>
      </c>
    </row>
    <row r="107">
      <c r="E107" s="22" t="n"/>
      <c r="G107" s="22" t="n"/>
      <c r="I107" s="22" t="n"/>
      <c r="L107" s="20">
        <f>IF(E107="","",E107+IF(F107="",IFERROR(VLOOKUP(C107,Parametros!$E:$F,2,0),0),F107))</f>
        <v/>
      </c>
      <c r="M107" s="21">
        <f>IF(E107="","",IF(G107="",IF(TODAY()&gt;L107,"Atrasada","Em aberto"),IF(G107&lt;=L107,"No prazo","Com atraso")))</f>
        <v/>
      </c>
      <c r="N107" s="18">
        <f>IF(E107="","",MAX(0,IF(G107="",TODAY(),G107)-L107))</f>
        <v/>
      </c>
    </row>
    <row r="108">
      <c r="E108" s="22" t="n"/>
      <c r="G108" s="22" t="n"/>
      <c r="I108" s="22" t="n"/>
      <c r="L108" s="20">
        <f>IF(E108="","",E108+IF(F108="",IFERROR(VLOOKUP(C108,Parametros!$E:$F,2,0),0),F108))</f>
        <v/>
      </c>
      <c r="M108" s="21">
        <f>IF(E108="","",IF(G108="",IF(TODAY()&gt;L108,"Atrasada","Em aberto"),IF(G108&lt;=L108,"No prazo","Com atraso")))</f>
        <v/>
      </c>
      <c r="N108" s="18">
        <f>IF(E108="","",MAX(0,IF(G108="",TODAY(),G108)-L108))</f>
        <v/>
      </c>
    </row>
    <row r="109">
      <c r="E109" s="22" t="n"/>
      <c r="G109" s="22" t="n"/>
      <c r="I109" s="22" t="n"/>
      <c r="L109" s="20">
        <f>IF(E109="","",E109+IF(F109="",IFERROR(VLOOKUP(C109,Parametros!$E:$F,2,0),0),F109))</f>
        <v/>
      </c>
      <c r="M109" s="21">
        <f>IF(E109="","",IF(G109="",IF(TODAY()&gt;L109,"Atrasada","Em aberto"),IF(G109&lt;=L109,"No prazo","Com atraso")))</f>
        <v/>
      </c>
      <c r="N109" s="18">
        <f>IF(E109="","",MAX(0,IF(G109="",TODAY(),G109)-L109))</f>
        <v/>
      </c>
    </row>
    <row r="110">
      <c r="E110" s="22" t="n"/>
      <c r="G110" s="22" t="n"/>
      <c r="I110" s="22" t="n"/>
      <c r="L110" s="20">
        <f>IF(E110="","",E110+IF(F110="",IFERROR(VLOOKUP(C110,Parametros!$E:$F,2,0),0),F110))</f>
        <v/>
      </c>
      <c r="M110" s="21">
        <f>IF(E110="","",IF(G110="",IF(TODAY()&gt;L110,"Atrasada","Em aberto"),IF(G110&lt;=L110,"No prazo","Com atraso")))</f>
        <v/>
      </c>
      <c r="N110" s="18">
        <f>IF(E110="","",MAX(0,IF(G110="",TODAY(),G110)-L110))</f>
        <v/>
      </c>
    </row>
    <row r="111">
      <c r="E111" s="22" t="n"/>
      <c r="G111" s="22" t="n"/>
      <c r="I111" s="22" t="n"/>
      <c r="L111" s="20">
        <f>IF(E111="","",E111+IF(F111="",IFERROR(VLOOKUP(C111,Parametros!$E:$F,2,0),0),F111))</f>
        <v/>
      </c>
      <c r="M111" s="21">
        <f>IF(E111="","",IF(G111="",IF(TODAY()&gt;L111,"Atrasada","Em aberto"),IF(G111&lt;=L111,"No prazo","Com atraso")))</f>
        <v/>
      </c>
      <c r="N111" s="18">
        <f>IF(E111="","",MAX(0,IF(G111="",TODAY(),G111)-L111))</f>
        <v/>
      </c>
    </row>
    <row r="112">
      <c r="E112" s="22" t="n"/>
      <c r="G112" s="22" t="n"/>
      <c r="I112" s="22" t="n"/>
      <c r="L112" s="20">
        <f>IF(E112="","",E112+IF(F112="",IFERROR(VLOOKUP(C112,Parametros!$E:$F,2,0),0),F112))</f>
        <v/>
      </c>
      <c r="M112" s="21">
        <f>IF(E112="","",IF(G112="",IF(TODAY()&gt;L112,"Atrasada","Em aberto"),IF(G112&lt;=L112,"No prazo","Com atraso")))</f>
        <v/>
      </c>
      <c r="N112" s="18">
        <f>IF(E112="","",MAX(0,IF(G112="",TODAY(),G112)-L112))</f>
        <v/>
      </c>
    </row>
    <row r="113">
      <c r="E113" s="22" t="n"/>
      <c r="G113" s="22" t="n"/>
      <c r="I113" s="22" t="n"/>
      <c r="L113" s="20">
        <f>IF(E113="","",E113+IF(F113="",IFERROR(VLOOKUP(C113,Parametros!$E:$F,2,0),0),F113))</f>
        <v/>
      </c>
      <c r="M113" s="21">
        <f>IF(E113="","",IF(G113="",IF(TODAY()&gt;L113,"Atrasada","Em aberto"),IF(G113&lt;=L113,"No prazo","Com atraso")))</f>
        <v/>
      </c>
      <c r="N113" s="18">
        <f>IF(E113="","",MAX(0,IF(G113="",TODAY(),G113)-L113))</f>
        <v/>
      </c>
    </row>
    <row r="114">
      <c r="E114" s="22" t="n"/>
      <c r="G114" s="22" t="n"/>
      <c r="I114" s="22" t="n"/>
      <c r="L114" s="20">
        <f>IF(E114="","",E114+IF(F114="",IFERROR(VLOOKUP(C114,Parametros!$E:$F,2,0),0),F114))</f>
        <v/>
      </c>
      <c r="M114" s="21">
        <f>IF(E114="","",IF(G114="",IF(TODAY()&gt;L114,"Atrasada","Em aberto"),IF(G114&lt;=L114,"No prazo","Com atraso")))</f>
        <v/>
      </c>
      <c r="N114" s="18">
        <f>IF(E114="","",MAX(0,IF(G114="",TODAY(),G114)-L114))</f>
        <v/>
      </c>
    </row>
    <row r="115">
      <c r="E115" s="22" t="n"/>
      <c r="G115" s="22" t="n"/>
      <c r="I115" s="22" t="n"/>
      <c r="L115" s="20">
        <f>IF(E115="","",E115+IF(F115="",IFERROR(VLOOKUP(C115,Parametros!$E:$F,2,0),0),F115))</f>
        <v/>
      </c>
      <c r="M115" s="21">
        <f>IF(E115="","",IF(G115="",IF(TODAY()&gt;L115,"Atrasada","Em aberto"),IF(G115&lt;=L115,"No prazo","Com atraso")))</f>
        <v/>
      </c>
      <c r="N115" s="18">
        <f>IF(E115="","",MAX(0,IF(G115="",TODAY(),G115)-L115))</f>
        <v/>
      </c>
    </row>
    <row r="116">
      <c r="E116" s="22" t="n"/>
      <c r="G116" s="22" t="n"/>
      <c r="I116" s="22" t="n"/>
      <c r="L116" s="20">
        <f>IF(E116="","",E116+IF(F116="",IFERROR(VLOOKUP(C116,Parametros!$E:$F,2,0),0),F116))</f>
        <v/>
      </c>
      <c r="M116" s="21">
        <f>IF(E116="","",IF(G116="",IF(TODAY()&gt;L116,"Atrasada","Em aberto"),IF(G116&lt;=L116,"No prazo","Com atraso")))</f>
        <v/>
      </c>
      <c r="N116" s="18">
        <f>IF(E116="","",MAX(0,IF(G116="",TODAY(),G116)-L116))</f>
        <v/>
      </c>
    </row>
    <row r="117">
      <c r="E117" s="22" t="n"/>
      <c r="G117" s="22" t="n"/>
      <c r="I117" s="22" t="n"/>
      <c r="L117" s="20">
        <f>IF(E117="","",E117+IF(F117="",IFERROR(VLOOKUP(C117,Parametros!$E:$F,2,0),0),F117))</f>
        <v/>
      </c>
      <c r="M117" s="21">
        <f>IF(E117="","",IF(G117="",IF(TODAY()&gt;L117,"Atrasada","Em aberto"),IF(G117&lt;=L117,"No prazo","Com atraso")))</f>
        <v/>
      </c>
      <c r="N117" s="18">
        <f>IF(E117="","",MAX(0,IF(G117="",TODAY(),G117)-L117))</f>
        <v/>
      </c>
    </row>
    <row r="118">
      <c r="E118" s="22" t="n"/>
      <c r="G118" s="22" t="n"/>
      <c r="I118" s="22" t="n"/>
      <c r="L118" s="20">
        <f>IF(E118="","",E118+IF(F118="",IFERROR(VLOOKUP(C118,Parametros!$E:$F,2,0),0),F118))</f>
        <v/>
      </c>
      <c r="M118" s="21">
        <f>IF(E118="","",IF(G118="",IF(TODAY()&gt;L118,"Atrasada","Em aberto"),IF(G118&lt;=L118,"No prazo","Com atraso")))</f>
        <v/>
      </c>
      <c r="N118" s="18">
        <f>IF(E118="","",MAX(0,IF(G118="",TODAY(),G118)-L118))</f>
        <v/>
      </c>
    </row>
    <row r="119">
      <c r="E119" s="22" t="n"/>
      <c r="G119" s="22" t="n"/>
      <c r="I119" s="22" t="n"/>
      <c r="L119" s="20">
        <f>IF(E119="","",E119+IF(F119="",IFERROR(VLOOKUP(C119,Parametros!$E:$F,2,0),0),F119))</f>
        <v/>
      </c>
      <c r="M119" s="21">
        <f>IF(E119="","",IF(G119="",IF(TODAY()&gt;L119,"Atrasada","Em aberto"),IF(G119&lt;=L119,"No prazo","Com atraso")))</f>
        <v/>
      </c>
      <c r="N119" s="18">
        <f>IF(E119="","",MAX(0,IF(G119="",TODAY(),G119)-L119))</f>
        <v/>
      </c>
    </row>
    <row r="120">
      <c r="E120" s="22" t="n"/>
      <c r="G120" s="22" t="n"/>
      <c r="I120" s="22" t="n"/>
      <c r="L120" s="20">
        <f>IF(E120="","",E120+IF(F120="",IFERROR(VLOOKUP(C120,Parametros!$E:$F,2,0),0),F120))</f>
        <v/>
      </c>
      <c r="M120" s="21">
        <f>IF(E120="","",IF(G120="",IF(TODAY()&gt;L120,"Atrasada","Em aberto"),IF(G120&lt;=L120,"No prazo","Com atraso")))</f>
        <v/>
      </c>
      <c r="N120" s="18">
        <f>IF(E120="","",MAX(0,IF(G120="",TODAY(),G120)-L120))</f>
        <v/>
      </c>
    </row>
    <row r="121">
      <c r="E121" s="22" t="n"/>
      <c r="G121" s="22" t="n"/>
      <c r="I121" s="22" t="n"/>
      <c r="L121" s="20">
        <f>IF(E121="","",E121+IF(F121="",IFERROR(VLOOKUP(C121,Parametros!$E:$F,2,0),0),F121))</f>
        <v/>
      </c>
      <c r="M121" s="21">
        <f>IF(E121="","",IF(G121="",IF(TODAY()&gt;L121,"Atrasada","Em aberto"),IF(G121&lt;=L121,"No prazo","Com atraso")))</f>
        <v/>
      </c>
      <c r="N121" s="18">
        <f>IF(E121="","",MAX(0,IF(G121="",TODAY(),G121)-L121))</f>
        <v/>
      </c>
    </row>
    <row r="122">
      <c r="E122" s="22" t="n"/>
      <c r="G122" s="22" t="n"/>
      <c r="I122" s="22" t="n"/>
      <c r="L122" s="20">
        <f>IF(E122="","",E122+IF(F122="",IFERROR(VLOOKUP(C122,Parametros!$E:$F,2,0),0),F122))</f>
        <v/>
      </c>
      <c r="M122" s="21">
        <f>IF(E122="","",IF(G122="",IF(TODAY()&gt;L122,"Atrasada","Em aberto"),IF(G122&lt;=L122,"No prazo","Com atraso")))</f>
        <v/>
      </c>
      <c r="N122" s="18">
        <f>IF(E122="","",MAX(0,IF(G122="",TODAY(),G122)-L122))</f>
        <v/>
      </c>
    </row>
    <row r="123">
      <c r="E123" s="22" t="n"/>
      <c r="G123" s="22" t="n"/>
      <c r="I123" s="22" t="n"/>
      <c r="L123" s="20">
        <f>IF(E123="","",E123+IF(F123="",IFERROR(VLOOKUP(C123,Parametros!$E:$F,2,0),0),F123))</f>
        <v/>
      </c>
      <c r="M123" s="21">
        <f>IF(E123="","",IF(G123="",IF(TODAY()&gt;L123,"Atrasada","Em aberto"),IF(G123&lt;=L123,"No prazo","Com atraso")))</f>
        <v/>
      </c>
      <c r="N123" s="18">
        <f>IF(E123="","",MAX(0,IF(G123="",TODAY(),G123)-L123))</f>
        <v/>
      </c>
    </row>
    <row r="124">
      <c r="E124" s="22" t="n"/>
      <c r="G124" s="22" t="n"/>
      <c r="I124" s="22" t="n"/>
      <c r="L124" s="20">
        <f>IF(E124="","",E124+IF(F124="",IFERROR(VLOOKUP(C124,Parametros!$E:$F,2,0),0),F124))</f>
        <v/>
      </c>
      <c r="M124" s="21">
        <f>IF(E124="","",IF(G124="",IF(TODAY()&gt;L124,"Atrasada","Em aberto"),IF(G124&lt;=L124,"No prazo","Com atraso")))</f>
        <v/>
      </c>
      <c r="N124" s="18">
        <f>IF(E124="","",MAX(0,IF(G124="",TODAY(),G124)-L124))</f>
        <v/>
      </c>
    </row>
    <row r="125">
      <c r="E125" s="22" t="n"/>
      <c r="G125" s="22" t="n"/>
      <c r="I125" s="22" t="n"/>
      <c r="L125" s="20">
        <f>IF(E125="","",E125+IF(F125="",IFERROR(VLOOKUP(C125,Parametros!$E:$F,2,0),0),F125))</f>
        <v/>
      </c>
      <c r="M125" s="21">
        <f>IF(E125="","",IF(G125="",IF(TODAY()&gt;L125,"Atrasada","Em aberto"),IF(G125&lt;=L125,"No prazo","Com atraso")))</f>
        <v/>
      </c>
      <c r="N125" s="18">
        <f>IF(E125="","",MAX(0,IF(G125="",TODAY(),G125)-L125))</f>
        <v/>
      </c>
    </row>
    <row r="126">
      <c r="E126" s="22" t="n"/>
      <c r="G126" s="22" t="n"/>
      <c r="I126" s="22" t="n"/>
      <c r="L126" s="20">
        <f>IF(E126="","",E126+IF(F126="",IFERROR(VLOOKUP(C126,Parametros!$E:$F,2,0),0),F126))</f>
        <v/>
      </c>
      <c r="M126" s="21">
        <f>IF(E126="","",IF(G126="",IF(TODAY()&gt;L126,"Atrasada","Em aberto"),IF(G126&lt;=L126,"No prazo","Com atraso")))</f>
        <v/>
      </c>
      <c r="N126" s="18">
        <f>IF(E126="","",MAX(0,IF(G126="",TODAY(),G126)-L126))</f>
        <v/>
      </c>
    </row>
    <row r="127">
      <c r="E127" s="22" t="n"/>
      <c r="G127" s="22" t="n"/>
      <c r="I127" s="22" t="n"/>
      <c r="L127" s="20">
        <f>IF(E127="","",E127+IF(F127="",IFERROR(VLOOKUP(C127,Parametros!$E:$F,2,0),0),F127))</f>
        <v/>
      </c>
      <c r="M127" s="21">
        <f>IF(E127="","",IF(G127="",IF(TODAY()&gt;L127,"Atrasada","Em aberto"),IF(G127&lt;=L127,"No prazo","Com atraso")))</f>
        <v/>
      </c>
      <c r="N127" s="18">
        <f>IF(E127="","",MAX(0,IF(G127="",TODAY(),G127)-L127))</f>
        <v/>
      </c>
    </row>
    <row r="128">
      <c r="E128" s="22" t="n"/>
      <c r="G128" s="22" t="n"/>
      <c r="I128" s="22" t="n"/>
      <c r="L128" s="20">
        <f>IF(E128="","",E128+IF(F128="",IFERROR(VLOOKUP(C128,Parametros!$E:$F,2,0),0),F128))</f>
        <v/>
      </c>
      <c r="M128" s="21">
        <f>IF(E128="","",IF(G128="",IF(TODAY()&gt;L128,"Atrasada","Em aberto"),IF(G128&lt;=L128,"No prazo","Com atraso")))</f>
        <v/>
      </c>
      <c r="N128" s="18">
        <f>IF(E128="","",MAX(0,IF(G128="",TODAY(),G128)-L128))</f>
        <v/>
      </c>
    </row>
    <row r="129">
      <c r="E129" s="22" t="n"/>
      <c r="G129" s="22" t="n"/>
      <c r="I129" s="22" t="n"/>
      <c r="L129" s="20">
        <f>IF(E129="","",E129+IF(F129="",IFERROR(VLOOKUP(C129,Parametros!$E:$F,2,0),0),F129))</f>
        <v/>
      </c>
      <c r="M129" s="21">
        <f>IF(E129="","",IF(G129="",IF(TODAY()&gt;L129,"Atrasada","Em aberto"),IF(G129&lt;=L129,"No prazo","Com atraso")))</f>
        <v/>
      </c>
      <c r="N129" s="18">
        <f>IF(E129="","",MAX(0,IF(G129="",TODAY(),G129)-L129))</f>
        <v/>
      </c>
    </row>
    <row r="130">
      <c r="E130" s="22" t="n"/>
      <c r="G130" s="22" t="n"/>
      <c r="I130" s="22" t="n"/>
      <c r="L130" s="20">
        <f>IF(E130="","",E130+IF(F130="",IFERROR(VLOOKUP(C130,Parametros!$E:$F,2,0),0),F130))</f>
        <v/>
      </c>
      <c r="M130" s="21">
        <f>IF(E130="","",IF(G130="",IF(TODAY()&gt;L130,"Atrasada","Em aberto"),IF(G130&lt;=L130,"No prazo","Com atraso")))</f>
        <v/>
      </c>
      <c r="N130" s="18">
        <f>IF(E130="","",MAX(0,IF(G130="",TODAY(),G130)-L130))</f>
        <v/>
      </c>
    </row>
    <row r="131">
      <c r="E131" s="22" t="n"/>
      <c r="G131" s="22" t="n"/>
      <c r="I131" s="22" t="n"/>
      <c r="L131" s="20">
        <f>IF(E131="","",E131+IF(F131="",IFERROR(VLOOKUP(C131,Parametros!$E:$F,2,0),0),F131))</f>
        <v/>
      </c>
      <c r="M131" s="21">
        <f>IF(E131="","",IF(G131="",IF(TODAY()&gt;L131,"Atrasada","Em aberto"),IF(G131&lt;=L131,"No prazo","Com atraso")))</f>
        <v/>
      </c>
      <c r="N131" s="18">
        <f>IF(E131="","",MAX(0,IF(G131="",TODAY(),G131)-L131))</f>
        <v/>
      </c>
    </row>
    <row r="132">
      <c r="E132" s="22" t="n"/>
      <c r="G132" s="22" t="n"/>
      <c r="I132" s="22" t="n"/>
      <c r="L132" s="20">
        <f>IF(E132="","",E132+IF(F132="",IFERROR(VLOOKUP(C132,Parametros!$E:$F,2,0),0),F132))</f>
        <v/>
      </c>
      <c r="M132" s="21">
        <f>IF(E132="","",IF(G132="",IF(TODAY()&gt;L132,"Atrasada","Em aberto"),IF(G132&lt;=L132,"No prazo","Com atraso")))</f>
        <v/>
      </c>
      <c r="N132" s="18">
        <f>IF(E132="","",MAX(0,IF(G132="",TODAY(),G132)-L132))</f>
        <v/>
      </c>
    </row>
    <row r="133">
      <c r="E133" s="22" t="n"/>
      <c r="G133" s="22" t="n"/>
      <c r="I133" s="22" t="n"/>
      <c r="L133" s="20">
        <f>IF(E133="","",E133+IF(F133="",IFERROR(VLOOKUP(C133,Parametros!$E:$F,2,0),0),F133))</f>
        <v/>
      </c>
      <c r="M133" s="21">
        <f>IF(E133="","",IF(G133="",IF(TODAY()&gt;L133,"Atrasada","Em aberto"),IF(G133&lt;=L133,"No prazo","Com atraso")))</f>
        <v/>
      </c>
      <c r="N133" s="18">
        <f>IF(E133="","",MAX(0,IF(G133="",TODAY(),G133)-L133))</f>
        <v/>
      </c>
    </row>
    <row r="134">
      <c r="E134" s="22" t="n"/>
      <c r="G134" s="22" t="n"/>
      <c r="I134" s="22" t="n"/>
      <c r="L134" s="20">
        <f>IF(E134="","",E134+IF(F134="",IFERROR(VLOOKUP(C134,Parametros!$E:$F,2,0),0),F134))</f>
        <v/>
      </c>
      <c r="M134" s="21">
        <f>IF(E134="","",IF(G134="",IF(TODAY()&gt;L134,"Atrasada","Em aberto"),IF(G134&lt;=L134,"No prazo","Com atraso")))</f>
        <v/>
      </c>
      <c r="N134" s="18">
        <f>IF(E134="","",MAX(0,IF(G134="",TODAY(),G134)-L134))</f>
        <v/>
      </c>
    </row>
    <row r="135">
      <c r="E135" s="22" t="n"/>
      <c r="G135" s="22" t="n"/>
      <c r="I135" s="22" t="n"/>
      <c r="L135" s="20">
        <f>IF(E135="","",E135+IF(F135="",IFERROR(VLOOKUP(C135,Parametros!$E:$F,2,0),0),F135))</f>
        <v/>
      </c>
      <c r="M135" s="21">
        <f>IF(E135="","",IF(G135="",IF(TODAY()&gt;L135,"Atrasada","Em aberto"),IF(G135&lt;=L135,"No prazo","Com atraso")))</f>
        <v/>
      </c>
      <c r="N135" s="18">
        <f>IF(E135="","",MAX(0,IF(G135="",TODAY(),G135)-L135))</f>
        <v/>
      </c>
    </row>
    <row r="136">
      <c r="E136" s="22" t="n"/>
      <c r="G136" s="22" t="n"/>
      <c r="I136" s="22" t="n"/>
      <c r="L136" s="20">
        <f>IF(E136="","",E136+IF(F136="",IFERROR(VLOOKUP(C136,Parametros!$E:$F,2,0),0),F136))</f>
        <v/>
      </c>
      <c r="M136" s="21">
        <f>IF(E136="","",IF(G136="",IF(TODAY()&gt;L136,"Atrasada","Em aberto"),IF(G136&lt;=L136,"No prazo","Com atraso")))</f>
        <v/>
      </c>
      <c r="N136" s="18">
        <f>IF(E136="","",MAX(0,IF(G136="",TODAY(),G136)-L136))</f>
        <v/>
      </c>
    </row>
    <row r="137">
      <c r="E137" s="22" t="n"/>
      <c r="G137" s="22" t="n"/>
      <c r="I137" s="22" t="n"/>
      <c r="L137" s="20">
        <f>IF(E137="","",E137+IF(F137="",IFERROR(VLOOKUP(C137,Parametros!$E:$F,2,0),0),F137))</f>
        <v/>
      </c>
      <c r="M137" s="21">
        <f>IF(E137="","",IF(G137="",IF(TODAY()&gt;L137,"Atrasada","Em aberto"),IF(G137&lt;=L137,"No prazo","Com atraso")))</f>
        <v/>
      </c>
      <c r="N137" s="18">
        <f>IF(E137="","",MAX(0,IF(G137="",TODAY(),G137)-L137))</f>
        <v/>
      </c>
    </row>
    <row r="138">
      <c r="E138" s="22" t="n"/>
      <c r="G138" s="22" t="n"/>
      <c r="I138" s="22" t="n"/>
      <c r="L138" s="20">
        <f>IF(E138="","",E138+IF(F138="",IFERROR(VLOOKUP(C138,Parametros!$E:$F,2,0),0),F138))</f>
        <v/>
      </c>
      <c r="M138" s="21">
        <f>IF(E138="","",IF(G138="",IF(TODAY()&gt;L138,"Atrasada","Em aberto"),IF(G138&lt;=L138,"No prazo","Com atraso")))</f>
        <v/>
      </c>
      <c r="N138" s="18">
        <f>IF(E138="","",MAX(0,IF(G138="",TODAY(),G138)-L138))</f>
        <v/>
      </c>
    </row>
    <row r="139">
      <c r="E139" s="22" t="n"/>
      <c r="G139" s="22" t="n"/>
      <c r="I139" s="22" t="n"/>
      <c r="L139" s="20">
        <f>IF(E139="","",E139+IF(F139="",IFERROR(VLOOKUP(C139,Parametros!$E:$F,2,0),0),F139))</f>
        <v/>
      </c>
      <c r="M139" s="21">
        <f>IF(E139="","",IF(G139="",IF(TODAY()&gt;L139,"Atrasada","Em aberto"),IF(G139&lt;=L139,"No prazo","Com atraso")))</f>
        <v/>
      </c>
      <c r="N139" s="18">
        <f>IF(E139="","",MAX(0,IF(G139="",TODAY(),G139)-L139))</f>
        <v/>
      </c>
    </row>
    <row r="140">
      <c r="E140" s="22" t="n"/>
      <c r="G140" s="22" t="n"/>
      <c r="I140" s="22" t="n"/>
      <c r="L140" s="20">
        <f>IF(E140="","",E140+IF(F140="",IFERROR(VLOOKUP(C140,Parametros!$E:$F,2,0),0),F140))</f>
        <v/>
      </c>
      <c r="M140" s="21">
        <f>IF(E140="","",IF(G140="",IF(TODAY()&gt;L140,"Atrasada","Em aberto"),IF(G140&lt;=L140,"No prazo","Com atraso")))</f>
        <v/>
      </c>
      <c r="N140" s="18">
        <f>IF(E140="","",MAX(0,IF(G140="",TODAY(),G140)-L140))</f>
        <v/>
      </c>
    </row>
    <row r="141">
      <c r="E141" s="22" t="n"/>
      <c r="G141" s="22" t="n"/>
      <c r="I141" s="22" t="n"/>
      <c r="L141" s="20">
        <f>IF(E141="","",E141+IF(F141="",IFERROR(VLOOKUP(C141,Parametros!$E:$F,2,0),0),F141))</f>
        <v/>
      </c>
      <c r="M141" s="21">
        <f>IF(E141="","",IF(G141="",IF(TODAY()&gt;L141,"Atrasada","Em aberto"),IF(G141&lt;=L141,"No prazo","Com atraso")))</f>
        <v/>
      </c>
      <c r="N141" s="18">
        <f>IF(E141="","",MAX(0,IF(G141="",TODAY(),G141)-L141))</f>
        <v/>
      </c>
    </row>
    <row r="142">
      <c r="E142" s="22" t="n"/>
      <c r="G142" s="22" t="n"/>
      <c r="I142" s="22" t="n"/>
      <c r="L142" s="20">
        <f>IF(E142="","",E142+IF(F142="",IFERROR(VLOOKUP(C142,Parametros!$E:$F,2,0),0),F142))</f>
        <v/>
      </c>
      <c r="M142" s="21">
        <f>IF(E142="","",IF(G142="",IF(TODAY()&gt;L142,"Atrasada","Em aberto"),IF(G142&lt;=L142,"No prazo","Com atraso")))</f>
        <v/>
      </c>
      <c r="N142" s="18">
        <f>IF(E142="","",MAX(0,IF(G142="",TODAY(),G142)-L142))</f>
        <v/>
      </c>
    </row>
    <row r="143">
      <c r="E143" s="22" t="n"/>
      <c r="G143" s="22" t="n"/>
      <c r="I143" s="22" t="n"/>
      <c r="L143" s="20">
        <f>IF(E143="","",E143+IF(F143="",IFERROR(VLOOKUP(C143,Parametros!$E:$F,2,0),0),F143))</f>
        <v/>
      </c>
      <c r="M143" s="21">
        <f>IF(E143="","",IF(G143="",IF(TODAY()&gt;L143,"Atrasada","Em aberto"),IF(G143&lt;=L143,"No prazo","Com atraso")))</f>
        <v/>
      </c>
      <c r="N143" s="18">
        <f>IF(E143="","",MAX(0,IF(G143="",TODAY(),G143)-L143))</f>
        <v/>
      </c>
    </row>
    <row r="144">
      <c r="E144" s="22" t="n"/>
      <c r="G144" s="22" t="n"/>
      <c r="I144" s="22" t="n"/>
      <c r="L144" s="20">
        <f>IF(E144="","",E144+IF(F144="",IFERROR(VLOOKUP(C144,Parametros!$E:$F,2,0),0),F144))</f>
        <v/>
      </c>
      <c r="M144" s="21">
        <f>IF(E144="","",IF(G144="",IF(TODAY()&gt;L144,"Atrasada","Em aberto"),IF(G144&lt;=L144,"No prazo","Com atraso")))</f>
        <v/>
      </c>
      <c r="N144" s="18">
        <f>IF(E144="","",MAX(0,IF(G144="",TODAY(),G144)-L144))</f>
        <v/>
      </c>
    </row>
    <row r="145">
      <c r="E145" s="22" t="n"/>
      <c r="G145" s="22" t="n"/>
      <c r="I145" s="22" t="n"/>
      <c r="L145" s="20">
        <f>IF(E145="","",E145+IF(F145="",IFERROR(VLOOKUP(C145,Parametros!$E:$F,2,0),0),F145))</f>
        <v/>
      </c>
      <c r="M145" s="21">
        <f>IF(E145="","",IF(G145="",IF(TODAY()&gt;L145,"Atrasada","Em aberto"),IF(G145&lt;=L145,"No prazo","Com atraso")))</f>
        <v/>
      </c>
      <c r="N145" s="18">
        <f>IF(E145="","",MAX(0,IF(G145="",TODAY(),G145)-L145))</f>
        <v/>
      </c>
    </row>
    <row r="146">
      <c r="E146" s="22" t="n"/>
      <c r="G146" s="22" t="n"/>
      <c r="I146" s="22" t="n"/>
      <c r="L146" s="20">
        <f>IF(E146="","",E146+IF(F146="",IFERROR(VLOOKUP(C146,Parametros!$E:$F,2,0),0),F146))</f>
        <v/>
      </c>
      <c r="M146" s="21">
        <f>IF(E146="","",IF(G146="",IF(TODAY()&gt;L146,"Atrasada","Em aberto"),IF(G146&lt;=L146,"No prazo","Com atraso")))</f>
        <v/>
      </c>
      <c r="N146" s="18">
        <f>IF(E146="","",MAX(0,IF(G146="",TODAY(),G146)-L146))</f>
        <v/>
      </c>
    </row>
    <row r="147">
      <c r="E147" s="22" t="n"/>
      <c r="G147" s="22" t="n"/>
      <c r="I147" s="22" t="n"/>
      <c r="L147" s="20">
        <f>IF(E147="","",E147+IF(F147="",IFERROR(VLOOKUP(C147,Parametros!$E:$F,2,0),0),F147))</f>
        <v/>
      </c>
      <c r="M147" s="21">
        <f>IF(E147="","",IF(G147="",IF(TODAY()&gt;L147,"Atrasada","Em aberto"),IF(G147&lt;=L147,"No prazo","Com atraso")))</f>
        <v/>
      </c>
      <c r="N147" s="18">
        <f>IF(E147="","",MAX(0,IF(G147="",TODAY(),G147)-L147))</f>
        <v/>
      </c>
    </row>
    <row r="148">
      <c r="E148" s="22" t="n"/>
      <c r="G148" s="22" t="n"/>
      <c r="I148" s="22" t="n"/>
      <c r="L148" s="20">
        <f>IF(E148="","",E148+IF(F148="",IFERROR(VLOOKUP(C148,Parametros!$E:$F,2,0),0),F148))</f>
        <v/>
      </c>
      <c r="M148" s="21">
        <f>IF(E148="","",IF(G148="",IF(TODAY()&gt;L148,"Atrasada","Em aberto"),IF(G148&lt;=L148,"No prazo","Com atraso")))</f>
        <v/>
      </c>
      <c r="N148" s="18">
        <f>IF(E148="","",MAX(0,IF(G148="",TODAY(),G148)-L148))</f>
        <v/>
      </c>
    </row>
    <row r="149">
      <c r="E149" s="22" t="n"/>
      <c r="G149" s="22" t="n"/>
      <c r="I149" s="22" t="n"/>
      <c r="L149" s="20">
        <f>IF(E149="","",E149+IF(F149="",IFERROR(VLOOKUP(C149,Parametros!$E:$F,2,0),0),F149))</f>
        <v/>
      </c>
      <c r="M149" s="21">
        <f>IF(E149="","",IF(G149="",IF(TODAY()&gt;L149,"Atrasada","Em aberto"),IF(G149&lt;=L149,"No prazo","Com atraso")))</f>
        <v/>
      </c>
      <c r="N149" s="18">
        <f>IF(E149="","",MAX(0,IF(G149="",TODAY(),G149)-L149))</f>
        <v/>
      </c>
    </row>
    <row r="150">
      <c r="E150" s="22" t="n"/>
      <c r="G150" s="22" t="n"/>
      <c r="I150" s="22" t="n"/>
      <c r="L150" s="20">
        <f>IF(E150="","",E150+IF(F150="",IFERROR(VLOOKUP(C150,Parametros!$E:$F,2,0),0),F150))</f>
        <v/>
      </c>
      <c r="M150" s="21">
        <f>IF(E150="","",IF(G150="",IF(TODAY()&gt;L150,"Atrasada","Em aberto"),IF(G150&lt;=L150,"No prazo","Com atraso")))</f>
        <v/>
      </c>
      <c r="N150" s="18">
        <f>IF(E150="","",MAX(0,IF(G150="",TODAY(),G150)-L150))</f>
        <v/>
      </c>
    </row>
    <row r="151">
      <c r="E151" s="22" t="n"/>
      <c r="G151" s="22" t="n"/>
      <c r="I151" s="22" t="n"/>
      <c r="L151" s="20">
        <f>IF(E151="","",E151+IF(F151="",IFERROR(VLOOKUP(C151,Parametros!$E:$F,2,0),0),F151))</f>
        <v/>
      </c>
      <c r="M151" s="21">
        <f>IF(E151="","",IF(G151="",IF(TODAY()&gt;L151,"Atrasada","Em aberto"),IF(G151&lt;=L151,"No prazo","Com atraso")))</f>
        <v/>
      </c>
      <c r="N151" s="18">
        <f>IF(E151="","",MAX(0,IF(G151="",TODAY(),G151)-L151))</f>
        <v/>
      </c>
    </row>
    <row r="152">
      <c r="E152" s="22" t="n"/>
      <c r="G152" s="22" t="n"/>
      <c r="I152" s="22" t="n"/>
      <c r="L152" s="20">
        <f>IF(E152="","",E152+IF(F152="",IFERROR(VLOOKUP(C152,Parametros!$E:$F,2,0),0),F152))</f>
        <v/>
      </c>
      <c r="M152" s="21">
        <f>IF(E152="","",IF(G152="",IF(TODAY()&gt;L152,"Atrasada","Em aberto"),IF(G152&lt;=L152,"No prazo","Com atraso")))</f>
        <v/>
      </c>
      <c r="N152" s="18">
        <f>IF(E152="","",MAX(0,IF(G152="",TODAY(),G152)-L152))</f>
        <v/>
      </c>
    </row>
    <row r="153">
      <c r="E153" s="22" t="n"/>
      <c r="G153" s="22" t="n"/>
      <c r="I153" s="22" t="n"/>
      <c r="L153" s="20">
        <f>IF(E153="","",E153+IF(F153="",IFERROR(VLOOKUP(C153,Parametros!$E:$F,2,0),0),F153))</f>
        <v/>
      </c>
      <c r="M153" s="21">
        <f>IF(E153="","",IF(G153="",IF(TODAY()&gt;L153,"Atrasada","Em aberto"),IF(G153&lt;=L153,"No prazo","Com atraso")))</f>
        <v/>
      </c>
      <c r="N153" s="18">
        <f>IF(E153="","",MAX(0,IF(G153="",TODAY(),G153)-L153))</f>
        <v/>
      </c>
    </row>
    <row r="154">
      <c r="E154" s="22" t="n"/>
      <c r="G154" s="22" t="n"/>
      <c r="I154" s="22" t="n"/>
      <c r="L154" s="20">
        <f>IF(E154="","",E154+IF(F154="",IFERROR(VLOOKUP(C154,Parametros!$E:$F,2,0),0),F154))</f>
        <v/>
      </c>
      <c r="M154" s="21">
        <f>IF(E154="","",IF(G154="",IF(TODAY()&gt;L154,"Atrasada","Em aberto"),IF(G154&lt;=L154,"No prazo","Com atraso")))</f>
        <v/>
      </c>
      <c r="N154" s="18">
        <f>IF(E154="","",MAX(0,IF(G154="",TODAY(),G154)-L154))</f>
        <v/>
      </c>
    </row>
    <row r="155">
      <c r="E155" s="22" t="n"/>
      <c r="G155" s="22" t="n"/>
      <c r="I155" s="22" t="n"/>
      <c r="L155" s="20">
        <f>IF(E155="","",E155+IF(F155="",IFERROR(VLOOKUP(C155,Parametros!$E:$F,2,0),0),F155))</f>
        <v/>
      </c>
      <c r="M155" s="21">
        <f>IF(E155="","",IF(G155="",IF(TODAY()&gt;L155,"Atrasada","Em aberto"),IF(G155&lt;=L155,"No prazo","Com atraso")))</f>
        <v/>
      </c>
      <c r="N155" s="18">
        <f>IF(E155="","",MAX(0,IF(G155="",TODAY(),G155)-L155))</f>
        <v/>
      </c>
    </row>
    <row r="156">
      <c r="E156" s="22" t="n"/>
      <c r="G156" s="22" t="n"/>
      <c r="I156" s="22" t="n"/>
      <c r="L156" s="20">
        <f>IF(E156="","",E156+IF(F156="",IFERROR(VLOOKUP(C156,Parametros!$E:$F,2,0),0),F156))</f>
        <v/>
      </c>
      <c r="M156" s="21">
        <f>IF(E156="","",IF(G156="",IF(TODAY()&gt;L156,"Atrasada","Em aberto"),IF(G156&lt;=L156,"No prazo","Com atraso")))</f>
        <v/>
      </c>
      <c r="N156" s="18">
        <f>IF(E156="","",MAX(0,IF(G156="",TODAY(),G156)-L156))</f>
        <v/>
      </c>
    </row>
    <row r="157">
      <c r="E157" s="22" t="n"/>
      <c r="G157" s="22" t="n"/>
      <c r="I157" s="22" t="n"/>
      <c r="L157" s="20">
        <f>IF(E157="","",E157+IF(F157="",IFERROR(VLOOKUP(C157,Parametros!$E:$F,2,0),0),F157))</f>
        <v/>
      </c>
      <c r="M157" s="21">
        <f>IF(E157="","",IF(G157="",IF(TODAY()&gt;L157,"Atrasada","Em aberto"),IF(G157&lt;=L157,"No prazo","Com atraso")))</f>
        <v/>
      </c>
      <c r="N157" s="18">
        <f>IF(E157="","",MAX(0,IF(G157="",TODAY(),G157)-L157))</f>
        <v/>
      </c>
    </row>
    <row r="158">
      <c r="E158" s="22" t="n"/>
      <c r="G158" s="22" t="n"/>
      <c r="I158" s="22" t="n"/>
      <c r="L158" s="20">
        <f>IF(E158="","",E158+IF(F158="",IFERROR(VLOOKUP(C158,Parametros!$E:$F,2,0),0),F158))</f>
        <v/>
      </c>
      <c r="M158" s="21">
        <f>IF(E158="","",IF(G158="",IF(TODAY()&gt;L158,"Atrasada","Em aberto"),IF(G158&lt;=L158,"No prazo","Com atraso")))</f>
        <v/>
      </c>
      <c r="N158" s="18">
        <f>IF(E158="","",MAX(0,IF(G158="",TODAY(),G158)-L158))</f>
        <v/>
      </c>
    </row>
    <row r="159">
      <c r="E159" s="22" t="n"/>
      <c r="G159" s="22" t="n"/>
      <c r="I159" s="22" t="n"/>
      <c r="L159" s="20">
        <f>IF(E159="","",E159+IF(F159="",IFERROR(VLOOKUP(C159,Parametros!$E:$F,2,0),0),F159))</f>
        <v/>
      </c>
      <c r="M159" s="21">
        <f>IF(E159="","",IF(G159="",IF(TODAY()&gt;L159,"Atrasada","Em aberto"),IF(G159&lt;=L159,"No prazo","Com atraso")))</f>
        <v/>
      </c>
      <c r="N159" s="18">
        <f>IF(E159="","",MAX(0,IF(G159="",TODAY(),G159)-L159))</f>
        <v/>
      </c>
    </row>
    <row r="160">
      <c r="E160" s="22" t="n"/>
      <c r="G160" s="22" t="n"/>
      <c r="I160" s="22" t="n"/>
      <c r="L160" s="20">
        <f>IF(E160="","",E160+IF(F160="",IFERROR(VLOOKUP(C160,Parametros!$E:$F,2,0),0),F160))</f>
        <v/>
      </c>
      <c r="M160" s="21">
        <f>IF(E160="","",IF(G160="",IF(TODAY()&gt;L160,"Atrasada","Em aberto"),IF(G160&lt;=L160,"No prazo","Com atraso")))</f>
        <v/>
      </c>
      <c r="N160" s="18">
        <f>IF(E160="","",MAX(0,IF(G160="",TODAY(),G160)-L160))</f>
        <v/>
      </c>
    </row>
    <row r="161">
      <c r="E161" s="22" t="n"/>
      <c r="G161" s="22" t="n"/>
      <c r="I161" s="22" t="n"/>
      <c r="L161" s="20">
        <f>IF(E161="","",E161+IF(F161="",IFERROR(VLOOKUP(C161,Parametros!$E:$F,2,0),0),F161))</f>
        <v/>
      </c>
      <c r="M161" s="21">
        <f>IF(E161="","",IF(G161="",IF(TODAY()&gt;L161,"Atrasada","Em aberto"),IF(G161&lt;=L161,"No prazo","Com atraso")))</f>
        <v/>
      </c>
      <c r="N161" s="18">
        <f>IF(E161="","",MAX(0,IF(G161="",TODAY(),G161)-L161))</f>
        <v/>
      </c>
    </row>
    <row r="162">
      <c r="E162" s="22" t="n"/>
      <c r="G162" s="22" t="n"/>
      <c r="I162" s="22" t="n"/>
      <c r="L162" s="20">
        <f>IF(E162="","",E162+IF(F162="",IFERROR(VLOOKUP(C162,Parametros!$E:$F,2,0),0),F162))</f>
        <v/>
      </c>
      <c r="M162" s="21">
        <f>IF(E162="","",IF(G162="",IF(TODAY()&gt;L162,"Atrasada","Em aberto"),IF(G162&lt;=L162,"No prazo","Com atraso")))</f>
        <v/>
      </c>
      <c r="N162" s="18">
        <f>IF(E162="","",MAX(0,IF(G162="",TODAY(),G162)-L162))</f>
        <v/>
      </c>
    </row>
    <row r="163">
      <c r="E163" s="22" t="n"/>
      <c r="G163" s="22" t="n"/>
      <c r="I163" s="22" t="n"/>
      <c r="L163" s="20">
        <f>IF(E163="","",E163+IF(F163="",IFERROR(VLOOKUP(C163,Parametros!$E:$F,2,0),0),F163))</f>
        <v/>
      </c>
      <c r="M163" s="21">
        <f>IF(E163="","",IF(G163="",IF(TODAY()&gt;L163,"Atrasada","Em aberto"),IF(G163&lt;=L163,"No prazo","Com atraso")))</f>
        <v/>
      </c>
      <c r="N163" s="18">
        <f>IF(E163="","",MAX(0,IF(G163="",TODAY(),G163)-L163))</f>
        <v/>
      </c>
    </row>
    <row r="164">
      <c r="E164" s="22" t="n"/>
      <c r="G164" s="22" t="n"/>
      <c r="I164" s="22" t="n"/>
      <c r="L164" s="20">
        <f>IF(E164="","",E164+IF(F164="",IFERROR(VLOOKUP(C164,Parametros!$E:$F,2,0),0),F164))</f>
        <v/>
      </c>
      <c r="M164" s="21">
        <f>IF(E164="","",IF(G164="",IF(TODAY()&gt;L164,"Atrasada","Em aberto"),IF(G164&lt;=L164,"No prazo","Com atraso")))</f>
        <v/>
      </c>
      <c r="N164" s="18">
        <f>IF(E164="","",MAX(0,IF(G164="",TODAY(),G164)-L164))</f>
        <v/>
      </c>
    </row>
    <row r="165">
      <c r="E165" s="22" t="n"/>
      <c r="G165" s="22" t="n"/>
      <c r="I165" s="22" t="n"/>
      <c r="L165" s="20">
        <f>IF(E165="","",E165+IF(F165="",IFERROR(VLOOKUP(C165,Parametros!$E:$F,2,0),0),F165))</f>
        <v/>
      </c>
      <c r="M165" s="21">
        <f>IF(E165="","",IF(G165="",IF(TODAY()&gt;L165,"Atrasada","Em aberto"),IF(G165&lt;=L165,"No prazo","Com atraso")))</f>
        <v/>
      </c>
      <c r="N165" s="18">
        <f>IF(E165="","",MAX(0,IF(G165="",TODAY(),G165)-L165))</f>
        <v/>
      </c>
    </row>
    <row r="166">
      <c r="E166" s="22" t="n"/>
      <c r="G166" s="22" t="n"/>
      <c r="I166" s="22" t="n"/>
      <c r="L166" s="20">
        <f>IF(E166="","",E166+IF(F166="",IFERROR(VLOOKUP(C166,Parametros!$E:$F,2,0),0),F166))</f>
        <v/>
      </c>
      <c r="M166" s="21">
        <f>IF(E166="","",IF(G166="",IF(TODAY()&gt;L166,"Atrasada","Em aberto"),IF(G166&lt;=L166,"No prazo","Com atraso")))</f>
        <v/>
      </c>
      <c r="N166" s="18">
        <f>IF(E166="","",MAX(0,IF(G166="",TODAY(),G166)-L166))</f>
        <v/>
      </c>
    </row>
    <row r="167">
      <c r="E167" s="22" t="n"/>
      <c r="G167" s="22" t="n"/>
      <c r="I167" s="22" t="n"/>
      <c r="L167" s="20">
        <f>IF(E167="","",E167+IF(F167="",IFERROR(VLOOKUP(C167,Parametros!$E:$F,2,0),0),F167))</f>
        <v/>
      </c>
      <c r="M167" s="21">
        <f>IF(E167="","",IF(G167="",IF(TODAY()&gt;L167,"Atrasada","Em aberto"),IF(G167&lt;=L167,"No prazo","Com atraso")))</f>
        <v/>
      </c>
      <c r="N167" s="18">
        <f>IF(E167="","",MAX(0,IF(G167="",TODAY(),G167)-L167))</f>
        <v/>
      </c>
    </row>
    <row r="168">
      <c r="E168" s="22" t="n"/>
      <c r="G168" s="22" t="n"/>
      <c r="I168" s="22" t="n"/>
      <c r="L168" s="20">
        <f>IF(E168="","",E168+IF(F168="",IFERROR(VLOOKUP(C168,Parametros!$E:$F,2,0),0),F168))</f>
        <v/>
      </c>
      <c r="M168" s="21">
        <f>IF(E168="","",IF(G168="",IF(TODAY()&gt;L168,"Atrasada","Em aberto"),IF(G168&lt;=L168,"No prazo","Com atraso")))</f>
        <v/>
      </c>
      <c r="N168" s="18">
        <f>IF(E168="","",MAX(0,IF(G168="",TODAY(),G168)-L168))</f>
        <v/>
      </c>
    </row>
    <row r="169">
      <c r="E169" s="22" t="n"/>
      <c r="G169" s="22" t="n"/>
      <c r="I169" s="22" t="n"/>
      <c r="L169" s="20">
        <f>IF(E169="","",E169+IF(F169="",IFERROR(VLOOKUP(C169,Parametros!$E:$F,2,0),0),F169))</f>
        <v/>
      </c>
      <c r="M169" s="21">
        <f>IF(E169="","",IF(G169="",IF(TODAY()&gt;L169,"Atrasada","Em aberto"),IF(G169&lt;=L169,"No prazo","Com atraso")))</f>
        <v/>
      </c>
      <c r="N169" s="18">
        <f>IF(E169="","",MAX(0,IF(G169="",TODAY(),G169)-L169))</f>
        <v/>
      </c>
    </row>
    <row r="170">
      <c r="E170" s="22" t="n"/>
      <c r="G170" s="22" t="n"/>
      <c r="I170" s="22" t="n"/>
      <c r="L170" s="20">
        <f>IF(E170="","",E170+IF(F170="",IFERROR(VLOOKUP(C170,Parametros!$E:$F,2,0),0),F170))</f>
        <v/>
      </c>
      <c r="M170" s="21">
        <f>IF(E170="","",IF(G170="",IF(TODAY()&gt;L170,"Atrasada","Em aberto"),IF(G170&lt;=L170,"No prazo","Com atraso")))</f>
        <v/>
      </c>
      <c r="N170" s="18">
        <f>IF(E170="","",MAX(0,IF(G170="",TODAY(),G170)-L170))</f>
        <v/>
      </c>
    </row>
    <row r="171">
      <c r="E171" s="22" t="n"/>
      <c r="G171" s="22" t="n"/>
      <c r="I171" s="22" t="n"/>
      <c r="L171" s="20">
        <f>IF(E171="","",E171+IF(F171="",IFERROR(VLOOKUP(C171,Parametros!$E:$F,2,0),0),F171))</f>
        <v/>
      </c>
      <c r="M171" s="21">
        <f>IF(E171="","",IF(G171="",IF(TODAY()&gt;L171,"Atrasada","Em aberto"),IF(G171&lt;=L171,"No prazo","Com atraso")))</f>
        <v/>
      </c>
      <c r="N171" s="18">
        <f>IF(E171="","",MAX(0,IF(G171="",TODAY(),G171)-L171))</f>
        <v/>
      </c>
    </row>
    <row r="172">
      <c r="E172" s="22" t="n"/>
      <c r="G172" s="22" t="n"/>
      <c r="I172" s="22" t="n"/>
      <c r="L172" s="20">
        <f>IF(E172="","",E172+IF(F172="",IFERROR(VLOOKUP(C172,Parametros!$E:$F,2,0),0),F172))</f>
        <v/>
      </c>
      <c r="M172" s="21">
        <f>IF(E172="","",IF(G172="",IF(TODAY()&gt;L172,"Atrasada","Em aberto"),IF(G172&lt;=L172,"No prazo","Com atraso")))</f>
        <v/>
      </c>
      <c r="N172" s="18">
        <f>IF(E172="","",MAX(0,IF(G172="",TODAY(),G172)-L172))</f>
        <v/>
      </c>
    </row>
    <row r="173">
      <c r="E173" s="22" t="n"/>
      <c r="G173" s="22" t="n"/>
      <c r="I173" s="22" t="n"/>
      <c r="L173" s="20">
        <f>IF(E173="","",E173+IF(F173="",IFERROR(VLOOKUP(C173,Parametros!$E:$F,2,0),0),F173))</f>
        <v/>
      </c>
      <c r="M173" s="21">
        <f>IF(E173="","",IF(G173="",IF(TODAY()&gt;L173,"Atrasada","Em aberto"),IF(G173&lt;=L173,"No prazo","Com atraso")))</f>
        <v/>
      </c>
      <c r="N173" s="18">
        <f>IF(E173="","",MAX(0,IF(G173="",TODAY(),G173)-L173))</f>
        <v/>
      </c>
    </row>
    <row r="174">
      <c r="E174" s="22" t="n"/>
      <c r="G174" s="22" t="n"/>
      <c r="I174" s="22" t="n"/>
      <c r="L174" s="20">
        <f>IF(E174="","",E174+IF(F174="",IFERROR(VLOOKUP(C174,Parametros!$E:$F,2,0),0),F174))</f>
        <v/>
      </c>
      <c r="M174" s="21">
        <f>IF(E174="","",IF(G174="",IF(TODAY()&gt;L174,"Atrasada","Em aberto"),IF(G174&lt;=L174,"No prazo","Com atraso")))</f>
        <v/>
      </c>
      <c r="N174" s="18">
        <f>IF(E174="","",MAX(0,IF(G174="",TODAY(),G174)-L174))</f>
        <v/>
      </c>
    </row>
    <row r="175">
      <c r="E175" s="22" t="n"/>
      <c r="G175" s="22" t="n"/>
      <c r="I175" s="22" t="n"/>
      <c r="L175" s="20">
        <f>IF(E175="","",E175+IF(F175="",IFERROR(VLOOKUP(C175,Parametros!$E:$F,2,0),0),F175))</f>
        <v/>
      </c>
      <c r="M175" s="21">
        <f>IF(E175="","",IF(G175="",IF(TODAY()&gt;L175,"Atrasada","Em aberto"),IF(G175&lt;=L175,"No prazo","Com atraso")))</f>
        <v/>
      </c>
      <c r="N175" s="18">
        <f>IF(E175="","",MAX(0,IF(G175="",TODAY(),G175)-L175))</f>
        <v/>
      </c>
    </row>
    <row r="176">
      <c r="E176" s="22" t="n"/>
      <c r="G176" s="22" t="n"/>
      <c r="I176" s="22" t="n"/>
      <c r="L176" s="20">
        <f>IF(E176="","",E176+IF(F176="",IFERROR(VLOOKUP(C176,Parametros!$E:$F,2,0),0),F176))</f>
        <v/>
      </c>
      <c r="M176" s="21">
        <f>IF(E176="","",IF(G176="",IF(TODAY()&gt;L176,"Atrasada","Em aberto"),IF(G176&lt;=L176,"No prazo","Com atraso")))</f>
        <v/>
      </c>
      <c r="N176" s="18">
        <f>IF(E176="","",MAX(0,IF(G176="",TODAY(),G176)-L176))</f>
        <v/>
      </c>
    </row>
    <row r="177">
      <c r="E177" s="22" t="n"/>
      <c r="G177" s="22" t="n"/>
      <c r="I177" s="22" t="n"/>
      <c r="L177" s="20">
        <f>IF(E177="","",E177+IF(F177="",IFERROR(VLOOKUP(C177,Parametros!$E:$F,2,0),0),F177))</f>
        <v/>
      </c>
      <c r="M177" s="21">
        <f>IF(E177="","",IF(G177="",IF(TODAY()&gt;L177,"Atrasada","Em aberto"),IF(G177&lt;=L177,"No prazo","Com atraso")))</f>
        <v/>
      </c>
      <c r="N177" s="18">
        <f>IF(E177="","",MAX(0,IF(G177="",TODAY(),G177)-L177))</f>
        <v/>
      </c>
    </row>
    <row r="178">
      <c r="E178" s="22" t="n"/>
      <c r="G178" s="22" t="n"/>
      <c r="I178" s="22" t="n"/>
      <c r="L178" s="20">
        <f>IF(E178="","",E178+IF(F178="",IFERROR(VLOOKUP(C178,Parametros!$E:$F,2,0),0),F178))</f>
        <v/>
      </c>
      <c r="M178" s="21">
        <f>IF(E178="","",IF(G178="",IF(TODAY()&gt;L178,"Atrasada","Em aberto"),IF(G178&lt;=L178,"No prazo","Com atraso")))</f>
        <v/>
      </c>
      <c r="N178" s="18">
        <f>IF(E178="","",MAX(0,IF(G178="",TODAY(),G178)-L178))</f>
        <v/>
      </c>
    </row>
    <row r="179">
      <c r="E179" s="22" t="n"/>
      <c r="G179" s="22" t="n"/>
      <c r="I179" s="22" t="n"/>
      <c r="L179" s="20">
        <f>IF(E179="","",E179+IF(F179="",IFERROR(VLOOKUP(C179,Parametros!$E:$F,2,0),0),F179))</f>
        <v/>
      </c>
      <c r="M179" s="21">
        <f>IF(E179="","",IF(G179="",IF(TODAY()&gt;L179,"Atrasada","Em aberto"),IF(G179&lt;=L179,"No prazo","Com atraso")))</f>
        <v/>
      </c>
      <c r="N179" s="18">
        <f>IF(E179="","",MAX(0,IF(G179="",TODAY(),G179)-L179))</f>
        <v/>
      </c>
    </row>
    <row r="180">
      <c r="E180" s="22" t="n"/>
      <c r="G180" s="22" t="n"/>
      <c r="I180" s="22" t="n"/>
      <c r="L180" s="20">
        <f>IF(E180="","",E180+IF(F180="",IFERROR(VLOOKUP(C180,Parametros!$E:$F,2,0),0),F180))</f>
        <v/>
      </c>
      <c r="M180" s="21">
        <f>IF(E180="","",IF(G180="",IF(TODAY()&gt;L180,"Atrasada","Em aberto"),IF(G180&lt;=L180,"No prazo","Com atraso")))</f>
        <v/>
      </c>
      <c r="N180" s="18">
        <f>IF(E180="","",MAX(0,IF(G180="",TODAY(),G180)-L180))</f>
        <v/>
      </c>
    </row>
    <row r="181">
      <c r="E181" s="22" t="n"/>
      <c r="G181" s="22" t="n"/>
      <c r="I181" s="22" t="n"/>
      <c r="L181" s="20">
        <f>IF(E181="","",E181+IF(F181="",IFERROR(VLOOKUP(C181,Parametros!$E:$F,2,0),0),F181))</f>
        <v/>
      </c>
      <c r="M181" s="21">
        <f>IF(E181="","",IF(G181="",IF(TODAY()&gt;L181,"Atrasada","Em aberto"),IF(G181&lt;=L181,"No prazo","Com atraso")))</f>
        <v/>
      </c>
      <c r="N181" s="18">
        <f>IF(E181="","",MAX(0,IF(G181="",TODAY(),G181)-L181))</f>
        <v/>
      </c>
    </row>
    <row r="182">
      <c r="E182" s="22" t="n"/>
      <c r="G182" s="22" t="n"/>
      <c r="I182" s="22" t="n"/>
      <c r="L182" s="20">
        <f>IF(E182="","",E182+IF(F182="",IFERROR(VLOOKUP(C182,Parametros!$E:$F,2,0),0),F182))</f>
        <v/>
      </c>
      <c r="M182" s="21">
        <f>IF(E182="","",IF(G182="",IF(TODAY()&gt;L182,"Atrasada","Em aberto"),IF(G182&lt;=L182,"No prazo","Com atraso")))</f>
        <v/>
      </c>
      <c r="N182" s="18">
        <f>IF(E182="","",MAX(0,IF(G182="",TODAY(),G182)-L182))</f>
        <v/>
      </c>
    </row>
    <row r="183">
      <c r="E183" s="22" t="n"/>
      <c r="G183" s="22" t="n"/>
      <c r="I183" s="22" t="n"/>
      <c r="L183" s="20">
        <f>IF(E183="","",E183+IF(F183="",IFERROR(VLOOKUP(C183,Parametros!$E:$F,2,0),0),F183))</f>
        <v/>
      </c>
      <c r="M183" s="21">
        <f>IF(E183="","",IF(G183="",IF(TODAY()&gt;L183,"Atrasada","Em aberto"),IF(G183&lt;=L183,"No prazo","Com atraso")))</f>
        <v/>
      </c>
      <c r="N183" s="18">
        <f>IF(E183="","",MAX(0,IF(G183="",TODAY(),G183)-L183))</f>
        <v/>
      </c>
    </row>
    <row r="184">
      <c r="E184" s="22" t="n"/>
      <c r="G184" s="22" t="n"/>
      <c r="I184" s="22" t="n"/>
      <c r="L184" s="20">
        <f>IF(E184="","",E184+IF(F184="",IFERROR(VLOOKUP(C184,Parametros!$E:$F,2,0),0),F184))</f>
        <v/>
      </c>
      <c r="M184" s="21">
        <f>IF(E184="","",IF(G184="",IF(TODAY()&gt;L184,"Atrasada","Em aberto"),IF(G184&lt;=L184,"No prazo","Com atraso")))</f>
        <v/>
      </c>
      <c r="N184" s="18">
        <f>IF(E184="","",MAX(0,IF(G184="",TODAY(),G184)-L184))</f>
        <v/>
      </c>
    </row>
    <row r="185">
      <c r="E185" s="22" t="n"/>
      <c r="G185" s="22" t="n"/>
      <c r="I185" s="22" t="n"/>
      <c r="L185" s="20">
        <f>IF(E185="","",E185+IF(F185="",IFERROR(VLOOKUP(C185,Parametros!$E:$F,2,0),0),F185))</f>
        <v/>
      </c>
      <c r="M185" s="21">
        <f>IF(E185="","",IF(G185="",IF(TODAY()&gt;L185,"Atrasada","Em aberto"),IF(G185&lt;=L185,"No prazo","Com atraso")))</f>
        <v/>
      </c>
      <c r="N185" s="18">
        <f>IF(E185="","",MAX(0,IF(G185="",TODAY(),G185)-L185))</f>
        <v/>
      </c>
    </row>
    <row r="186">
      <c r="E186" s="22" t="n"/>
      <c r="G186" s="22" t="n"/>
      <c r="I186" s="22" t="n"/>
      <c r="L186" s="20">
        <f>IF(E186="","",E186+IF(F186="",IFERROR(VLOOKUP(C186,Parametros!$E:$F,2,0),0),F186))</f>
        <v/>
      </c>
      <c r="M186" s="21">
        <f>IF(E186="","",IF(G186="",IF(TODAY()&gt;L186,"Atrasada","Em aberto"),IF(G186&lt;=L186,"No prazo","Com atraso")))</f>
        <v/>
      </c>
      <c r="N186" s="18">
        <f>IF(E186="","",MAX(0,IF(G186="",TODAY(),G186)-L186))</f>
        <v/>
      </c>
    </row>
    <row r="187">
      <c r="E187" s="22" t="n"/>
      <c r="G187" s="22" t="n"/>
      <c r="I187" s="22" t="n"/>
      <c r="L187" s="20">
        <f>IF(E187="","",E187+IF(F187="",IFERROR(VLOOKUP(C187,Parametros!$E:$F,2,0),0),F187))</f>
        <v/>
      </c>
      <c r="M187" s="21">
        <f>IF(E187="","",IF(G187="",IF(TODAY()&gt;L187,"Atrasada","Em aberto"),IF(G187&lt;=L187,"No prazo","Com atraso")))</f>
        <v/>
      </c>
      <c r="N187" s="18">
        <f>IF(E187="","",MAX(0,IF(G187="",TODAY(),G187)-L187))</f>
        <v/>
      </c>
    </row>
    <row r="188">
      <c r="E188" s="22" t="n"/>
      <c r="G188" s="22" t="n"/>
      <c r="I188" s="22" t="n"/>
      <c r="L188" s="20">
        <f>IF(E188="","",E188+IF(F188="",IFERROR(VLOOKUP(C188,Parametros!$E:$F,2,0),0),F188))</f>
        <v/>
      </c>
      <c r="M188" s="21">
        <f>IF(E188="","",IF(G188="",IF(TODAY()&gt;L188,"Atrasada","Em aberto"),IF(G188&lt;=L188,"No prazo","Com atraso")))</f>
        <v/>
      </c>
      <c r="N188" s="18">
        <f>IF(E188="","",MAX(0,IF(G188="",TODAY(),G188)-L188))</f>
        <v/>
      </c>
    </row>
    <row r="189">
      <c r="E189" s="22" t="n"/>
      <c r="G189" s="22" t="n"/>
      <c r="I189" s="22" t="n"/>
      <c r="L189" s="20">
        <f>IF(E189="","",E189+IF(F189="",IFERROR(VLOOKUP(C189,Parametros!$E:$F,2,0),0),F189))</f>
        <v/>
      </c>
      <c r="M189" s="21">
        <f>IF(E189="","",IF(G189="",IF(TODAY()&gt;L189,"Atrasada","Em aberto"),IF(G189&lt;=L189,"No prazo","Com atraso")))</f>
        <v/>
      </c>
      <c r="N189" s="18">
        <f>IF(E189="","",MAX(0,IF(G189="",TODAY(),G189)-L189))</f>
        <v/>
      </c>
    </row>
    <row r="190">
      <c r="E190" s="22" t="n"/>
      <c r="G190" s="22" t="n"/>
      <c r="I190" s="22" t="n"/>
      <c r="L190" s="20">
        <f>IF(E190="","",E190+IF(F190="",IFERROR(VLOOKUP(C190,Parametros!$E:$F,2,0),0),F190))</f>
        <v/>
      </c>
      <c r="M190" s="21">
        <f>IF(E190="","",IF(G190="",IF(TODAY()&gt;L190,"Atrasada","Em aberto"),IF(G190&lt;=L190,"No prazo","Com atraso")))</f>
        <v/>
      </c>
      <c r="N190" s="18">
        <f>IF(E190="","",MAX(0,IF(G190="",TODAY(),G190)-L190))</f>
        <v/>
      </c>
    </row>
    <row r="191">
      <c r="E191" s="22" t="n"/>
      <c r="G191" s="22" t="n"/>
      <c r="I191" s="22" t="n"/>
      <c r="L191" s="20">
        <f>IF(E191="","",E191+IF(F191="",IFERROR(VLOOKUP(C191,Parametros!$E:$F,2,0),0),F191))</f>
        <v/>
      </c>
      <c r="M191" s="21">
        <f>IF(E191="","",IF(G191="",IF(TODAY()&gt;L191,"Atrasada","Em aberto"),IF(G191&lt;=L191,"No prazo","Com atraso")))</f>
        <v/>
      </c>
      <c r="N191" s="18">
        <f>IF(E191="","",MAX(0,IF(G191="",TODAY(),G191)-L191))</f>
        <v/>
      </c>
    </row>
    <row r="192">
      <c r="E192" s="22" t="n"/>
      <c r="G192" s="22" t="n"/>
      <c r="I192" s="22" t="n"/>
      <c r="L192" s="20">
        <f>IF(E192="","",E192+IF(F192="",IFERROR(VLOOKUP(C192,Parametros!$E:$F,2,0),0),F192))</f>
        <v/>
      </c>
      <c r="M192" s="21">
        <f>IF(E192="","",IF(G192="",IF(TODAY()&gt;L192,"Atrasada","Em aberto"),IF(G192&lt;=L192,"No prazo","Com atraso")))</f>
        <v/>
      </c>
      <c r="N192" s="18">
        <f>IF(E192="","",MAX(0,IF(G192="",TODAY(),G192)-L192))</f>
        <v/>
      </c>
    </row>
    <row r="193">
      <c r="E193" s="22" t="n"/>
      <c r="G193" s="22" t="n"/>
      <c r="I193" s="22" t="n"/>
      <c r="L193" s="20">
        <f>IF(E193="","",E193+IF(F193="",IFERROR(VLOOKUP(C193,Parametros!$E:$F,2,0),0),F193))</f>
        <v/>
      </c>
      <c r="M193" s="21">
        <f>IF(E193="","",IF(G193="",IF(TODAY()&gt;L193,"Atrasada","Em aberto"),IF(G193&lt;=L193,"No prazo","Com atraso")))</f>
        <v/>
      </c>
      <c r="N193" s="18">
        <f>IF(E193="","",MAX(0,IF(G193="",TODAY(),G193)-L193))</f>
        <v/>
      </c>
    </row>
    <row r="194">
      <c r="E194" s="22" t="n"/>
      <c r="G194" s="22" t="n"/>
      <c r="I194" s="22" t="n"/>
      <c r="L194" s="20">
        <f>IF(E194="","",E194+IF(F194="",IFERROR(VLOOKUP(C194,Parametros!$E:$F,2,0),0),F194))</f>
        <v/>
      </c>
      <c r="M194" s="21">
        <f>IF(E194="","",IF(G194="",IF(TODAY()&gt;L194,"Atrasada","Em aberto"),IF(G194&lt;=L194,"No prazo","Com atraso")))</f>
        <v/>
      </c>
      <c r="N194" s="18">
        <f>IF(E194="","",MAX(0,IF(G194="",TODAY(),G194)-L194))</f>
        <v/>
      </c>
    </row>
    <row r="195">
      <c r="E195" s="22" t="n"/>
      <c r="G195" s="22" t="n"/>
      <c r="I195" s="22" t="n"/>
      <c r="L195" s="20">
        <f>IF(E195="","",E195+IF(F195="",IFERROR(VLOOKUP(C195,Parametros!$E:$F,2,0),0),F195))</f>
        <v/>
      </c>
      <c r="M195" s="21">
        <f>IF(E195="","",IF(G195="",IF(TODAY()&gt;L195,"Atrasada","Em aberto"),IF(G195&lt;=L195,"No prazo","Com atraso")))</f>
        <v/>
      </c>
      <c r="N195" s="18">
        <f>IF(E195="","",MAX(0,IF(G195="",TODAY(),G195)-L195))</f>
        <v/>
      </c>
    </row>
    <row r="196">
      <c r="E196" s="22" t="n"/>
      <c r="G196" s="22" t="n"/>
      <c r="I196" s="22" t="n"/>
      <c r="L196" s="20">
        <f>IF(E196="","",E196+IF(F196="",IFERROR(VLOOKUP(C196,Parametros!$E:$F,2,0),0),F196))</f>
        <v/>
      </c>
      <c r="M196" s="21">
        <f>IF(E196="","",IF(G196="",IF(TODAY()&gt;L196,"Atrasada","Em aberto"),IF(G196&lt;=L196,"No prazo","Com atraso")))</f>
        <v/>
      </c>
      <c r="N196" s="18">
        <f>IF(E196="","",MAX(0,IF(G196="",TODAY(),G196)-L196))</f>
        <v/>
      </c>
    </row>
    <row r="197">
      <c r="E197" s="22" t="n"/>
      <c r="G197" s="22" t="n"/>
      <c r="I197" s="22" t="n"/>
      <c r="L197" s="20">
        <f>IF(E197="","",E197+IF(F197="",IFERROR(VLOOKUP(C197,Parametros!$E:$F,2,0),0),F197))</f>
        <v/>
      </c>
      <c r="M197" s="21">
        <f>IF(E197="","",IF(G197="",IF(TODAY()&gt;L197,"Atrasada","Em aberto"),IF(G197&lt;=L197,"No prazo","Com atraso")))</f>
        <v/>
      </c>
      <c r="N197" s="18">
        <f>IF(E197="","",MAX(0,IF(G197="",TODAY(),G197)-L197))</f>
        <v/>
      </c>
    </row>
    <row r="198">
      <c r="E198" s="22" t="n"/>
      <c r="G198" s="22" t="n"/>
      <c r="I198" s="22" t="n"/>
      <c r="L198" s="20">
        <f>IF(E198="","",E198+IF(F198="",IFERROR(VLOOKUP(C198,Parametros!$E:$F,2,0),0),F198))</f>
        <v/>
      </c>
      <c r="M198" s="21">
        <f>IF(E198="","",IF(G198="",IF(TODAY()&gt;L198,"Atrasada","Em aberto"),IF(G198&lt;=L198,"No prazo","Com atraso")))</f>
        <v/>
      </c>
      <c r="N198" s="18">
        <f>IF(E198="","",MAX(0,IF(G198="",TODAY(),G198)-L198))</f>
        <v/>
      </c>
    </row>
    <row r="199">
      <c r="E199" s="22" t="n"/>
      <c r="G199" s="22" t="n"/>
      <c r="I199" s="22" t="n"/>
      <c r="L199" s="20">
        <f>IF(E199="","",E199+IF(F199="",IFERROR(VLOOKUP(C199,Parametros!$E:$F,2,0),0),F199))</f>
        <v/>
      </c>
      <c r="M199" s="21">
        <f>IF(E199="","",IF(G199="",IF(TODAY()&gt;L199,"Atrasada","Em aberto"),IF(G199&lt;=L199,"No prazo","Com atraso")))</f>
        <v/>
      </c>
      <c r="N199" s="18">
        <f>IF(E199="","",MAX(0,IF(G199="",TODAY(),G199)-L199))</f>
        <v/>
      </c>
    </row>
    <row r="200">
      <c r="E200" s="22" t="n"/>
      <c r="G200" s="22" t="n"/>
      <c r="I200" s="22" t="n"/>
      <c r="L200" s="20">
        <f>IF(E200="","",E200+IF(F200="",IFERROR(VLOOKUP(C200,Parametros!$E:$F,2,0),0),F200))</f>
        <v/>
      </c>
      <c r="M200" s="21">
        <f>IF(E200="","",IF(G200="",IF(TODAY()&gt;L200,"Atrasada","Em aberto"),IF(G200&lt;=L200,"No prazo","Com atraso")))</f>
        <v/>
      </c>
      <c r="N200" s="18">
        <f>IF(E200="","",MAX(0,IF(G200="",TODAY(),G200)-L200))</f>
        <v/>
      </c>
    </row>
    <row r="201">
      <c r="E201" s="22" t="n"/>
      <c r="G201" s="22" t="n"/>
      <c r="I201" s="22" t="n"/>
      <c r="L201" s="20">
        <f>IF(E201="","",E201+IF(F201="",IFERROR(VLOOKUP(C201,Parametros!$E:$F,2,0),0),F201))</f>
        <v/>
      </c>
      <c r="M201" s="21">
        <f>IF(E201="","",IF(G201="",IF(TODAY()&gt;L201,"Atrasada","Em aberto"),IF(G201&lt;=L201,"No prazo","Com atraso")))</f>
        <v/>
      </c>
      <c r="N201" s="18">
        <f>IF(E201="","",MAX(0,IF(G201="",TODAY(),G201)-L201))</f>
        <v/>
      </c>
    </row>
    <row r="202">
      <c r="E202" s="22" t="n"/>
      <c r="G202" s="22" t="n"/>
      <c r="I202" s="22" t="n"/>
      <c r="L202" s="20">
        <f>IF(E202="","",E202+IF(F202="",IFERROR(VLOOKUP(C202,Parametros!$E:$F,2,0),0),F202))</f>
        <v/>
      </c>
      <c r="M202" s="21">
        <f>IF(E202="","",IF(G202="",IF(TODAY()&gt;L202,"Atrasada","Em aberto"),IF(G202&lt;=L202,"No prazo","Com atraso")))</f>
        <v/>
      </c>
      <c r="N202" s="18">
        <f>IF(E202="","",MAX(0,IF(G202="",TODAY(),G202)-L202))</f>
        <v/>
      </c>
    </row>
    <row r="203">
      <c r="E203" s="22" t="n"/>
      <c r="G203" s="22" t="n"/>
      <c r="I203" s="22" t="n"/>
      <c r="L203" s="20">
        <f>IF(E203="","",E203+IF(F203="",IFERROR(VLOOKUP(C203,Parametros!$E:$F,2,0),0),F203))</f>
        <v/>
      </c>
      <c r="M203" s="21">
        <f>IF(E203="","",IF(G203="",IF(TODAY()&gt;L203,"Atrasada","Em aberto"),IF(G203&lt;=L203,"No prazo","Com atraso")))</f>
        <v/>
      </c>
      <c r="N203" s="18">
        <f>IF(E203="","",MAX(0,IF(G203="",TODAY(),G203)-L203))</f>
        <v/>
      </c>
    </row>
    <row r="204">
      <c r="E204" s="22" t="n"/>
      <c r="G204" s="22" t="n"/>
      <c r="I204" s="22" t="n"/>
      <c r="L204" s="20">
        <f>IF(E204="","",E204+IF(F204="",IFERROR(VLOOKUP(C204,Parametros!$E:$F,2,0),0),F204))</f>
        <v/>
      </c>
      <c r="M204" s="21">
        <f>IF(E204="","",IF(G204="",IF(TODAY()&gt;L204,"Atrasada","Em aberto"),IF(G204&lt;=L204,"No prazo","Com atraso")))</f>
        <v/>
      </c>
      <c r="N204" s="18">
        <f>IF(E204="","",MAX(0,IF(G204="",TODAY(),G204)-L204))</f>
        <v/>
      </c>
    </row>
    <row r="205">
      <c r="E205" s="22" t="n"/>
      <c r="G205" s="22" t="n"/>
      <c r="I205" s="22" t="n"/>
      <c r="L205" s="20">
        <f>IF(E205="","",E205+IF(F205="",IFERROR(VLOOKUP(C205,Parametros!$E:$F,2,0),0),F205))</f>
        <v/>
      </c>
      <c r="M205" s="21">
        <f>IF(E205="","",IF(G205="",IF(TODAY()&gt;L205,"Atrasada","Em aberto"),IF(G205&lt;=L205,"No prazo","Com atraso")))</f>
        <v/>
      </c>
      <c r="N205" s="18">
        <f>IF(E205="","",MAX(0,IF(G205="",TODAY(),G205)-L205))</f>
        <v/>
      </c>
    </row>
    <row r="206">
      <c r="E206" s="22" t="n"/>
      <c r="G206" s="22" t="n"/>
      <c r="I206" s="22" t="n"/>
      <c r="L206" s="20">
        <f>IF(E206="","",E206+IF(F206="",IFERROR(VLOOKUP(C206,Parametros!$E:$F,2,0),0),F206))</f>
        <v/>
      </c>
      <c r="M206" s="21">
        <f>IF(E206="","",IF(G206="",IF(TODAY()&gt;L206,"Atrasada","Em aberto"),IF(G206&lt;=L206,"No prazo","Com atraso")))</f>
        <v/>
      </c>
      <c r="N206" s="18">
        <f>IF(E206="","",MAX(0,IF(G206="",TODAY(),G206)-L206))</f>
        <v/>
      </c>
    </row>
    <row r="207">
      <c r="E207" s="22" t="n"/>
      <c r="G207" s="22" t="n"/>
      <c r="I207" s="22" t="n"/>
      <c r="L207" s="20">
        <f>IF(E207="","",E207+IF(F207="",IFERROR(VLOOKUP(C207,Parametros!$E:$F,2,0),0),F207))</f>
        <v/>
      </c>
      <c r="M207" s="21">
        <f>IF(E207="","",IF(G207="",IF(TODAY()&gt;L207,"Atrasada","Em aberto"),IF(G207&lt;=L207,"No prazo","Com atraso")))</f>
        <v/>
      </c>
      <c r="N207" s="18">
        <f>IF(E207="","",MAX(0,IF(G207="",TODAY(),G207)-L207))</f>
        <v/>
      </c>
    </row>
    <row r="208">
      <c r="E208" s="22" t="n"/>
      <c r="G208" s="22" t="n"/>
      <c r="I208" s="22" t="n"/>
      <c r="L208" s="20">
        <f>IF(E208="","",E208+IF(F208="",IFERROR(VLOOKUP(C208,Parametros!$E:$F,2,0),0),F208))</f>
        <v/>
      </c>
      <c r="M208" s="21">
        <f>IF(E208="","",IF(G208="",IF(TODAY()&gt;L208,"Atrasada","Em aberto"),IF(G208&lt;=L208,"No prazo","Com atraso")))</f>
        <v/>
      </c>
      <c r="N208" s="18">
        <f>IF(E208="","",MAX(0,IF(G208="",TODAY(),G208)-L208))</f>
        <v/>
      </c>
    </row>
    <row r="209">
      <c r="E209" s="22" t="n"/>
      <c r="G209" s="22" t="n"/>
      <c r="I209" s="22" t="n"/>
      <c r="L209" s="20">
        <f>IF(E209="","",E209+IF(F209="",IFERROR(VLOOKUP(C209,Parametros!$E:$F,2,0),0),F209))</f>
        <v/>
      </c>
      <c r="M209" s="21">
        <f>IF(E209="","",IF(G209="",IF(TODAY()&gt;L209,"Atrasada","Em aberto"),IF(G209&lt;=L209,"No prazo","Com atraso")))</f>
        <v/>
      </c>
      <c r="N209" s="18">
        <f>IF(E209="","",MAX(0,IF(G209="",TODAY(),G209)-L209))</f>
        <v/>
      </c>
    </row>
    <row r="210">
      <c r="E210" s="22" t="n"/>
      <c r="G210" s="22" t="n"/>
      <c r="I210" s="22" t="n"/>
      <c r="L210" s="20">
        <f>IF(E210="","",E210+IF(F210="",IFERROR(VLOOKUP(C210,Parametros!$E:$F,2,0),0),F210))</f>
        <v/>
      </c>
      <c r="M210" s="21">
        <f>IF(E210="","",IF(G210="",IF(TODAY()&gt;L210,"Atrasada","Em aberto"),IF(G210&lt;=L210,"No prazo","Com atraso")))</f>
        <v/>
      </c>
      <c r="N210" s="18">
        <f>IF(E210="","",MAX(0,IF(G210="",TODAY(),G210)-L210))</f>
        <v/>
      </c>
    </row>
    <row r="211">
      <c r="E211" s="22" t="n"/>
      <c r="G211" s="22" t="n"/>
      <c r="I211" s="22" t="n"/>
      <c r="L211" s="20">
        <f>IF(E211="","",E211+IF(F211="",IFERROR(VLOOKUP(C211,Parametros!$E:$F,2,0),0),F211))</f>
        <v/>
      </c>
      <c r="M211" s="21">
        <f>IF(E211="","",IF(G211="",IF(TODAY()&gt;L211,"Atrasada","Em aberto"),IF(G211&lt;=L211,"No prazo","Com atraso")))</f>
        <v/>
      </c>
      <c r="N211" s="18">
        <f>IF(E211="","",MAX(0,IF(G211="",TODAY(),G211)-L211))</f>
        <v/>
      </c>
    </row>
    <row r="212">
      <c r="E212" s="22" t="n"/>
      <c r="G212" s="22" t="n"/>
      <c r="I212" s="22" t="n"/>
      <c r="L212" s="20">
        <f>IF(E212="","",E212+IF(F212="",IFERROR(VLOOKUP(C212,Parametros!$E:$F,2,0),0),F212))</f>
        <v/>
      </c>
      <c r="M212" s="21">
        <f>IF(E212="","",IF(G212="",IF(TODAY()&gt;L212,"Atrasada","Em aberto"),IF(G212&lt;=L212,"No prazo","Com atraso")))</f>
        <v/>
      </c>
      <c r="N212" s="18">
        <f>IF(E212="","",MAX(0,IF(G212="",TODAY(),G212)-L212))</f>
        <v/>
      </c>
    </row>
    <row r="213">
      <c r="E213" s="22" t="n"/>
      <c r="G213" s="22" t="n"/>
      <c r="I213" s="22" t="n"/>
      <c r="L213" s="20">
        <f>IF(E213="","",E213+IF(F213="",IFERROR(VLOOKUP(C213,Parametros!$E:$F,2,0),0),F213))</f>
        <v/>
      </c>
      <c r="M213" s="21">
        <f>IF(E213="","",IF(G213="",IF(TODAY()&gt;L213,"Atrasada","Em aberto"),IF(G213&lt;=L213,"No prazo","Com atraso")))</f>
        <v/>
      </c>
      <c r="N213" s="18">
        <f>IF(E213="","",MAX(0,IF(G213="",TODAY(),G213)-L213))</f>
        <v/>
      </c>
    </row>
    <row r="214">
      <c r="E214" s="22" t="n"/>
      <c r="G214" s="22" t="n"/>
      <c r="I214" s="22" t="n"/>
      <c r="L214" s="20">
        <f>IF(E214="","",E214+IF(F214="",IFERROR(VLOOKUP(C214,Parametros!$E:$F,2,0),0),F214))</f>
        <v/>
      </c>
      <c r="M214" s="21">
        <f>IF(E214="","",IF(G214="",IF(TODAY()&gt;L214,"Atrasada","Em aberto"),IF(G214&lt;=L214,"No prazo","Com atraso")))</f>
        <v/>
      </c>
      <c r="N214" s="18">
        <f>IF(E214="","",MAX(0,IF(G214="",TODAY(),G214)-L214))</f>
        <v/>
      </c>
    </row>
    <row r="215">
      <c r="E215" s="22" t="n"/>
      <c r="G215" s="22" t="n"/>
      <c r="I215" s="22" t="n"/>
      <c r="L215" s="20">
        <f>IF(E215="","",E215+IF(F215="",IFERROR(VLOOKUP(C215,Parametros!$E:$F,2,0),0),F215))</f>
        <v/>
      </c>
      <c r="M215" s="21">
        <f>IF(E215="","",IF(G215="",IF(TODAY()&gt;L215,"Atrasada","Em aberto"),IF(G215&lt;=L215,"No prazo","Com atraso")))</f>
        <v/>
      </c>
      <c r="N215" s="18">
        <f>IF(E215="","",MAX(0,IF(G215="",TODAY(),G215)-L215))</f>
        <v/>
      </c>
    </row>
    <row r="216">
      <c r="E216" s="22" t="n"/>
      <c r="G216" s="22" t="n"/>
      <c r="I216" s="22" t="n"/>
      <c r="L216" s="20">
        <f>IF(E216="","",E216+IF(F216="",IFERROR(VLOOKUP(C216,Parametros!$E:$F,2,0),0),F216))</f>
        <v/>
      </c>
      <c r="M216" s="21">
        <f>IF(E216="","",IF(G216="",IF(TODAY()&gt;L216,"Atrasada","Em aberto"),IF(G216&lt;=L216,"No prazo","Com atraso")))</f>
        <v/>
      </c>
      <c r="N216" s="18">
        <f>IF(E216="","",MAX(0,IF(G216="",TODAY(),G216)-L216))</f>
        <v/>
      </c>
    </row>
    <row r="217">
      <c r="E217" s="22" t="n"/>
      <c r="G217" s="22" t="n"/>
      <c r="I217" s="22" t="n"/>
      <c r="L217" s="20">
        <f>IF(E217="","",E217+IF(F217="",IFERROR(VLOOKUP(C217,Parametros!$E:$F,2,0),0),F217))</f>
        <v/>
      </c>
      <c r="M217" s="21">
        <f>IF(E217="","",IF(G217="",IF(TODAY()&gt;L217,"Atrasada","Em aberto"),IF(G217&lt;=L217,"No prazo","Com atraso")))</f>
        <v/>
      </c>
      <c r="N217" s="18">
        <f>IF(E217="","",MAX(0,IF(G217="",TODAY(),G217)-L217))</f>
        <v/>
      </c>
    </row>
    <row r="218">
      <c r="E218" s="22" t="n"/>
      <c r="G218" s="22" t="n"/>
      <c r="I218" s="22" t="n"/>
      <c r="L218" s="20">
        <f>IF(E218="","",E218+IF(F218="",IFERROR(VLOOKUP(C218,Parametros!$E:$F,2,0),0),F218))</f>
        <v/>
      </c>
      <c r="M218" s="21">
        <f>IF(E218="","",IF(G218="",IF(TODAY()&gt;L218,"Atrasada","Em aberto"),IF(G218&lt;=L218,"No prazo","Com atraso")))</f>
        <v/>
      </c>
      <c r="N218" s="18">
        <f>IF(E218="","",MAX(0,IF(G218="",TODAY(),G218)-L218))</f>
        <v/>
      </c>
    </row>
    <row r="219">
      <c r="E219" s="22" t="n"/>
      <c r="G219" s="22" t="n"/>
      <c r="I219" s="22" t="n"/>
      <c r="L219" s="20">
        <f>IF(E219="","",E219+IF(F219="",IFERROR(VLOOKUP(C219,Parametros!$E:$F,2,0),0),F219))</f>
        <v/>
      </c>
      <c r="M219" s="21">
        <f>IF(E219="","",IF(G219="",IF(TODAY()&gt;L219,"Atrasada","Em aberto"),IF(G219&lt;=L219,"No prazo","Com atraso")))</f>
        <v/>
      </c>
      <c r="N219" s="18">
        <f>IF(E219="","",MAX(0,IF(G219="",TODAY(),G219)-L219))</f>
        <v/>
      </c>
    </row>
    <row r="220">
      <c r="E220" s="22" t="n"/>
      <c r="G220" s="22" t="n"/>
      <c r="I220" s="22" t="n"/>
      <c r="L220" s="20">
        <f>IF(E220="","",E220+IF(F220="",IFERROR(VLOOKUP(C220,Parametros!$E:$F,2,0),0),F220))</f>
        <v/>
      </c>
      <c r="M220" s="21">
        <f>IF(E220="","",IF(G220="",IF(TODAY()&gt;L220,"Atrasada","Em aberto"),IF(G220&lt;=L220,"No prazo","Com atraso")))</f>
        <v/>
      </c>
      <c r="N220" s="18">
        <f>IF(E220="","",MAX(0,IF(G220="",TODAY(),G220)-L220))</f>
        <v/>
      </c>
    </row>
    <row r="221">
      <c r="E221" s="22" t="n"/>
      <c r="G221" s="22" t="n"/>
      <c r="I221" s="22" t="n"/>
      <c r="L221" s="20">
        <f>IF(E221="","",E221+IF(F221="",IFERROR(VLOOKUP(C221,Parametros!$E:$F,2,0),0),F221))</f>
        <v/>
      </c>
      <c r="M221" s="21">
        <f>IF(E221="","",IF(G221="",IF(TODAY()&gt;L221,"Atrasada","Em aberto"),IF(G221&lt;=L221,"No prazo","Com atraso")))</f>
        <v/>
      </c>
      <c r="N221" s="18">
        <f>IF(E221="","",MAX(0,IF(G221="",TODAY(),G221)-L221))</f>
        <v/>
      </c>
    </row>
    <row r="222">
      <c r="E222" s="22" t="n"/>
      <c r="G222" s="22" t="n"/>
      <c r="I222" s="22" t="n"/>
      <c r="L222" s="20">
        <f>IF(E222="","",E222+IF(F222="",IFERROR(VLOOKUP(C222,Parametros!$E:$F,2,0),0),F222))</f>
        <v/>
      </c>
      <c r="M222" s="21">
        <f>IF(E222="","",IF(G222="",IF(TODAY()&gt;L222,"Atrasada","Em aberto"),IF(G222&lt;=L222,"No prazo","Com atraso")))</f>
        <v/>
      </c>
      <c r="N222" s="18">
        <f>IF(E222="","",MAX(0,IF(G222="",TODAY(),G222)-L222))</f>
        <v/>
      </c>
    </row>
    <row r="223">
      <c r="E223" s="22" t="n"/>
      <c r="G223" s="22" t="n"/>
      <c r="I223" s="22" t="n"/>
      <c r="L223" s="20">
        <f>IF(E223="","",E223+IF(F223="",IFERROR(VLOOKUP(C223,Parametros!$E:$F,2,0),0),F223))</f>
        <v/>
      </c>
      <c r="M223" s="21">
        <f>IF(E223="","",IF(G223="",IF(TODAY()&gt;L223,"Atrasada","Em aberto"),IF(G223&lt;=L223,"No prazo","Com atraso")))</f>
        <v/>
      </c>
      <c r="N223" s="18">
        <f>IF(E223="","",MAX(0,IF(G223="",TODAY(),G223)-L223))</f>
        <v/>
      </c>
    </row>
    <row r="224">
      <c r="E224" s="22" t="n"/>
      <c r="G224" s="22" t="n"/>
      <c r="I224" s="22" t="n"/>
      <c r="L224" s="20">
        <f>IF(E224="","",E224+IF(F224="",IFERROR(VLOOKUP(C224,Parametros!$E:$F,2,0),0),F224))</f>
        <v/>
      </c>
      <c r="M224" s="21">
        <f>IF(E224="","",IF(G224="",IF(TODAY()&gt;L224,"Atrasada","Em aberto"),IF(G224&lt;=L224,"No prazo","Com atraso")))</f>
        <v/>
      </c>
      <c r="N224" s="18">
        <f>IF(E224="","",MAX(0,IF(G224="",TODAY(),G224)-L224))</f>
        <v/>
      </c>
    </row>
    <row r="225">
      <c r="E225" s="22" t="n"/>
      <c r="G225" s="22" t="n"/>
      <c r="I225" s="22" t="n"/>
      <c r="L225" s="20">
        <f>IF(E225="","",E225+IF(F225="",IFERROR(VLOOKUP(C225,Parametros!$E:$F,2,0),0),F225))</f>
        <v/>
      </c>
      <c r="M225" s="21">
        <f>IF(E225="","",IF(G225="",IF(TODAY()&gt;L225,"Atrasada","Em aberto"),IF(G225&lt;=L225,"No prazo","Com atraso")))</f>
        <v/>
      </c>
      <c r="N225" s="18">
        <f>IF(E225="","",MAX(0,IF(G225="",TODAY(),G225)-L225))</f>
        <v/>
      </c>
    </row>
    <row r="226">
      <c r="E226" s="22" t="n"/>
      <c r="G226" s="22" t="n"/>
      <c r="I226" s="22" t="n"/>
      <c r="L226" s="20">
        <f>IF(E226="","",E226+IF(F226="",IFERROR(VLOOKUP(C226,Parametros!$E:$F,2,0),0),F226))</f>
        <v/>
      </c>
      <c r="M226" s="21">
        <f>IF(E226="","",IF(G226="",IF(TODAY()&gt;L226,"Atrasada","Em aberto"),IF(G226&lt;=L226,"No prazo","Com atraso")))</f>
        <v/>
      </c>
      <c r="N226" s="18">
        <f>IF(E226="","",MAX(0,IF(G226="",TODAY(),G226)-L226))</f>
        <v/>
      </c>
    </row>
    <row r="227">
      <c r="E227" s="22" t="n"/>
      <c r="G227" s="22" t="n"/>
      <c r="I227" s="22" t="n"/>
      <c r="L227" s="20">
        <f>IF(E227="","",E227+IF(F227="",IFERROR(VLOOKUP(C227,Parametros!$E:$F,2,0),0),F227))</f>
        <v/>
      </c>
      <c r="M227" s="21">
        <f>IF(E227="","",IF(G227="",IF(TODAY()&gt;L227,"Atrasada","Em aberto"),IF(G227&lt;=L227,"No prazo","Com atraso")))</f>
        <v/>
      </c>
      <c r="N227" s="18">
        <f>IF(E227="","",MAX(0,IF(G227="",TODAY(),G227)-L227))</f>
        <v/>
      </c>
    </row>
    <row r="228">
      <c r="E228" s="22" t="n"/>
      <c r="G228" s="22" t="n"/>
      <c r="I228" s="22" t="n"/>
      <c r="L228" s="20">
        <f>IF(E228="","",E228+IF(F228="",IFERROR(VLOOKUP(C228,Parametros!$E:$F,2,0),0),F228))</f>
        <v/>
      </c>
      <c r="M228" s="21">
        <f>IF(E228="","",IF(G228="",IF(TODAY()&gt;L228,"Atrasada","Em aberto"),IF(G228&lt;=L228,"No prazo","Com atraso")))</f>
        <v/>
      </c>
      <c r="N228" s="18">
        <f>IF(E228="","",MAX(0,IF(G228="",TODAY(),G228)-L228))</f>
        <v/>
      </c>
    </row>
    <row r="229">
      <c r="E229" s="22" t="n"/>
      <c r="G229" s="22" t="n"/>
      <c r="I229" s="22" t="n"/>
      <c r="L229" s="20">
        <f>IF(E229="","",E229+IF(F229="",IFERROR(VLOOKUP(C229,Parametros!$E:$F,2,0),0),F229))</f>
        <v/>
      </c>
      <c r="M229" s="21">
        <f>IF(E229="","",IF(G229="",IF(TODAY()&gt;L229,"Atrasada","Em aberto"),IF(G229&lt;=L229,"No prazo","Com atraso")))</f>
        <v/>
      </c>
      <c r="N229" s="18">
        <f>IF(E229="","",MAX(0,IF(G229="",TODAY(),G229)-L229))</f>
        <v/>
      </c>
    </row>
    <row r="230">
      <c r="E230" s="22" t="n"/>
      <c r="G230" s="22" t="n"/>
      <c r="I230" s="22" t="n"/>
      <c r="L230" s="20">
        <f>IF(E230="","",E230+IF(F230="",IFERROR(VLOOKUP(C230,Parametros!$E:$F,2,0),0),F230))</f>
        <v/>
      </c>
      <c r="M230" s="21">
        <f>IF(E230="","",IF(G230="",IF(TODAY()&gt;L230,"Atrasada","Em aberto"),IF(G230&lt;=L230,"No prazo","Com atraso")))</f>
        <v/>
      </c>
      <c r="N230" s="18">
        <f>IF(E230="","",MAX(0,IF(G230="",TODAY(),G230)-L230))</f>
        <v/>
      </c>
    </row>
    <row r="231">
      <c r="E231" s="22" t="n"/>
      <c r="G231" s="22" t="n"/>
      <c r="I231" s="22" t="n"/>
      <c r="L231" s="20">
        <f>IF(E231="","",E231+IF(F231="",IFERROR(VLOOKUP(C231,Parametros!$E:$F,2,0),0),F231))</f>
        <v/>
      </c>
      <c r="M231" s="21">
        <f>IF(E231="","",IF(G231="",IF(TODAY()&gt;L231,"Atrasada","Em aberto"),IF(G231&lt;=L231,"No prazo","Com atraso")))</f>
        <v/>
      </c>
      <c r="N231" s="18">
        <f>IF(E231="","",MAX(0,IF(G231="",TODAY(),G231)-L231))</f>
        <v/>
      </c>
    </row>
    <row r="232">
      <c r="E232" s="22" t="n"/>
      <c r="G232" s="22" t="n"/>
      <c r="I232" s="22" t="n"/>
      <c r="L232" s="20">
        <f>IF(E232="","",E232+IF(F232="",IFERROR(VLOOKUP(C232,Parametros!$E:$F,2,0),0),F232))</f>
        <v/>
      </c>
      <c r="M232" s="21">
        <f>IF(E232="","",IF(G232="",IF(TODAY()&gt;L232,"Atrasada","Em aberto"),IF(G232&lt;=L232,"No prazo","Com atraso")))</f>
        <v/>
      </c>
      <c r="N232" s="18">
        <f>IF(E232="","",MAX(0,IF(G232="",TODAY(),G232)-L232))</f>
        <v/>
      </c>
    </row>
    <row r="233">
      <c r="E233" s="22" t="n"/>
      <c r="G233" s="22" t="n"/>
      <c r="I233" s="22" t="n"/>
      <c r="L233" s="20">
        <f>IF(E233="","",E233+IF(F233="",IFERROR(VLOOKUP(C233,Parametros!$E:$F,2,0),0),F233))</f>
        <v/>
      </c>
      <c r="M233" s="21">
        <f>IF(E233="","",IF(G233="",IF(TODAY()&gt;L233,"Atrasada","Em aberto"),IF(G233&lt;=L233,"No prazo","Com atraso")))</f>
        <v/>
      </c>
      <c r="N233" s="18">
        <f>IF(E233="","",MAX(0,IF(G233="",TODAY(),G233)-L233))</f>
        <v/>
      </c>
    </row>
    <row r="234">
      <c r="E234" s="22" t="n"/>
      <c r="G234" s="22" t="n"/>
      <c r="I234" s="22" t="n"/>
      <c r="L234" s="20">
        <f>IF(E234="","",E234+IF(F234="",IFERROR(VLOOKUP(C234,Parametros!$E:$F,2,0),0),F234))</f>
        <v/>
      </c>
      <c r="M234" s="21">
        <f>IF(E234="","",IF(G234="",IF(TODAY()&gt;L234,"Atrasada","Em aberto"),IF(G234&lt;=L234,"No prazo","Com atraso")))</f>
        <v/>
      </c>
      <c r="N234" s="18">
        <f>IF(E234="","",MAX(0,IF(G234="",TODAY(),G234)-L234))</f>
        <v/>
      </c>
    </row>
    <row r="235">
      <c r="E235" s="22" t="n"/>
      <c r="G235" s="22" t="n"/>
      <c r="I235" s="22" t="n"/>
      <c r="L235" s="20">
        <f>IF(E235="","",E235+IF(F235="",IFERROR(VLOOKUP(C235,Parametros!$E:$F,2,0),0),F235))</f>
        <v/>
      </c>
      <c r="M235" s="21">
        <f>IF(E235="","",IF(G235="",IF(TODAY()&gt;L235,"Atrasada","Em aberto"),IF(G235&lt;=L235,"No prazo","Com atraso")))</f>
        <v/>
      </c>
      <c r="N235" s="18">
        <f>IF(E235="","",MAX(0,IF(G235="",TODAY(),G235)-L235))</f>
        <v/>
      </c>
    </row>
    <row r="236">
      <c r="E236" s="22" t="n"/>
      <c r="G236" s="22" t="n"/>
      <c r="I236" s="22" t="n"/>
      <c r="L236" s="20">
        <f>IF(E236="","",E236+IF(F236="",IFERROR(VLOOKUP(C236,Parametros!$E:$F,2,0),0),F236))</f>
        <v/>
      </c>
      <c r="M236" s="21">
        <f>IF(E236="","",IF(G236="",IF(TODAY()&gt;L236,"Atrasada","Em aberto"),IF(G236&lt;=L236,"No prazo","Com atraso")))</f>
        <v/>
      </c>
      <c r="N236" s="18">
        <f>IF(E236="","",MAX(0,IF(G236="",TODAY(),G236)-L236))</f>
        <v/>
      </c>
    </row>
    <row r="237">
      <c r="E237" s="22" t="n"/>
      <c r="G237" s="22" t="n"/>
      <c r="I237" s="22" t="n"/>
      <c r="L237" s="20">
        <f>IF(E237="","",E237+IF(F237="",IFERROR(VLOOKUP(C237,Parametros!$E:$F,2,0),0),F237))</f>
        <v/>
      </c>
      <c r="M237" s="21">
        <f>IF(E237="","",IF(G237="",IF(TODAY()&gt;L237,"Atrasada","Em aberto"),IF(G237&lt;=L237,"No prazo","Com atraso")))</f>
        <v/>
      </c>
      <c r="N237" s="18">
        <f>IF(E237="","",MAX(0,IF(G237="",TODAY(),G237)-L237))</f>
        <v/>
      </c>
    </row>
    <row r="238">
      <c r="E238" s="22" t="n"/>
      <c r="G238" s="22" t="n"/>
      <c r="I238" s="22" t="n"/>
      <c r="L238" s="20">
        <f>IF(E238="","",E238+IF(F238="",IFERROR(VLOOKUP(C238,Parametros!$E:$F,2,0),0),F238))</f>
        <v/>
      </c>
      <c r="M238" s="21">
        <f>IF(E238="","",IF(G238="",IF(TODAY()&gt;L238,"Atrasada","Em aberto"),IF(G238&lt;=L238,"No prazo","Com atraso")))</f>
        <v/>
      </c>
      <c r="N238" s="18">
        <f>IF(E238="","",MAX(0,IF(G238="",TODAY(),G238)-L238))</f>
        <v/>
      </c>
    </row>
    <row r="239">
      <c r="E239" s="22" t="n"/>
      <c r="G239" s="22" t="n"/>
      <c r="I239" s="22" t="n"/>
      <c r="L239" s="20">
        <f>IF(E239="","",E239+IF(F239="",IFERROR(VLOOKUP(C239,Parametros!$E:$F,2,0),0),F239))</f>
        <v/>
      </c>
      <c r="M239" s="21">
        <f>IF(E239="","",IF(G239="",IF(TODAY()&gt;L239,"Atrasada","Em aberto"),IF(G239&lt;=L239,"No prazo","Com atraso")))</f>
        <v/>
      </c>
      <c r="N239" s="18">
        <f>IF(E239="","",MAX(0,IF(G239="",TODAY(),G239)-L239))</f>
        <v/>
      </c>
    </row>
    <row r="240">
      <c r="E240" s="22" t="n"/>
      <c r="G240" s="22" t="n"/>
      <c r="I240" s="22" t="n"/>
      <c r="L240" s="20">
        <f>IF(E240="","",E240+IF(F240="",IFERROR(VLOOKUP(C240,Parametros!$E:$F,2,0),0),F240))</f>
        <v/>
      </c>
      <c r="M240" s="21">
        <f>IF(E240="","",IF(G240="",IF(TODAY()&gt;L240,"Atrasada","Em aberto"),IF(G240&lt;=L240,"No prazo","Com atraso")))</f>
        <v/>
      </c>
      <c r="N240" s="18">
        <f>IF(E240="","",MAX(0,IF(G240="",TODAY(),G240)-L240))</f>
        <v/>
      </c>
    </row>
    <row r="241">
      <c r="E241" s="22" t="n"/>
      <c r="G241" s="22" t="n"/>
      <c r="I241" s="22" t="n"/>
      <c r="L241" s="20">
        <f>IF(E241="","",E241+IF(F241="",IFERROR(VLOOKUP(C241,Parametros!$E:$F,2,0),0),F241))</f>
        <v/>
      </c>
      <c r="M241" s="21">
        <f>IF(E241="","",IF(G241="",IF(TODAY()&gt;L241,"Atrasada","Em aberto"),IF(G241&lt;=L241,"No prazo","Com atraso")))</f>
        <v/>
      </c>
      <c r="N241" s="18">
        <f>IF(E241="","",MAX(0,IF(G241="",TODAY(),G241)-L241))</f>
        <v/>
      </c>
    </row>
    <row r="242">
      <c r="E242" s="22" t="n"/>
      <c r="G242" s="22" t="n"/>
      <c r="I242" s="22" t="n"/>
      <c r="L242" s="20">
        <f>IF(E242="","",E242+IF(F242="",IFERROR(VLOOKUP(C242,Parametros!$E:$F,2,0),0),F242))</f>
        <v/>
      </c>
      <c r="M242" s="21">
        <f>IF(E242="","",IF(G242="",IF(TODAY()&gt;L242,"Atrasada","Em aberto"),IF(G242&lt;=L242,"No prazo","Com atraso")))</f>
        <v/>
      </c>
      <c r="N242" s="18">
        <f>IF(E242="","",MAX(0,IF(G242="",TODAY(),G242)-L242))</f>
        <v/>
      </c>
    </row>
    <row r="243">
      <c r="E243" s="22" t="n"/>
      <c r="G243" s="22" t="n"/>
      <c r="I243" s="22" t="n"/>
      <c r="L243" s="20">
        <f>IF(E243="","",E243+IF(F243="",IFERROR(VLOOKUP(C243,Parametros!$E:$F,2,0),0),F243))</f>
        <v/>
      </c>
      <c r="M243" s="21">
        <f>IF(E243="","",IF(G243="",IF(TODAY()&gt;L243,"Atrasada","Em aberto"),IF(G243&lt;=L243,"No prazo","Com atraso")))</f>
        <v/>
      </c>
      <c r="N243" s="18">
        <f>IF(E243="","",MAX(0,IF(G243="",TODAY(),G243)-L243))</f>
        <v/>
      </c>
    </row>
    <row r="244">
      <c r="E244" s="22" t="n"/>
      <c r="G244" s="22" t="n"/>
      <c r="I244" s="22" t="n"/>
      <c r="L244" s="20">
        <f>IF(E244="","",E244+IF(F244="",IFERROR(VLOOKUP(C244,Parametros!$E:$F,2,0),0),F244))</f>
        <v/>
      </c>
      <c r="M244" s="21">
        <f>IF(E244="","",IF(G244="",IF(TODAY()&gt;L244,"Atrasada","Em aberto"),IF(G244&lt;=L244,"No prazo","Com atraso")))</f>
        <v/>
      </c>
      <c r="N244" s="18">
        <f>IF(E244="","",MAX(0,IF(G244="",TODAY(),G244)-L244))</f>
        <v/>
      </c>
    </row>
    <row r="245">
      <c r="E245" s="22" t="n"/>
      <c r="G245" s="22" t="n"/>
      <c r="I245" s="22" t="n"/>
      <c r="L245" s="20">
        <f>IF(E245="","",E245+IF(F245="",IFERROR(VLOOKUP(C245,Parametros!$E:$F,2,0),0),F245))</f>
        <v/>
      </c>
      <c r="M245" s="21">
        <f>IF(E245="","",IF(G245="",IF(TODAY()&gt;L245,"Atrasada","Em aberto"),IF(G245&lt;=L245,"No prazo","Com atraso")))</f>
        <v/>
      </c>
      <c r="N245" s="18">
        <f>IF(E245="","",MAX(0,IF(G245="",TODAY(),G245)-L245))</f>
        <v/>
      </c>
    </row>
    <row r="246">
      <c r="E246" s="22" t="n"/>
      <c r="G246" s="22" t="n"/>
      <c r="I246" s="22" t="n"/>
      <c r="L246" s="20">
        <f>IF(E246="","",E246+IF(F246="",IFERROR(VLOOKUP(C246,Parametros!$E:$F,2,0),0),F246))</f>
        <v/>
      </c>
      <c r="M246" s="21">
        <f>IF(E246="","",IF(G246="",IF(TODAY()&gt;L246,"Atrasada","Em aberto"),IF(G246&lt;=L246,"No prazo","Com atraso")))</f>
        <v/>
      </c>
      <c r="N246" s="18">
        <f>IF(E246="","",MAX(0,IF(G246="",TODAY(),G246)-L246))</f>
        <v/>
      </c>
    </row>
    <row r="247">
      <c r="E247" s="22" t="n"/>
      <c r="G247" s="22" t="n"/>
      <c r="I247" s="22" t="n"/>
      <c r="L247" s="20">
        <f>IF(E247="","",E247+IF(F247="",IFERROR(VLOOKUP(C247,Parametros!$E:$F,2,0),0),F247))</f>
        <v/>
      </c>
      <c r="M247" s="21">
        <f>IF(E247="","",IF(G247="",IF(TODAY()&gt;L247,"Atrasada","Em aberto"),IF(G247&lt;=L247,"No prazo","Com atraso")))</f>
        <v/>
      </c>
      <c r="N247" s="18">
        <f>IF(E247="","",MAX(0,IF(G247="",TODAY(),G247)-L247))</f>
        <v/>
      </c>
    </row>
    <row r="248">
      <c r="E248" s="22" t="n"/>
      <c r="G248" s="22" t="n"/>
      <c r="I248" s="22" t="n"/>
      <c r="L248" s="20">
        <f>IF(E248="","",E248+IF(F248="",IFERROR(VLOOKUP(C248,Parametros!$E:$F,2,0),0),F248))</f>
        <v/>
      </c>
      <c r="M248" s="21">
        <f>IF(E248="","",IF(G248="",IF(TODAY()&gt;L248,"Atrasada","Em aberto"),IF(G248&lt;=L248,"No prazo","Com atraso")))</f>
        <v/>
      </c>
      <c r="N248" s="18">
        <f>IF(E248="","",MAX(0,IF(G248="",TODAY(),G248)-L248))</f>
        <v/>
      </c>
    </row>
    <row r="249">
      <c r="E249" s="22" t="n"/>
      <c r="G249" s="22" t="n"/>
      <c r="I249" s="22" t="n"/>
      <c r="L249" s="20">
        <f>IF(E249="","",E249+IF(F249="",IFERROR(VLOOKUP(C249,Parametros!$E:$F,2,0),0),F249))</f>
        <v/>
      </c>
      <c r="M249" s="21">
        <f>IF(E249="","",IF(G249="",IF(TODAY()&gt;L249,"Atrasada","Em aberto"),IF(G249&lt;=L249,"No prazo","Com atraso")))</f>
        <v/>
      </c>
      <c r="N249" s="18">
        <f>IF(E249="","",MAX(0,IF(G249="",TODAY(),G249)-L249))</f>
        <v/>
      </c>
    </row>
    <row r="250">
      <c r="E250" s="22" t="n"/>
      <c r="G250" s="22" t="n"/>
      <c r="I250" s="22" t="n"/>
      <c r="L250" s="20">
        <f>IF(E250="","",E250+IF(F250="",IFERROR(VLOOKUP(C250,Parametros!$E:$F,2,0),0),F250))</f>
        <v/>
      </c>
      <c r="M250" s="21">
        <f>IF(E250="","",IF(G250="",IF(TODAY()&gt;L250,"Atrasada","Em aberto"),IF(G250&lt;=L250,"No prazo","Com atraso")))</f>
        <v/>
      </c>
      <c r="N250" s="18">
        <f>IF(E250="","",MAX(0,IF(G250="",TODAY(),G250)-L250))</f>
        <v/>
      </c>
    </row>
    <row r="251">
      <c r="E251" s="22" t="n"/>
      <c r="G251" s="22" t="n"/>
      <c r="I251" s="22" t="n"/>
      <c r="L251" s="20">
        <f>IF(E251="","",E251+IF(F251="",IFERROR(VLOOKUP(C251,Parametros!$E:$F,2,0),0),F251))</f>
        <v/>
      </c>
      <c r="M251" s="21">
        <f>IF(E251="","",IF(G251="",IF(TODAY()&gt;L251,"Atrasada","Em aberto"),IF(G251&lt;=L251,"No prazo","Com atraso")))</f>
        <v/>
      </c>
      <c r="N251" s="18">
        <f>IF(E251="","",MAX(0,IF(G251="",TODAY(),G251)-L251))</f>
        <v/>
      </c>
    </row>
    <row r="252">
      <c r="E252" s="22" t="n"/>
      <c r="G252" s="22" t="n"/>
      <c r="I252" s="22" t="n"/>
      <c r="L252" s="20">
        <f>IF(E252="","",E252+IF(F252="",IFERROR(VLOOKUP(C252,Parametros!$E:$F,2,0),0),F252))</f>
        <v/>
      </c>
      <c r="M252" s="21">
        <f>IF(E252="","",IF(G252="",IF(TODAY()&gt;L252,"Atrasada","Em aberto"),IF(G252&lt;=L252,"No prazo","Com atraso")))</f>
        <v/>
      </c>
      <c r="N252" s="18">
        <f>IF(E252="","",MAX(0,IF(G252="",TODAY(),G252)-L252))</f>
        <v/>
      </c>
    </row>
    <row r="253">
      <c r="E253" s="22" t="n"/>
      <c r="G253" s="22" t="n"/>
      <c r="I253" s="22" t="n"/>
      <c r="L253" s="20">
        <f>IF(E253="","",E253+IF(F253="",IFERROR(VLOOKUP(C253,Parametros!$E:$F,2,0),0),F253))</f>
        <v/>
      </c>
      <c r="M253" s="21">
        <f>IF(E253="","",IF(G253="",IF(TODAY()&gt;L253,"Atrasada","Em aberto"),IF(G253&lt;=L253,"No prazo","Com atraso")))</f>
        <v/>
      </c>
      <c r="N253" s="18">
        <f>IF(E253="","",MAX(0,IF(G253="",TODAY(),G253)-L253))</f>
        <v/>
      </c>
    </row>
    <row r="254">
      <c r="E254" s="22" t="n"/>
      <c r="G254" s="22" t="n"/>
      <c r="I254" s="22" t="n"/>
      <c r="L254" s="20">
        <f>IF(E254="","",E254+IF(F254="",IFERROR(VLOOKUP(C254,Parametros!$E:$F,2,0),0),F254))</f>
        <v/>
      </c>
      <c r="M254" s="21">
        <f>IF(E254="","",IF(G254="",IF(TODAY()&gt;L254,"Atrasada","Em aberto"),IF(G254&lt;=L254,"No prazo","Com atraso")))</f>
        <v/>
      </c>
      <c r="N254" s="18">
        <f>IF(E254="","",MAX(0,IF(G254="",TODAY(),G254)-L254))</f>
        <v/>
      </c>
    </row>
    <row r="255">
      <c r="E255" s="22" t="n"/>
      <c r="G255" s="22" t="n"/>
      <c r="I255" s="22" t="n"/>
      <c r="L255" s="20">
        <f>IF(E255="","",E255+IF(F255="",IFERROR(VLOOKUP(C255,Parametros!$E:$F,2,0),0),F255))</f>
        <v/>
      </c>
      <c r="M255" s="21">
        <f>IF(E255="","",IF(G255="",IF(TODAY()&gt;L255,"Atrasada","Em aberto"),IF(G255&lt;=L255,"No prazo","Com atraso")))</f>
        <v/>
      </c>
      <c r="N255" s="18">
        <f>IF(E255="","",MAX(0,IF(G255="",TODAY(),G255)-L255))</f>
        <v/>
      </c>
    </row>
    <row r="256">
      <c r="E256" s="22" t="n"/>
      <c r="G256" s="22" t="n"/>
      <c r="I256" s="22" t="n"/>
      <c r="L256" s="20">
        <f>IF(E256="","",E256+IF(F256="",IFERROR(VLOOKUP(C256,Parametros!$E:$F,2,0),0),F256))</f>
        <v/>
      </c>
      <c r="M256" s="21">
        <f>IF(E256="","",IF(G256="",IF(TODAY()&gt;L256,"Atrasada","Em aberto"),IF(G256&lt;=L256,"No prazo","Com atraso")))</f>
        <v/>
      </c>
      <c r="N256" s="18">
        <f>IF(E256="","",MAX(0,IF(G256="",TODAY(),G256)-L256))</f>
        <v/>
      </c>
    </row>
    <row r="257">
      <c r="E257" s="22" t="n"/>
      <c r="G257" s="22" t="n"/>
      <c r="I257" s="22" t="n"/>
      <c r="L257" s="20">
        <f>IF(E257="","",E257+IF(F257="",IFERROR(VLOOKUP(C257,Parametros!$E:$F,2,0),0),F257))</f>
        <v/>
      </c>
      <c r="M257" s="21">
        <f>IF(E257="","",IF(G257="",IF(TODAY()&gt;L257,"Atrasada","Em aberto"),IF(G257&lt;=L257,"No prazo","Com atraso")))</f>
        <v/>
      </c>
      <c r="N257" s="18">
        <f>IF(E257="","",MAX(0,IF(G257="",TODAY(),G257)-L257))</f>
        <v/>
      </c>
    </row>
    <row r="258">
      <c r="E258" s="22" t="n"/>
      <c r="G258" s="22" t="n"/>
      <c r="I258" s="22" t="n"/>
      <c r="L258" s="20">
        <f>IF(E258="","",E258+IF(F258="",IFERROR(VLOOKUP(C258,Parametros!$E:$F,2,0),0),F258))</f>
        <v/>
      </c>
      <c r="M258" s="21">
        <f>IF(E258="","",IF(G258="",IF(TODAY()&gt;L258,"Atrasada","Em aberto"),IF(G258&lt;=L258,"No prazo","Com atraso")))</f>
        <v/>
      </c>
      <c r="N258" s="18">
        <f>IF(E258="","",MAX(0,IF(G258="",TODAY(),G258)-L258))</f>
        <v/>
      </c>
    </row>
    <row r="259">
      <c r="E259" s="22" t="n"/>
      <c r="G259" s="22" t="n"/>
      <c r="I259" s="22" t="n"/>
      <c r="L259" s="20">
        <f>IF(E259="","",E259+IF(F259="",IFERROR(VLOOKUP(C259,Parametros!$E:$F,2,0),0),F259))</f>
        <v/>
      </c>
      <c r="M259" s="21">
        <f>IF(E259="","",IF(G259="",IF(TODAY()&gt;L259,"Atrasada","Em aberto"),IF(G259&lt;=L259,"No prazo","Com atraso")))</f>
        <v/>
      </c>
      <c r="N259" s="18">
        <f>IF(E259="","",MAX(0,IF(G259="",TODAY(),G259)-L259))</f>
        <v/>
      </c>
    </row>
    <row r="260">
      <c r="E260" s="22" t="n"/>
      <c r="G260" s="22" t="n"/>
      <c r="I260" s="22" t="n"/>
      <c r="L260" s="20">
        <f>IF(E260="","",E260+IF(F260="",IFERROR(VLOOKUP(C260,Parametros!$E:$F,2,0),0),F260))</f>
        <v/>
      </c>
      <c r="M260" s="21">
        <f>IF(E260="","",IF(G260="",IF(TODAY()&gt;L260,"Atrasada","Em aberto"),IF(G260&lt;=L260,"No prazo","Com atraso")))</f>
        <v/>
      </c>
      <c r="N260" s="18">
        <f>IF(E260="","",MAX(0,IF(G260="",TODAY(),G260)-L260))</f>
        <v/>
      </c>
    </row>
    <row r="261">
      <c r="E261" s="22" t="n"/>
      <c r="G261" s="22" t="n"/>
      <c r="I261" s="22" t="n"/>
      <c r="L261" s="20">
        <f>IF(E261="","",E261+IF(F261="",IFERROR(VLOOKUP(C261,Parametros!$E:$F,2,0),0),F261))</f>
        <v/>
      </c>
      <c r="M261" s="21">
        <f>IF(E261="","",IF(G261="",IF(TODAY()&gt;L261,"Atrasada","Em aberto"),IF(G261&lt;=L261,"No prazo","Com atraso")))</f>
        <v/>
      </c>
      <c r="N261" s="18">
        <f>IF(E261="","",MAX(0,IF(G261="",TODAY(),G261)-L261))</f>
        <v/>
      </c>
    </row>
    <row r="262">
      <c r="E262" s="22" t="n"/>
      <c r="G262" s="22" t="n"/>
      <c r="I262" s="22" t="n"/>
      <c r="L262" s="20">
        <f>IF(E262="","",E262+IF(F262="",IFERROR(VLOOKUP(C262,Parametros!$E:$F,2,0),0),F262))</f>
        <v/>
      </c>
      <c r="M262" s="21">
        <f>IF(E262="","",IF(G262="",IF(TODAY()&gt;L262,"Atrasada","Em aberto"),IF(G262&lt;=L262,"No prazo","Com atraso")))</f>
        <v/>
      </c>
      <c r="N262" s="18">
        <f>IF(E262="","",MAX(0,IF(G262="",TODAY(),G262)-L262))</f>
        <v/>
      </c>
    </row>
    <row r="263">
      <c r="E263" s="22" t="n"/>
      <c r="G263" s="22" t="n"/>
      <c r="I263" s="22" t="n"/>
      <c r="L263" s="20">
        <f>IF(E263="","",E263+IF(F263="",IFERROR(VLOOKUP(C263,Parametros!$E:$F,2,0),0),F263))</f>
        <v/>
      </c>
      <c r="M263" s="21">
        <f>IF(E263="","",IF(G263="",IF(TODAY()&gt;L263,"Atrasada","Em aberto"),IF(G263&lt;=L263,"No prazo","Com atraso")))</f>
        <v/>
      </c>
      <c r="N263" s="18">
        <f>IF(E263="","",MAX(0,IF(G263="",TODAY(),G263)-L263))</f>
        <v/>
      </c>
    </row>
    <row r="264">
      <c r="E264" s="22" t="n"/>
      <c r="G264" s="22" t="n"/>
      <c r="I264" s="22" t="n"/>
      <c r="L264" s="20">
        <f>IF(E264="","",E264+IF(F264="",IFERROR(VLOOKUP(C264,Parametros!$E:$F,2,0),0),F264))</f>
        <v/>
      </c>
      <c r="M264" s="21">
        <f>IF(E264="","",IF(G264="",IF(TODAY()&gt;L264,"Atrasada","Em aberto"),IF(G264&lt;=L264,"No prazo","Com atraso")))</f>
        <v/>
      </c>
      <c r="N264" s="18">
        <f>IF(E264="","",MAX(0,IF(G264="",TODAY(),G264)-L264))</f>
        <v/>
      </c>
    </row>
    <row r="265">
      <c r="E265" s="22" t="n"/>
      <c r="G265" s="22" t="n"/>
      <c r="I265" s="22" t="n"/>
      <c r="L265" s="20">
        <f>IF(E265="","",E265+IF(F265="",IFERROR(VLOOKUP(C265,Parametros!$E:$F,2,0),0),F265))</f>
        <v/>
      </c>
      <c r="M265" s="21">
        <f>IF(E265="","",IF(G265="",IF(TODAY()&gt;L265,"Atrasada","Em aberto"),IF(G265&lt;=L265,"No prazo","Com atraso")))</f>
        <v/>
      </c>
      <c r="N265" s="18">
        <f>IF(E265="","",MAX(0,IF(G265="",TODAY(),G265)-L265))</f>
        <v/>
      </c>
    </row>
    <row r="266">
      <c r="E266" s="22" t="n"/>
      <c r="G266" s="22" t="n"/>
      <c r="I266" s="22" t="n"/>
      <c r="L266" s="20">
        <f>IF(E266="","",E266+IF(F266="",IFERROR(VLOOKUP(C266,Parametros!$E:$F,2,0),0),F266))</f>
        <v/>
      </c>
      <c r="M266" s="21">
        <f>IF(E266="","",IF(G266="",IF(TODAY()&gt;L266,"Atrasada","Em aberto"),IF(G266&lt;=L266,"No prazo","Com atraso")))</f>
        <v/>
      </c>
      <c r="N266" s="18">
        <f>IF(E266="","",MAX(0,IF(G266="",TODAY(),G266)-L266))</f>
        <v/>
      </c>
    </row>
    <row r="267">
      <c r="E267" s="22" t="n"/>
      <c r="G267" s="22" t="n"/>
      <c r="I267" s="22" t="n"/>
      <c r="L267" s="20">
        <f>IF(E267="","",E267+IF(F267="",IFERROR(VLOOKUP(C267,Parametros!$E:$F,2,0),0),F267))</f>
        <v/>
      </c>
      <c r="M267" s="21">
        <f>IF(E267="","",IF(G267="",IF(TODAY()&gt;L267,"Atrasada","Em aberto"),IF(G267&lt;=L267,"No prazo","Com atraso")))</f>
        <v/>
      </c>
      <c r="N267" s="18">
        <f>IF(E267="","",MAX(0,IF(G267="",TODAY(),G267)-L267))</f>
        <v/>
      </c>
    </row>
    <row r="268">
      <c r="E268" s="22" t="n"/>
      <c r="G268" s="22" t="n"/>
      <c r="I268" s="22" t="n"/>
      <c r="L268" s="20">
        <f>IF(E268="","",E268+IF(F268="",IFERROR(VLOOKUP(C268,Parametros!$E:$F,2,0),0),F268))</f>
        <v/>
      </c>
      <c r="M268" s="21">
        <f>IF(E268="","",IF(G268="",IF(TODAY()&gt;L268,"Atrasada","Em aberto"),IF(G268&lt;=L268,"No prazo","Com atraso")))</f>
        <v/>
      </c>
      <c r="N268" s="18">
        <f>IF(E268="","",MAX(0,IF(G268="",TODAY(),G268)-L268))</f>
        <v/>
      </c>
    </row>
    <row r="269">
      <c r="E269" s="22" t="n"/>
      <c r="G269" s="22" t="n"/>
      <c r="I269" s="22" t="n"/>
      <c r="L269" s="20">
        <f>IF(E269="","",E269+IF(F269="",IFERROR(VLOOKUP(C269,Parametros!$E:$F,2,0),0),F269))</f>
        <v/>
      </c>
      <c r="M269" s="21">
        <f>IF(E269="","",IF(G269="",IF(TODAY()&gt;L269,"Atrasada","Em aberto"),IF(G269&lt;=L269,"No prazo","Com atraso")))</f>
        <v/>
      </c>
      <c r="N269" s="18">
        <f>IF(E269="","",MAX(0,IF(G269="",TODAY(),G269)-L269))</f>
        <v/>
      </c>
    </row>
    <row r="270">
      <c r="E270" s="22" t="n"/>
      <c r="G270" s="22" t="n"/>
      <c r="I270" s="22" t="n"/>
      <c r="L270" s="20">
        <f>IF(E270="","",E270+IF(F270="",IFERROR(VLOOKUP(C270,Parametros!$E:$F,2,0),0),F270))</f>
        <v/>
      </c>
      <c r="M270" s="21">
        <f>IF(E270="","",IF(G270="",IF(TODAY()&gt;L270,"Atrasada","Em aberto"),IF(G270&lt;=L270,"No prazo","Com atraso")))</f>
        <v/>
      </c>
      <c r="N270" s="18">
        <f>IF(E270="","",MAX(0,IF(G270="",TODAY(),G270)-L270))</f>
        <v/>
      </c>
    </row>
    <row r="271">
      <c r="E271" s="22" t="n"/>
      <c r="G271" s="22" t="n"/>
      <c r="I271" s="22" t="n"/>
      <c r="L271" s="20">
        <f>IF(E271="","",E271+IF(F271="",IFERROR(VLOOKUP(C271,Parametros!$E:$F,2,0),0),F271))</f>
        <v/>
      </c>
      <c r="M271" s="21">
        <f>IF(E271="","",IF(G271="",IF(TODAY()&gt;L271,"Atrasada","Em aberto"),IF(G271&lt;=L271,"No prazo","Com atraso")))</f>
        <v/>
      </c>
      <c r="N271" s="18">
        <f>IF(E271="","",MAX(0,IF(G271="",TODAY(),G271)-L271))</f>
        <v/>
      </c>
    </row>
    <row r="272">
      <c r="E272" s="22" t="n"/>
      <c r="G272" s="22" t="n"/>
      <c r="I272" s="22" t="n"/>
      <c r="L272" s="20">
        <f>IF(E272="","",E272+IF(F272="",IFERROR(VLOOKUP(C272,Parametros!$E:$F,2,0),0),F272))</f>
        <v/>
      </c>
      <c r="M272" s="21">
        <f>IF(E272="","",IF(G272="",IF(TODAY()&gt;L272,"Atrasada","Em aberto"),IF(G272&lt;=L272,"No prazo","Com atraso")))</f>
        <v/>
      </c>
      <c r="N272" s="18">
        <f>IF(E272="","",MAX(0,IF(G272="",TODAY(),G272)-L272))</f>
        <v/>
      </c>
    </row>
    <row r="273">
      <c r="E273" s="22" t="n"/>
      <c r="G273" s="22" t="n"/>
      <c r="I273" s="22" t="n"/>
      <c r="L273" s="20">
        <f>IF(E273="","",E273+IF(F273="",IFERROR(VLOOKUP(C273,Parametros!$E:$F,2,0),0),F273))</f>
        <v/>
      </c>
      <c r="M273" s="21">
        <f>IF(E273="","",IF(G273="",IF(TODAY()&gt;L273,"Atrasada","Em aberto"),IF(G273&lt;=L273,"No prazo","Com atraso")))</f>
        <v/>
      </c>
      <c r="N273" s="18">
        <f>IF(E273="","",MAX(0,IF(G273="",TODAY(),G273)-L273))</f>
        <v/>
      </c>
    </row>
    <row r="274">
      <c r="E274" s="22" t="n"/>
      <c r="G274" s="22" t="n"/>
      <c r="I274" s="22" t="n"/>
      <c r="L274" s="20">
        <f>IF(E274="","",E274+IF(F274="",IFERROR(VLOOKUP(C274,Parametros!$E:$F,2,0),0),F274))</f>
        <v/>
      </c>
      <c r="M274" s="21">
        <f>IF(E274="","",IF(G274="",IF(TODAY()&gt;L274,"Atrasada","Em aberto"),IF(G274&lt;=L274,"No prazo","Com atraso")))</f>
        <v/>
      </c>
      <c r="N274" s="18">
        <f>IF(E274="","",MAX(0,IF(G274="",TODAY(),G274)-L274))</f>
        <v/>
      </c>
    </row>
    <row r="275">
      <c r="E275" s="22" t="n"/>
      <c r="G275" s="22" t="n"/>
      <c r="I275" s="22" t="n"/>
      <c r="L275" s="20">
        <f>IF(E275="","",E275+IF(F275="",IFERROR(VLOOKUP(C275,Parametros!$E:$F,2,0),0),F275))</f>
        <v/>
      </c>
      <c r="M275" s="21">
        <f>IF(E275="","",IF(G275="",IF(TODAY()&gt;L275,"Atrasada","Em aberto"),IF(G275&lt;=L275,"No prazo","Com atraso")))</f>
        <v/>
      </c>
      <c r="N275" s="18">
        <f>IF(E275="","",MAX(0,IF(G275="",TODAY(),G275)-L275))</f>
        <v/>
      </c>
    </row>
    <row r="276">
      <c r="E276" s="22" t="n"/>
      <c r="G276" s="22" t="n"/>
      <c r="I276" s="22" t="n"/>
      <c r="L276" s="20">
        <f>IF(E276="","",E276+IF(F276="",IFERROR(VLOOKUP(C276,Parametros!$E:$F,2,0),0),F276))</f>
        <v/>
      </c>
      <c r="M276" s="21">
        <f>IF(E276="","",IF(G276="",IF(TODAY()&gt;L276,"Atrasada","Em aberto"),IF(G276&lt;=L276,"No prazo","Com atraso")))</f>
        <v/>
      </c>
      <c r="N276" s="18">
        <f>IF(E276="","",MAX(0,IF(G276="",TODAY(),G276)-L276))</f>
        <v/>
      </c>
    </row>
    <row r="277">
      <c r="E277" s="22" t="n"/>
      <c r="G277" s="22" t="n"/>
      <c r="I277" s="22" t="n"/>
      <c r="L277" s="20">
        <f>IF(E277="","",E277+IF(F277="",IFERROR(VLOOKUP(C277,Parametros!$E:$F,2,0),0),F277))</f>
        <v/>
      </c>
      <c r="M277" s="21">
        <f>IF(E277="","",IF(G277="",IF(TODAY()&gt;L277,"Atrasada","Em aberto"),IF(G277&lt;=L277,"No prazo","Com atraso")))</f>
        <v/>
      </c>
      <c r="N277" s="18">
        <f>IF(E277="","",MAX(0,IF(G277="",TODAY(),G277)-L277))</f>
        <v/>
      </c>
    </row>
    <row r="278">
      <c r="E278" s="22" t="n"/>
      <c r="G278" s="22" t="n"/>
      <c r="I278" s="22" t="n"/>
      <c r="L278" s="20">
        <f>IF(E278="","",E278+IF(F278="",IFERROR(VLOOKUP(C278,Parametros!$E:$F,2,0),0),F278))</f>
        <v/>
      </c>
      <c r="M278" s="21">
        <f>IF(E278="","",IF(G278="",IF(TODAY()&gt;L278,"Atrasada","Em aberto"),IF(G278&lt;=L278,"No prazo","Com atraso")))</f>
        <v/>
      </c>
      <c r="N278" s="18">
        <f>IF(E278="","",MAX(0,IF(G278="",TODAY(),G278)-L278))</f>
        <v/>
      </c>
    </row>
    <row r="279">
      <c r="E279" s="22" t="n"/>
      <c r="G279" s="22" t="n"/>
      <c r="I279" s="22" t="n"/>
      <c r="L279" s="20">
        <f>IF(E279="","",E279+IF(F279="",IFERROR(VLOOKUP(C279,Parametros!$E:$F,2,0),0),F279))</f>
        <v/>
      </c>
      <c r="M279" s="21">
        <f>IF(E279="","",IF(G279="",IF(TODAY()&gt;L279,"Atrasada","Em aberto"),IF(G279&lt;=L279,"No prazo","Com atraso")))</f>
        <v/>
      </c>
      <c r="N279" s="18">
        <f>IF(E279="","",MAX(0,IF(G279="",TODAY(),G279)-L279))</f>
        <v/>
      </c>
    </row>
    <row r="280">
      <c r="E280" s="22" t="n"/>
      <c r="G280" s="22" t="n"/>
      <c r="I280" s="22" t="n"/>
      <c r="L280" s="20">
        <f>IF(E280="","",E280+IF(F280="",IFERROR(VLOOKUP(C280,Parametros!$E:$F,2,0),0),F280))</f>
        <v/>
      </c>
      <c r="M280" s="21">
        <f>IF(E280="","",IF(G280="",IF(TODAY()&gt;L280,"Atrasada","Em aberto"),IF(G280&lt;=L280,"No prazo","Com atraso")))</f>
        <v/>
      </c>
      <c r="N280" s="18">
        <f>IF(E280="","",MAX(0,IF(G280="",TODAY(),G280)-L280))</f>
        <v/>
      </c>
    </row>
    <row r="281">
      <c r="E281" s="22" t="n"/>
      <c r="G281" s="22" t="n"/>
      <c r="I281" s="22" t="n"/>
      <c r="L281" s="20">
        <f>IF(E281="","",E281+IF(F281="",IFERROR(VLOOKUP(C281,Parametros!$E:$F,2,0),0),F281))</f>
        <v/>
      </c>
      <c r="M281" s="21">
        <f>IF(E281="","",IF(G281="",IF(TODAY()&gt;L281,"Atrasada","Em aberto"),IF(G281&lt;=L281,"No prazo","Com atraso")))</f>
        <v/>
      </c>
      <c r="N281" s="18">
        <f>IF(E281="","",MAX(0,IF(G281="",TODAY(),G281)-L281))</f>
        <v/>
      </c>
    </row>
    <row r="282">
      <c r="E282" s="22" t="n"/>
      <c r="G282" s="22" t="n"/>
      <c r="I282" s="22" t="n"/>
      <c r="L282" s="20">
        <f>IF(E282="","",E282+IF(F282="",IFERROR(VLOOKUP(C282,Parametros!$E:$F,2,0),0),F282))</f>
        <v/>
      </c>
      <c r="M282" s="21">
        <f>IF(E282="","",IF(G282="",IF(TODAY()&gt;L282,"Atrasada","Em aberto"),IF(G282&lt;=L282,"No prazo","Com atraso")))</f>
        <v/>
      </c>
      <c r="N282" s="18">
        <f>IF(E282="","",MAX(0,IF(G282="",TODAY(),G282)-L282))</f>
        <v/>
      </c>
    </row>
    <row r="283">
      <c r="E283" s="22" t="n"/>
      <c r="G283" s="22" t="n"/>
      <c r="I283" s="22" t="n"/>
      <c r="L283" s="20">
        <f>IF(E283="","",E283+IF(F283="",IFERROR(VLOOKUP(C283,Parametros!$E:$F,2,0),0),F283))</f>
        <v/>
      </c>
      <c r="M283" s="21">
        <f>IF(E283="","",IF(G283="",IF(TODAY()&gt;L283,"Atrasada","Em aberto"),IF(G283&lt;=L283,"No prazo","Com atraso")))</f>
        <v/>
      </c>
      <c r="N283" s="18">
        <f>IF(E283="","",MAX(0,IF(G283="",TODAY(),G283)-L283))</f>
        <v/>
      </c>
    </row>
    <row r="284">
      <c r="E284" s="22" t="n"/>
      <c r="G284" s="22" t="n"/>
      <c r="I284" s="22" t="n"/>
      <c r="L284" s="20">
        <f>IF(E284="","",E284+IF(F284="",IFERROR(VLOOKUP(C284,Parametros!$E:$F,2,0),0),F284))</f>
        <v/>
      </c>
      <c r="M284" s="21">
        <f>IF(E284="","",IF(G284="",IF(TODAY()&gt;L284,"Atrasada","Em aberto"),IF(G284&lt;=L284,"No prazo","Com atraso")))</f>
        <v/>
      </c>
      <c r="N284" s="18">
        <f>IF(E284="","",MAX(0,IF(G284="",TODAY(),G284)-L284))</f>
        <v/>
      </c>
    </row>
    <row r="285">
      <c r="E285" s="22" t="n"/>
      <c r="G285" s="22" t="n"/>
      <c r="I285" s="22" t="n"/>
      <c r="L285" s="20">
        <f>IF(E285="","",E285+IF(F285="",IFERROR(VLOOKUP(C285,Parametros!$E:$F,2,0),0),F285))</f>
        <v/>
      </c>
      <c r="M285" s="21">
        <f>IF(E285="","",IF(G285="",IF(TODAY()&gt;L285,"Atrasada","Em aberto"),IF(G285&lt;=L285,"No prazo","Com atraso")))</f>
        <v/>
      </c>
      <c r="N285" s="18">
        <f>IF(E285="","",MAX(0,IF(G285="",TODAY(),G285)-L285))</f>
        <v/>
      </c>
    </row>
    <row r="286">
      <c r="E286" s="22" t="n"/>
      <c r="G286" s="22" t="n"/>
      <c r="I286" s="22" t="n"/>
      <c r="L286" s="20">
        <f>IF(E286="","",E286+IF(F286="",IFERROR(VLOOKUP(C286,Parametros!$E:$F,2,0),0),F286))</f>
        <v/>
      </c>
      <c r="M286" s="21">
        <f>IF(E286="","",IF(G286="",IF(TODAY()&gt;L286,"Atrasada","Em aberto"),IF(G286&lt;=L286,"No prazo","Com atraso")))</f>
        <v/>
      </c>
      <c r="N286" s="18">
        <f>IF(E286="","",MAX(0,IF(G286="",TODAY(),G286)-L286))</f>
        <v/>
      </c>
    </row>
    <row r="287">
      <c r="E287" s="22" t="n"/>
      <c r="G287" s="22" t="n"/>
      <c r="I287" s="22" t="n"/>
      <c r="L287" s="20">
        <f>IF(E287="","",E287+IF(F287="",IFERROR(VLOOKUP(C287,Parametros!$E:$F,2,0),0),F287))</f>
        <v/>
      </c>
      <c r="M287" s="21">
        <f>IF(E287="","",IF(G287="",IF(TODAY()&gt;L287,"Atrasada","Em aberto"),IF(G287&lt;=L287,"No prazo","Com atraso")))</f>
        <v/>
      </c>
      <c r="N287" s="18">
        <f>IF(E287="","",MAX(0,IF(G287="",TODAY(),G287)-L287))</f>
        <v/>
      </c>
    </row>
    <row r="288">
      <c r="E288" s="22" t="n"/>
      <c r="G288" s="22" t="n"/>
      <c r="I288" s="22" t="n"/>
      <c r="L288" s="20">
        <f>IF(E288="","",E288+IF(F288="",IFERROR(VLOOKUP(C288,Parametros!$E:$F,2,0),0),F288))</f>
        <v/>
      </c>
      <c r="M288" s="21">
        <f>IF(E288="","",IF(G288="",IF(TODAY()&gt;L288,"Atrasada","Em aberto"),IF(G288&lt;=L288,"No prazo","Com atraso")))</f>
        <v/>
      </c>
      <c r="N288" s="18">
        <f>IF(E288="","",MAX(0,IF(G288="",TODAY(),G288)-L288))</f>
        <v/>
      </c>
    </row>
    <row r="289">
      <c r="E289" s="22" t="n"/>
      <c r="G289" s="22" t="n"/>
      <c r="I289" s="22" t="n"/>
      <c r="L289" s="20">
        <f>IF(E289="","",E289+IF(F289="",IFERROR(VLOOKUP(C289,Parametros!$E:$F,2,0),0),F289))</f>
        <v/>
      </c>
      <c r="M289" s="21">
        <f>IF(E289="","",IF(G289="",IF(TODAY()&gt;L289,"Atrasada","Em aberto"),IF(G289&lt;=L289,"No prazo","Com atraso")))</f>
        <v/>
      </c>
      <c r="N289" s="18">
        <f>IF(E289="","",MAX(0,IF(G289="",TODAY(),G289)-L289))</f>
        <v/>
      </c>
    </row>
    <row r="290">
      <c r="E290" s="22" t="n"/>
      <c r="G290" s="22" t="n"/>
      <c r="I290" s="22" t="n"/>
      <c r="L290" s="20">
        <f>IF(E290="","",E290+IF(F290="",IFERROR(VLOOKUP(C290,Parametros!$E:$F,2,0),0),F290))</f>
        <v/>
      </c>
      <c r="M290" s="21">
        <f>IF(E290="","",IF(G290="",IF(TODAY()&gt;L290,"Atrasada","Em aberto"),IF(G290&lt;=L290,"No prazo","Com atraso")))</f>
        <v/>
      </c>
      <c r="N290" s="18">
        <f>IF(E290="","",MAX(0,IF(G290="",TODAY(),G290)-L290))</f>
        <v/>
      </c>
    </row>
    <row r="291">
      <c r="E291" s="22" t="n"/>
      <c r="G291" s="22" t="n"/>
      <c r="I291" s="22" t="n"/>
      <c r="L291" s="20">
        <f>IF(E291="","",E291+IF(F291="",IFERROR(VLOOKUP(C291,Parametros!$E:$F,2,0),0),F291))</f>
        <v/>
      </c>
      <c r="M291" s="21">
        <f>IF(E291="","",IF(G291="",IF(TODAY()&gt;L291,"Atrasada","Em aberto"),IF(G291&lt;=L291,"No prazo","Com atraso")))</f>
        <v/>
      </c>
      <c r="N291" s="18">
        <f>IF(E291="","",MAX(0,IF(G291="",TODAY(),G291)-L291))</f>
        <v/>
      </c>
    </row>
    <row r="292">
      <c r="E292" s="22" t="n"/>
      <c r="G292" s="22" t="n"/>
      <c r="I292" s="22" t="n"/>
      <c r="L292" s="20">
        <f>IF(E292="","",E292+IF(F292="",IFERROR(VLOOKUP(C292,Parametros!$E:$F,2,0),0),F292))</f>
        <v/>
      </c>
      <c r="M292" s="21">
        <f>IF(E292="","",IF(G292="",IF(TODAY()&gt;L292,"Atrasada","Em aberto"),IF(G292&lt;=L292,"No prazo","Com atraso")))</f>
        <v/>
      </c>
      <c r="N292" s="18">
        <f>IF(E292="","",MAX(0,IF(G292="",TODAY(),G292)-L292))</f>
        <v/>
      </c>
    </row>
    <row r="293">
      <c r="E293" s="22" t="n"/>
      <c r="G293" s="22" t="n"/>
      <c r="I293" s="22" t="n"/>
      <c r="L293" s="20">
        <f>IF(E293="","",E293+IF(F293="",IFERROR(VLOOKUP(C293,Parametros!$E:$F,2,0),0),F293))</f>
        <v/>
      </c>
      <c r="M293" s="21">
        <f>IF(E293="","",IF(G293="",IF(TODAY()&gt;L293,"Atrasada","Em aberto"),IF(G293&lt;=L293,"No prazo","Com atraso")))</f>
        <v/>
      </c>
      <c r="N293" s="18">
        <f>IF(E293="","",MAX(0,IF(G293="",TODAY(),G293)-L293))</f>
        <v/>
      </c>
    </row>
    <row r="294">
      <c r="E294" s="22" t="n"/>
      <c r="G294" s="22" t="n"/>
      <c r="I294" s="22" t="n"/>
      <c r="L294" s="20">
        <f>IF(E294="","",E294+IF(F294="",IFERROR(VLOOKUP(C294,Parametros!$E:$F,2,0),0),F294))</f>
        <v/>
      </c>
      <c r="M294" s="21">
        <f>IF(E294="","",IF(G294="",IF(TODAY()&gt;L294,"Atrasada","Em aberto"),IF(G294&lt;=L294,"No prazo","Com atraso")))</f>
        <v/>
      </c>
      <c r="N294" s="18">
        <f>IF(E294="","",MAX(0,IF(G294="",TODAY(),G294)-L294))</f>
        <v/>
      </c>
    </row>
    <row r="295">
      <c r="E295" s="22" t="n"/>
      <c r="G295" s="22" t="n"/>
      <c r="I295" s="22" t="n"/>
      <c r="L295" s="20">
        <f>IF(E295="","",E295+IF(F295="",IFERROR(VLOOKUP(C295,Parametros!$E:$F,2,0),0),F295))</f>
        <v/>
      </c>
      <c r="M295" s="21">
        <f>IF(E295="","",IF(G295="",IF(TODAY()&gt;L295,"Atrasada","Em aberto"),IF(G295&lt;=L295,"No prazo","Com atraso")))</f>
        <v/>
      </c>
      <c r="N295" s="18">
        <f>IF(E295="","",MAX(0,IF(G295="",TODAY(),G295)-L295))</f>
        <v/>
      </c>
    </row>
    <row r="296">
      <c r="E296" s="22" t="n"/>
      <c r="G296" s="22" t="n"/>
      <c r="I296" s="22" t="n"/>
      <c r="L296" s="20">
        <f>IF(E296="","",E296+IF(F296="",IFERROR(VLOOKUP(C296,Parametros!$E:$F,2,0),0),F296))</f>
        <v/>
      </c>
      <c r="M296" s="21">
        <f>IF(E296="","",IF(G296="",IF(TODAY()&gt;L296,"Atrasada","Em aberto"),IF(G296&lt;=L296,"No prazo","Com atraso")))</f>
        <v/>
      </c>
      <c r="N296" s="18">
        <f>IF(E296="","",MAX(0,IF(G296="",TODAY(),G296)-L296))</f>
        <v/>
      </c>
    </row>
    <row r="297">
      <c r="E297" s="22" t="n"/>
      <c r="G297" s="22" t="n"/>
      <c r="I297" s="22" t="n"/>
      <c r="L297" s="20">
        <f>IF(E297="","",E297+IF(F297="",IFERROR(VLOOKUP(C297,Parametros!$E:$F,2,0),0),F297))</f>
        <v/>
      </c>
      <c r="M297" s="21">
        <f>IF(E297="","",IF(G297="",IF(TODAY()&gt;L297,"Atrasada","Em aberto"),IF(G297&lt;=L297,"No prazo","Com atraso")))</f>
        <v/>
      </c>
      <c r="N297" s="18">
        <f>IF(E297="","",MAX(0,IF(G297="",TODAY(),G297)-L297))</f>
        <v/>
      </c>
    </row>
    <row r="298">
      <c r="E298" s="22" t="n"/>
      <c r="G298" s="22" t="n"/>
      <c r="I298" s="22" t="n"/>
      <c r="L298" s="20">
        <f>IF(E298="","",E298+IF(F298="",IFERROR(VLOOKUP(C298,Parametros!$E:$F,2,0),0),F298))</f>
        <v/>
      </c>
      <c r="M298" s="21">
        <f>IF(E298="","",IF(G298="",IF(TODAY()&gt;L298,"Atrasada","Em aberto"),IF(G298&lt;=L298,"No prazo","Com atraso")))</f>
        <v/>
      </c>
      <c r="N298" s="18">
        <f>IF(E298="","",MAX(0,IF(G298="",TODAY(),G298)-L298))</f>
        <v/>
      </c>
    </row>
    <row r="299">
      <c r="E299" s="22" t="n"/>
      <c r="G299" s="22" t="n"/>
      <c r="I299" s="22" t="n"/>
      <c r="L299" s="20">
        <f>IF(E299="","",E299+IF(F299="",IFERROR(VLOOKUP(C299,Parametros!$E:$F,2,0),0),F299))</f>
        <v/>
      </c>
      <c r="M299" s="21">
        <f>IF(E299="","",IF(G299="",IF(TODAY()&gt;L299,"Atrasada","Em aberto"),IF(G299&lt;=L299,"No prazo","Com atraso")))</f>
        <v/>
      </c>
      <c r="N299" s="18">
        <f>IF(E299="","",MAX(0,IF(G299="",TODAY(),G299)-L299))</f>
        <v/>
      </c>
    </row>
    <row r="300">
      <c r="E300" s="22" t="n"/>
      <c r="G300" s="22" t="n"/>
      <c r="I300" s="22" t="n"/>
      <c r="L300" s="20">
        <f>IF(E300="","",E300+IF(F300="",IFERROR(VLOOKUP(C300,Parametros!$E:$F,2,0),0),F300))</f>
        <v/>
      </c>
      <c r="M300" s="21">
        <f>IF(E300="","",IF(G300="",IF(TODAY()&gt;L300,"Atrasada","Em aberto"),IF(G300&lt;=L300,"No prazo","Com atraso")))</f>
        <v/>
      </c>
      <c r="N300" s="18">
        <f>IF(E300="","",MAX(0,IF(G300="",TODAY(),G300)-L300))</f>
        <v/>
      </c>
    </row>
    <row r="301">
      <c r="E301" s="22" t="n"/>
      <c r="G301" s="22" t="n"/>
      <c r="I301" s="22" t="n"/>
      <c r="L301" s="20">
        <f>IF(E301="","",E301+IF(F301="",IFERROR(VLOOKUP(C301,Parametros!$E:$F,2,0),0),F301))</f>
        <v/>
      </c>
      <c r="M301" s="21">
        <f>IF(E301="","",IF(G301="",IF(TODAY()&gt;L301,"Atrasada","Em aberto"),IF(G301&lt;=L301,"No prazo","Com atraso")))</f>
        <v/>
      </c>
      <c r="N301" s="18">
        <f>IF(E301="","",MAX(0,IF(G301="",TODAY(),G301)-L301))</f>
        <v/>
      </c>
    </row>
    <row r="302">
      <c r="E302" s="22" t="n"/>
      <c r="G302" s="22" t="n"/>
      <c r="I302" s="22" t="n"/>
      <c r="L302" s="20">
        <f>IF(E302="","",E302+IF(F302="",IFERROR(VLOOKUP(C302,Parametros!$E:$F,2,0),0),F302))</f>
        <v/>
      </c>
      <c r="M302" s="21">
        <f>IF(E302="","",IF(G302="",IF(TODAY()&gt;L302,"Atrasada","Em aberto"),IF(G302&lt;=L302,"No prazo","Com atraso")))</f>
        <v/>
      </c>
      <c r="N302" s="18">
        <f>IF(E302="","",MAX(0,IF(G302="",TODAY(),G302)-L302))</f>
        <v/>
      </c>
    </row>
    <row r="303">
      <c r="E303" s="22" t="n"/>
      <c r="G303" s="22" t="n"/>
      <c r="I303" s="22" t="n"/>
      <c r="L303" s="20">
        <f>IF(E303="","",E303+IF(F303="",IFERROR(VLOOKUP(C303,Parametros!$E:$F,2,0),0),F303))</f>
        <v/>
      </c>
      <c r="M303" s="21">
        <f>IF(E303="","",IF(G303="",IF(TODAY()&gt;L303,"Atrasada","Em aberto"),IF(G303&lt;=L303,"No prazo","Com atraso")))</f>
        <v/>
      </c>
      <c r="N303" s="18">
        <f>IF(E303="","",MAX(0,IF(G303="",TODAY(),G303)-L303))</f>
        <v/>
      </c>
    </row>
    <row r="304">
      <c r="E304" s="22" t="n"/>
      <c r="G304" s="22" t="n"/>
      <c r="I304" s="22" t="n"/>
      <c r="L304" s="20">
        <f>IF(E304="","",E304+IF(F304="",IFERROR(VLOOKUP(C304,Parametros!$E:$F,2,0),0),F304))</f>
        <v/>
      </c>
      <c r="M304" s="21">
        <f>IF(E304="","",IF(G304="",IF(TODAY()&gt;L304,"Atrasada","Em aberto"),IF(G304&lt;=L304,"No prazo","Com atraso")))</f>
        <v/>
      </c>
      <c r="N304" s="18">
        <f>IF(E304="","",MAX(0,IF(G304="",TODAY(),G304)-L304))</f>
        <v/>
      </c>
    </row>
    <row r="305">
      <c r="E305" s="22" t="n"/>
      <c r="G305" s="22" t="n"/>
      <c r="I305" s="22" t="n"/>
      <c r="L305" s="20">
        <f>IF(E305="","",E305+IF(F305="",IFERROR(VLOOKUP(C305,Parametros!$E:$F,2,0),0),F305))</f>
        <v/>
      </c>
      <c r="M305" s="21">
        <f>IF(E305="","",IF(G305="",IF(TODAY()&gt;L305,"Atrasada","Em aberto"),IF(G305&lt;=L305,"No prazo","Com atraso")))</f>
        <v/>
      </c>
      <c r="N305" s="18">
        <f>IF(E305="","",MAX(0,IF(G305="",TODAY(),G305)-L305))</f>
        <v/>
      </c>
    </row>
    <row r="306">
      <c r="E306" s="22" t="n"/>
      <c r="G306" s="22" t="n"/>
      <c r="I306" s="22" t="n"/>
      <c r="L306" s="20">
        <f>IF(E306="","",E306+IF(F306="",IFERROR(VLOOKUP(C306,Parametros!$E:$F,2,0),0),F306))</f>
        <v/>
      </c>
      <c r="M306" s="21">
        <f>IF(E306="","",IF(G306="",IF(TODAY()&gt;L306,"Atrasada","Em aberto"),IF(G306&lt;=L306,"No prazo","Com atraso")))</f>
        <v/>
      </c>
      <c r="N306" s="18">
        <f>IF(E306="","",MAX(0,IF(G306="",TODAY(),G306)-L306))</f>
        <v/>
      </c>
    </row>
    <row r="307">
      <c r="E307" s="22" t="n"/>
      <c r="G307" s="22" t="n"/>
      <c r="I307" s="22" t="n"/>
      <c r="L307" s="20">
        <f>IF(E307="","",E307+IF(F307="",IFERROR(VLOOKUP(C307,Parametros!$E:$F,2,0),0),F307))</f>
        <v/>
      </c>
      <c r="M307" s="21">
        <f>IF(E307="","",IF(G307="",IF(TODAY()&gt;L307,"Atrasada","Em aberto"),IF(G307&lt;=L307,"No prazo","Com atraso")))</f>
        <v/>
      </c>
      <c r="N307" s="18">
        <f>IF(E307="","",MAX(0,IF(G307="",TODAY(),G307)-L307))</f>
        <v/>
      </c>
    </row>
    <row r="308">
      <c r="E308" s="22" t="n"/>
      <c r="G308" s="22" t="n"/>
      <c r="I308" s="22" t="n"/>
      <c r="L308" s="20">
        <f>IF(E308="","",E308+IF(F308="",IFERROR(VLOOKUP(C308,Parametros!$E:$F,2,0),0),F308))</f>
        <v/>
      </c>
      <c r="M308" s="21">
        <f>IF(E308="","",IF(G308="",IF(TODAY()&gt;L308,"Atrasada","Em aberto"),IF(G308&lt;=L308,"No prazo","Com atraso")))</f>
        <v/>
      </c>
      <c r="N308" s="18">
        <f>IF(E308="","",MAX(0,IF(G308="",TODAY(),G308)-L308))</f>
        <v/>
      </c>
    </row>
    <row r="309">
      <c r="E309" s="22" t="n"/>
      <c r="G309" s="22" t="n"/>
      <c r="I309" s="22" t="n"/>
      <c r="L309" s="20">
        <f>IF(E309="","",E309+IF(F309="",IFERROR(VLOOKUP(C309,Parametros!$E:$F,2,0),0),F309))</f>
        <v/>
      </c>
      <c r="M309" s="21">
        <f>IF(E309="","",IF(G309="",IF(TODAY()&gt;L309,"Atrasada","Em aberto"),IF(G309&lt;=L309,"No prazo","Com atraso")))</f>
        <v/>
      </c>
      <c r="N309" s="18">
        <f>IF(E309="","",MAX(0,IF(G309="",TODAY(),G309)-L309))</f>
        <v/>
      </c>
    </row>
    <row r="310">
      <c r="E310" s="22" t="n"/>
      <c r="G310" s="22" t="n"/>
      <c r="I310" s="22" t="n"/>
      <c r="L310" s="20">
        <f>IF(E310="","",E310+IF(F310="",IFERROR(VLOOKUP(C310,Parametros!$E:$F,2,0),0),F310))</f>
        <v/>
      </c>
      <c r="M310" s="21">
        <f>IF(E310="","",IF(G310="",IF(TODAY()&gt;L310,"Atrasada","Em aberto"),IF(G310&lt;=L310,"No prazo","Com atraso")))</f>
        <v/>
      </c>
      <c r="N310" s="18">
        <f>IF(E310="","",MAX(0,IF(G310="",TODAY(),G310)-L310))</f>
        <v/>
      </c>
    </row>
    <row r="311">
      <c r="E311" s="22" t="n"/>
      <c r="G311" s="22" t="n"/>
      <c r="I311" s="22" t="n"/>
      <c r="L311" s="20">
        <f>IF(E311="","",E311+IF(F311="",IFERROR(VLOOKUP(C311,Parametros!$E:$F,2,0),0),F311))</f>
        <v/>
      </c>
      <c r="M311" s="21">
        <f>IF(E311="","",IF(G311="",IF(TODAY()&gt;L311,"Atrasada","Em aberto"),IF(G311&lt;=L311,"No prazo","Com atraso")))</f>
        <v/>
      </c>
      <c r="N311" s="18">
        <f>IF(E311="","",MAX(0,IF(G311="",TODAY(),G311)-L311))</f>
        <v/>
      </c>
    </row>
    <row r="312">
      <c r="E312" s="22" t="n"/>
      <c r="G312" s="22" t="n"/>
      <c r="I312" s="22" t="n"/>
      <c r="L312" s="20">
        <f>IF(E312="","",E312+IF(F312="",IFERROR(VLOOKUP(C312,Parametros!$E:$F,2,0),0),F312))</f>
        <v/>
      </c>
      <c r="M312" s="21">
        <f>IF(E312="","",IF(G312="",IF(TODAY()&gt;L312,"Atrasada","Em aberto"),IF(G312&lt;=L312,"No prazo","Com atraso")))</f>
        <v/>
      </c>
      <c r="N312" s="18">
        <f>IF(E312="","",MAX(0,IF(G312="",TODAY(),G312)-L312))</f>
        <v/>
      </c>
    </row>
    <row r="313">
      <c r="E313" s="22" t="n"/>
      <c r="G313" s="22" t="n"/>
      <c r="I313" s="22" t="n"/>
      <c r="L313" s="20">
        <f>IF(E313="","",E313+IF(F313="",IFERROR(VLOOKUP(C313,Parametros!$E:$F,2,0),0),F313))</f>
        <v/>
      </c>
      <c r="M313" s="21">
        <f>IF(E313="","",IF(G313="",IF(TODAY()&gt;L313,"Atrasada","Em aberto"),IF(G313&lt;=L313,"No prazo","Com atraso")))</f>
        <v/>
      </c>
      <c r="N313" s="18">
        <f>IF(E313="","",MAX(0,IF(G313="",TODAY(),G313)-L313))</f>
        <v/>
      </c>
    </row>
    <row r="314">
      <c r="E314" s="22" t="n"/>
      <c r="G314" s="22" t="n"/>
      <c r="I314" s="22" t="n"/>
      <c r="L314" s="20">
        <f>IF(E314="","",E314+IF(F314="",IFERROR(VLOOKUP(C314,Parametros!$E:$F,2,0),0),F314))</f>
        <v/>
      </c>
      <c r="M314" s="21">
        <f>IF(E314="","",IF(G314="",IF(TODAY()&gt;L314,"Atrasada","Em aberto"),IF(G314&lt;=L314,"No prazo","Com atraso")))</f>
        <v/>
      </c>
      <c r="N314" s="18">
        <f>IF(E314="","",MAX(0,IF(G314="",TODAY(),G314)-L314))</f>
        <v/>
      </c>
    </row>
    <row r="315">
      <c r="E315" s="22" t="n"/>
      <c r="G315" s="22" t="n"/>
      <c r="I315" s="22" t="n"/>
      <c r="L315" s="20">
        <f>IF(E315="","",E315+IF(F315="",IFERROR(VLOOKUP(C315,Parametros!$E:$F,2,0),0),F315))</f>
        <v/>
      </c>
      <c r="M315" s="21">
        <f>IF(E315="","",IF(G315="",IF(TODAY()&gt;L315,"Atrasada","Em aberto"),IF(G315&lt;=L315,"No prazo","Com atraso")))</f>
        <v/>
      </c>
      <c r="N315" s="18">
        <f>IF(E315="","",MAX(0,IF(G315="",TODAY(),G315)-L315))</f>
        <v/>
      </c>
    </row>
    <row r="316">
      <c r="E316" s="22" t="n"/>
      <c r="G316" s="22" t="n"/>
      <c r="I316" s="22" t="n"/>
      <c r="L316" s="20">
        <f>IF(E316="","",E316+IF(F316="",IFERROR(VLOOKUP(C316,Parametros!$E:$F,2,0),0),F316))</f>
        <v/>
      </c>
      <c r="M316" s="21">
        <f>IF(E316="","",IF(G316="",IF(TODAY()&gt;L316,"Atrasada","Em aberto"),IF(G316&lt;=L316,"No prazo","Com atraso")))</f>
        <v/>
      </c>
      <c r="N316" s="18">
        <f>IF(E316="","",MAX(0,IF(G316="",TODAY(),G316)-L316))</f>
        <v/>
      </c>
    </row>
    <row r="317">
      <c r="E317" s="22" t="n"/>
      <c r="G317" s="22" t="n"/>
      <c r="I317" s="22" t="n"/>
      <c r="L317" s="20">
        <f>IF(E317="","",E317+IF(F317="",IFERROR(VLOOKUP(C317,Parametros!$E:$F,2,0),0),F317))</f>
        <v/>
      </c>
      <c r="M317" s="21">
        <f>IF(E317="","",IF(G317="",IF(TODAY()&gt;L317,"Atrasada","Em aberto"),IF(G317&lt;=L317,"No prazo","Com atraso")))</f>
        <v/>
      </c>
      <c r="N317" s="18">
        <f>IF(E317="","",MAX(0,IF(G317="",TODAY(),G317)-L317))</f>
        <v/>
      </c>
    </row>
    <row r="318">
      <c r="E318" s="22" t="n"/>
      <c r="G318" s="22" t="n"/>
      <c r="I318" s="22" t="n"/>
      <c r="L318" s="20">
        <f>IF(E318="","",E318+IF(F318="",IFERROR(VLOOKUP(C318,Parametros!$E:$F,2,0),0),F318))</f>
        <v/>
      </c>
      <c r="M318" s="21">
        <f>IF(E318="","",IF(G318="",IF(TODAY()&gt;L318,"Atrasada","Em aberto"),IF(G318&lt;=L318,"No prazo","Com atraso")))</f>
        <v/>
      </c>
      <c r="N318" s="18">
        <f>IF(E318="","",MAX(0,IF(G318="",TODAY(),G318)-L318))</f>
        <v/>
      </c>
    </row>
    <row r="319">
      <c r="E319" s="22" t="n"/>
      <c r="G319" s="22" t="n"/>
      <c r="I319" s="22" t="n"/>
      <c r="L319" s="20">
        <f>IF(E319="","",E319+IF(F319="",IFERROR(VLOOKUP(C319,Parametros!$E:$F,2,0),0),F319))</f>
        <v/>
      </c>
      <c r="M319" s="21">
        <f>IF(E319="","",IF(G319="",IF(TODAY()&gt;L319,"Atrasada","Em aberto"),IF(G319&lt;=L319,"No prazo","Com atraso")))</f>
        <v/>
      </c>
      <c r="N319" s="18">
        <f>IF(E319="","",MAX(0,IF(G319="",TODAY(),G319)-L319))</f>
        <v/>
      </c>
    </row>
    <row r="320">
      <c r="E320" s="22" t="n"/>
      <c r="G320" s="22" t="n"/>
      <c r="I320" s="22" t="n"/>
      <c r="L320" s="20">
        <f>IF(E320="","",E320+IF(F320="",IFERROR(VLOOKUP(C320,Parametros!$E:$F,2,0),0),F320))</f>
        <v/>
      </c>
      <c r="M320" s="21">
        <f>IF(E320="","",IF(G320="",IF(TODAY()&gt;L320,"Atrasada","Em aberto"),IF(G320&lt;=L320,"No prazo","Com atraso")))</f>
        <v/>
      </c>
      <c r="N320" s="18">
        <f>IF(E320="","",MAX(0,IF(G320="",TODAY(),G320)-L320))</f>
        <v/>
      </c>
    </row>
    <row r="321">
      <c r="E321" s="22" t="n"/>
      <c r="G321" s="22" t="n"/>
      <c r="I321" s="22" t="n"/>
      <c r="L321" s="20">
        <f>IF(E321="","",E321+IF(F321="",IFERROR(VLOOKUP(C321,Parametros!$E:$F,2,0),0),F321))</f>
        <v/>
      </c>
      <c r="M321" s="21">
        <f>IF(E321="","",IF(G321="",IF(TODAY()&gt;L321,"Atrasada","Em aberto"),IF(G321&lt;=L321,"No prazo","Com atraso")))</f>
        <v/>
      </c>
      <c r="N321" s="18">
        <f>IF(E321="","",MAX(0,IF(G321="",TODAY(),G321)-L321))</f>
        <v/>
      </c>
    </row>
    <row r="322">
      <c r="E322" s="22" t="n"/>
      <c r="G322" s="22" t="n"/>
      <c r="I322" s="22" t="n"/>
      <c r="L322" s="20">
        <f>IF(E322="","",E322+IF(F322="",IFERROR(VLOOKUP(C322,Parametros!$E:$F,2,0),0),F322))</f>
        <v/>
      </c>
      <c r="M322" s="21">
        <f>IF(E322="","",IF(G322="",IF(TODAY()&gt;L322,"Atrasada","Em aberto"),IF(G322&lt;=L322,"No prazo","Com atraso")))</f>
        <v/>
      </c>
      <c r="N322" s="18">
        <f>IF(E322="","",MAX(0,IF(G322="",TODAY(),G322)-L322))</f>
        <v/>
      </c>
    </row>
    <row r="323">
      <c r="E323" s="22" t="n"/>
      <c r="G323" s="22" t="n"/>
      <c r="I323" s="22" t="n"/>
      <c r="L323" s="20">
        <f>IF(E323="","",E323+IF(F323="",IFERROR(VLOOKUP(C323,Parametros!$E:$F,2,0),0),F323))</f>
        <v/>
      </c>
      <c r="M323" s="21">
        <f>IF(E323="","",IF(G323="",IF(TODAY()&gt;L323,"Atrasada","Em aberto"),IF(G323&lt;=L323,"No prazo","Com atraso")))</f>
        <v/>
      </c>
      <c r="N323" s="18">
        <f>IF(E323="","",MAX(0,IF(G323="",TODAY(),G323)-L323))</f>
        <v/>
      </c>
    </row>
    <row r="324">
      <c r="E324" s="22" t="n"/>
      <c r="G324" s="22" t="n"/>
      <c r="I324" s="22" t="n"/>
      <c r="L324" s="20">
        <f>IF(E324="","",E324+IF(F324="",IFERROR(VLOOKUP(C324,Parametros!$E:$F,2,0),0),F324))</f>
        <v/>
      </c>
      <c r="M324" s="21">
        <f>IF(E324="","",IF(G324="",IF(TODAY()&gt;L324,"Atrasada","Em aberto"),IF(G324&lt;=L324,"No prazo","Com atraso")))</f>
        <v/>
      </c>
      <c r="N324" s="18">
        <f>IF(E324="","",MAX(0,IF(G324="",TODAY(),G324)-L324))</f>
        <v/>
      </c>
    </row>
    <row r="325">
      <c r="E325" s="22" t="n"/>
      <c r="G325" s="22" t="n"/>
      <c r="I325" s="22" t="n"/>
      <c r="L325" s="20">
        <f>IF(E325="","",E325+IF(F325="",IFERROR(VLOOKUP(C325,Parametros!$E:$F,2,0),0),F325))</f>
        <v/>
      </c>
      <c r="M325" s="21">
        <f>IF(E325="","",IF(G325="",IF(TODAY()&gt;L325,"Atrasada","Em aberto"),IF(G325&lt;=L325,"No prazo","Com atraso")))</f>
        <v/>
      </c>
      <c r="N325" s="18">
        <f>IF(E325="","",MAX(0,IF(G325="",TODAY(),G325)-L325))</f>
        <v/>
      </c>
    </row>
    <row r="326">
      <c r="E326" s="22" t="n"/>
      <c r="G326" s="22" t="n"/>
      <c r="I326" s="22" t="n"/>
      <c r="L326" s="20">
        <f>IF(E326="","",E326+IF(F326="",IFERROR(VLOOKUP(C326,Parametros!$E:$F,2,0),0),F326))</f>
        <v/>
      </c>
      <c r="M326" s="21">
        <f>IF(E326="","",IF(G326="",IF(TODAY()&gt;L326,"Atrasada","Em aberto"),IF(G326&lt;=L326,"No prazo","Com atraso")))</f>
        <v/>
      </c>
      <c r="N326" s="18">
        <f>IF(E326="","",MAX(0,IF(G326="",TODAY(),G326)-L326))</f>
        <v/>
      </c>
    </row>
    <row r="327">
      <c r="E327" s="22" t="n"/>
      <c r="G327" s="22" t="n"/>
      <c r="I327" s="22" t="n"/>
      <c r="L327" s="20">
        <f>IF(E327="","",E327+IF(F327="",IFERROR(VLOOKUP(C327,Parametros!$E:$F,2,0),0),F327))</f>
        <v/>
      </c>
      <c r="M327" s="21">
        <f>IF(E327="","",IF(G327="",IF(TODAY()&gt;L327,"Atrasada","Em aberto"),IF(G327&lt;=L327,"No prazo","Com atraso")))</f>
        <v/>
      </c>
      <c r="N327" s="18">
        <f>IF(E327="","",MAX(0,IF(G327="",TODAY(),G327)-L327))</f>
        <v/>
      </c>
    </row>
    <row r="328">
      <c r="E328" s="22" t="n"/>
      <c r="G328" s="22" t="n"/>
      <c r="I328" s="22" t="n"/>
      <c r="L328" s="20">
        <f>IF(E328="","",E328+IF(F328="",IFERROR(VLOOKUP(C328,Parametros!$E:$F,2,0),0),F328))</f>
        <v/>
      </c>
      <c r="M328" s="21">
        <f>IF(E328="","",IF(G328="",IF(TODAY()&gt;L328,"Atrasada","Em aberto"),IF(G328&lt;=L328,"No prazo","Com atraso")))</f>
        <v/>
      </c>
      <c r="N328" s="18">
        <f>IF(E328="","",MAX(0,IF(G328="",TODAY(),G328)-L328))</f>
        <v/>
      </c>
    </row>
    <row r="329">
      <c r="E329" s="22" t="n"/>
      <c r="G329" s="22" t="n"/>
      <c r="I329" s="22" t="n"/>
      <c r="L329" s="20">
        <f>IF(E329="","",E329+IF(F329="",IFERROR(VLOOKUP(C329,Parametros!$E:$F,2,0),0),F329))</f>
        <v/>
      </c>
      <c r="M329" s="21">
        <f>IF(E329="","",IF(G329="",IF(TODAY()&gt;L329,"Atrasada","Em aberto"),IF(G329&lt;=L329,"No prazo","Com atraso")))</f>
        <v/>
      </c>
      <c r="N329" s="18">
        <f>IF(E329="","",MAX(0,IF(G329="",TODAY(),G329)-L329))</f>
        <v/>
      </c>
    </row>
    <row r="330">
      <c r="E330" s="22" t="n"/>
      <c r="G330" s="22" t="n"/>
      <c r="I330" s="22" t="n"/>
      <c r="L330" s="20">
        <f>IF(E330="","",E330+IF(F330="",IFERROR(VLOOKUP(C330,Parametros!$E:$F,2,0),0),F330))</f>
        <v/>
      </c>
      <c r="M330" s="21">
        <f>IF(E330="","",IF(G330="",IF(TODAY()&gt;L330,"Atrasada","Em aberto"),IF(G330&lt;=L330,"No prazo","Com atraso")))</f>
        <v/>
      </c>
      <c r="N330" s="18">
        <f>IF(E330="","",MAX(0,IF(G330="",TODAY(),G330)-L330))</f>
        <v/>
      </c>
    </row>
    <row r="331">
      <c r="E331" s="22" t="n"/>
      <c r="G331" s="22" t="n"/>
      <c r="I331" s="22" t="n"/>
      <c r="L331" s="20">
        <f>IF(E331="","",E331+IF(F331="",IFERROR(VLOOKUP(C331,Parametros!$E:$F,2,0),0),F331))</f>
        <v/>
      </c>
      <c r="M331" s="21">
        <f>IF(E331="","",IF(G331="",IF(TODAY()&gt;L331,"Atrasada","Em aberto"),IF(G331&lt;=L331,"No prazo","Com atraso")))</f>
        <v/>
      </c>
      <c r="N331" s="18">
        <f>IF(E331="","",MAX(0,IF(G331="",TODAY(),G331)-L331))</f>
        <v/>
      </c>
    </row>
    <row r="332">
      <c r="E332" s="22" t="n"/>
      <c r="G332" s="22" t="n"/>
      <c r="I332" s="22" t="n"/>
      <c r="L332" s="20">
        <f>IF(E332="","",E332+IF(F332="",IFERROR(VLOOKUP(C332,Parametros!$E:$F,2,0),0),F332))</f>
        <v/>
      </c>
      <c r="M332" s="21">
        <f>IF(E332="","",IF(G332="",IF(TODAY()&gt;L332,"Atrasada","Em aberto"),IF(G332&lt;=L332,"No prazo","Com atraso")))</f>
        <v/>
      </c>
      <c r="N332" s="18">
        <f>IF(E332="","",MAX(0,IF(G332="",TODAY(),G332)-L332))</f>
        <v/>
      </c>
    </row>
    <row r="333">
      <c r="E333" s="22" t="n"/>
      <c r="G333" s="22" t="n"/>
      <c r="I333" s="22" t="n"/>
      <c r="L333" s="20">
        <f>IF(E333="","",E333+IF(F333="",IFERROR(VLOOKUP(C333,Parametros!$E:$F,2,0),0),F333))</f>
        <v/>
      </c>
      <c r="M333" s="21">
        <f>IF(E333="","",IF(G333="",IF(TODAY()&gt;L333,"Atrasada","Em aberto"),IF(G333&lt;=L333,"No prazo","Com atraso")))</f>
        <v/>
      </c>
      <c r="N333" s="18">
        <f>IF(E333="","",MAX(0,IF(G333="",TODAY(),G333)-L333))</f>
        <v/>
      </c>
    </row>
    <row r="334">
      <c r="E334" s="22" t="n"/>
      <c r="G334" s="22" t="n"/>
      <c r="I334" s="22" t="n"/>
      <c r="L334" s="20">
        <f>IF(E334="","",E334+IF(F334="",IFERROR(VLOOKUP(C334,Parametros!$E:$F,2,0),0),F334))</f>
        <v/>
      </c>
      <c r="M334" s="21">
        <f>IF(E334="","",IF(G334="",IF(TODAY()&gt;L334,"Atrasada","Em aberto"),IF(G334&lt;=L334,"No prazo","Com atraso")))</f>
        <v/>
      </c>
      <c r="N334" s="18">
        <f>IF(E334="","",MAX(0,IF(G334="",TODAY(),G334)-L334))</f>
        <v/>
      </c>
    </row>
    <row r="335">
      <c r="E335" s="22" t="n"/>
      <c r="G335" s="22" t="n"/>
      <c r="I335" s="22" t="n"/>
      <c r="L335" s="20">
        <f>IF(E335="","",E335+IF(F335="",IFERROR(VLOOKUP(C335,Parametros!$E:$F,2,0),0),F335))</f>
        <v/>
      </c>
      <c r="M335" s="21">
        <f>IF(E335="","",IF(G335="",IF(TODAY()&gt;L335,"Atrasada","Em aberto"),IF(G335&lt;=L335,"No prazo","Com atraso")))</f>
        <v/>
      </c>
      <c r="N335" s="18">
        <f>IF(E335="","",MAX(0,IF(G335="",TODAY(),G335)-L335))</f>
        <v/>
      </c>
    </row>
    <row r="336">
      <c r="E336" s="22" t="n"/>
      <c r="G336" s="22" t="n"/>
      <c r="I336" s="22" t="n"/>
      <c r="L336" s="20">
        <f>IF(E336="","",E336+IF(F336="",IFERROR(VLOOKUP(C336,Parametros!$E:$F,2,0),0),F336))</f>
        <v/>
      </c>
      <c r="M336" s="21">
        <f>IF(E336="","",IF(G336="",IF(TODAY()&gt;L336,"Atrasada","Em aberto"),IF(G336&lt;=L336,"No prazo","Com atraso")))</f>
        <v/>
      </c>
      <c r="N336" s="18">
        <f>IF(E336="","",MAX(0,IF(G336="",TODAY(),G336)-L336))</f>
        <v/>
      </c>
    </row>
    <row r="337">
      <c r="E337" s="22" t="n"/>
      <c r="G337" s="22" t="n"/>
      <c r="I337" s="22" t="n"/>
      <c r="L337" s="20">
        <f>IF(E337="","",E337+IF(F337="",IFERROR(VLOOKUP(C337,Parametros!$E:$F,2,0),0),F337))</f>
        <v/>
      </c>
      <c r="M337" s="21">
        <f>IF(E337="","",IF(G337="",IF(TODAY()&gt;L337,"Atrasada","Em aberto"),IF(G337&lt;=L337,"No prazo","Com atraso")))</f>
        <v/>
      </c>
      <c r="N337" s="18">
        <f>IF(E337="","",MAX(0,IF(G337="",TODAY(),G337)-L337))</f>
        <v/>
      </c>
    </row>
    <row r="338">
      <c r="E338" s="22" t="n"/>
      <c r="G338" s="22" t="n"/>
      <c r="I338" s="22" t="n"/>
      <c r="L338" s="20">
        <f>IF(E338="","",E338+IF(F338="",IFERROR(VLOOKUP(C338,Parametros!$E:$F,2,0),0),F338))</f>
        <v/>
      </c>
      <c r="M338" s="21">
        <f>IF(E338="","",IF(G338="",IF(TODAY()&gt;L338,"Atrasada","Em aberto"),IF(G338&lt;=L338,"No prazo","Com atraso")))</f>
        <v/>
      </c>
      <c r="N338" s="18">
        <f>IF(E338="","",MAX(0,IF(G338="",TODAY(),G338)-L338))</f>
        <v/>
      </c>
    </row>
    <row r="339">
      <c r="E339" s="22" t="n"/>
      <c r="G339" s="22" t="n"/>
      <c r="I339" s="22" t="n"/>
      <c r="L339" s="20">
        <f>IF(E339="","",E339+IF(F339="",IFERROR(VLOOKUP(C339,Parametros!$E:$F,2,0),0),F339))</f>
        <v/>
      </c>
      <c r="M339" s="21">
        <f>IF(E339="","",IF(G339="",IF(TODAY()&gt;L339,"Atrasada","Em aberto"),IF(G339&lt;=L339,"No prazo","Com atraso")))</f>
        <v/>
      </c>
      <c r="N339" s="18">
        <f>IF(E339="","",MAX(0,IF(G339="",TODAY(),G339)-L339))</f>
        <v/>
      </c>
    </row>
    <row r="340">
      <c r="E340" s="22" t="n"/>
      <c r="G340" s="22" t="n"/>
      <c r="I340" s="22" t="n"/>
      <c r="L340" s="20">
        <f>IF(E340="","",E340+IF(F340="",IFERROR(VLOOKUP(C340,Parametros!$E:$F,2,0),0),F340))</f>
        <v/>
      </c>
      <c r="M340" s="21">
        <f>IF(E340="","",IF(G340="",IF(TODAY()&gt;L340,"Atrasada","Em aberto"),IF(G340&lt;=L340,"No prazo","Com atraso")))</f>
        <v/>
      </c>
      <c r="N340" s="18">
        <f>IF(E340="","",MAX(0,IF(G340="",TODAY(),G340)-L340))</f>
        <v/>
      </c>
    </row>
    <row r="341">
      <c r="E341" s="22" t="n"/>
      <c r="G341" s="22" t="n"/>
      <c r="I341" s="22" t="n"/>
      <c r="L341" s="20">
        <f>IF(E341="","",E341+IF(F341="",IFERROR(VLOOKUP(C341,Parametros!$E:$F,2,0),0),F341))</f>
        <v/>
      </c>
      <c r="M341" s="21">
        <f>IF(E341="","",IF(G341="",IF(TODAY()&gt;L341,"Atrasada","Em aberto"),IF(G341&lt;=L341,"No prazo","Com atraso")))</f>
        <v/>
      </c>
      <c r="N341" s="18">
        <f>IF(E341="","",MAX(0,IF(G341="",TODAY(),G341)-L341))</f>
        <v/>
      </c>
    </row>
    <row r="342">
      <c r="E342" s="22" t="n"/>
      <c r="G342" s="22" t="n"/>
      <c r="I342" s="22" t="n"/>
      <c r="L342" s="20">
        <f>IF(E342="","",E342+IF(F342="",IFERROR(VLOOKUP(C342,Parametros!$E:$F,2,0),0),F342))</f>
        <v/>
      </c>
      <c r="M342" s="21">
        <f>IF(E342="","",IF(G342="",IF(TODAY()&gt;L342,"Atrasada","Em aberto"),IF(G342&lt;=L342,"No prazo","Com atraso")))</f>
        <v/>
      </c>
      <c r="N342" s="18">
        <f>IF(E342="","",MAX(0,IF(G342="",TODAY(),G342)-L342))</f>
        <v/>
      </c>
    </row>
    <row r="343">
      <c r="E343" s="22" t="n"/>
      <c r="G343" s="22" t="n"/>
      <c r="I343" s="22" t="n"/>
      <c r="L343" s="20">
        <f>IF(E343="","",E343+IF(F343="",IFERROR(VLOOKUP(C343,Parametros!$E:$F,2,0),0),F343))</f>
        <v/>
      </c>
      <c r="M343" s="21">
        <f>IF(E343="","",IF(G343="",IF(TODAY()&gt;L343,"Atrasada","Em aberto"),IF(G343&lt;=L343,"No prazo","Com atraso")))</f>
        <v/>
      </c>
      <c r="N343" s="18">
        <f>IF(E343="","",MAX(0,IF(G343="",TODAY(),G343)-L343))</f>
        <v/>
      </c>
    </row>
    <row r="344">
      <c r="E344" s="22" t="n"/>
      <c r="G344" s="22" t="n"/>
      <c r="I344" s="22" t="n"/>
      <c r="L344" s="20">
        <f>IF(E344="","",E344+IF(F344="",IFERROR(VLOOKUP(C344,Parametros!$E:$F,2,0),0),F344))</f>
        <v/>
      </c>
      <c r="M344" s="21">
        <f>IF(E344="","",IF(G344="",IF(TODAY()&gt;L344,"Atrasada","Em aberto"),IF(G344&lt;=L344,"No prazo","Com atraso")))</f>
        <v/>
      </c>
      <c r="N344" s="18">
        <f>IF(E344="","",MAX(0,IF(G344="",TODAY(),G344)-L344))</f>
        <v/>
      </c>
    </row>
    <row r="345">
      <c r="E345" s="22" t="n"/>
      <c r="G345" s="22" t="n"/>
      <c r="I345" s="22" t="n"/>
      <c r="L345" s="20">
        <f>IF(E345="","",E345+IF(F345="",IFERROR(VLOOKUP(C345,Parametros!$E:$F,2,0),0),F345))</f>
        <v/>
      </c>
      <c r="M345" s="21">
        <f>IF(E345="","",IF(G345="",IF(TODAY()&gt;L345,"Atrasada","Em aberto"),IF(G345&lt;=L345,"No prazo","Com atraso")))</f>
        <v/>
      </c>
      <c r="N345" s="18">
        <f>IF(E345="","",MAX(0,IF(G345="",TODAY(),G345)-L345))</f>
        <v/>
      </c>
    </row>
    <row r="346">
      <c r="E346" s="22" t="n"/>
      <c r="G346" s="22" t="n"/>
      <c r="I346" s="22" t="n"/>
      <c r="L346" s="20">
        <f>IF(E346="","",E346+IF(F346="",IFERROR(VLOOKUP(C346,Parametros!$E:$F,2,0),0),F346))</f>
        <v/>
      </c>
      <c r="M346" s="21">
        <f>IF(E346="","",IF(G346="",IF(TODAY()&gt;L346,"Atrasada","Em aberto"),IF(G346&lt;=L346,"No prazo","Com atraso")))</f>
        <v/>
      </c>
      <c r="N346" s="18">
        <f>IF(E346="","",MAX(0,IF(G346="",TODAY(),G346)-L346))</f>
        <v/>
      </c>
    </row>
    <row r="347">
      <c r="E347" s="22" t="n"/>
      <c r="G347" s="22" t="n"/>
      <c r="I347" s="22" t="n"/>
      <c r="L347" s="20">
        <f>IF(E347="","",E347+IF(F347="",IFERROR(VLOOKUP(C347,Parametros!$E:$F,2,0),0),F347))</f>
        <v/>
      </c>
      <c r="M347" s="21">
        <f>IF(E347="","",IF(G347="",IF(TODAY()&gt;L347,"Atrasada","Em aberto"),IF(G347&lt;=L347,"No prazo","Com atraso")))</f>
        <v/>
      </c>
      <c r="N347" s="18">
        <f>IF(E347="","",MAX(0,IF(G347="",TODAY(),G347)-L347))</f>
        <v/>
      </c>
    </row>
    <row r="348">
      <c r="E348" s="22" t="n"/>
      <c r="G348" s="22" t="n"/>
      <c r="I348" s="22" t="n"/>
      <c r="L348" s="20">
        <f>IF(E348="","",E348+IF(F348="",IFERROR(VLOOKUP(C348,Parametros!$E:$F,2,0),0),F348))</f>
        <v/>
      </c>
      <c r="M348" s="21">
        <f>IF(E348="","",IF(G348="",IF(TODAY()&gt;L348,"Atrasada","Em aberto"),IF(G348&lt;=L348,"No prazo","Com atraso")))</f>
        <v/>
      </c>
      <c r="N348" s="18">
        <f>IF(E348="","",MAX(0,IF(G348="",TODAY(),G348)-L348))</f>
        <v/>
      </c>
    </row>
    <row r="349">
      <c r="E349" s="22" t="n"/>
      <c r="G349" s="22" t="n"/>
      <c r="I349" s="22" t="n"/>
      <c r="L349" s="20">
        <f>IF(E349="","",E349+IF(F349="",IFERROR(VLOOKUP(C349,Parametros!$E:$F,2,0),0),F349))</f>
        <v/>
      </c>
      <c r="M349" s="21">
        <f>IF(E349="","",IF(G349="",IF(TODAY()&gt;L349,"Atrasada","Em aberto"),IF(G349&lt;=L349,"No prazo","Com atraso")))</f>
        <v/>
      </c>
      <c r="N349" s="18">
        <f>IF(E349="","",MAX(0,IF(G349="",TODAY(),G349)-L349))</f>
        <v/>
      </c>
    </row>
    <row r="350">
      <c r="E350" s="22" t="n"/>
      <c r="G350" s="22" t="n"/>
      <c r="I350" s="22" t="n"/>
      <c r="L350" s="20">
        <f>IF(E350="","",E350+IF(F350="",IFERROR(VLOOKUP(C350,Parametros!$E:$F,2,0),0),F350))</f>
        <v/>
      </c>
      <c r="M350" s="21">
        <f>IF(E350="","",IF(G350="",IF(TODAY()&gt;L350,"Atrasada","Em aberto"),IF(G350&lt;=L350,"No prazo","Com atraso")))</f>
        <v/>
      </c>
      <c r="N350" s="18">
        <f>IF(E350="","",MAX(0,IF(G350="",TODAY(),G350)-L350))</f>
        <v/>
      </c>
    </row>
    <row r="351">
      <c r="E351" s="22" t="n"/>
      <c r="G351" s="22" t="n"/>
      <c r="I351" s="22" t="n"/>
      <c r="L351" s="20">
        <f>IF(E351="","",E351+IF(F351="",IFERROR(VLOOKUP(C351,Parametros!$E:$F,2,0),0),F351))</f>
        <v/>
      </c>
      <c r="M351" s="21">
        <f>IF(E351="","",IF(G351="",IF(TODAY()&gt;L351,"Atrasada","Em aberto"),IF(G351&lt;=L351,"No prazo","Com atraso")))</f>
        <v/>
      </c>
      <c r="N351" s="18">
        <f>IF(E351="","",MAX(0,IF(G351="",TODAY(),G351)-L351))</f>
        <v/>
      </c>
    </row>
    <row r="352">
      <c r="E352" s="22" t="n"/>
      <c r="G352" s="22" t="n"/>
      <c r="I352" s="22" t="n"/>
      <c r="L352" s="20">
        <f>IF(E352="","",E352+IF(F352="",IFERROR(VLOOKUP(C352,Parametros!$E:$F,2,0),0),F352))</f>
        <v/>
      </c>
      <c r="M352" s="21">
        <f>IF(E352="","",IF(G352="",IF(TODAY()&gt;L352,"Atrasada","Em aberto"),IF(G352&lt;=L352,"No prazo","Com atraso")))</f>
        <v/>
      </c>
      <c r="N352" s="18">
        <f>IF(E352="","",MAX(0,IF(G352="",TODAY(),G352)-L352))</f>
        <v/>
      </c>
    </row>
    <row r="353">
      <c r="E353" s="22" t="n"/>
      <c r="G353" s="22" t="n"/>
      <c r="I353" s="22" t="n"/>
      <c r="L353" s="20">
        <f>IF(E353="","",E353+IF(F353="",IFERROR(VLOOKUP(C353,Parametros!$E:$F,2,0),0),F353))</f>
        <v/>
      </c>
      <c r="M353" s="21">
        <f>IF(E353="","",IF(G353="",IF(TODAY()&gt;L353,"Atrasada","Em aberto"),IF(G353&lt;=L353,"No prazo","Com atraso")))</f>
        <v/>
      </c>
      <c r="N353" s="18">
        <f>IF(E353="","",MAX(0,IF(G353="",TODAY(),G353)-L353))</f>
        <v/>
      </c>
    </row>
    <row r="354">
      <c r="E354" s="22" t="n"/>
      <c r="G354" s="22" t="n"/>
      <c r="I354" s="22" t="n"/>
      <c r="L354" s="20">
        <f>IF(E354="","",E354+IF(F354="",IFERROR(VLOOKUP(C354,Parametros!$E:$F,2,0),0),F354))</f>
        <v/>
      </c>
      <c r="M354" s="21">
        <f>IF(E354="","",IF(G354="",IF(TODAY()&gt;L354,"Atrasada","Em aberto"),IF(G354&lt;=L354,"No prazo","Com atraso")))</f>
        <v/>
      </c>
      <c r="N354" s="18">
        <f>IF(E354="","",MAX(0,IF(G354="",TODAY(),G354)-L354))</f>
        <v/>
      </c>
    </row>
    <row r="355">
      <c r="E355" s="22" t="n"/>
      <c r="G355" s="22" t="n"/>
      <c r="I355" s="22" t="n"/>
      <c r="L355" s="20">
        <f>IF(E355="","",E355+IF(F355="",IFERROR(VLOOKUP(C355,Parametros!$E:$F,2,0),0),F355))</f>
        <v/>
      </c>
      <c r="M355" s="21">
        <f>IF(E355="","",IF(G355="",IF(TODAY()&gt;L355,"Atrasada","Em aberto"),IF(G355&lt;=L355,"No prazo","Com atraso")))</f>
        <v/>
      </c>
      <c r="N355" s="18">
        <f>IF(E355="","",MAX(0,IF(G355="",TODAY(),G355)-L355))</f>
        <v/>
      </c>
    </row>
    <row r="356">
      <c r="E356" s="22" t="n"/>
      <c r="G356" s="22" t="n"/>
      <c r="I356" s="22" t="n"/>
      <c r="L356" s="20">
        <f>IF(E356="","",E356+IF(F356="",IFERROR(VLOOKUP(C356,Parametros!$E:$F,2,0),0),F356))</f>
        <v/>
      </c>
      <c r="M356" s="21">
        <f>IF(E356="","",IF(G356="",IF(TODAY()&gt;L356,"Atrasada","Em aberto"),IF(G356&lt;=L356,"No prazo","Com atraso")))</f>
        <v/>
      </c>
      <c r="N356" s="18">
        <f>IF(E356="","",MAX(0,IF(G356="",TODAY(),G356)-L356))</f>
        <v/>
      </c>
    </row>
    <row r="357">
      <c r="E357" s="22" t="n"/>
      <c r="G357" s="22" t="n"/>
      <c r="I357" s="22" t="n"/>
      <c r="L357" s="20">
        <f>IF(E357="","",E357+IF(F357="",IFERROR(VLOOKUP(C357,Parametros!$E:$F,2,0),0),F357))</f>
        <v/>
      </c>
      <c r="M357" s="21">
        <f>IF(E357="","",IF(G357="",IF(TODAY()&gt;L357,"Atrasada","Em aberto"),IF(G357&lt;=L357,"No prazo","Com atraso")))</f>
        <v/>
      </c>
      <c r="N357" s="18">
        <f>IF(E357="","",MAX(0,IF(G357="",TODAY(),G357)-L357))</f>
        <v/>
      </c>
    </row>
    <row r="358">
      <c r="E358" s="22" t="n"/>
      <c r="G358" s="22" t="n"/>
      <c r="I358" s="22" t="n"/>
      <c r="L358" s="20">
        <f>IF(E358="","",E358+IF(F358="",IFERROR(VLOOKUP(C358,Parametros!$E:$F,2,0),0),F358))</f>
        <v/>
      </c>
      <c r="M358" s="21">
        <f>IF(E358="","",IF(G358="",IF(TODAY()&gt;L358,"Atrasada","Em aberto"),IF(G358&lt;=L358,"No prazo","Com atraso")))</f>
        <v/>
      </c>
      <c r="N358" s="18">
        <f>IF(E358="","",MAX(0,IF(G358="",TODAY(),G358)-L358))</f>
        <v/>
      </c>
    </row>
    <row r="359">
      <c r="E359" s="22" t="n"/>
      <c r="G359" s="22" t="n"/>
      <c r="I359" s="22" t="n"/>
      <c r="L359" s="20">
        <f>IF(E359="","",E359+IF(F359="",IFERROR(VLOOKUP(C359,Parametros!$E:$F,2,0),0),F359))</f>
        <v/>
      </c>
      <c r="M359" s="21">
        <f>IF(E359="","",IF(G359="",IF(TODAY()&gt;L359,"Atrasada","Em aberto"),IF(G359&lt;=L359,"No prazo","Com atraso")))</f>
        <v/>
      </c>
      <c r="N359" s="18">
        <f>IF(E359="","",MAX(0,IF(G359="",TODAY(),G359)-L359))</f>
        <v/>
      </c>
    </row>
    <row r="360">
      <c r="E360" s="22" t="n"/>
      <c r="G360" s="22" t="n"/>
      <c r="I360" s="22" t="n"/>
      <c r="L360" s="20">
        <f>IF(E360="","",E360+IF(F360="",IFERROR(VLOOKUP(C360,Parametros!$E:$F,2,0),0),F360))</f>
        <v/>
      </c>
      <c r="M360" s="21">
        <f>IF(E360="","",IF(G360="",IF(TODAY()&gt;L360,"Atrasada","Em aberto"),IF(G360&lt;=L360,"No prazo","Com atraso")))</f>
        <v/>
      </c>
      <c r="N360" s="18">
        <f>IF(E360="","",MAX(0,IF(G360="",TODAY(),G360)-L360))</f>
        <v/>
      </c>
    </row>
    <row r="361">
      <c r="E361" s="22" t="n"/>
      <c r="G361" s="22" t="n"/>
      <c r="I361" s="22" t="n"/>
      <c r="L361" s="20">
        <f>IF(E361="","",E361+IF(F361="",IFERROR(VLOOKUP(C361,Parametros!$E:$F,2,0),0),F361))</f>
        <v/>
      </c>
      <c r="M361" s="21">
        <f>IF(E361="","",IF(G361="",IF(TODAY()&gt;L361,"Atrasada","Em aberto"),IF(G361&lt;=L361,"No prazo","Com atraso")))</f>
        <v/>
      </c>
      <c r="N361" s="18">
        <f>IF(E361="","",MAX(0,IF(G361="",TODAY(),G361)-L361))</f>
        <v/>
      </c>
    </row>
    <row r="362">
      <c r="E362" s="22" t="n"/>
      <c r="G362" s="22" t="n"/>
      <c r="I362" s="22" t="n"/>
      <c r="L362" s="20">
        <f>IF(E362="","",E362+IF(F362="",IFERROR(VLOOKUP(C362,Parametros!$E:$F,2,0),0),F362))</f>
        <v/>
      </c>
      <c r="M362" s="21">
        <f>IF(E362="","",IF(G362="",IF(TODAY()&gt;L362,"Atrasada","Em aberto"),IF(G362&lt;=L362,"No prazo","Com atraso")))</f>
        <v/>
      </c>
      <c r="N362" s="18">
        <f>IF(E362="","",MAX(0,IF(G362="",TODAY(),G362)-L362))</f>
        <v/>
      </c>
    </row>
    <row r="363">
      <c r="E363" s="22" t="n"/>
      <c r="G363" s="22" t="n"/>
      <c r="I363" s="22" t="n"/>
      <c r="L363" s="20">
        <f>IF(E363="","",E363+IF(F363="",IFERROR(VLOOKUP(C363,Parametros!$E:$F,2,0),0),F363))</f>
        <v/>
      </c>
      <c r="M363" s="21">
        <f>IF(E363="","",IF(G363="",IF(TODAY()&gt;L363,"Atrasada","Em aberto"),IF(G363&lt;=L363,"No prazo","Com atraso")))</f>
        <v/>
      </c>
      <c r="N363" s="18">
        <f>IF(E363="","",MAX(0,IF(G363="",TODAY(),G363)-L363))</f>
        <v/>
      </c>
    </row>
    <row r="364">
      <c r="E364" s="22" t="n"/>
      <c r="G364" s="22" t="n"/>
      <c r="I364" s="22" t="n"/>
      <c r="L364" s="20">
        <f>IF(E364="","",E364+IF(F364="",IFERROR(VLOOKUP(C364,Parametros!$E:$F,2,0),0),F364))</f>
        <v/>
      </c>
      <c r="M364" s="21">
        <f>IF(E364="","",IF(G364="",IF(TODAY()&gt;L364,"Atrasada","Em aberto"),IF(G364&lt;=L364,"No prazo","Com atraso")))</f>
        <v/>
      </c>
      <c r="N364" s="18">
        <f>IF(E364="","",MAX(0,IF(G364="",TODAY(),G364)-L364))</f>
        <v/>
      </c>
    </row>
    <row r="365">
      <c r="E365" s="22" t="n"/>
      <c r="G365" s="22" t="n"/>
      <c r="I365" s="22" t="n"/>
      <c r="L365" s="20">
        <f>IF(E365="","",E365+IF(F365="",IFERROR(VLOOKUP(C365,Parametros!$E:$F,2,0),0),F365))</f>
        <v/>
      </c>
      <c r="M365" s="21">
        <f>IF(E365="","",IF(G365="",IF(TODAY()&gt;L365,"Atrasada","Em aberto"),IF(G365&lt;=L365,"No prazo","Com atraso")))</f>
        <v/>
      </c>
      <c r="N365" s="18">
        <f>IF(E365="","",MAX(0,IF(G365="",TODAY(),G365)-L365))</f>
        <v/>
      </c>
    </row>
    <row r="366">
      <c r="E366" s="22" t="n"/>
      <c r="G366" s="22" t="n"/>
      <c r="I366" s="22" t="n"/>
      <c r="L366" s="20">
        <f>IF(E366="","",E366+IF(F366="",IFERROR(VLOOKUP(C366,Parametros!$E:$F,2,0),0),F366))</f>
        <v/>
      </c>
      <c r="M366" s="21">
        <f>IF(E366="","",IF(G366="",IF(TODAY()&gt;L366,"Atrasada","Em aberto"),IF(G366&lt;=L366,"No prazo","Com atraso")))</f>
        <v/>
      </c>
      <c r="N366" s="18">
        <f>IF(E366="","",MAX(0,IF(G366="",TODAY(),G366)-L366))</f>
        <v/>
      </c>
    </row>
    <row r="367">
      <c r="E367" s="22" t="n"/>
      <c r="G367" s="22" t="n"/>
      <c r="I367" s="22" t="n"/>
      <c r="L367" s="20">
        <f>IF(E367="","",E367+IF(F367="",IFERROR(VLOOKUP(C367,Parametros!$E:$F,2,0),0),F367))</f>
        <v/>
      </c>
      <c r="M367" s="21">
        <f>IF(E367="","",IF(G367="",IF(TODAY()&gt;L367,"Atrasada","Em aberto"),IF(G367&lt;=L367,"No prazo","Com atraso")))</f>
        <v/>
      </c>
      <c r="N367" s="18">
        <f>IF(E367="","",MAX(0,IF(G367="",TODAY(),G367)-L367))</f>
        <v/>
      </c>
    </row>
    <row r="368">
      <c r="E368" s="22" t="n"/>
      <c r="G368" s="22" t="n"/>
      <c r="I368" s="22" t="n"/>
      <c r="L368" s="20">
        <f>IF(E368="","",E368+IF(F368="",IFERROR(VLOOKUP(C368,Parametros!$E:$F,2,0),0),F368))</f>
        <v/>
      </c>
      <c r="M368" s="21">
        <f>IF(E368="","",IF(G368="",IF(TODAY()&gt;L368,"Atrasada","Em aberto"),IF(G368&lt;=L368,"No prazo","Com atraso")))</f>
        <v/>
      </c>
      <c r="N368" s="18">
        <f>IF(E368="","",MAX(0,IF(G368="",TODAY(),G368)-L368))</f>
        <v/>
      </c>
    </row>
    <row r="369">
      <c r="E369" s="22" t="n"/>
      <c r="G369" s="22" t="n"/>
      <c r="I369" s="22" t="n"/>
      <c r="L369" s="20">
        <f>IF(E369="","",E369+IF(F369="",IFERROR(VLOOKUP(C369,Parametros!$E:$F,2,0),0),F369))</f>
        <v/>
      </c>
      <c r="M369" s="21">
        <f>IF(E369="","",IF(G369="",IF(TODAY()&gt;L369,"Atrasada","Em aberto"),IF(G369&lt;=L369,"No prazo","Com atraso")))</f>
        <v/>
      </c>
      <c r="N369" s="18">
        <f>IF(E369="","",MAX(0,IF(G369="",TODAY(),G369)-L369))</f>
        <v/>
      </c>
    </row>
    <row r="370">
      <c r="E370" s="22" t="n"/>
      <c r="G370" s="22" t="n"/>
      <c r="I370" s="22" t="n"/>
      <c r="L370" s="20">
        <f>IF(E370="","",E370+IF(F370="",IFERROR(VLOOKUP(C370,Parametros!$E:$F,2,0),0),F370))</f>
        <v/>
      </c>
      <c r="M370" s="21">
        <f>IF(E370="","",IF(G370="",IF(TODAY()&gt;L370,"Atrasada","Em aberto"),IF(G370&lt;=L370,"No prazo","Com atraso")))</f>
        <v/>
      </c>
      <c r="N370" s="18">
        <f>IF(E370="","",MAX(0,IF(G370="",TODAY(),G370)-L370))</f>
        <v/>
      </c>
    </row>
    <row r="371">
      <c r="E371" s="22" t="n"/>
      <c r="G371" s="22" t="n"/>
      <c r="I371" s="22" t="n"/>
      <c r="L371" s="20">
        <f>IF(E371="","",E371+IF(F371="",IFERROR(VLOOKUP(C371,Parametros!$E:$F,2,0),0),F371))</f>
        <v/>
      </c>
      <c r="M371" s="21">
        <f>IF(E371="","",IF(G371="",IF(TODAY()&gt;L371,"Atrasada","Em aberto"),IF(G371&lt;=L371,"No prazo","Com atraso")))</f>
        <v/>
      </c>
      <c r="N371" s="18">
        <f>IF(E371="","",MAX(0,IF(G371="",TODAY(),G371)-L371))</f>
        <v/>
      </c>
    </row>
    <row r="372">
      <c r="E372" s="22" t="n"/>
      <c r="G372" s="22" t="n"/>
      <c r="I372" s="22" t="n"/>
      <c r="L372" s="20">
        <f>IF(E372="","",E372+IF(F372="",IFERROR(VLOOKUP(C372,Parametros!$E:$F,2,0),0),F372))</f>
        <v/>
      </c>
      <c r="M372" s="21">
        <f>IF(E372="","",IF(G372="",IF(TODAY()&gt;L372,"Atrasada","Em aberto"),IF(G372&lt;=L372,"No prazo","Com atraso")))</f>
        <v/>
      </c>
      <c r="N372" s="18">
        <f>IF(E372="","",MAX(0,IF(G372="",TODAY(),G372)-L372))</f>
        <v/>
      </c>
    </row>
    <row r="373">
      <c r="E373" s="22" t="n"/>
      <c r="G373" s="22" t="n"/>
      <c r="I373" s="22" t="n"/>
      <c r="L373" s="20">
        <f>IF(E373="","",E373+IF(F373="",IFERROR(VLOOKUP(C373,Parametros!$E:$F,2,0),0),F373))</f>
        <v/>
      </c>
      <c r="M373" s="21">
        <f>IF(E373="","",IF(G373="",IF(TODAY()&gt;L373,"Atrasada","Em aberto"),IF(G373&lt;=L373,"No prazo","Com atraso")))</f>
        <v/>
      </c>
      <c r="N373" s="18">
        <f>IF(E373="","",MAX(0,IF(G373="",TODAY(),G373)-L373))</f>
        <v/>
      </c>
    </row>
    <row r="374">
      <c r="E374" s="22" t="n"/>
      <c r="G374" s="22" t="n"/>
      <c r="I374" s="22" t="n"/>
      <c r="L374" s="20">
        <f>IF(E374="","",E374+IF(F374="",IFERROR(VLOOKUP(C374,Parametros!$E:$F,2,0),0),F374))</f>
        <v/>
      </c>
      <c r="M374" s="21">
        <f>IF(E374="","",IF(G374="",IF(TODAY()&gt;L374,"Atrasada","Em aberto"),IF(G374&lt;=L374,"No prazo","Com atraso")))</f>
        <v/>
      </c>
      <c r="N374" s="18">
        <f>IF(E374="","",MAX(0,IF(G374="",TODAY(),G374)-L374))</f>
        <v/>
      </c>
    </row>
    <row r="375">
      <c r="E375" s="22" t="n"/>
      <c r="G375" s="22" t="n"/>
      <c r="I375" s="22" t="n"/>
      <c r="L375" s="20">
        <f>IF(E375="","",E375+IF(F375="",IFERROR(VLOOKUP(C375,Parametros!$E:$F,2,0),0),F375))</f>
        <v/>
      </c>
      <c r="M375" s="21">
        <f>IF(E375="","",IF(G375="",IF(TODAY()&gt;L375,"Atrasada","Em aberto"),IF(G375&lt;=L375,"No prazo","Com atraso")))</f>
        <v/>
      </c>
      <c r="N375" s="18">
        <f>IF(E375="","",MAX(0,IF(G375="",TODAY(),G375)-L375))</f>
        <v/>
      </c>
    </row>
    <row r="376">
      <c r="E376" s="22" t="n"/>
      <c r="G376" s="22" t="n"/>
      <c r="I376" s="22" t="n"/>
      <c r="L376" s="20">
        <f>IF(E376="","",E376+IF(F376="",IFERROR(VLOOKUP(C376,Parametros!$E:$F,2,0),0),F376))</f>
        <v/>
      </c>
      <c r="M376" s="21">
        <f>IF(E376="","",IF(G376="",IF(TODAY()&gt;L376,"Atrasada","Em aberto"),IF(G376&lt;=L376,"No prazo","Com atraso")))</f>
        <v/>
      </c>
      <c r="N376" s="18">
        <f>IF(E376="","",MAX(0,IF(G376="",TODAY(),G376)-L376))</f>
        <v/>
      </c>
    </row>
    <row r="377">
      <c r="E377" s="22" t="n"/>
      <c r="G377" s="22" t="n"/>
      <c r="I377" s="22" t="n"/>
      <c r="L377" s="20">
        <f>IF(E377="","",E377+IF(F377="",IFERROR(VLOOKUP(C377,Parametros!$E:$F,2,0),0),F377))</f>
        <v/>
      </c>
      <c r="M377" s="21">
        <f>IF(E377="","",IF(G377="",IF(TODAY()&gt;L377,"Atrasada","Em aberto"),IF(G377&lt;=L377,"No prazo","Com atraso")))</f>
        <v/>
      </c>
      <c r="N377" s="18">
        <f>IF(E377="","",MAX(0,IF(G377="",TODAY(),G377)-L377))</f>
        <v/>
      </c>
    </row>
    <row r="378">
      <c r="E378" s="22" t="n"/>
      <c r="G378" s="22" t="n"/>
      <c r="I378" s="22" t="n"/>
      <c r="L378" s="20">
        <f>IF(E378="","",E378+IF(F378="",IFERROR(VLOOKUP(C378,Parametros!$E:$F,2,0),0),F378))</f>
        <v/>
      </c>
      <c r="M378" s="21">
        <f>IF(E378="","",IF(G378="",IF(TODAY()&gt;L378,"Atrasada","Em aberto"),IF(G378&lt;=L378,"No prazo","Com atraso")))</f>
        <v/>
      </c>
      <c r="N378" s="18">
        <f>IF(E378="","",MAX(0,IF(G378="",TODAY(),G378)-L378))</f>
        <v/>
      </c>
    </row>
    <row r="379">
      <c r="E379" s="22" t="n"/>
      <c r="G379" s="22" t="n"/>
      <c r="I379" s="22" t="n"/>
      <c r="L379" s="20">
        <f>IF(E379="","",E379+IF(F379="",IFERROR(VLOOKUP(C379,Parametros!$E:$F,2,0),0),F379))</f>
        <v/>
      </c>
      <c r="M379" s="21">
        <f>IF(E379="","",IF(G379="",IF(TODAY()&gt;L379,"Atrasada","Em aberto"),IF(G379&lt;=L379,"No prazo","Com atraso")))</f>
        <v/>
      </c>
      <c r="N379" s="18">
        <f>IF(E379="","",MAX(0,IF(G379="",TODAY(),G379)-L379))</f>
        <v/>
      </c>
    </row>
    <row r="380">
      <c r="E380" s="22" t="n"/>
      <c r="G380" s="22" t="n"/>
      <c r="I380" s="22" t="n"/>
      <c r="L380" s="20">
        <f>IF(E380="","",E380+IF(F380="",IFERROR(VLOOKUP(C380,Parametros!$E:$F,2,0),0),F380))</f>
        <v/>
      </c>
      <c r="M380" s="21">
        <f>IF(E380="","",IF(G380="",IF(TODAY()&gt;L380,"Atrasada","Em aberto"),IF(G380&lt;=L380,"No prazo","Com atraso")))</f>
        <v/>
      </c>
      <c r="N380" s="18">
        <f>IF(E380="","",MAX(0,IF(G380="",TODAY(),G380)-L380))</f>
        <v/>
      </c>
    </row>
    <row r="381">
      <c r="E381" s="22" t="n"/>
      <c r="G381" s="22" t="n"/>
      <c r="I381" s="22" t="n"/>
      <c r="L381" s="20">
        <f>IF(E381="","",E381+IF(F381="",IFERROR(VLOOKUP(C381,Parametros!$E:$F,2,0),0),F381))</f>
        <v/>
      </c>
      <c r="M381" s="21">
        <f>IF(E381="","",IF(G381="",IF(TODAY()&gt;L381,"Atrasada","Em aberto"),IF(G381&lt;=L381,"No prazo","Com atraso")))</f>
        <v/>
      </c>
      <c r="N381" s="18">
        <f>IF(E381="","",MAX(0,IF(G381="",TODAY(),G381)-L381))</f>
        <v/>
      </c>
    </row>
    <row r="382">
      <c r="E382" s="22" t="n"/>
      <c r="G382" s="22" t="n"/>
      <c r="I382" s="22" t="n"/>
      <c r="L382" s="20">
        <f>IF(E382="","",E382+IF(F382="",IFERROR(VLOOKUP(C382,Parametros!$E:$F,2,0),0),F382))</f>
        <v/>
      </c>
      <c r="M382" s="21">
        <f>IF(E382="","",IF(G382="",IF(TODAY()&gt;L382,"Atrasada","Em aberto"),IF(G382&lt;=L382,"No prazo","Com atraso")))</f>
        <v/>
      </c>
      <c r="N382" s="18">
        <f>IF(E382="","",MAX(0,IF(G382="",TODAY(),G382)-L382))</f>
        <v/>
      </c>
    </row>
    <row r="383">
      <c r="E383" s="22" t="n"/>
      <c r="G383" s="22" t="n"/>
      <c r="I383" s="22" t="n"/>
      <c r="L383" s="20">
        <f>IF(E383="","",E383+IF(F383="",IFERROR(VLOOKUP(C383,Parametros!$E:$F,2,0),0),F383))</f>
        <v/>
      </c>
      <c r="M383" s="21">
        <f>IF(E383="","",IF(G383="",IF(TODAY()&gt;L383,"Atrasada","Em aberto"),IF(G383&lt;=L383,"No prazo","Com atraso")))</f>
        <v/>
      </c>
      <c r="N383" s="18">
        <f>IF(E383="","",MAX(0,IF(G383="",TODAY(),G383)-L383))</f>
        <v/>
      </c>
    </row>
    <row r="384">
      <c r="E384" s="22" t="n"/>
      <c r="G384" s="22" t="n"/>
      <c r="I384" s="22" t="n"/>
      <c r="L384" s="20">
        <f>IF(E384="","",E384+IF(F384="",IFERROR(VLOOKUP(C384,Parametros!$E:$F,2,0),0),F384))</f>
        <v/>
      </c>
      <c r="M384" s="21">
        <f>IF(E384="","",IF(G384="",IF(TODAY()&gt;L384,"Atrasada","Em aberto"),IF(G384&lt;=L384,"No prazo","Com atraso")))</f>
        <v/>
      </c>
      <c r="N384" s="18">
        <f>IF(E384="","",MAX(0,IF(G384="",TODAY(),G384)-L384))</f>
        <v/>
      </c>
    </row>
    <row r="385">
      <c r="E385" s="22" t="n"/>
      <c r="G385" s="22" t="n"/>
      <c r="I385" s="22" t="n"/>
      <c r="L385" s="20">
        <f>IF(E385="","",E385+IF(F385="",IFERROR(VLOOKUP(C385,Parametros!$E:$F,2,0),0),F385))</f>
        <v/>
      </c>
      <c r="M385" s="21">
        <f>IF(E385="","",IF(G385="",IF(TODAY()&gt;L385,"Atrasada","Em aberto"),IF(G385&lt;=L385,"No prazo","Com atraso")))</f>
        <v/>
      </c>
      <c r="N385" s="18">
        <f>IF(E385="","",MAX(0,IF(G385="",TODAY(),G385)-L385))</f>
        <v/>
      </c>
    </row>
    <row r="386">
      <c r="E386" s="22" t="n"/>
      <c r="G386" s="22" t="n"/>
      <c r="I386" s="22" t="n"/>
      <c r="L386" s="20">
        <f>IF(E386="","",E386+IF(F386="",IFERROR(VLOOKUP(C386,Parametros!$E:$F,2,0),0),F386))</f>
        <v/>
      </c>
      <c r="M386" s="21">
        <f>IF(E386="","",IF(G386="",IF(TODAY()&gt;L386,"Atrasada","Em aberto"),IF(G386&lt;=L386,"No prazo","Com atraso")))</f>
        <v/>
      </c>
      <c r="N386" s="18">
        <f>IF(E386="","",MAX(0,IF(G386="",TODAY(),G386)-L386))</f>
        <v/>
      </c>
    </row>
    <row r="387">
      <c r="E387" s="22" t="n"/>
      <c r="G387" s="22" t="n"/>
      <c r="I387" s="22" t="n"/>
      <c r="L387" s="20">
        <f>IF(E387="","",E387+IF(F387="",IFERROR(VLOOKUP(C387,Parametros!$E:$F,2,0),0),F387))</f>
        <v/>
      </c>
      <c r="M387" s="21">
        <f>IF(E387="","",IF(G387="",IF(TODAY()&gt;L387,"Atrasada","Em aberto"),IF(G387&lt;=L387,"No prazo","Com atraso")))</f>
        <v/>
      </c>
      <c r="N387" s="18">
        <f>IF(E387="","",MAX(0,IF(G387="",TODAY(),G387)-L387))</f>
        <v/>
      </c>
    </row>
    <row r="388">
      <c r="E388" s="22" t="n"/>
      <c r="G388" s="22" t="n"/>
      <c r="I388" s="22" t="n"/>
      <c r="L388" s="20">
        <f>IF(E388="","",E388+IF(F388="",IFERROR(VLOOKUP(C388,Parametros!$E:$F,2,0),0),F388))</f>
        <v/>
      </c>
      <c r="M388" s="21">
        <f>IF(E388="","",IF(G388="",IF(TODAY()&gt;L388,"Atrasada","Em aberto"),IF(G388&lt;=L388,"No prazo","Com atraso")))</f>
        <v/>
      </c>
      <c r="N388" s="18">
        <f>IF(E388="","",MAX(0,IF(G388="",TODAY(),G388)-L388))</f>
        <v/>
      </c>
    </row>
    <row r="389">
      <c r="E389" s="22" t="n"/>
      <c r="G389" s="22" t="n"/>
      <c r="I389" s="22" t="n"/>
      <c r="L389" s="20">
        <f>IF(E389="","",E389+IF(F389="",IFERROR(VLOOKUP(C389,Parametros!$E:$F,2,0),0),F389))</f>
        <v/>
      </c>
      <c r="M389" s="21">
        <f>IF(E389="","",IF(G389="",IF(TODAY()&gt;L389,"Atrasada","Em aberto"),IF(G389&lt;=L389,"No prazo","Com atraso")))</f>
        <v/>
      </c>
      <c r="N389" s="18">
        <f>IF(E389="","",MAX(0,IF(G389="",TODAY(),G389)-L389))</f>
        <v/>
      </c>
    </row>
    <row r="390">
      <c r="E390" s="22" t="n"/>
      <c r="G390" s="22" t="n"/>
      <c r="I390" s="22" t="n"/>
      <c r="L390" s="20">
        <f>IF(E390="","",E390+IF(F390="",IFERROR(VLOOKUP(C390,Parametros!$E:$F,2,0),0),F390))</f>
        <v/>
      </c>
      <c r="M390" s="21">
        <f>IF(E390="","",IF(G390="",IF(TODAY()&gt;L390,"Atrasada","Em aberto"),IF(G390&lt;=L390,"No prazo","Com atraso")))</f>
        <v/>
      </c>
      <c r="N390" s="18">
        <f>IF(E390="","",MAX(0,IF(G390="",TODAY(),G390)-L390))</f>
        <v/>
      </c>
    </row>
    <row r="391">
      <c r="E391" s="22" t="n"/>
      <c r="G391" s="22" t="n"/>
      <c r="I391" s="22" t="n"/>
      <c r="L391" s="20">
        <f>IF(E391="","",E391+IF(F391="",IFERROR(VLOOKUP(C391,Parametros!$E:$F,2,0),0),F391))</f>
        <v/>
      </c>
      <c r="M391" s="21">
        <f>IF(E391="","",IF(G391="",IF(TODAY()&gt;L391,"Atrasada","Em aberto"),IF(G391&lt;=L391,"No prazo","Com atraso")))</f>
        <v/>
      </c>
      <c r="N391" s="18">
        <f>IF(E391="","",MAX(0,IF(G391="",TODAY(),G391)-L391))</f>
        <v/>
      </c>
    </row>
    <row r="392">
      <c r="E392" s="22" t="n"/>
      <c r="G392" s="22" t="n"/>
      <c r="I392" s="22" t="n"/>
      <c r="L392" s="20">
        <f>IF(E392="","",E392+IF(F392="",IFERROR(VLOOKUP(C392,Parametros!$E:$F,2,0),0),F392))</f>
        <v/>
      </c>
      <c r="M392" s="21">
        <f>IF(E392="","",IF(G392="",IF(TODAY()&gt;L392,"Atrasada","Em aberto"),IF(G392&lt;=L392,"No prazo","Com atraso")))</f>
        <v/>
      </c>
      <c r="N392" s="18">
        <f>IF(E392="","",MAX(0,IF(G392="",TODAY(),G392)-L392))</f>
        <v/>
      </c>
    </row>
    <row r="393">
      <c r="E393" s="22" t="n"/>
      <c r="G393" s="22" t="n"/>
      <c r="I393" s="22" t="n"/>
      <c r="L393" s="20">
        <f>IF(E393="","",E393+IF(F393="",IFERROR(VLOOKUP(C393,Parametros!$E:$F,2,0),0),F393))</f>
        <v/>
      </c>
      <c r="M393" s="21">
        <f>IF(E393="","",IF(G393="",IF(TODAY()&gt;L393,"Atrasada","Em aberto"),IF(G393&lt;=L393,"No prazo","Com atraso")))</f>
        <v/>
      </c>
      <c r="N393" s="18">
        <f>IF(E393="","",MAX(0,IF(G393="",TODAY(),G393)-L393))</f>
        <v/>
      </c>
    </row>
    <row r="394">
      <c r="E394" s="22" t="n"/>
      <c r="G394" s="22" t="n"/>
      <c r="I394" s="22" t="n"/>
      <c r="L394" s="20">
        <f>IF(E394="","",E394+IF(F394="",IFERROR(VLOOKUP(C394,Parametros!$E:$F,2,0),0),F394))</f>
        <v/>
      </c>
      <c r="M394" s="21">
        <f>IF(E394="","",IF(G394="",IF(TODAY()&gt;L394,"Atrasada","Em aberto"),IF(G394&lt;=L394,"No prazo","Com atraso")))</f>
        <v/>
      </c>
      <c r="N394" s="18">
        <f>IF(E394="","",MAX(0,IF(G394="",TODAY(),G394)-L394))</f>
        <v/>
      </c>
    </row>
    <row r="395">
      <c r="E395" s="22" t="n"/>
      <c r="G395" s="22" t="n"/>
      <c r="I395" s="22" t="n"/>
      <c r="L395" s="20">
        <f>IF(E395="","",E395+IF(F395="",IFERROR(VLOOKUP(C395,Parametros!$E:$F,2,0),0),F395))</f>
        <v/>
      </c>
      <c r="M395" s="21">
        <f>IF(E395="","",IF(G395="",IF(TODAY()&gt;L395,"Atrasada","Em aberto"),IF(G395&lt;=L395,"No prazo","Com atraso")))</f>
        <v/>
      </c>
      <c r="N395" s="18">
        <f>IF(E395="","",MAX(0,IF(G395="",TODAY(),G395)-L395))</f>
        <v/>
      </c>
    </row>
    <row r="396">
      <c r="E396" s="22" t="n"/>
      <c r="G396" s="22" t="n"/>
      <c r="I396" s="22" t="n"/>
      <c r="L396" s="20">
        <f>IF(E396="","",E396+IF(F396="",IFERROR(VLOOKUP(C396,Parametros!$E:$F,2,0),0),F396))</f>
        <v/>
      </c>
      <c r="M396" s="21">
        <f>IF(E396="","",IF(G396="",IF(TODAY()&gt;L396,"Atrasada","Em aberto"),IF(G396&lt;=L396,"No prazo","Com atraso")))</f>
        <v/>
      </c>
      <c r="N396" s="18">
        <f>IF(E396="","",MAX(0,IF(G396="",TODAY(),G396)-L396))</f>
        <v/>
      </c>
    </row>
    <row r="397">
      <c r="E397" s="22" t="n"/>
      <c r="G397" s="22" t="n"/>
      <c r="I397" s="22" t="n"/>
      <c r="L397" s="20">
        <f>IF(E397="","",E397+IF(F397="",IFERROR(VLOOKUP(C397,Parametros!$E:$F,2,0),0),F397))</f>
        <v/>
      </c>
      <c r="M397" s="21">
        <f>IF(E397="","",IF(G397="",IF(TODAY()&gt;L397,"Atrasada","Em aberto"),IF(G397&lt;=L397,"No prazo","Com atraso")))</f>
        <v/>
      </c>
      <c r="N397" s="18">
        <f>IF(E397="","",MAX(0,IF(G397="",TODAY(),G397)-L397))</f>
        <v/>
      </c>
    </row>
    <row r="398">
      <c r="E398" s="22" t="n"/>
      <c r="G398" s="22" t="n"/>
      <c r="I398" s="22" t="n"/>
      <c r="L398" s="20">
        <f>IF(E398="","",E398+IF(F398="",IFERROR(VLOOKUP(C398,Parametros!$E:$F,2,0),0),F398))</f>
        <v/>
      </c>
      <c r="M398" s="21">
        <f>IF(E398="","",IF(G398="",IF(TODAY()&gt;L398,"Atrasada","Em aberto"),IF(G398&lt;=L398,"No prazo","Com atraso")))</f>
        <v/>
      </c>
      <c r="N398" s="18">
        <f>IF(E398="","",MAX(0,IF(G398="",TODAY(),G398)-L398))</f>
        <v/>
      </c>
    </row>
    <row r="399">
      <c r="E399" s="22" t="n"/>
      <c r="G399" s="22" t="n"/>
      <c r="I399" s="22" t="n"/>
      <c r="L399" s="20">
        <f>IF(E399="","",E399+IF(F399="",IFERROR(VLOOKUP(C399,Parametros!$E:$F,2,0),0),F399))</f>
        <v/>
      </c>
      <c r="M399" s="21">
        <f>IF(E399="","",IF(G399="",IF(TODAY()&gt;L399,"Atrasada","Em aberto"),IF(G399&lt;=L399,"No prazo","Com atraso")))</f>
        <v/>
      </c>
      <c r="N399" s="18">
        <f>IF(E399="","",MAX(0,IF(G399="",TODAY(),G399)-L399))</f>
        <v/>
      </c>
    </row>
    <row r="400">
      <c r="E400" s="22" t="n"/>
      <c r="G400" s="22" t="n"/>
      <c r="I400" s="22" t="n"/>
      <c r="L400" s="20">
        <f>IF(E400="","",E400+IF(F400="",IFERROR(VLOOKUP(C400,Parametros!$E:$F,2,0),0),F400))</f>
        <v/>
      </c>
      <c r="M400" s="21">
        <f>IF(E400="","",IF(G400="",IF(TODAY()&gt;L400,"Atrasada","Em aberto"),IF(G400&lt;=L400,"No prazo","Com atraso")))</f>
        <v/>
      </c>
      <c r="N400" s="18">
        <f>IF(E400="","",MAX(0,IF(G400="",TODAY(),G400)-L400))</f>
        <v/>
      </c>
    </row>
    <row r="401">
      <c r="E401" s="22" t="n"/>
      <c r="G401" s="22" t="n"/>
      <c r="I401" s="22" t="n"/>
      <c r="L401" s="20">
        <f>IF(E401="","",E401+IF(F401="",IFERROR(VLOOKUP(C401,Parametros!$E:$F,2,0),0),F401))</f>
        <v/>
      </c>
      <c r="M401" s="21">
        <f>IF(E401="","",IF(G401="",IF(TODAY()&gt;L401,"Atrasada","Em aberto"),IF(G401&lt;=L401,"No prazo","Com atraso")))</f>
        <v/>
      </c>
      <c r="N401" s="18">
        <f>IF(E401="","",MAX(0,IF(G401="",TODAY(),G401)-L401))</f>
        <v/>
      </c>
    </row>
    <row r="402">
      <c r="E402" s="22" t="n"/>
      <c r="G402" s="22" t="n"/>
      <c r="I402" s="22" t="n"/>
      <c r="L402" s="20">
        <f>IF(E402="","",E402+IF(F402="",IFERROR(VLOOKUP(C402,Parametros!$E:$F,2,0),0),F402))</f>
        <v/>
      </c>
      <c r="M402" s="21">
        <f>IF(E402="","",IF(G402="",IF(TODAY()&gt;L402,"Atrasada","Em aberto"),IF(G402&lt;=L402,"No prazo","Com atraso")))</f>
        <v/>
      </c>
      <c r="N402" s="18">
        <f>IF(E402="","",MAX(0,IF(G402="",TODAY(),G402)-L402))</f>
        <v/>
      </c>
    </row>
    <row r="403">
      <c r="E403" s="22" t="n"/>
      <c r="G403" s="22" t="n"/>
      <c r="I403" s="22" t="n"/>
      <c r="L403" s="20">
        <f>IF(E403="","",E403+IF(F403="",IFERROR(VLOOKUP(C403,Parametros!$E:$F,2,0),0),F403))</f>
        <v/>
      </c>
      <c r="M403" s="21">
        <f>IF(E403="","",IF(G403="",IF(TODAY()&gt;L403,"Atrasada","Em aberto"),IF(G403&lt;=L403,"No prazo","Com atraso")))</f>
        <v/>
      </c>
      <c r="N403" s="18">
        <f>IF(E403="","",MAX(0,IF(G403="",TODAY(),G403)-L403))</f>
        <v/>
      </c>
    </row>
    <row r="404">
      <c r="E404" s="22" t="n"/>
      <c r="G404" s="22" t="n"/>
      <c r="I404" s="22" t="n"/>
      <c r="L404" s="20">
        <f>IF(E404="","",E404+IF(F404="",IFERROR(VLOOKUP(C404,Parametros!$E:$F,2,0),0),F404))</f>
        <v/>
      </c>
      <c r="M404" s="21">
        <f>IF(E404="","",IF(G404="",IF(TODAY()&gt;L404,"Atrasada","Em aberto"),IF(G404&lt;=L404,"No prazo","Com atraso")))</f>
        <v/>
      </c>
      <c r="N404" s="18">
        <f>IF(E404="","",MAX(0,IF(G404="",TODAY(),G404)-L404))</f>
        <v/>
      </c>
    </row>
    <row r="405">
      <c r="E405" s="22" t="n"/>
      <c r="G405" s="22" t="n"/>
      <c r="I405" s="22" t="n"/>
      <c r="L405" s="20">
        <f>IF(E405="","",E405+IF(F405="",IFERROR(VLOOKUP(C405,Parametros!$E:$F,2,0),0),F405))</f>
        <v/>
      </c>
      <c r="M405" s="21">
        <f>IF(E405="","",IF(G405="",IF(TODAY()&gt;L405,"Atrasada","Em aberto"),IF(G405&lt;=L405,"No prazo","Com atraso")))</f>
        <v/>
      </c>
      <c r="N405" s="18">
        <f>IF(E405="","",MAX(0,IF(G405="",TODAY(),G405)-L405))</f>
        <v/>
      </c>
    </row>
    <row r="406">
      <c r="E406" s="22" t="n"/>
      <c r="G406" s="22" t="n"/>
      <c r="I406" s="22" t="n"/>
      <c r="L406" s="20">
        <f>IF(E406="","",E406+IF(F406="",IFERROR(VLOOKUP(C406,Parametros!$E:$F,2,0),0),F406))</f>
        <v/>
      </c>
      <c r="M406" s="21">
        <f>IF(E406="","",IF(G406="",IF(TODAY()&gt;L406,"Atrasada","Em aberto"),IF(G406&lt;=L406,"No prazo","Com atraso")))</f>
        <v/>
      </c>
      <c r="N406" s="18">
        <f>IF(E406="","",MAX(0,IF(G406="",TODAY(),G406)-L406))</f>
        <v/>
      </c>
    </row>
    <row r="407">
      <c r="E407" s="22" t="n"/>
      <c r="G407" s="22" t="n"/>
      <c r="I407" s="22" t="n"/>
      <c r="L407" s="20">
        <f>IF(E407="","",E407+IF(F407="",IFERROR(VLOOKUP(C407,Parametros!$E:$F,2,0),0),F407))</f>
        <v/>
      </c>
      <c r="M407" s="21">
        <f>IF(E407="","",IF(G407="",IF(TODAY()&gt;L407,"Atrasada","Em aberto"),IF(G407&lt;=L407,"No prazo","Com atraso")))</f>
        <v/>
      </c>
      <c r="N407" s="18">
        <f>IF(E407="","",MAX(0,IF(G407="",TODAY(),G407)-L407))</f>
        <v/>
      </c>
    </row>
    <row r="408">
      <c r="E408" s="22" t="n"/>
      <c r="G408" s="22" t="n"/>
      <c r="I408" s="22" t="n"/>
      <c r="L408" s="20">
        <f>IF(E408="","",E408+IF(F408="",IFERROR(VLOOKUP(C408,Parametros!$E:$F,2,0),0),F408))</f>
        <v/>
      </c>
      <c r="M408" s="21">
        <f>IF(E408="","",IF(G408="",IF(TODAY()&gt;L408,"Atrasada","Em aberto"),IF(G408&lt;=L408,"No prazo","Com atraso")))</f>
        <v/>
      </c>
      <c r="N408" s="18">
        <f>IF(E408="","",MAX(0,IF(G408="",TODAY(),G408)-L408))</f>
        <v/>
      </c>
    </row>
    <row r="409">
      <c r="E409" s="22" t="n"/>
      <c r="G409" s="22" t="n"/>
      <c r="I409" s="22" t="n"/>
      <c r="L409" s="20">
        <f>IF(E409="","",E409+IF(F409="",IFERROR(VLOOKUP(C409,Parametros!$E:$F,2,0),0),F409))</f>
        <v/>
      </c>
      <c r="M409" s="21">
        <f>IF(E409="","",IF(G409="",IF(TODAY()&gt;L409,"Atrasada","Em aberto"),IF(G409&lt;=L409,"No prazo","Com atraso")))</f>
        <v/>
      </c>
      <c r="N409" s="18">
        <f>IF(E409="","",MAX(0,IF(G409="",TODAY(),G409)-L409))</f>
        <v/>
      </c>
    </row>
    <row r="410">
      <c r="E410" s="22" t="n"/>
      <c r="G410" s="22" t="n"/>
      <c r="I410" s="22" t="n"/>
      <c r="L410" s="20">
        <f>IF(E410="","",E410+IF(F410="",IFERROR(VLOOKUP(C410,Parametros!$E:$F,2,0),0),F410))</f>
        <v/>
      </c>
      <c r="M410" s="21">
        <f>IF(E410="","",IF(G410="",IF(TODAY()&gt;L410,"Atrasada","Em aberto"),IF(G410&lt;=L410,"No prazo","Com atraso")))</f>
        <v/>
      </c>
      <c r="N410" s="18">
        <f>IF(E410="","",MAX(0,IF(G410="",TODAY(),G410)-L410))</f>
        <v/>
      </c>
    </row>
    <row r="411">
      <c r="E411" s="22" t="n"/>
      <c r="G411" s="22" t="n"/>
      <c r="I411" s="22" t="n"/>
      <c r="L411" s="20">
        <f>IF(E411="","",E411+IF(F411="",IFERROR(VLOOKUP(C411,Parametros!$E:$F,2,0),0),F411))</f>
        <v/>
      </c>
      <c r="M411" s="21">
        <f>IF(E411="","",IF(G411="",IF(TODAY()&gt;L411,"Atrasada","Em aberto"),IF(G411&lt;=L411,"No prazo","Com atraso")))</f>
        <v/>
      </c>
      <c r="N411" s="18">
        <f>IF(E411="","",MAX(0,IF(G411="",TODAY(),G411)-L411))</f>
        <v/>
      </c>
    </row>
    <row r="412">
      <c r="E412" s="22" t="n"/>
      <c r="G412" s="22" t="n"/>
      <c r="I412" s="22" t="n"/>
      <c r="L412" s="20">
        <f>IF(E412="","",E412+IF(F412="",IFERROR(VLOOKUP(C412,Parametros!$E:$F,2,0),0),F412))</f>
        <v/>
      </c>
      <c r="M412" s="21">
        <f>IF(E412="","",IF(G412="",IF(TODAY()&gt;L412,"Atrasada","Em aberto"),IF(G412&lt;=L412,"No prazo","Com atraso")))</f>
        <v/>
      </c>
      <c r="N412" s="18">
        <f>IF(E412="","",MAX(0,IF(G412="",TODAY(),G412)-L412))</f>
        <v/>
      </c>
    </row>
    <row r="413">
      <c r="E413" s="22" t="n"/>
      <c r="G413" s="22" t="n"/>
      <c r="I413" s="22" t="n"/>
      <c r="L413" s="20">
        <f>IF(E413="","",E413+IF(F413="",IFERROR(VLOOKUP(C413,Parametros!$E:$F,2,0),0),F413))</f>
        <v/>
      </c>
      <c r="M413" s="21">
        <f>IF(E413="","",IF(G413="",IF(TODAY()&gt;L413,"Atrasada","Em aberto"),IF(G413&lt;=L413,"No prazo","Com atraso")))</f>
        <v/>
      </c>
      <c r="N413" s="18">
        <f>IF(E413="","",MAX(0,IF(G413="",TODAY(),G413)-L413))</f>
        <v/>
      </c>
    </row>
    <row r="414">
      <c r="E414" s="22" t="n"/>
      <c r="G414" s="22" t="n"/>
      <c r="I414" s="22" t="n"/>
      <c r="L414" s="20">
        <f>IF(E414="","",E414+IF(F414="",IFERROR(VLOOKUP(C414,Parametros!$E:$F,2,0),0),F414))</f>
        <v/>
      </c>
      <c r="M414" s="21">
        <f>IF(E414="","",IF(G414="",IF(TODAY()&gt;L414,"Atrasada","Em aberto"),IF(G414&lt;=L414,"No prazo","Com atraso")))</f>
        <v/>
      </c>
      <c r="N414" s="18">
        <f>IF(E414="","",MAX(0,IF(G414="",TODAY(),G414)-L414))</f>
        <v/>
      </c>
    </row>
    <row r="415">
      <c r="E415" s="22" t="n"/>
      <c r="G415" s="22" t="n"/>
      <c r="I415" s="22" t="n"/>
      <c r="L415" s="20">
        <f>IF(E415="","",E415+IF(F415="",IFERROR(VLOOKUP(C415,Parametros!$E:$F,2,0),0),F415))</f>
        <v/>
      </c>
      <c r="M415" s="21">
        <f>IF(E415="","",IF(G415="",IF(TODAY()&gt;L415,"Atrasada","Em aberto"),IF(G415&lt;=L415,"No prazo","Com atraso")))</f>
        <v/>
      </c>
      <c r="N415" s="18">
        <f>IF(E415="","",MAX(0,IF(G415="",TODAY(),G415)-L415))</f>
        <v/>
      </c>
    </row>
    <row r="416">
      <c r="E416" s="22" t="n"/>
      <c r="G416" s="22" t="n"/>
      <c r="I416" s="22" t="n"/>
      <c r="L416" s="20">
        <f>IF(E416="","",E416+IF(F416="",IFERROR(VLOOKUP(C416,Parametros!$E:$F,2,0),0),F416))</f>
        <v/>
      </c>
      <c r="M416" s="21">
        <f>IF(E416="","",IF(G416="",IF(TODAY()&gt;L416,"Atrasada","Em aberto"),IF(G416&lt;=L416,"No prazo","Com atraso")))</f>
        <v/>
      </c>
      <c r="N416" s="18">
        <f>IF(E416="","",MAX(0,IF(G416="",TODAY(),G416)-L416))</f>
        <v/>
      </c>
    </row>
    <row r="417">
      <c r="E417" s="22" t="n"/>
      <c r="G417" s="22" t="n"/>
      <c r="I417" s="22" t="n"/>
      <c r="L417" s="20">
        <f>IF(E417="","",E417+IF(F417="",IFERROR(VLOOKUP(C417,Parametros!$E:$F,2,0),0),F417))</f>
        <v/>
      </c>
      <c r="M417" s="21">
        <f>IF(E417="","",IF(G417="",IF(TODAY()&gt;L417,"Atrasada","Em aberto"),IF(G417&lt;=L417,"No prazo","Com atraso")))</f>
        <v/>
      </c>
      <c r="N417" s="18">
        <f>IF(E417="","",MAX(0,IF(G417="",TODAY(),G417)-L417))</f>
        <v/>
      </c>
    </row>
    <row r="418">
      <c r="E418" s="22" t="n"/>
      <c r="G418" s="22" t="n"/>
      <c r="I418" s="22" t="n"/>
      <c r="L418" s="20">
        <f>IF(E418="","",E418+IF(F418="",IFERROR(VLOOKUP(C418,Parametros!$E:$F,2,0),0),F418))</f>
        <v/>
      </c>
      <c r="M418" s="21">
        <f>IF(E418="","",IF(G418="",IF(TODAY()&gt;L418,"Atrasada","Em aberto"),IF(G418&lt;=L418,"No prazo","Com atraso")))</f>
        <v/>
      </c>
      <c r="N418" s="18">
        <f>IF(E418="","",MAX(0,IF(G418="",TODAY(),G418)-L418))</f>
        <v/>
      </c>
    </row>
    <row r="419">
      <c r="E419" s="22" t="n"/>
      <c r="G419" s="22" t="n"/>
      <c r="I419" s="22" t="n"/>
      <c r="L419" s="20">
        <f>IF(E419="","",E419+IF(F419="",IFERROR(VLOOKUP(C419,Parametros!$E:$F,2,0),0),F419))</f>
        <v/>
      </c>
      <c r="M419" s="21">
        <f>IF(E419="","",IF(G419="",IF(TODAY()&gt;L419,"Atrasada","Em aberto"),IF(G419&lt;=L419,"No prazo","Com atraso")))</f>
        <v/>
      </c>
      <c r="N419" s="18">
        <f>IF(E419="","",MAX(0,IF(G419="",TODAY(),G419)-L419))</f>
        <v/>
      </c>
    </row>
    <row r="420">
      <c r="E420" s="22" t="n"/>
      <c r="G420" s="22" t="n"/>
      <c r="I420" s="22" t="n"/>
      <c r="L420" s="20">
        <f>IF(E420="","",E420+IF(F420="",IFERROR(VLOOKUP(C420,Parametros!$E:$F,2,0),0),F420))</f>
        <v/>
      </c>
      <c r="M420" s="21">
        <f>IF(E420="","",IF(G420="",IF(TODAY()&gt;L420,"Atrasada","Em aberto"),IF(G420&lt;=L420,"No prazo","Com atraso")))</f>
        <v/>
      </c>
      <c r="N420" s="18">
        <f>IF(E420="","",MAX(0,IF(G420="",TODAY(),G420)-L420))</f>
        <v/>
      </c>
    </row>
    <row r="421">
      <c r="E421" s="22" t="n"/>
      <c r="G421" s="22" t="n"/>
      <c r="I421" s="22" t="n"/>
      <c r="L421" s="20">
        <f>IF(E421="","",E421+IF(F421="",IFERROR(VLOOKUP(C421,Parametros!$E:$F,2,0),0),F421))</f>
        <v/>
      </c>
      <c r="M421" s="21">
        <f>IF(E421="","",IF(G421="",IF(TODAY()&gt;L421,"Atrasada","Em aberto"),IF(G421&lt;=L421,"No prazo","Com atraso")))</f>
        <v/>
      </c>
      <c r="N421" s="18">
        <f>IF(E421="","",MAX(0,IF(G421="",TODAY(),G421)-L421))</f>
        <v/>
      </c>
    </row>
    <row r="422">
      <c r="E422" s="22" t="n"/>
      <c r="G422" s="22" t="n"/>
      <c r="I422" s="22" t="n"/>
      <c r="L422" s="20">
        <f>IF(E422="","",E422+IF(F422="",IFERROR(VLOOKUP(C422,Parametros!$E:$F,2,0),0),F422))</f>
        <v/>
      </c>
      <c r="M422" s="21">
        <f>IF(E422="","",IF(G422="",IF(TODAY()&gt;L422,"Atrasada","Em aberto"),IF(G422&lt;=L422,"No prazo","Com atraso")))</f>
        <v/>
      </c>
      <c r="N422" s="18">
        <f>IF(E422="","",MAX(0,IF(G422="",TODAY(),G422)-L422))</f>
        <v/>
      </c>
    </row>
    <row r="423">
      <c r="E423" s="22" t="n"/>
      <c r="G423" s="22" t="n"/>
      <c r="I423" s="22" t="n"/>
      <c r="L423" s="20">
        <f>IF(E423="","",E423+IF(F423="",IFERROR(VLOOKUP(C423,Parametros!$E:$F,2,0),0),F423))</f>
        <v/>
      </c>
      <c r="M423" s="21">
        <f>IF(E423="","",IF(G423="",IF(TODAY()&gt;L423,"Atrasada","Em aberto"),IF(G423&lt;=L423,"No prazo","Com atraso")))</f>
        <v/>
      </c>
      <c r="N423" s="18">
        <f>IF(E423="","",MAX(0,IF(G423="",TODAY(),G423)-L423))</f>
        <v/>
      </c>
    </row>
    <row r="424">
      <c r="E424" s="22" t="n"/>
      <c r="G424" s="22" t="n"/>
      <c r="I424" s="22" t="n"/>
      <c r="L424" s="20">
        <f>IF(E424="","",E424+IF(F424="",IFERROR(VLOOKUP(C424,Parametros!$E:$F,2,0),0),F424))</f>
        <v/>
      </c>
      <c r="M424" s="21">
        <f>IF(E424="","",IF(G424="",IF(TODAY()&gt;L424,"Atrasada","Em aberto"),IF(G424&lt;=L424,"No prazo","Com atraso")))</f>
        <v/>
      </c>
      <c r="N424" s="18">
        <f>IF(E424="","",MAX(0,IF(G424="",TODAY(),G424)-L424))</f>
        <v/>
      </c>
    </row>
    <row r="425">
      <c r="E425" s="22" t="n"/>
      <c r="G425" s="22" t="n"/>
      <c r="I425" s="22" t="n"/>
      <c r="L425" s="20">
        <f>IF(E425="","",E425+IF(F425="",IFERROR(VLOOKUP(C425,Parametros!$E:$F,2,0),0),F425))</f>
        <v/>
      </c>
      <c r="M425" s="21">
        <f>IF(E425="","",IF(G425="",IF(TODAY()&gt;L425,"Atrasada","Em aberto"),IF(G425&lt;=L425,"No prazo","Com atraso")))</f>
        <v/>
      </c>
      <c r="N425" s="18">
        <f>IF(E425="","",MAX(0,IF(G425="",TODAY(),G425)-L425))</f>
        <v/>
      </c>
    </row>
    <row r="426">
      <c r="E426" s="22" t="n"/>
      <c r="G426" s="22" t="n"/>
      <c r="I426" s="22" t="n"/>
      <c r="L426" s="20">
        <f>IF(E426="","",E426+IF(F426="",IFERROR(VLOOKUP(C426,Parametros!$E:$F,2,0),0),F426))</f>
        <v/>
      </c>
      <c r="M426" s="21">
        <f>IF(E426="","",IF(G426="",IF(TODAY()&gt;L426,"Atrasada","Em aberto"),IF(G426&lt;=L426,"No prazo","Com atraso")))</f>
        <v/>
      </c>
      <c r="N426" s="18">
        <f>IF(E426="","",MAX(0,IF(G426="",TODAY(),G426)-L426))</f>
        <v/>
      </c>
    </row>
    <row r="427">
      <c r="E427" s="22" t="n"/>
      <c r="G427" s="22" t="n"/>
      <c r="I427" s="22" t="n"/>
      <c r="L427" s="20">
        <f>IF(E427="","",E427+IF(F427="",IFERROR(VLOOKUP(C427,Parametros!$E:$F,2,0),0),F427))</f>
        <v/>
      </c>
      <c r="M427" s="21">
        <f>IF(E427="","",IF(G427="",IF(TODAY()&gt;L427,"Atrasada","Em aberto"),IF(G427&lt;=L427,"No prazo","Com atraso")))</f>
        <v/>
      </c>
      <c r="N427" s="18">
        <f>IF(E427="","",MAX(0,IF(G427="",TODAY(),G427)-L427))</f>
        <v/>
      </c>
    </row>
    <row r="428">
      <c r="E428" s="22" t="n"/>
      <c r="G428" s="22" t="n"/>
      <c r="I428" s="22" t="n"/>
      <c r="L428" s="20">
        <f>IF(E428="","",E428+IF(F428="",IFERROR(VLOOKUP(C428,Parametros!$E:$F,2,0),0),F428))</f>
        <v/>
      </c>
      <c r="M428" s="21">
        <f>IF(E428="","",IF(G428="",IF(TODAY()&gt;L428,"Atrasada","Em aberto"),IF(G428&lt;=L428,"No prazo","Com atraso")))</f>
        <v/>
      </c>
      <c r="N428" s="18">
        <f>IF(E428="","",MAX(0,IF(G428="",TODAY(),G428)-L428))</f>
        <v/>
      </c>
    </row>
    <row r="429">
      <c r="E429" s="22" t="n"/>
      <c r="G429" s="22" t="n"/>
      <c r="I429" s="22" t="n"/>
      <c r="L429" s="20">
        <f>IF(E429="","",E429+IF(F429="",IFERROR(VLOOKUP(C429,Parametros!$E:$F,2,0),0),F429))</f>
        <v/>
      </c>
      <c r="M429" s="21">
        <f>IF(E429="","",IF(G429="",IF(TODAY()&gt;L429,"Atrasada","Em aberto"),IF(G429&lt;=L429,"No prazo","Com atraso")))</f>
        <v/>
      </c>
      <c r="N429" s="18">
        <f>IF(E429="","",MAX(0,IF(G429="",TODAY(),G429)-L429))</f>
        <v/>
      </c>
    </row>
    <row r="430">
      <c r="E430" s="22" t="n"/>
      <c r="G430" s="22" t="n"/>
      <c r="I430" s="22" t="n"/>
      <c r="L430" s="20">
        <f>IF(E430="","",E430+IF(F430="",IFERROR(VLOOKUP(C430,Parametros!$E:$F,2,0),0),F430))</f>
        <v/>
      </c>
      <c r="M430" s="21">
        <f>IF(E430="","",IF(G430="",IF(TODAY()&gt;L430,"Atrasada","Em aberto"),IF(G430&lt;=L430,"No prazo","Com atraso")))</f>
        <v/>
      </c>
      <c r="N430" s="18">
        <f>IF(E430="","",MAX(0,IF(G430="",TODAY(),G430)-L430))</f>
        <v/>
      </c>
    </row>
    <row r="431">
      <c r="E431" s="22" t="n"/>
      <c r="G431" s="22" t="n"/>
      <c r="I431" s="22" t="n"/>
      <c r="L431" s="20">
        <f>IF(E431="","",E431+IF(F431="",IFERROR(VLOOKUP(C431,Parametros!$E:$F,2,0),0),F431))</f>
        <v/>
      </c>
      <c r="M431" s="21">
        <f>IF(E431="","",IF(G431="",IF(TODAY()&gt;L431,"Atrasada","Em aberto"),IF(G431&lt;=L431,"No prazo","Com atraso")))</f>
        <v/>
      </c>
      <c r="N431" s="18">
        <f>IF(E431="","",MAX(0,IF(G431="",TODAY(),G431)-L431))</f>
        <v/>
      </c>
    </row>
    <row r="432">
      <c r="E432" s="22" t="n"/>
      <c r="G432" s="22" t="n"/>
      <c r="I432" s="22" t="n"/>
      <c r="L432" s="20">
        <f>IF(E432="","",E432+IF(F432="",IFERROR(VLOOKUP(C432,Parametros!$E:$F,2,0),0),F432))</f>
        <v/>
      </c>
      <c r="M432" s="21">
        <f>IF(E432="","",IF(G432="",IF(TODAY()&gt;L432,"Atrasada","Em aberto"),IF(G432&lt;=L432,"No prazo","Com atraso")))</f>
        <v/>
      </c>
      <c r="N432" s="18">
        <f>IF(E432="","",MAX(0,IF(G432="",TODAY(),G432)-L432))</f>
        <v/>
      </c>
    </row>
    <row r="433">
      <c r="E433" s="22" t="n"/>
      <c r="G433" s="22" t="n"/>
      <c r="I433" s="22" t="n"/>
      <c r="L433" s="20">
        <f>IF(E433="","",E433+IF(F433="",IFERROR(VLOOKUP(C433,Parametros!$E:$F,2,0),0),F433))</f>
        <v/>
      </c>
      <c r="M433" s="21">
        <f>IF(E433="","",IF(G433="",IF(TODAY()&gt;L433,"Atrasada","Em aberto"),IF(G433&lt;=L433,"No prazo","Com atraso")))</f>
        <v/>
      </c>
      <c r="N433" s="18">
        <f>IF(E433="","",MAX(0,IF(G433="",TODAY(),G433)-L433))</f>
        <v/>
      </c>
    </row>
    <row r="434">
      <c r="E434" s="22" t="n"/>
      <c r="G434" s="22" t="n"/>
      <c r="I434" s="22" t="n"/>
      <c r="L434" s="20">
        <f>IF(E434="","",E434+IF(F434="",IFERROR(VLOOKUP(C434,Parametros!$E:$F,2,0),0),F434))</f>
        <v/>
      </c>
      <c r="M434" s="21">
        <f>IF(E434="","",IF(G434="",IF(TODAY()&gt;L434,"Atrasada","Em aberto"),IF(G434&lt;=L434,"No prazo","Com atraso")))</f>
        <v/>
      </c>
      <c r="N434" s="18">
        <f>IF(E434="","",MAX(0,IF(G434="",TODAY(),G434)-L434))</f>
        <v/>
      </c>
    </row>
    <row r="435">
      <c r="E435" s="22" t="n"/>
      <c r="G435" s="22" t="n"/>
      <c r="I435" s="22" t="n"/>
      <c r="L435" s="20">
        <f>IF(E435="","",E435+IF(F435="",IFERROR(VLOOKUP(C435,Parametros!$E:$F,2,0),0),F435))</f>
        <v/>
      </c>
      <c r="M435" s="21">
        <f>IF(E435="","",IF(G435="",IF(TODAY()&gt;L435,"Atrasada","Em aberto"),IF(G435&lt;=L435,"No prazo","Com atraso")))</f>
        <v/>
      </c>
      <c r="N435" s="18">
        <f>IF(E435="","",MAX(0,IF(G435="",TODAY(),G435)-L435))</f>
        <v/>
      </c>
    </row>
    <row r="436">
      <c r="E436" s="22" t="n"/>
      <c r="G436" s="22" t="n"/>
      <c r="I436" s="22" t="n"/>
      <c r="L436" s="20">
        <f>IF(E436="","",E436+IF(F436="",IFERROR(VLOOKUP(C436,Parametros!$E:$F,2,0),0),F436))</f>
        <v/>
      </c>
      <c r="M436" s="21">
        <f>IF(E436="","",IF(G436="",IF(TODAY()&gt;L436,"Atrasada","Em aberto"),IF(G436&lt;=L436,"No prazo","Com atraso")))</f>
        <v/>
      </c>
      <c r="N436" s="18">
        <f>IF(E436="","",MAX(0,IF(G436="",TODAY(),G436)-L436))</f>
        <v/>
      </c>
    </row>
    <row r="437">
      <c r="E437" s="22" t="n"/>
      <c r="G437" s="22" t="n"/>
      <c r="I437" s="22" t="n"/>
      <c r="L437" s="20">
        <f>IF(E437="","",E437+IF(F437="",IFERROR(VLOOKUP(C437,Parametros!$E:$F,2,0),0),F437))</f>
        <v/>
      </c>
      <c r="M437" s="21">
        <f>IF(E437="","",IF(G437="",IF(TODAY()&gt;L437,"Atrasada","Em aberto"),IF(G437&lt;=L437,"No prazo","Com atraso")))</f>
        <v/>
      </c>
      <c r="N437" s="18">
        <f>IF(E437="","",MAX(0,IF(G437="",TODAY(),G437)-L437))</f>
        <v/>
      </c>
    </row>
    <row r="438">
      <c r="E438" s="22" t="n"/>
      <c r="G438" s="22" t="n"/>
      <c r="I438" s="22" t="n"/>
      <c r="L438" s="20">
        <f>IF(E438="","",E438+IF(F438="",IFERROR(VLOOKUP(C438,Parametros!$E:$F,2,0),0),F438))</f>
        <v/>
      </c>
      <c r="M438" s="21">
        <f>IF(E438="","",IF(G438="",IF(TODAY()&gt;L438,"Atrasada","Em aberto"),IF(G438&lt;=L438,"No prazo","Com atraso")))</f>
        <v/>
      </c>
      <c r="N438" s="18">
        <f>IF(E438="","",MAX(0,IF(G438="",TODAY(),G438)-L438))</f>
        <v/>
      </c>
    </row>
    <row r="439">
      <c r="E439" s="22" t="n"/>
      <c r="G439" s="22" t="n"/>
      <c r="I439" s="22" t="n"/>
      <c r="L439" s="20">
        <f>IF(E439="","",E439+IF(F439="",IFERROR(VLOOKUP(C439,Parametros!$E:$F,2,0),0),F439))</f>
        <v/>
      </c>
      <c r="M439" s="21">
        <f>IF(E439="","",IF(G439="",IF(TODAY()&gt;L439,"Atrasada","Em aberto"),IF(G439&lt;=L439,"No prazo","Com atraso")))</f>
        <v/>
      </c>
      <c r="N439" s="18">
        <f>IF(E439="","",MAX(0,IF(G439="",TODAY(),G439)-L439))</f>
        <v/>
      </c>
    </row>
    <row r="440">
      <c r="E440" s="22" t="n"/>
      <c r="G440" s="22" t="n"/>
      <c r="I440" s="22" t="n"/>
      <c r="L440" s="20">
        <f>IF(E440="","",E440+IF(F440="",IFERROR(VLOOKUP(C440,Parametros!$E:$F,2,0),0),F440))</f>
        <v/>
      </c>
      <c r="M440" s="21">
        <f>IF(E440="","",IF(G440="",IF(TODAY()&gt;L440,"Atrasada","Em aberto"),IF(G440&lt;=L440,"No prazo","Com atraso")))</f>
        <v/>
      </c>
      <c r="N440" s="18">
        <f>IF(E440="","",MAX(0,IF(G440="",TODAY(),G440)-L440))</f>
        <v/>
      </c>
    </row>
    <row r="441">
      <c r="E441" s="22" t="n"/>
      <c r="G441" s="22" t="n"/>
      <c r="I441" s="22" t="n"/>
      <c r="L441" s="20">
        <f>IF(E441="","",E441+IF(F441="",IFERROR(VLOOKUP(C441,Parametros!$E:$F,2,0),0),F441))</f>
        <v/>
      </c>
      <c r="M441" s="21">
        <f>IF(E441="","",IF(G441="",IF(TODAY()&gt;L441,"Atrasada","Em aberto"),IF(G441&lt;=L441,"No prazo","Com atraso")))</f>
        <v/>
      </c>
      <c r="N441" s="18">
        <f>IF(E441="","",MAX(0,IF(G441="",TODAY(),G441)-L441))</f>
        <v/>
      </c>
    </row>
    <row r="442">
      <c r="E442" s="22" t="n"/>
      <c r="G442" s="22" t="n"/>
      <c r="I442" s="22" t="n"/>
      <c r="L442" s="20">
        <f>IF(E442="","",E442+IF(F442="",IFERROR(VLOOKUP(C442,Parametros!$E:$F,2,0),0),F442))</f>
        <v/>
      </c>
      <c r="M442" s="21">
        <f>IF(E442="","",IF(G442="",IF(TODAY()&gt;L442,"Atrasada","Em aberto"),IF(G442&lt;=L442,"No prazo","Com atraso")))</f>
        <v/>
      </c>
      <c r="N442" s="18">
        <f>IF(E442="","",MAX(0,IF(G442="",TODAY(),G442)-L442))</f>
        <v/>
      </c>
    </row>
    <row r="443">
      <c r="E443" s="22" t="n"/>
      <c r="G443" s="22" t="n"/>
      <c r="I443" s="22" t="n"/>
      <c r="L443" s="20">
        <f>IF(E443="","",E443+IF(F443="",IFERROR(VLOOKUP(C443,Parametros!$E:$F,2,0),0),F443))</f>
        <v/>
      </c>
      <c r="M443" s="21">
        <f>IF(E443="","",IF(G443="",IF(TODAY()&gt;L443,"Atrasada","Em aberto"),IF(G443&lt;=L443,"No prazo","Com atraso")))</f>
        <v/>
      </c>
      <c r="N443" s="18">
        <f>IF(E443="","",MAX(0,IF(G443="",TODAY(),G443)-L443))</f>
        <v/>
      </c>
    </row>
    <row r="444">
      <c r="E444" s="22" t="n"/>
      <c r="G444" s="22" t="n"/>
      <c r="I444" s="22" t="n"/>
      <c r="L444" s="20">
        <f>IF(E444="","",E444+IF(F444="",IFERROR(VLOOKUP(C444,Parametros!$E:$F,2,0),0),F444))</f>
        <v/>
      </c>
      <c r="M444" s="21">
        <f>IF(E444="","",IF(G444="",IF(TODAY()&gt;L444,"Atrasada","Em aberto"),IF(G444&lt;=L444,"No prazo","Com atraso")))</f>
        <v/>
      </c>
      <c r="N444" s="18">
        <f>IF(E444="","",MAX(0,IF(G444="",TODAY(),G444)-L444))</f>
        <v/>
      </c>
    </row>
    <row r="445">
      <c r="E445" s="22" t="n"/>
      <c r="G445" s="22" t="n"/>
      <c r="I445" s="22" t="n"/>
      <c r="L445" s="20">
        <f>IF(E445="","",E445+IF(F445="",IFERROR(VLOOKUP(C445,Parametros!$E:$F,2,0),0),F445))</f>
        <v/>
      </c>
      <c r="M445" s="21">
        <f>IF(E445="","",IF(G445="",IF(TODAY()&gt;L445,"Atrasada","Em aberto"),IF(G445&lt;=L445,"No prazo","Com atraso")))</f>
        <v/>
      </c>
      <c r="N445" s="18">
        <f>IF(E445="","",MAX(0,IF(G445="",TODAY(),G445)-L445))</f>
        <v/>
      </c>
    </row>
    <row r="446">
      <c r="E446" s="22" t="n"/>
      <c r="G446" s="22" t="n"/>
      <c r="I446" s="22" t="n"/>
      <c r="L446" s="20">
        <f>IF(E446="","",E446+IF(F446="",IFERROR(VLOOKUP(C446,Parametros!$E:$F,2,0),0),F446))</f>
        <v/>
      </c>
      <c r="M446" s="21">
        <f>IF(E446="","",IF(G446="",IF(TODAY()&gt;L446,"Atrasada","Em aberto"),IF(G446&lt;=L446,"No prazo","Com atraso")))</f>
        <v/>
      </c>
      <c r="N446" s="18">
        <f>IF(E446="","",MAX(0,IF(G446="",TODAY(),G446)-L446))</f>
        <v/>
      </c>
    </row>
    <row r="447">
      <c r="E447" s="22" t="n"/>
      <c r="G447" s="22" t="n"/>
      <c r="I447" s="22" t="n"/>
      <c r="L447" s="20">
        <f>IF(E447="","",E447+IF(F447="",IFERROR(VLOOKUP(C447,Parametros!$E:$F,2,0),0),F447))</f>
        <v/>
      </c>
      <c r="M447" s="21">
        <f>IF(E447="","",IF(G447="",IF(TODAY()&gt;L447,"Atrasada","Em aberto"),IF(G447&lt;=L447,"No prazo","Com atraso")))</f>
        <v/>
      </c>
      <c r="N447" s="18">
        <f>IF(E447="","",MAX(0,IF(G447="",TODAY(),G447)-L447))</f>
        <v/>
      </c>
    </row>
    <row r="448">
      <c r="E448" s="22" t="n"/>
      <c r="G448" s="22" t="n"/>
      <c r="I448" s="22" t="n"/>
      <c r="L448" s="20">
        <f>IF(E448="","",E448+IF(F448="",IFERROR(VLOOKUP(C448,Parametros!$E:$F,2,0),0),F448))</f>
        <v/>
      </c>
      <c r="M448" s="21">
        <f>IF(E448="","",IF(G448="",IF(TODAY()&gt;L448,"Atrasada","Em aberto"),IF(G448&lt;=L448,"No prazo","Com atraso")))</f>
        <v/>
      </c>
      <c r="N448" s="18">
        <f>IF(E448="","",MAX(0,IF(G448="",TODAY(),G448)-L448))</f>
        <v/>
      </c>
    </row>
    <row r="449">
      <c r="E449" s="22" t="n"/>
      <c r="G449" s="22" t="n"/>
      <c r="I449" s="22" t="n"/>
      <c r="L449" s="20">
        <f>IF(E449="","",E449+IF(F449="",IFERROR(VLOOKUP(C449,Parametros!$E:$F,2,0),0),F449))</f>
        <v/>
      </c>
      <c r="M449" s="21">
        <f>IF(E449="","",IF(G449="",IF(TODAY()&gt;L449,"Atrasada","Em aberto"),IF(G449&lt;=L449,"No prazo","Com atraso")))</f>
        <v/>
      </c>
      <c r="N449" s="18">
        <f>IF(E449="","",MAX(0,IF(G449="",TODAY(),G449)-L449))</f>
        <v/>
      </c>
    </row>
    <row r="450">
      <c r="E450" s="22" t="n"/>
      <c r="G450" s="22" t="n"/>
      <c r="I450" s="22" t="n"/>
      <c r="L450" s="20">
        <f>IF(E450="","",E450+IF(F450="",IFERROR(VLOOKUP(C450,Parametros!$E:$F,2,0),0),F450))</f>
        <v/>
      </c>
      <c r="M450" s="21">
        <f>IF(E450="","",IF(G450="",IF(TODAY()&gt;L450,"Atrasada","Em aberto"),IF(G450&lt;=L450,"No prazo","Com atraso")))</f>
        <v/>
      </c>
      <c r="N450" s="18">
        <f>IF(E450="","",MAX(0,IF(G450="",TODAY(),G450)-L450))</f>
        <v/>
      </c>
    </row>
    <row r="451">
      <c r="E451" s="22" t="n"/>
      <c r="G451" s="22" t="n"/>
      <c r="I451" s="22" t="n"/>
      <c r="L451" s="20">
        <f>IF(E451="","",E451+IF(F451="",IFERROR(VLOOKUP(C451,Parametros!$E:$F,2,0),0),F451))</f>
        <v/>
      </c>
      <c r="M451" s="21">
        <f>IF(E451="","",IF(G451="",IF(TODAY()&gt;L451,"Atrasada","Em aberto"),IF(G451&lt;=L451,"No prazo","Com atraso")))</f>
        <v/>
      </c>
      <c r="N451" s="18">
        <f>IF(E451="","",MAX(0,IF(G451="",TODAY(),G451)-L451))</f>
        <v/>
      </c>
    </row>
    <row r="452">
      <c r="E452" s="22" t="n"/>
      <c r="G452" s="22" t="n"/>
      <c r="I452" s="22" t="n"/>
      <c r="L452" s="20">
        <f>IF(E452="","",E452+IF(F452="",IFERROR(VLOOKUP(C452,Parametros!$E:$F,2,0),0),F452))</f>
        <v/>
      </c>
      <c r="M452" s="21">
        <f>IF(E452="","",IF(G452="",IF(TODAY()&gt;L452,"Atrasada","Em aberto"),IF(G452&lt;=L452,"No prazo","Com atraso")))</f>
        <v/>
      </c>
      <c r="N452" s="18">
        <f>IF(E452="","",MAX(0,IF(G452="",TODAY(),G452)-L452))</f>
        <v/>
      </c>
    </row>
    <row r="453">
      <c r="E453" s="22" t="n"/>
      <c r="G453" s="22" t="n"/>
      <c r="I453" s="22" t="n"/>
      <c r="L453" s="20">
        <f>IF(E453="","",E453+IF(F453="",IFERROR(VLOOKUP(C453,Parametros!$E:$F,2,0),0),F453))</f>
        <v/>
      </c>
      <c r="M453" s="21">
        <f>IF(E453="","",IF(G453="",IF(TODAY()&gt;L453,"Atrasada","Em aberto"),IF(G453&lt;=L453,"No prazo","Com atraso")))</f>
        <v/>
      </c>
      <c r="N453" s="18">
        <f>IF(E453="","",MAX(0,IF(G453="",TODAY(),G453)-L453))</f>
        <v/>
      </c>
    </row>
    <row r="454">
      <c r="E454" s="22" t="n"/>
      <c r="G454" s="22" t="n"/>
      <c r="I454" s="22" t="n"/>
      <c r="L454" s="20">
        <f>IF(E454="","",E454+IF(F454="",IFERROR(VLOOKUP(C454,Parametros!$E:$F,2,0),0),F454))</f>
        <v/>
      </c>
      <c r="M454" s="21">
        <f>IF(E454="","",IF(G454="",IF(TODAY()&gt;L454,"Atrasada","Em aberto"),IF(G454&lt;=L454,"No prazo","Com atraso")))</f>
        <v/>
      </c>
      <c r="N454" s="18">
        <f>IF(E454="","",MAX(0,IF(G454="",TODAY(),G454)-L454))</f>
        <v/>
      </c>
    </row>
    <row r="455">
      <c r="E455" s="22" t="n"/>
      <c r="G455" s="22" t="n"/>
      <c r="I455" s="22" t="n"/>
      <c r="L455" s="20">
        <f>IF(E455="","",E455+IF(F455="",IFERROR(VLOOKUP(C455,Parametros!$E:$F,2,0),0),F455))</f>
        <v/>
      </c>
      <c r="M455" s="21">
        <f>IF(E455="","",IF(G455="",IF(TODAY()&gt;L455,"Atrasada","Em aberto"),IF(G455&lt;=L455,"No prazo","Com atraso")))</f>
        <v/>
      </c>
      <c r="N455" s="18">
        <f>IF(E455="","",MAX(0,IF(G455="",TODAY(),G455)-L455))</f>
        <v/>
      </c>
    </row>
    <row r="456">
      <c r="E456" s="22" t="n"/>
      <c r="G456" s="22" t="n"/>
      <c r="I456" s="22" t="n"/>
      <c r="L456" s="20">
        <f>IF(E456="","",E456+IF(F456="",IFERROR(VLOOKUP(C456,Parametros!$E:$F,2,0),0),F456))</f>
        <v/>
      </c>
      <c r="M456" s="21">
        <f>IF(E456="","",IF(G456="",IF(TODAY()&gt;L456,"Atrasada","Em aberto"),IF(G456&lt;=L456,"No prazo","Com atraso")))</f>
        <v/>
      </c>
      <c r="N456" s="18">
        <f>IF(E456="","",MAX(0,IF(G456="",TODAY(),G456)-L456))</f>
        <v/>
      </c>
    </row>
    <row r="457">
      <c r="E457" s="22" t="n"/>
      <c r="G457" s="22" t="n"/>
      <c r="I457" s="22" t="n"/>
      <c r="L457" s="20">
        <f>IF(E457="","",E457+IF(F457="",IFERROR(VLOOKUP(C457,Parametros!$E:$F,2,0),0),F457))</f>
        <v/>
      </c>
      <c r="M457" s="21">
        <f>IF(E457="","",IF(G457="",IF(TODAY()&gt;L457,"Atrasada","Em aberto"),IF(G457&lt;=L457,"No prazo","Com atraso")))</f>
        <v/>
      </c>
      <c r="N457" s="18">
        <f>IF(E457="","",MAX(0,IF(G457="",TODAY(),G457)-L457))</f>
        <v/>
      </c>
    </row>
    <row r="458">
      <c r="E458" s="22" t="n"/>
      <c r="G458" s="22" t="n"/>
      <c r="I458" s="22" t="n"/>
      <c r="L458" s="20">
        <f>IF(E458="","",E458+IF(F458="",IFERROR(VLOOKUP(C458,Parametros!$E:$F,2,0),0),F458))</f>
        <v/>
      </c>
      <c r="M458" s="21">
        <f>IF(E458="","",IF(G458="",IF(TODAY()&gt;L458,"Atrasada","Em aberto"),IF(G458&lt;=L458,"No prazo","Com atraso")))</f>
        <v/>
      </c>
      <c r="N458" s="18">
        <f>IF(E458="","",MAX(0,IF(G458="",TODAY(),G458)-L458))</f>
        <v/>
      </c>
    </row>
    <row r="459">
      <c r="E459" s="22" t="n"/>
      <c r="G459" s="22" t="n"/>
      <c r="I459" s="22" t="n"/>
      <c r="L459" s="20">
        <f>IF(E459="","",E459+IF(F459="",IFERROR(VLOOKUP(C459,Parametros!$E:$F,2,0),0),F459))</f>
        <v/>
      </c>
      <c r="M459" s="21">
        <f>IF(E459="","",IF(G459="",IF(TODAY()&gt;L459,"Atrasada","Em aberto"),IF(G459&lt;=L459,"No prazo","Com atraso")))</f>
        <v/>
      </c>
      <c r="N459" s="18">
        <f>IF(E459="","",MAX(0,IF(G459="",TODAY(),G459)-L459))</f>
        <v/>
      </c>
    </row>
    <row r="460">
      <c r="E460" s="22" t="n"/>
      <c r="G460" s="22" t="n"/>
      <c r="I460" s="22" t="n"/>
      <c r="L460" s="20">
        <f>IF(E460="","",E460+IF(F460="",IFERROR(VLOOKUP(C460,Parametros!$E:$F,2,0),0),F460))</f>
        <v/>
      </c>
      <c r="M460" s="21">
        <f>IF(E460="","",IF(G460="",IF(TODAY()&gt;L460,"Atrasada","Em aberto"),IF(G460&lt;=L460,"No prazo","Com atraso")))</f>
        <v/>
      </c>
      <c r="N460" s="18">
        <f>IF(E460="","",MAX(0,IF(G460="",TODAY(),G460)-L460))</f>
        <v/>
      </c>
    </row>
    <row r="461">
      <c r="E461" s="22" t="n"/>
      <c r="G461" s="22" t="n"/>
      <c r="I461" s="22" t="n"/>
      <c r="L461" s="20">
        <f>IF(E461="","",E461+IF(F461="",IFERROR(VLOOKUP(C461,Parametros!$E:$F,2,0),0),F461))</f>
        <v/>
      </c>
      <c r="M461" s="21">
        <f>IF(E461="","",IF(G461="",IF(TODAY()&gt;L461,"Atrasada","Em aberto"),IF(G461&lt;=L461,"No prazo","Com atraso")))</f>
        <v/>
      </c>
      <c r="N461" s="18">
        <f>IF(E461="","",MAX(0,IF(G461="",TODAY(),G461)-L461))</f>
        <v/>
      </c>
    </row>
    <row r="462">
      <c r="E462" s="22" t="n"/>
      <c r="G462" s="22" t="n"/>
      <c r="I462" s="22" t="n"/>
      <c r="L462" s="20">
        <f>IF(E462="","",E462+IF(F462="",IFERROR(VLOOKUP(C462,Parametros!$E:$F,2,0),0),F462))</f>
        <v/>
      </c>
      <c r="M462" s="21">
        <f>IF(E462="","",IF(G462="",IF(TODAY()&gt;L462,"Atrasada","Em aberto"),IF(G462&lt;=L462,"No prazo","Com atraso")))</f>
        <v/>
      </c>
      <c r="N462" s="18">
        <f>IF(E462="","",MAX(0,IF(G462="",TODAY(),G462)-L462))</f>
        <v/>
      </c>
    </row>
    <row r="463">
      <c r="E463" s="22" t="n"/>
      <c r="G463" s="22" t="n"/>
      <c r="I463" s="22" t="n"/>
      <c r="L463" s="20">
        <f>IF(E463="","",E463+IF(F463="",IFERROR(VLOOKUP(C463,Parametros!$E:$F,2,0),0),F463))</f>
        <v/>
      </c>
      <c r="M463" s="21">
        <f>IF(E463="","",IF(G463="",IF(TODAY()&gt;L463,"Atrasada","Em aberto"),IF(G463&lt;=L463,"No prazo","Com atraso")))</f>
        <v/>
      </c>
      <c r="N463" s="18">
        <f>IF(E463="","",MAX(0,IF(G463="",TODAY(),G463)-L463))</f>
        <v/>
      </c>
    </row>
    <row r="464">
      <c r="E464" s="22" t="n"/>
      <c r="G464" s="22" t="n"/>
      <c r="I464" s="22" t="n"/>
      <c r="L464" s="20">
        <f>IF(E464="","",E464+IF(F464="",IFERROR(VLOOKUP(C464,Parametros!$E:$F,2,0),0),F464))</f>
        <v/>
      </c>
      <c r="M464" s="21">
        <f>IF(E464="","",IF(G464="",IF(TODAY()&gt;L464,"Atrasada","Em aberto"),IF(G464&lt;=L464,"No prazo","Com atraso")))</f>
        <v/>
      </c>
      <c r="N464" s="18">
        <f>IF(E464="","",MAX(0,IF(G464="",TODAY(),G464)-L464))</f>
        <v/>
      </c>
    </row>
    <row r="465">
      <c r="E465" s="22" t="n"/>
      <c r="G465" s="22" t="n"/>
      <c r="I465" s="22" t="n"/>
      <c r="L465" s="20">
        <f>IF(E465="","",E465+IF(F465="",IFERROR(VLOOKUP(C465,Parametros!$E:$F,2,0),0),F465))</f>
        <v/>
      </c>
      <c r="M465" s="21">
        <f>IF(E465="","",IF(G465="",IF(TODAY()&gt;L465,"Atrasada","Em aberto"),IF(G465&lt;=L465,"No prazo","Com atraso")))</f>
        <v/>
      </c>
      <c r="N465" s="18">
        <f>IF(E465="","",MAX(0,IF(G465="",TODAY(),G465)-L465))</f>
        <v/>
      </c>
    </row>
    <row r="466">
      <c r="E466" s="22" t="n"/>
      <c r="G466" s="22" t="n"/>
      <c r="I466" s="22" t="n"/>
      <c r="L466" s="20">
        <f>IF(E466="","",E466+IF(F466="",IFERROR(VLOOKUP(C466,Parametros!$E:$F,2,0),0),F466))</f>
        <v/>
      </c>
      <c r="M466" s="21">
        <f>IF(E466="","",IF(G466="",IF(TODAY()&gt;L466,"Atrasada","Em aberto"),IF(G466&lt;=L466,"No prazo","Com atraso")))</f>
        <v/>
      </c>
      <c r="N466" s="18">
        <f>IF(E466="","",MAX(0,IF(G466="",TODAY(),G466)-L466))</f>
        <v/>
      </c>
    </row>
    <row r="467">
      <c r="E467" s="22" t="n"/>
      <c r="G467" s="22" t="n"/>
      <c r="I467" s="22" t="n"/>
      <c r="L467" s="20">
        <f>IF(E467="","",E467+IF(F467="",IFERROR(VLOOKUP(C467,Parametros!$E:$F,2,0),0),F467))</f>
        <v/>
      </c>
      <c r="M467" s="21">
        <f>IF(E467="","",IF(G467="",IF(TODAY()&gt;L467,"Atrasada","Em aberto"),IF(G467&lt;=L467,"No prazo","Com atraso")))</f>
        <v/>
      </c>
      <c r="N467" s="18">
        <f>IF(E467="","",MAX(0,IF(G467="",TODAY(),G467)-L467))</f>
        <v/>
      </c>
    </row>
    <row r="468">
      <c r="E468" s="22" t="n"/>
      <c r="G468" s="22" t="n"/>
      <c r="I468" s="22" t="n"/>
      <c r="L468" s="20">
        <f>IF(E468="","",E468+IF(F468="",IFERROR(VLOOKUP(C468,Parametros!$E:$F,2,0),0),F468))</f>
        <v/>
      </c>
      <c r="M468" s="21">
        <f>IF(E468="","",IF(G468="",IF(TODAY()&gt;L468,"Atrasada","Em aberto"),IF(G468&lt;=L468,"No prazo","Com atraso")))</f>
        <v/>
      </c>
      <c r="N468" s="18">
        <f>IF(E468="","",MAX(0,IF(G468="",TODAY(),G468)-L468))</f>
        <v/>
      </c>
    </row>
    <row r="469">
      <c r="E469" s="22" t="n"/>
      <c r="G469" s="22" t="n"/>
      <c r="I469" s="22" t="n"/>
      <c r="L469" s="20">
        <f>IF(E469="","",E469+IF(F469="",IFERROR(VLOOKUP(C469,Parametros!$E:$F,2,0),0),F469))</f>
        <v/>
      </c>
      <c r="M469" s="21">
        <f>IF(E469="","",IF(G469="",IF(TODAY()&gt;L469,"Atrasada","Em aberto"),IF(G469&lt;=L469,"No prazo","Com atraso")))</f>
        <v/>
      </c>
      <c r="N469" s="18">
        <f>IF(E469="","",MAX(0,IF(G469="",TODAY(),G469)-L469))</f>
        <v/>
      </c>
    </row>
    <row r="470">
      <c r="E470" s="22" t="n"/>
      <c r="G470" s="22" t="n"/>
      <c r="I470" s="22" t="n"/>
      <c r="L470" s="20">
        <f>IF(E470="","",E470+IF(F470="",IFERROR(VLOOKUP(C470,Parametros!$E:$F,2,0),0),F470))</f>
        <v/>
      </c>
      <c r="M470" s="21">
        <f>IF(E470="","",IF(G470="",IF(TODAY()&gt;L470,"Atrasada","Em aberto"),IF(G470&lt;=L470,"No prazo","Com atraso")))</f>
        <v/>
      </c>
      <c r="N470" s="18">
        <f>IF(E470="","",MAX(0,IF(G470="",TODAY(),G470)-L470))</f>
        <v/>
      </c>
    </row>
    <row r="471">
      <c r="E471" s="22" t="n"/>
      <c r="G471" s="22" t="n"/>
      <c r="I471" s="22" t="n"/>
      <c r="L471" s="20">
        <f>IF(E471="","",E471+IF(F471="",IFERROR(VLOOKUP(C471,Parametros!$E:$F,2,0),0),F471))</f>
        <v/>
      </c>
      <c r="M471" s="21">
        <f>IF(E471="","",IF(G471="",IF(TODAY()&gt;L471,"Atrasada","Em aberto"),IF(G471&lt;=L471,"No prazo","Com atraso")))</f>
        <v/>
      </c>
      <c r="N471" s="18">
        <f>IF(E471="","",MAX(0,IF(G471="",TODAY(),G471)-L471))</f>
        <v/>
      </c>
    </row>
    <row r="472">
      <c r="E472" s="22" t="n"/>
      <c r="G472" s="22" t="n"/>
      <c r="I472" s="22" t="n"/>
      <c r="L472" s="20">
        <f>IF(E472="","",E472+IF(F472="",IFERROR(VLOOKUP(C472,Parametros!$E:$F,2,0),0),F472))</f>
        <v/>
      </c>
      <c r="M472" s="21">
        <f>IF(E472="","",IF(G472="",IF(TODAY()&gt;L472,"Atrasada","Em aberto"),IF(G472&lt;=L472,"No prazo","Com atraso")))</f>
        <v/>
      </c>
      <c r="N472" s="18">
        <f>IF(E472="","",MAX(0,IF(G472="",TODAY(),G472)-L472))</f>
        <v/>
      </c>
    </row>
    <row r="473">
      <c r="E473" s="22" t="n"/>
      <c r="G473" s="22" t="n"/>
      <c r="I473" s="22" t="n"/>
      <c r="L473" s="20">
        <f>IF(E473="","",E473+IF(F473="",IFERROR(VLOOKUP(C473,Parametros!$E:$F,2,0),0),F473))</f>
        <v/>
      </c>
      <c r="M473" s="21">
        <f>IF(E473="","",IF(G473="",IF(TODAY()&gt;L473,"Atrasada","Em aberto"),IF(G473&lt;=L473,"No prazo","Com atraso")))</f>
        <v/>
      </c>
      <c r="N473" s="18">
        <f>IF(E473="","",MAX(0,IF(G473="",TODAY(),G473)-L473))</f>
        <v/>
      </c>
    </row>
    <row r="474">
      <c r="E474" s="22" t="n"/>
      <c r="G474" s="22" t="n"/>
      <c r="I474" s="22" t="n"/>
      <c r="L474" s="20">
        <f>IF(E474="","",E474+IF(F474="",IFERROR(VLOOKUP(C474,Parametros!$E:$F,2,0),0),F474))</f>
        <v/>
      </c>
      <c r="M474" s="21">
        <f>IF(E474="","",IF(G474="",IF(TODAY()&gt;L474,"Atrasada","Em aberto"),IF(G474&lt;=L474,"No prazo","Com atraso")))</f>
        <v/>
      </c>
      <c r="N474" s="18">
        <f>IF(E474="","",MAX(0,IF(G474="",TODAY(),G474)-L474))</f>
        <v/>
      </c>
    </row>
    <row r="475">
      <c r="E475" s="22" t="n"/>
      <c r="G475" s="22" t="n"/>
      <c r="I475" s="22" t="n"/>
      <c r="L475" s="20">
        <f>IF(E475="","",E475+IF(F475="",IFERROR(VLOOKUP(C475,Parametros!$E:$F,2,0),0),F475))</f>
        <v/>
      </c>
      <c r="M475" s="21">
        <f>IF(E475="","",IF(G475="",IF(TODAY()&gt;L475,"Atrasada","Em aberto"),IF(G475&lt;=L475,"No prazo","Com atraso")))</f>
        <v/>
      </c>
      <c r="N475" s="18">
        <f>IF(E475="","",MAX(0,IF(G475="",TODAY(),G475)-L475))</f>
        <v/>
      </c>
    </row>
    <row r="476">
      <c r="E476" s="22" t="n"/>
      <c r="G476" s="22" t="n"/>
      <c r="I476" s="22" t="n"/>
      <c r="L476" s="20">
        <f>IF(E476="","",E476+IF(F476="",IFERROR(VLOOKUP(C476,Parametros!$E:$F,2,0),0),F476))</f>
        <v/>
      </c>
      <c r="M476" s="21">
        <f>IF(E476="","",IF(G476="",IF(TODAY()&gt;L476,"Atrasada","Em aberto"),IF(G476&lt;=L476,"No prazo","Com atraso")))</f>
        <v/>
      </c>
      <c r="N476" s="18">
        <f>IF(E476="","",MAX(0,IF(G476="",TODAY(),G476)-L476))</f>
        <v/>
      </c>
    </row>
    <row r="477">
      <c r="E477" s="22" t="n"/>
      <c r="G477" s="22" t="n"/>
      <c r="I477" s="22" t="n"/>
      <c r="L477" s="20">
        <f>IF(E477="","",E477+IF(F477="",IFERROR(VLOOKUP(C477,Parametros!$E:$F,2,0),0),F477))</f>
        <v/>
      </c>
      <c r="M477" s="21">
        <f>IF(E477="","",IF(G477="",IF(TODAY()&gt;L477,"Atrasada","Em aberto"),IF(G477&lt;=L477,"No prazo","Com atraso")))</f>
        <v/>
      </c>
      <c r="N477" s="18">
        <f>IF(E477="","",MAX(0,IF(G477="",TODAY(),G477)-L477))</f>
        <v/>
      </c>
    </row>
    <row r="478">
      <c r="E478" s="22" t="n"/>
      <c r="G478" s="22" t="n"/>
      <c r="I478" s="22" t="n"/>
      <c r="L478" s="20">
        <f>IF(E478="","",E478+IF(F478="",IFERROR(VLOOKUP(C478,Parametros!$E:$F,2,0),0),F478))</f>
        <v/>
      </c>
      <c r="M478" s="21">
        <f>IF(E478="","",IF(G478="",IF(TODAY()&gt;L478,"Atrasada","Em aberto"),IF(G478&lt;=L478,"No prazo","Com atraso")))</f>
        <v/>
      </c>
      <c r="N478" s="18">
        <f>IF(E478="","",MAX(0,IF(G478="",TODAY(),G478)-L478))</f>
        <v/>
      </c>
    </row>
    <row r="479">
      <c r="E479" s="22" t="n"/>
      <c r="G479" s="22" t="n"/>
      <c r="I479" s="22" t="n"/>
      <c r="L479" s="20">
        <f>IF(E479="","",E479+IF(F479="",IFERROR(VLOOKUP(C479,Parametros!$E:$F,2,0),0),F479))</f>
        <v/>
      </c>
      <c r="M479" s="21">
        <f>IF(E479="","",IF(G479="",IF(TODAY()&gt;L479,"Atrasada","Em aberto"),IF(G479&lt;=L479,"No prazo","Com atraso")))</f>
        <v/>
      </c>
      <c r="N479" s="18">
        <f>IF(E479="","",MAX(0,IF(G479="",TODAY(),G479)-L479))</f>
        <v/>
      </c>
    </row>
    <row r="480">
      <c r="E480" s="22" t="n"/>
      <c r="G480" s="22" t="n"/>
      <c r="I480" s="22" t="n"/>
      <c r="L480" s="20">
        <f>IF(E480="","",E480+IF(F480="",IFERROR(VLOOKUP(C480,Parametros!$E:$F,2,0),0),F480))</f>
        <v/>
      </c>
      <c r="M480" s="21">
        <f>IF(E480="","",IF(G480="",IF(TODAY()&gt;L480,"Atrasada","Em aberto"),IF(G480&lt;=L480,"No prazo","Com atraso")))</f>
        <v/>
      </c>
      <c r="N480" s="18">
        <f>IF(E480="","",MAX(0,IF(G480="",TODAY(),G480)-L480))</f>
        <v/>
      </c>
    </row>
    <row r="481">
      <c r="E481" s="22" t="n"/>
      <c r="G481" s="22" t="n"/>
      <c r="I481" s="22" t="n"/>
      <c r="L481" s="20">
        <f>IF(E481="","",E481+IF(F481="",IFERROR(VLOOKUP(C481,Parametros!$E:$F,2,0),0),F481))</f>
        <v/>
      </c>
      <c r="M481" s="21">
        <f>IF(E481="","",IF(G481="",IF(TODAY()&gt;L481,"Atrasada","Em aberto"),IF(G481&lt;=L481,"No prazo","Com atraso")))</f>
        <v/>
      </c>
      <c r="N481" s="18">
        <f>IF(E481="","",MAX(0,IF(G481="",TODAY(),G481)-L481))</f>
        <v/>
      </c>
    </row>
    <row r="482">
      <c r="E482" s="22" t="n"/>
      <c r="G482" s="22" t="n"/>
      <c r="I482" s="22" t="n"/>
      <c r="L482" s="20">
        <f>IF(E482="","",E482+IF(F482="",IFERROR(VLOOKUP(C482,Parametros!$E:$F,2,0),0),F482))</f>
        <v/>
      </c>
      <c r="M482" s="21">
        <f>IF(E482="","",IF(G482="",IF(TODAY()&gt;L482,"Atrasada","Em aberto"),IF(G482&lt;=L482,"No prazo","Com atraso")))</f>
        <v/>
      </c>
      <c r="N482" s="18">
        <f>IF(E482="","",MAX(0,IF(G482="",TODAY(),G482)-L482))</f>
        <v/>
      </c>
    </row>
    <row r="483">
      <c r="E483" s="22" t="n"/>
      <c r="G483" s="22" t="n"/>
      <c r="I483" s="22" t="n"/>
      <c r="L483" s="20">
        <f>IF(E483="","",E483+IF(F483="",IFERROR(VLOOKUP(C483,Parametros!$E:$F,2,0),0),F483))</f>
        <v/>
      </c>
      <c r="M483" s="21">
        <f>IF(E483="","",IF(G483="",IF(TODAY()&gt;L483,"Atrasada","Em aberto"),IF(G483&lt;=L483,"No prazo","Com atraso")))</f>
        <v/>
      </c>
      <c r="N483" s="18">
        <f>IF(E483="","",MAX(0,IF(G483="",TODAY(),G483)-L483))</f>
        <v/>
      </c>
    </row>
    <row r="484">
      <c r="E484" s="22" t="n"/>
      <c r="G484" s="22" t="n"/>
      <c r="I484" s="22" t="n"/>
      <c r="L484" s="20">
        <f>IF(E484="","",E484+IF(F484="",IFERROR(VLOOKUP(C484,Parametros!$E:$F,2,0),0),F484))</f>
        <v/>
      </c>
      <c r="M484" s="21">
        <f>IF(E484="","",IF(G484="",IF(TODAY()&gt;L484,"Atrasada","Em aberto"),IF(G484&lt;=L484,"No prazo","Com atraso")))</f>
        <v/>
      </c>
      <c r="N484" s="18">
        <f>IF(E484="","",MAX(0,IF(G484="",TODAY(),G484)-L484))</f>
        <v/>
      </c>
    </row>
    <row r="485">
      <c r="E485" s="22" t="n"/>
      <c r="G485" s="22" t="n"/>
      <c r="I485" s="22" t="n"/>
      <c r="L485" s="20">
        <f>IF(E485="","",E485+IF(F485="",IFERROR(VLOOKUP(C485,Parametros!$E:$F,2,0),0),F485))</f>
        <v/>
      </c>
      <c r="M485" s="21">
        <f>IF(E485="","",IF(G485="",IF(TODAY()&gt;L485,"Atrasada","Em aberto"),IF(G485&lt;=L485,"No prazo","Com atraso")))</f>
        <v/>
      </c>
      <c r="N485" s="18">
        <f>IF(E485="","",MAX(0,IF(G485="",TODAY(),G485)-L485))</f>
        <v/>
      </c>
    </row>
    <row r="486">
      <c r="E486" s="22" t="n"/>
      <c r="G486" s="22" t="n"/>
      <c r="I486" s="22" t="n"/>
      <c r="L486" s="20">
        <f>IF(E486="","",E486+IF(F486="",IFERROR(VLOOKUP(C486,Parametros!$E:$F,2,0),0),F486))</f>
        <v/>
      </c>
      <c r="M486" s="21">
        <f>IF(E486="","",IF(G486="",IF(TODAY()&gt;L486,"Atrasada","Em aberto"),IF(G486&lt;=L486,"No prazo","Com atraso")))</f>
        <v/>
      </c>
      <c r="N486" s="18">
        <f>IF(E486="","",MAX(0,IF(G486="",TODAY(),G486)-L486))</f>
        <v/>
      </c>
    </row>
    <row r="487">
      <c r="E487" s="22" t="n"/>
      <c r="G487" s="22" t="n"/>
      <c r="I487" s="22" t="n"/>
      <c r="L487" s="20">
        <f>IF(E487="","",E487+IF(F487="",IFERROR(VLOOKUP(C487,Parametros!$E:$F,2,0),0),F487))</f>
        <v/>
      </c>
      <c r="M487" s="21">
        <f>IF(E487="","",IF(G487="",IF(TODAY()&gt;L487,"Atrasada","Em aberto"),IF(G487&lt;=L487,"No prazo","Com atraso")))</f>
        <v/>
      </c>
      <c r="N487" s="18">
        <f>IF(E487="","",MAX(0,IF(G487="",TODAY(),G487)-L487))</f>
        <v/>
      </c>
    </row>
    <row r="488">
      <c r="E488" s="22" t="n"/>
      <c r="G488" s="22" t="n"/>
      <c r="I488" s="22" t="n"/>
      <c r="L488" s="20">
        <f>IF(E488="","",E488+IF(F488="",IFERROR(VLOOKUP(C488,Parametros!$E:$F,2,0),0),F488))</f>
        <v/>
      </c>
      <c r="M488" s="21">
        <f>IF(E488="","",IF(G488="",IF(TODAY()&gt;L488,"Atrasada","Em aberto"),IF(G488&lt;=L488,"No prazo","Com atraso")))</f>
        <v/>
      </c>
      <c r="N488" s="18">
        <f>IF(E488="","",MAX(0,IF(G488="",TODAY(),G488)-L488))</f>
        <v/>
      </c>
    </row>
    <row r="489">
      <c r="E489" s="22" t="n"/>
      <c r="G489" s="22" t="n"/>
      <c r="I489" s="22" t="n"/>
      <c r="L489" s="20">
        <f>IF(E489="","",E489+IF(F489="",IFERROR(VLOOKUP(C489,Parametros!$E:$F,2,0),0),F489))</f>
        <v/>
      </c>
      <c r="M489" s="21">
        <f>IF(E489="","",IF(G489="",IF(TODAY()&gt;L489,"Atrasada","Em aberto"),IF(G489&lt;=L489,"No prazo","Com atraso")))</f>
        <v/>
      </c>
      <c r="N489" s="18">
        <f>IF(E489="","",MAX(0,IF(G489="",TODAY(),G489)-L489))</f>
        <v/>
      </c>
    </row>
    <row r="490">
      <c r="E490" s="22" t="n"/>
      <c r="G490" s="22" t="n"/>
      <c r="I490" s="22" t="n"/>
      <c r="L490" s="20">
        <f>IF(E490="","",E490+IF(F490="",IFERROR(VLOOKUP(C490,Parametros!$E:$F,2,0),0),F490))</f>
        <v/>
      </c>
      <c r="M490" s="21">
        <f>IF(E490="","",IF(G490="",IF(TODAY()&gt;L490,"Atrasada","Em aberto"),IF(G490&lt;=L490,"No prazo","Com atraso")))</f>
        <v/>
      </c>
      <c r="N490" s="18">
        <f>IF(E490="","",MAX(0,IF(G490="",TODAY(),G490)-L490))</f>
        <v/>
      </c>
    </row>
    <row r="491">
      <c r="E491" s="22" t="n"/>
      <c r="G491" s="22" t="n"/>
      <c r="I491" s="22" t="n"/>
      <c r="L491" s="20">
        <f>IF(E491="","",E491+IF(F491="",IFERROR(VLOOKUP(C491,Parametros!$E:$F,2,0),0),F491))</f>
        <v/>
      </c>
      <c r="M491" s="21">
        <f>IF(E491="","",IF(G491="",IF(TODAY()&gt;L491,"Atrasada","Em aberto"),IF(G491&lt;=L491,"No prazo","Com atraso")))</f>
        <v/>
      </c>
      <c r="N491" s="18">
        <f>IF(E491="","",MAX(0,IF(G491="",TODAY(),G491)-L491))</f>
        <v/>
      </c>
    </row>
    <row r="492">
      <c r="E492" s="22" t="n"/>
      <c r="G492" s="22" t="n"/>
      <c r="I492" s="22" t="n"/>
      <c r="L492" s="20">
        <f>IF(E492="","",E492+IF(F492="",IFERROR(VLOOKUP(C492,Parametros!$E:$F,2,0),0),F492))</f>
        <v/>
      </c>
      <c r="M492" s="21">
        <f>IF(E492="","",IF(G492="",IF(TODAY()&gt;L492,"Atrasada","Em aberto"),IF(G492&lt;=L492,"No prazo","Com atraso")))</f>
        <v/>
      </c>
      <c r="N492" s="18">
        <f>IF(E492="","",MAX(0,IF(G492="",TODAY(),G492)-L492))</f>
        <v/>
      </c>
    </row>
    <row r="493">
      <c r="E493" s="22" t="n"/>
      <c r="G493" s="22" t="n"/>
      <c r="I493" s="22" t="n"/>
      <c r="L493" s="20">
        <f>IF(E493="","",E493+IF(F493="",IFERROR(VLOOKUP(C493,Parametros!$E:$F,2,0),0),F493))</f>
        <v/>
      </c>
      <c r="M493" s="21">
        <f>IF(E493="","",IF(G493="",IF(TODAY()&gt;L493,"Atrasada","Em aberto"),IF(G493&lt;=L493,"No prazo","Com atraso")))</f>
        <v/>
      </c>
      <c r="N493" s="18">
        <f>IF(E493="","",MAX(0,IF(G493="",TODAY(),G493)-L493))</f>
        <v/>
      </c>
    </row>
    <row r="494">
      <c r="E494" s="22" t="n"/>
      <c r="G494" s="22" t="n"/>
      <c r="I494" s="22" t="n"/>
      <c r="L494" s="20">
        <f>IF(E494="","",E494+IF(F494="",IFERROR(VLOOKUP(C494,Parametros!$E:$F,2,0),0),F494))</f>
        <v/>
      </c>
      <c r="M494" s="21">
        <f>IF(E494="","",IF(G494="",IF(TODAY()&gt;L494,"Atrasada","Em aberto"),IF(G494&lt;=L494,"No prazo","Com atraso")))</f>
        <v/>
      </c>
      <c r="N494" s="18">
        <f>IF(E494="","",MAX(0,IF(G494="",TODAY(),G494)-L494))</f>
        <v/>
      </c>
    </row>
    <row r="495">
      <c r="E495" s="22" t="n"/>
      <c r="G495" s="22" t="n"/>
      <c r="I495" s="22" t="n"/>
      <c r="L495" s="20">
        <f>IF(E495="","",E495+IF(F495="",IFERROR(VLOOKUP(C495,Parametros!$E:$F,2,0),0),F495))</f>
        <v/>
      </c>
      <c r="M495" s="21">
        <f>IF(E495="","",IF(G495="",IF(TODAY()&gt;L495,"Atrasada","Em aberto"),IF(G495&lt;=L495,"No prazo","Com atraso")))</f>
        <v/>
      </c>
      <c r="N495" s="18">
        <f>IF(E495="","",MAX(0,IF(G495="",TODAY(),G495)-L495))</f>
        <v/>
      </c>
    </row>
    <row r="496">
      <c r="E496" s="22" t="n"/>
      <c r="G496" s="22" t="n"/>
      <c r="I496" s="22" t="n"/>
      <c r="L496" s="20">
        <f>IF(E496="","",E496+IF(F496="",IFERROR(VLOOKUP(C496,Parametros!$E:$F,2,0),0),F496))</f>
        <v/>
      </c>
      <c r="M496" s="21">
        <f>IF(E496="","",IF(G496="",IF(TODAY()&gt;L496,"Atrasada","Em aberto"),IF(G496&lt;=L496,"No prazo","Com atraso")))</f>
        <v/>
      </c>
      <c r="N496" s="18">
        <f>IF(E496="","",MAX(0,IF(G496="",TODAY(),G496)-L496))</f>
        <v/>
      </c>
    </row>
    <row r="497">
      <c r="E497" s="22" t="n"/>
      <c r="G497" s="22" t="n"/>
      <c r="I497" s="22" t="n"/>
      <c r="L497" s="20">
        <f>IF(E497="","",E497+IF(F497="",IFERROR(VLOOKUP(C497,Parametros!$E:$F,2,0),0),F497))</f>
        <v/>
      </c>
      <c r="M497" s="21">
        <f>IF(E497="","",IF(G497="",IF(TODAY()&gt;L497,"Atrasada","Em aberto"),IF(G497&lt;=L497,"No prazo","Com atraso")))</f>
        <v/>
      </c>
      <c r="N497" s="18">
        <f>IF(E497="","",MAX(0,IF(G497="",TODAY(),G497)-L497))</f>
        <v/>
      </c>
    </row>
    <row r="498">
      <c r="E498" s="22" t="n"/>
      <c r="G498" s="22" t="n"/>
      <c r="I498" s="22" t="n"/>
      <c r="L498" s="20">
        <f>IF(E498="","",E498+IF(F498="",IFERROR(VLOOKUP(C498,Parametros!$E:$F,2,0),0),F498))</f>
        <v/>
      </c>
      <c r="M498" s="21">
        <f>IF(E498="","",IF(G498="",IF(TODAY()&gt;L498,"Atrasada","Em aberto"),IF(G498&lt;=L498,"No prazo","Com atraso")))</f>
        <v/>
      </c>
      <c r="N498" s="18">
        <f>IF(E498="","",MAX(0,IF(G498="",TODAY(),G498)-L498))</f>
        <v/>
      </c>
    </row>
    <row r="499">
      <c r="E499" s="22" t="n"/>
      <c r="G499" s="22" t="n"/>
      <c r="I499" s="22" t="n"/>
      <c r="L499" s="20">
        <f>IF(E499="","",E499+IF(F499="",IFERROR(VLOOKUP(C499,Parametros!$E:$F,2,0),0),F499))</f>
        <v/>
      </c>
      <c r="M499" s="21">
        <f>IF(E499="","",IF(G499="",IF(TODAY()&gt;L499,"Atrasada","Em aberto"),IF(G499&lt;=L499,"No prazo","Com atraso")))</f>
        <v/>
      </c>
      <c r="N499" s="18">
        <f>IF(E499="","",MAX(0,IF(G499="",TODAY(),G499)-L499))</f>
        <v/>
      </c>
    </row>
    <row r="500">
      <c r="E500" s="22" t="n"/>
      <c r="G500" s="22" t="n"/>
      <c r="I500" s="22" t="n"/>
      <c r="L500" s="20">
        <f>IF(E500="","",E500+IF(F500="",IFERROR(VLOOKUP(C500,Parametros!$E:$F,2,0),0),F500))</f>
        <v/>
      </c>
      <c r="M500" s="21">
        <f>IF(E500="","",IF(G500="",IF(TODAY()&gt;L500,"Atrasada","Em aberto"),IF(G500&lt;=L500,"No prazo","Com atraso")))</f>
        <v/>
      </c>
      <c r="N500" s="18">
        <f>IF(E500="","",MAX(0,IF(G500="",TODAY(),G500)-L500))</f>
        <v/>
      </c>
    </row>
    <row r="501">
      <c r="E501" s="22" t="n"/>
      <c r="G501" s="22" t="n"/>
      <c r="I501" s="22" t="n"/>
      <c r="L501" s="20">
        <f>IF(E501="","",E501+IF(F501="",IFERROR(VLOOKUP(C501,Parametros!$E:$F,2,0),0),F501))</f>
        <v/>
      </c>
      <c r="M501" s="21">
        <f>IF(E501="","",IF(G501="",IF(TODAY()&gt;L501,"Atrasada","Em aberto"),IF(G501&lt;=L501,"No prazo","Com atraso")))</f>
        <v/>
      </c>
      <c r="N501" s="18">
        <f>IF(E501="","",MAX(0,IF(G501="",TODAY(),G501)-L501))</f>
        <v/>
      </c>
    </row>
    <row r="502">
      <c r="E502" s="22" t="n"/>
      <c r="G502" s="22" t="n"/>
      <c r="I502" s="22" t="n"/>
      <c r="L502" s="20">
        <f>IF(E502="","",E502+IF(F502="",IFERROR(VLOOKUP(C502,Parametros!$E:$F,2,0),0),F502))</f>
        <v/>
      </c>
      <c r="M502" s="21">
        <f>IF(E502="","",IF(G502="",IF(TODAY()&gt;L502,"Atrasada","Em aberto"),IF(G502&lt;=L502,"No prazo","Com atraso")))</f>
        <v/>
      </c>
      <c r="N502" s="18">
        <f>IF(E502="","",MAX(0,IF(G502="",TODAY(),G502)-L502))</f>
        <v/>
      </c>
    </row>
    <row r="503">
      <c r="E503" s="22" t="n"/>
      <c r="G503" s="22" t="n"/>
      <c r="I503" s="22" t="n"/>
      <c r="L503" s="20">
        <f>IF(E503="","",E503+IF(F503="",IFERROR(VLOOKUP(C503,Parametros!$E:$F,2,0),0),F503))</f>
        <v/>
      </c>
      <c r="M503" s="21">
        <f>IF(E503="","",IF(G503="",IF(TODAY()&gt;L503,"Atrasada","Em aberto"),IF(G503&lt;=L503,"No prazo","Com atraso")))</f>
        <v/>
      </c>
      <c r="N503" s="18">
        <f>IF(E503="","",MAX(0,IF(G503="",TODAY(),G503)-L503))</f>
        <v/>
      </c>
    </row>
    <row r="504">
      <c r="E504" s="22" t="n"/>
      <c r="G504" s="22" t="n"/>
      <c r="I504" s="22" t="n"/>
      <c r="L504" s="20">
        <f>IF(E504="","",E504+IF(F504="",IFERROR(VLOOKUP(C504,Parametros!$E:$F,2,0),0),F504))</f>
        <v/>
      </c>
      <c r="M504" s="21">
        <f>IF(E504="","",IF(G504="",IF(TODAY()&gt;L504,"Atrasada","Em aberto"),IF(G504&lt;=L504,"No prazo","Com atraso")))</f>
        <v/>
      </c>
      <c r="N504" s="18">
        <f>IF(E504="","",MAX(0,IF(G504="",TODAY(),G504)-L504))</f>
        <v/>
      </c>
    </row>
    <row r="505">
      <c r="E505" s="22" t="n"/>
      <c r="G505" s="22" t="n"/>
      <c r="I505" s="22" t="n"/>
      <c r="L505" s="20">
        <f>IF(E505="","",E505+IF(F505="",IFERROR(VLOOKUP(C505,Parametros!$E:$F,2,0),0),F505))</f>
        <v/>
      </c>
      <c r="M505" s="21">
        <f>IF(E505="","",IF(G505="",IF(TODAY()&gt;L505,"Atrasada","Em aberto"),IF(G505&lt;=L505,"No prazo","Com atraso")))</f>
        <v/>
      </c>
      <c r="N505" s="18">
        <f>IF(E505="","",MAX(0,IF(G505="",TODAY(),G505)-L505))</f>
        <v/>
      </c>
    </row>
    <row r="506">
      <c r="E506" s="22" t="n"/>
      <c r="G506" s="22" t="n"/>
      <c r="I506" s="22" t="n"/>
      <c r="L506" s="20">
        <f>IF(E506="","",E506+IF(F506="",IFERROR(VLOOKUP(C506,Parametros!$E:$F,2,0),0),F506))</f>
        <v/>
      </c>
      <c r="M506" s="21">
        <f>IF(E506="","",IF(G506="",IF(TODAY()&gt;L506,"Atrasada","Em aberto"),IF(G506&lt;=L506,"No prazo","Com atraso")))</f>
        <v/>
      </c>
      <c r="N506" s="18">
        <f>IF(E506="","",MAX(0,IF(G506="",TODAY(),G506)-L506))</f>
        <v/>
      </c>
    </row>
    <row r="507">
      <c r="E507" s="22" t="n"/>
      <c r="G507" s="22" t="n"/>
      <c r="I507" s="22" t="n"/>
      <c r="L507" s="20">
        <f>IF(E507="","",E507+IF(F507="",IFERROR(VLOOKUP(C507,Parametros!$E:$F,2,0),0),F507))</f>
        <v/>
      </c>
      <c r="M507" s="21">
        <f>IF(E507="","",IF(G507="",IF(TODAY()&gt;L507,"Atrasada","Em aberto"),IF(G507&lt;=L507,"No prazo","Com atraso")))</f>
        <v/>
      </c>
      <c r="N507" s="18">
        <f>IF(E507="","",MAX(0,IF(G507="",TODAY(),G507)-L507))</f>
        <v/>
      </c>
    </row>
    <row r="508">
      <c r="E508" s="22" t="n"/>
      <c r="G508" s="22" t="n"/>
      <c r="I508" s="22" t="n"/>
      <c r="L508" s="20">
        <f>IF(E508="","",E508+IF(F508="",IFERROR(VLOOKUP(C508,Parametros!$E:$F,2,0),0),F508))</f>
        <v/>
      </c>
      <c r="M508" s="21">
        <f>IF(E508="","",IF(G508="",IF(TODAY()&gt;L508,"Atrasada","Em aberto"),IF(G508&lt;=L508,"No prazo","Com atraso")))</f>
        <v/>
      </c>
      <c r="N508" s="18">
        <f>IF(E508="","",MAX(0,IF(G508="",TODAY(),G508)-L508))</f>
        <v/>
      </c>
    </row>
    <row r="509">
      <c r="E509" s="22" t="n"/>
      <c r="G509" s="22" t="n"/>
      <c r="I509" s="22" t="n"/>
      <c r="L509" s="20">
        <f>IF(E509="","",E509+IF(F509="",IFERROR(VLOOKUP(C509,Parametros!$E:$F,2,0),0),F509))</f>
        <v/>
      </c>
      <c r="M509" s="21">
        <f>IF(E509="","",IF(G509="",IF(TODAY()&gt;L509,"Atrasada","Em aberto"),IF(G509&lt;=L509,"No prazo","Com atraso")))</f>
        <v/>
      </c>
      <c r="N509" s="18">
        <f>IF(E509="","",MAX(0,IF(G509="",TODAY(),G509)-L509))</f>
        <v/>
      </c>
    </row>
    <row r="510">
      <c r="E510" s="22" t="n"/>
      <c r="G510" s="22" t="n"/>
      <c r="I510" s="22" t="n"/>
      <c r="L510" s="20">
        <f>IF(E510="","",E510+IF(F510="",IFERROR(VLOOKUP(C510,Parametros!$E:$F,2,0),0),F510))</f>
        <v/>
      </c>
      <c r="M510" s="21">
        <f>IF(E510="","",IF(G510="",IF(TODAY()&gt;L510,"Atrasada","Em aberto"),IF(G510&lt;=L510,"No prazo","Com atraso")))</f>
        <v/>
      </c>
      <c r="N510" s="18">
        <f>IF(E510="","",MAX(0,IF(G510="",TODAY(),G510)-L510))</f>
        <v/>
      </c>
    </row>
    <row r="511">
      <c r="E511" s="22" t="n"/>
      <c r="G511" s="22" t="n"/>
      <c r="I511" s="22" t="n"/>
      <c r="L511" s="20">
        <f>IF(E511="","",E511+IF(F511="",IFERROR(VLOOKUP(C511,Parametros!$E:$F,2,0),0),F511))</f>
        <v/>
      </c>
      <c r="M511" s="21">
        <f>IF(E511="","",IF(G511="",IF(TODAY()&gt;L511,"Atrasada","Em aberto"),IF(G511&lt;=L511,"No prazo","Com atraso")))</f>
        <v/>
      </c>
      <c r="N511" s="18">
        <f>IF(E511="","",MAX(0,IF(G511="",TODAY(),G511)-L511))</f>
        <v/>
      </c>
    </row>
    <row r="512">
      <c r="E512" s="22" t="n"/>
      <c r="G512" s="22" t="n"/>
      <c r="I512" s="22" t="n"/>
      <c r="L512" s="20">
        <f>IF(E512="","",E512+IF(F512="",IFERROR(VLOOKUP(C512,Parametros!$E:$F,2,0),0),F512))</f>
        <v/>
      </c>
      <c r="M512" s="21">
        <f>IF(E512="","",IF(G512="",IF(TODAY()&gt;L512,"Atrasada","Em aberto"),IF(G512&lt;=L512,"No prazo","Com atraso")))</f>
        <v/>
      </c>
      <c r="N512" s="18">
        <f>IF(E512="","",MAX(0,IF(G512="",TODAY(),G512)-L512))</f>
        <v/>
      </c>
    </row>
    <row r="513">
      <c r="E513" s="22" t="n"/>
      <c r="G513" s="22" t="n"/>
      <c r="I513" s="22" t="n"/>
      <c r="L513" s="20">
        <f>IF(E513="","",E513+IF(F513="",IFERROR(VLOOKUP(C513,Parametros!$E:$F,2,0),0),F513))</f>
        <v/>
      </c>
      <c r="M513" s="21">
        <f>IF(E513="","",IF(G513="",IF(TODAY()&gt;L513,"Atrasada","Em aberto"),IF(G513&lt;=L513,"No prazo","Com atraso")))</f>
        <v/>
      </c>
      <c r="N513" s="18">
        <f>IF(E513="","",MAX(0,IF(G513="",TODAY(),G513)-L513))</f>
        <v/>
      </c>
    </row>
    <row r="514">
      <c r="E514" s="22" t="n"/>
      <c r="G514" s="22" t="n"/>
      <c r="I514" s="22" t="n"/>
      <c r="L514" s="20">
        <f>IF(E514="","",E514+IF(F514="",IFERROR(VLOOKUP(C514,Parametros!$E:$F,2,0),0),F514))</f>
        <v/>
      </c>
      <c r="M514" s="21">
        <f>IF(E514="","",IF(G514="",IF(TODAY()&gt;L514,"Atrasada","Em aberto"),IF(G514&lt;=L514,"No prazo","Com atraso")))</f>
        <v/>
      </c>
      <c r="N514" s="18">
        <f>IF(E514="","",MAX(0,IF(G514="",TODAY(),G514)-L514))</f>
        <v/>
      </c>
    </row>
    <row r="515">
      <c r="E515" s="22" t="n"/>
      <c r="G515" s="22" t="n"/>
      <c r="I515" s="22" t="n"/>
      <c r="L515" s="20">
        <f>IF(E515="","",E515+IF(F515="",IFERROR(VLOOKUP(C515,Parametros!$E:$F,2,0),0),F515))</f>
        <v/>
      </c>
      <c r="M515" s="21">
        <f>IF(E515="","",IF(G515="",IF(TODAY()&gt;L515,"Atrasada","Em aberto"),IF(G515&lt;=L515,"No prazo","Com atraso")))</f>
        <v/>
      </c>
      <c r="N515" s="18">
        <f>IF(E515="","",MAX(0,IF(G515="",TODAY(),G515)-L515))</f>
        <v/>
      </c>
    </row>
    <row r="516">
      <c r="E516" s="22" t="n"/>
      <c r="G516" s="22" t="n"/>
      <c r="I516" s="22" t="n"/>
      <c r="L516" s="20">
        <f>IF(E516="","",E516+IF(F516="",IFERROR(VLOOKUP(C516,Parametros!$E:$F,2,0),0),F516))</f>
        <v/>
      </c>
      <c r="M516" s="21">
        <f>IF(E516="","",IF(G516="",IF(TODAY()&gt;L516,"Atrasada","Em aberto"),IF(G516&lt;=L516,"No prazo","Com atraso")))</f>
        <v/>
      </c>
      <c r="N516" s="18">
        <f>IF(E516="","",MAX(0,IF(G516="",TODAY(),G516)-L516))</f>
        <v/>
      </c>
    </row>
    <row r="517">
      <c r="E517" s="22" t="n"/>
      <c r="G517" s="22" t="n"/>
      <c r="I517" s="22" t="n"/>
      <c r="L517" s="20">
        <f>IF(E517="","",E517+IF(F517="",IFERROR(VLOOKUP(C517,Parametros!$E:$F,2,0),0),F517))</f>
        <v/>
      </c>
      <c r="M517" s="21">
        <f>IF(E517="","",IF(G517="",IF(TODAY()&gt;L517,"Atrasada","Em aberto"),IF(G517&lt;=L517,"No prazo","Com atraso")))</f>
        <v/>
      </c>
      <c r="N517" s="18">
        <f>IF(E517="","",MAX(0,IF(G517="",TODAY(),G517)-L517))</f>
        <v/>
      </c>
    </row>
    <row r="518">
      <c r="E518" s="22" t="n"/>
      <c r="G518" s="22" t="n"/>
      <c r="I518" s="22" t="n"/>
      <c r="L518" s="20">
        <f>IF(E518="","",E518+IF(F518="",IFERROR(VLOOKUP(C518,Parametros!$E:$F,2,0),0),F518))</f>
        <v/>
      </c>
      <c r="M518" s="21">
        <f>IF(E518="","",IF(G518="",IF(TODAY()&gt;L518,"Atrasada","Em aberto"),IF(G518&lt;=L518,"No prazo","Com atraso")))</f>
        <v/>
      </c>
      <c r="N518" s="18">
        <f>IF(E518="","",MAX(0,IF(G518="",TODAY(),G518)-L518))</f>
        <v/>
      </c>
    </row>
    <row r="519">
      <c r="E519" s="22" t="n"/>
      <c r="G519" s="22" t="n"/>
      <c r="I519" s="22" t="n"/>
      <c r="L519" s="20">
        <f>IF(E519="","",E519+IF(F519="",IFERROR(VLOOKUP(C519,Parametros!$E:$F,2,0),0),F519))</f>
        <v/>
      </c>
      <c r="M519" s="21">
        <f>IF(E519="","",IF(G519="",IF(TODAY()&gt;L519,"Atrasada","Em aberto"),IF(G519&lt;=L519,"No prazo","Com atraso")))</f>
        <v/>
      </c>
      <c r="N519" s="18">
        <f>IF(E519="","",MAX(0,IF(G519="",TODAY(),G519)-L519))</f>
        <v/>
      </c>
    </row>
    <row r="520">
      <c r="E520" s="22" t="n"/>
      <c r="G520" s="22" t="n"/>
      <c r="I520" s="22" t="n"/>
      <c r="L520" s="20">
        <f>IF(E520="","",E520+IF(F520="",IFERROR(VLOOKUP(C520,Parametros!$E:$F,2,0),0),F520))</f>
        <v/>
      </c>
      <c r="M520" s="21">
        <f>IF(E520="","",IF(G520="",IF(TODAY()&gt;L520,"Atrasada","Em aberto"),IF(G520&lt;=L520,"No prazo","Com atraso")))</f>
        <v/>
      </c>
      <c r="N520" s="18">
        <f>IF(E520="","",MAX(0,IF(G520="",TODAY(),G520)-L520))</f>
        <v/>
      </c>
    </row>
    <row r="521">
      <c r="E521" s="22" t="n"/>
      <c r="G521" s="22" t="n"/>
      <c r="I521" s="22" t="n"/>
      <c r="L521" s="20">
        <f>IF(E521="","",E521+IF(F521="",IFERROR(VLOOKUP(C521,Parametros!$E:$F,2,0),0),F521))</f>
        <v/>
      </c>
      <c r="M521" s="21">
        <f>IF(E521="","",IF(G521="",IF(TODAY()&gt;L521,"Atrasada","Em aberto"),IF(G521&lt;=L521,"No prazo","Com atraso")))</f>
        <v/>
      </c>
      <c r="N521" s="18">
        <f>IF(E521="","",MAX(0,IF(G521="",TODAY(),G521)-L521))</f>
        <v/>
      </c>
    </row>
    <row r="522">
      <c r="E522" s="22" t="n"/>
      <c r="G522" s="22" t="n"/>
      <c r="I522" s="22" t="n"/>
      <c r="L522" s="20">
        <f>IF(E522="","",E522+IF(F522="",IFERROR(VLOOKUP(C522,Parametros!$E:$F,2,0),0),F522))</f>
        <v/>
      </c>
      <c r="M522" s="21">
        <f>IF(E522="","",IF(G522="",IF(TODAY()&gt;L522,"Atrasada","Em aberto"),IF(G522&lt;=L522,"No prazo","Com atraso")))</f>
        <v/>
      </c>
      <c r="N522" s="18">
        <f>IF(E522="","",MAX(0,IF(G522="",TODAY(),G522)-L522))</f>
        <v/>
      </c>
    </row>
    <row r="523">
      <c r="E523" s="22" t="n"/>
      <c r="G523" s="22" t="n"/>
      <c r="I523" s="22" t="n"/>
      <c r="L523" s="20">
        <f>IF(E523="","",E523+IF(F523="",IFERROR(VLOOKUP(C523,Parametros!$E:$F,2,0),0),F523))</f>
        <v/>
      </c>
      <c r="M523" s="21">
        <f>IF(E523="","",IF(G523="",IF(TODAY()&gt;L523,"Atrasada","Em aberto"),IF(G523&lt;=L523,"No prazo","Com atraso")))</f>
        <v/>
      </c>
      <c r="N523" s="18">
        <f>IF(E523="","",MAX(0,IF(G523="",TODAY(),G523)-L523))</f>
        <v/>
      </c>
    </row>
    <row r="524">
      <c r="E524" s="22" t="n"/>
      <c r="G524" s="22" t="n"/>
      <c r="I524" s="22" t="n"/>
      <c r="L524" s="20">
        <f>IF(E524="","",E524+IF(F524="",IFERROR(VLOOKUP(C524,Parametros!$E:$F,2,0),0),F524))</f>
        <v/>
      </c>
      <c r="M524" s="21">
        <f>IF(E524="","",IF(G524="",IF(TODAY()&gt;L524,"Atrasada","Em aberto"),IF(G524&lt;=L524,"No prazo","Com atraso")))</f>
        <v/>
      </c>
      <c r="N524" s="18">
        <f>IF(E524="","",MAX(0,IF(G524="",TODAY(),G524)-L524))</f>
        <v/>
      </c>
    </row>
    <row r="525">
      <c r="E525" s="22" t="n"/>
      <c r="G525" s="22" t="n"/>
      <c r="I525" s="22" t="n"/>
      <c r="L525" s="20">
        <f>IF(E525="","",E525+IF(F525="",IFERROR(VLOOKUP(C525,Parametros!$E:$F,2,0),0),F525))</f>
        <v/>
      </c>
      <c r="M525" s="21">
        <f>IF(E525="","",IF(G525="",IF(TODAY()&gt;L525,"Atrasada","Em aberto"),IF(G525&lt;=L525,"No prazo","Com atraso")))</f>
        <v/>
      </c>
      <c r="N525" s="18">
        <f>IF(E525="","",MAX(0,IF(G525="",TODAY(),G525)-L525))</f>
        <v/>
      </c>
    </row>
    <row r="526">
      <c r="E526" s="22" t="n"/>
      <c r="G526" s="22" t="n"/>
      <c r="I526" s="22" t="n"/>
      <c r="L526" s="20">
        <f>IF(E526="","",E526+IF(F526="",IFERROR(VLOOKUP(C526,Parametros!$E:$F,2,0),0),F526))</f>
        <v/>
      </c>
      <c r="M526" s="21">
        <f>IF(E526="","",IF(G526="",IF(TODAY()&gt;L526,"Atrasada","Em aberto"),IF(G526&lt;=L526,"No prazo","Com atraso")))</f>
        <v/>
      </c>
      <c r="N526" s="18">
        <f>IF(E526="","",MAX(0,IF(G526="",TODAY(),G526)-L526))</f>
        <v/>
      </c>
    </row>
    <row r="527">
      <c r="E527" s="22" t="n"/>
      <c r="G527" s="22" t="n"/>
      <c r="I527" s="22" t="n"/>
      <c r="L527" s="20">
        <f>IF(E527="","",E527+IF(F527="",IFERROR(VLOOKUP(C527,Parametros!$E:$F,2,0),0),F527))</f>
        <v/>
      </c>
      <c r="M527" s="21">
        <f>IF(E527="","",IF(G527="",IF(TODAY()&gt;L527,"Atrasada","Em aberto"),IF(G527&lt;=L527,"No prazo","Com atraso")))</f>
        <v/>
      </c>
      <c r="N527" s="18">
        <f>IF(E527="","",MAX(0,IF(G527="",TODAY(),G527)-L527))</f>
        <v/>
      </c>
    </row>
    <row r="528">
      <c r="E528" s="22" t="n"/>
      <c r="G528" s="22" t="n"/>
      <c r="I528" s="22" t="n"/>
      <c r="L528" s="20">
        <f>IF(E528="","",E528+IF(F528="",IFERROR(VLOOKUP(C528,Parametros!$E:$F,2,0),0),F528))</f>
        <v/>
      </c>
      <c r="M528" s="21">
        <f>IF(E528="","",IF(G528="",IF(TODAY()&gt;L528,"Atrasada","Em aberto"),IF(G528&lt;=L528,"No prazo","Com atraso")))</f>
        <v/>
      </c>
      <c r="N528" s="18">
        <f>IF(E528="","",MAX(0,IF(G528="",TODAY(),G528)-L528))</f>
        <v/>
      </c>
    </row>
    <row r="529">
      <c r="E529" s="22" t="n"/>
      <c r="G529" s="22" t="n"/>
      <c r="I529" s="22" t="n"/>
      <c r="L529" s="20">
        <f>IF(E529="","",E529+IF(F529="",IFERROR(VLOOKUP(C529,Parametros!$E:$F,2,0),0),F529))</f>
        <v/>
      </c>
      <c r="M529" s="21">
        <f>IF(E529="","",IF(G529="",IF(TODAY()&gt;L529,"Atrasada","Em aberto"),IF(G529&lt;=L529,"No prazo","Com atraso")))</f>
        <v/>
      </c>
      <c r="N529" s="18">
        <f>IF(E529="","",MAX(0,IF(G529="",TODAY(),G529)-L529))</f>
        <v/>
      </c>
    </row>
    <row r="530">
      <c r="E530" s="22" t="n"/>
      <c r="G530" s="22" t="n"/>
      <c r="I530" s="22" t="n"/>
      <c r="L530" s="20">
        <f>IF(E530="","",E530+IF(F530="",IFERROR(VLOOKUP(C530,Parametros!$E:$F,2,0),0),F530))</f>
        <v/>
      </c>
      <c r="M530" s="21">
        <f>IF(E530="","",IF(G530="",IF(TODAY()&gt;L530,"Atrasada","Em aberto"),IF(G530&lt;=L530,"No prazo","Com atraso")))</f>
        <v/>
      </c>
      <c r="N530" s="18">
        <f>IF(E530="","",MAX(0,IF(G530="",TODAY(),G530)-L530))</f>
        <v/>
      </c>
    </row>
    <row r="531">
      <c r="E531" s="22" t="n"/>
      <c r="G531" s="22" t="n"/>
      <c r="I531" s="22" t="n"/>
      <c r="L531" s="20">
        <f>IF(E531="","",E531+IF(F531="",IFERROR(VLOOKUP(C531,Parametros!$E:$F,2,0),0),F531))</f>
        <v/>
      </c>
      <c r="M531" s="21">
        <f>IF(E531="","",IF(G531="",IF(TODAY()&gt;L531,"Atrasada","Em aberto"),IF(G531&lt;=L531,"No prazo","Com atraso")))</f>
        <v/>
      </c>
      <c r="N531" s="18">
        <f>IF(E531="","",MAX(0,IF(G531="",TODAY(),G531)-L531))</f>
        <v/>
      </c>
    </row>
    <row r="532">
      <c r="E532" s="22" t="n"/>
      <c r="G532" s="22" t="n"/>
      <c r="I532" s="22" t="n"/>
      <c r="L532" s="20">
        <f>IF(E532="","",E532+IF(F532="",IFERROR(VLOOKUP(C532,Parametros!$E:$F,2,0),0),F532))</f>
        <v/>
      </c>
      <c r="M532" s="21">
        <f>IF(E532="","",IF(G532="",IF(TODAY()&gt;L532,"Atrasada","Em aberto"),IF(G532&lt;=L532,"No prazo","Com atraso")))</f>
        <v/>
      </c>
      <c r="N532" s="18">
        <f>IF(E532="","",MAX(0,IF(G532="",TODAY(),G532)-L532))</f>
        <v/>
      </c>
    </row>
    <row r="533">
      <c r="E533" s="22" t="n"/>
      <c r="G533" s="22" t="n"/>
      <c r="I533" s="22" t="n"/>
      <c r="L533" s="20">
        <f>IF(E533="","",E533+IF(F533="",IFERROR(VLOOKUP(C533,Parametros!$E:$F,2,0),0),F533))</f>
        <v/>
      </c>
      <c r="M533" s="21">
        <f>IF(E533="","",IF(G533="",IF(TODAY()&gt;L533,"Atrasada","Em aberto"),IF(G533&lt;=L533,"No prazo","Com atraso")))</f>
        <v/>
      </c>
      <c r="N533" s="18">
        <f>IF(E533="","",MAX(0,IF(G533="",TODAY(),G533)-L533))</f>
        <v/>
      </c>
    </row>
    <row r="534">
      <c r="E534" s="22" t="n"/>
      <c r="G534" s="22" t="n"/>
      <c r="I534" s="22" t="n"/>
      <c r="L534" s="20">
        <f>IF(E534="","",E534+IF(F534="",IFERROR(VLOOKUP(C534,Parametros!$E:$F,2,0),0),F534))</f>
        <v/>
      </c>
      <c r="M534" s="21">
        <f>IF(E534="","",IF(G534="",IF(TODAY()&gt;L534,"Atrasada","Em aberto"),IF(G534&lt;=L534,"No prazo","Com atraso")))</f>
        <v/>
      </c>
      <c r="N534" s="18">
        <f>IF(E534="","",MAX(0,IF(G534="",TODAY(),G534)-L534))</f>
        <v/>
      </c>
    </row>
    <row r="535">
      <c r="E535" s="22" t="n"/>
      <c r="G535" s="22" t="n"/>
      <c r="I535" s="22" t="n"/>
      <c r="L535" s="20">
        <f>IF(E535="","",E535+IF(F535="",IFERROR(VLOOKUP(C535,Parametros!$E:$F,2,0),0),F535))</f>
        <v/>
      </c>
      <c r="M535" s="21">
        <f>IF(E535="","",IF(G535="",IF(TODAY()&gt;L535,"Atrasada","Em aberto"),IF(G535&lt;=L535,"No prazo","Com atraso")))</f>
        <v/>
      </c>
      <c r="N535" s="18">
        <f>IF(E535="","",MAX(0,IF(G535="",TODAY(),G535)-L535))</f>
        <v/>
      </c>
    </row>
    <row r="536">
      <c r="E536" s="22" t="n"/>
      <c r="G536" s="22" t="n"/>
      <c r="I536" s="22" t="n"/>
      <c r="L536" s="20">
        <f>IF(E536="","",E536+IF(F536="",IFERROR(VLOOKUP(C536,Parametros!$E:$F,2,0),0),F536))</f>
        <v/>
      </c>
      <c r="M536" s="21">
        <f>IF(E536="","",IF(G536="",IF(TODAY()&gt;L536,"Atrasada","Em aberto"),IF(G536&lt;=L536,"No prazo","Com atraso")))</f>
        <v/>
      </c>
      <c r="N536" s="18">
        <f>IF(E536="","",MAX(0,IF(G536="",TODAY(),G536)-L536))</f>
        <v/>
      </c>
    </row>
    <row r="537">
      <c r="E537" s="22" t="n"/>
      <c r="G537" s="22" t="n"/>
      <c r="I537" s="22" t="n"/>
      <c r="L537" s="20">
        <f>IF(E537="","",E537+IF(F537="",IFERROR(VLOOKUP(C537,Parametros!$E:$F,2,0),0),F537))</f>
        <v/>
      </c>
      <c r="M537" s="21">
        <f>IF(E537="","",IF(G537="",IF(TODAY()&gt;L537,"Atrasada","Em aberto"),IF(G537&lt;=L537,"No prazo","Com atraso")))</f>
        <v/>
      </c>
      <c r="N537" s="18">
        <f>IF(E537="","",MAX(0,IF(G537="",TODAY(),G537)-L537))</f>
        <v/>
      </c>
    </row>
    <row r="538">
      <c r="E538" s="22" t="n"/>
      <c r="G538" s="22" t="n"/>
      <c r="I538" s="22" t="n"/>
      <c r="L538" s="20">
        <f>IF(E538="","",E538+IF(F538="",IFERROR(VLOOKUP(C538,Parametros!$E:$F,2,0),0),F538))</f>
        <v/>
      </c>
      <c r="M538" s="21">
        <f>IF(E538="","",IF(G538="",IF(TODAY()&gt;L538,"Atrasada","Em aberto"),IF(G538&lt;=L538,"No prazo","Com atraso")))</f>
        <v/>
      </c>
      <c r="N538" s="18">
        <f>IF(E538="","",MAX(0,IF(G538="",TODAY(),G538)-L538))</f>
        <v/>
      </c>
    </row>
    <row r="539">
      <c r="E539" s="22" t="n"/>
      <c r="G539" s="22" t="n"/>
      <c r="I539" s="22" t="n"/>
      <c r="L539" s="20">
        <f>IF(E539="","",E539+IF(F539="",IFERROR(VLOOKUP(C539,Parametros!$E:$F,2,0),0),F539))</f>
        <v/>
      </c>
      <c r="M539" s="21">
        <f>IF(E539="","",IF(G539="",IF(TODAY()&gt;L539,"Atrasada","Em aberto"),IF(G539&lt;=L539,"No prazo","Com atraso")))</f>
        <v/>
      </c>
      <c r="N539" s="18">
        <f>IF(E539="","",MAX(0,IF(G539="",TODAY(),G539)-L539))</f>
        <v/>
      </c>
    </row>
    <row r="540">
      <c r="E540" s="22" t="n"/>
      <c r="G540" s="22" t="n"/>
      <c r="I540" s="22" t="n"/>
      <c r="L540" s="20">
        <f>IF(E540="","",E540+IF(F540="",IFERROR(VLOOKUP(C540,Parametros!$E:$F,2,0),0),F540))</f>
        <v/>
      </c>
      <c r="M540" s="21">
        <f>IF(E540="","",IF(G540="",IF(TODAY()&gt;L540,"Atrasada","Em aberto"),IF(G540&lt;=L540,"No prazo","Com atraso")))</f>
        <v/>
      </c>
      <c r="N540" s="18">
        <f>IF(E540="","",MAX(0,IF(G540="",TODAY(),G540)-L540))</f>
        <v/>
      </c>
    </row>
    <row r="541">
      <c r="E541" s="22" t="n"/>
      <c r="G541" s="22" t="n"/>
      <c r="I541" s="22" t="n"/>
      <c r="L541" s="20">
        <f>IF(E541="","",E541+IF(F541="",IFERROR(VLOOKUP(C541,Parametros!$E:$F,2,0),0),F541))</f>
        <v/>
      </c>
      <c r="M541" s="21">
        <f>IF(E541="","",IF(G541="",IF(TODAY()&gt;L541,"Atrasada","Em aberto"),IF(G541&lt;=L541,"No prazo","Com atraso")))</f>
        <v/>
      </c>
      <c r="N541" s="18">
        <f>IF(E541="","",MAX(0,IF(G541="",TODAY(),G541)-L541))</f>
        <v/>
      </c>
    </row>
    <row r="542">
      <c r="E542" s="22" t="n"/>
      <c r="G542" s="22" t="n"/>
      <c r="I542" s="22" t="n"/>
      <c r="L542" s="20">
        <f>IF(E542="","",E542+IF(F542="",IFERROR(VLOOKUP(C542,Parametros!$E:$F,2,0),0),F542))</f>
        <v/>
      </c>
      <c r="M542" s="21">
        <f>IF(E542="","",IF(G542="",IF(TODAY()&gt;L542,"Atrasada","Em aberto"),IF(G542&lt;=L542,"No prazo","Com atraso")))</f>
        <v/>
      </c>
      <c r="N542" s="18">
        <f>IF(E542="","",MAX(0,IF(G542="",TODAY(),G542)-L542))</f>
        <v/>
      </c>
    </row>
    <row r="543">
      <c r="E543" s="22" t="n"/>
      <c r="G543" s="22" t="n"/>
      <c r="I543" s="22" t="n"/>
      <c r="L543" s="20">
        <f>IF(E543="","",E543+IF(F543="",IFERROR(VLOOKUP(C543,Parametros!$E:$F,2,0),0),F543))</f>
        <v/>
      </c>
      <c r="M543" s="21">
        <f>IF(E543="","",IF(G543="",IF(TODAY()&gt;L543,"Atrasada","Em aberto"),IF(G543&lt;=L543,"No prazo","Com atraso")))</f>
        <v/>
      </c>
      <c r="N543" s="18">
        <f>IF(E543="","",MAX(0,IF(G543="",TODAY(),G543)-L543))</f>
        <v/>
      </c>
    </row>
    <row r="544">
      <c r="E544" s="22" t="n"/>
      <c r="G544" s="22" t="n"/>
      <c r="I544" s="22" t="n"/>
      <c r="L544" s="20">
        <f>IF(E544="","",E544+IF(F544="",IFERROR(VLOOKUP(C544,Parametros!$E:$F,2,0),0),F544))</f>
        <v/>
      </c>
      <c r="M544" s="21">
        <f>IF(E544="","",IF(G544="",IF(TODAY()&gt;L544,"Atrasada","Em aberto"),IF(G544&lt;=L544,"No prazo","Com atraso")))</f>
        <v/>
      </c>
      <c r="N544" s="18">
        <f>IF(E544="","",MAX(0,IF(G544="",TODAY(),G544)-L544))</f>
        <v/>
      </c>
    </row>
    <row r="545">
      <c r="E545" s="22" t="n"/>
      <c r="G545" s="22" t="n"/>
      <c r="I545" s="22" t="n"/>
      <c r="L545" s="20">
        <f>IF(E545="","",E545+IF(F545="",IFERROR(VLOOKUP(C545,Parametros!$E:$F,2,0),0),F545))</f>
        <v/>
      </c>
      <c r="M545" s="21">
        <f>IF(E545="","",IF(G545="",IF(TODAY()&gt;L545,"Atrasada","Em aberto"),IF(G545&lt;=L545,"No prazo","Com atraso")))</f>
        <v/>
      </c>
      <c r="N545" s="18">
        <f>IF(E545="","",MAX(0,IF(G545="",TODAY(),G545)-L545))</f>
        <v/>
      </c>
    </row>
    <row r="546">
      <c r="E546" s="22" t="n"/>
      <c r="G546" s="22" t="n"/>
      <c r="I546" s="22" t="n"/>
      <c r="L546" s="20">
        <f>IF(E546="","",E546+IF(F546="",IFERROR(VLOOKUP(C546,Parametros!$E:$F,2,0),0),F546))</f>
        <v/>
      </c>
      <c r="M546" s="21">
        <f>IF(E546="","",IF(G546="",IF(TODAY()&gt;L546,"Atrasada","Em aberto"),IF(G546&lt;=L546,"No prazo","Com atraso")))</f>
        <v/>
      </c>
      <c r="N546" s="18">
        <f>IF(E546="","",MAX(0,IF(G546="",TODAY(),G546)-L546))</f>
        <v/>
      </c>
    </row>
    <row r="547">
      <c r="E547" s="22" t="n"/>
      <c r="G547" s="22" t="n"/>
      <c r="I547" s="22" t="n"/>
      <c r="L547" s="20">
        <f>IF(E547="","",E547+IF(F547="",IFERROR(VLOOKUP(C547,Parametros!$E:$F,2,0),0),F547))</f>
        <v/>
      </c>
      <c r="M547" s="21">
        <f>IF(E547="","",IF(G547="",IF(TODAY()&gt;L547,"Atrasada","Em aberto"),IF(G547&lt;=L547,"No prazo","Com atraso")))</f>
        <v/>
      </c>
      <c r="N547" s="18">
        <f>IF(E547="","",MAX(0,IF(G547="",TODAY(),G547)-L547))</f>
        <v/>
      </c>
    </row>
    <row r="548">
      <c r="E548" s="22" t="n"/>
      <c r="G548" s="22" t="n"/>
      <c r="I548" s="22" t="n"/>
      <c r="L548" s="20">
        <f>IF(E548="","",E548+IF(F548="",IFERROR(VLOOKUP(C548,Parametros!$E:$F,2,0),0),F548))</f>
        <v/>
      </c>
      <c r="M548" s="21">
        <f>IF(E548="","",IF(G548="",IF(TODAY()&gt;L548,"Atrasada","Em aberto"),IF(G548&lt;=L548,"No prazo","Com atraso")))</f>
        <v/>
      </c>
      <c r="N548" s="18">
        <f>IF(E548="","",MAX(0,IF(G548="",TODAY(),G548)-L548))</f>
        <v/>
      </c>
    </row>
    <row r="549">
      <c r="E549" s="22" t="n"/>
      <c r="G549" s="22" t="n"/>
      <c r="I549" s="22" t="n"/>
      <c r="L549" s="20">
        <f>IF(E549="","",E549+IF(F549="",IFERROR(VLOOKUP(C549,Parametros!$E:$F,2,0),0),F549))</f>
        <v/>
      </c>
      <c r="M549" s="21">
        <f>IF(E549="","",IF(G549="",IF(TODAY()&gt;L549,"Atrasada","Em aberto"),IF(G549&lt;=L549,"No prazo","Com atraso")))</f>
        <v/>
      </c>
      <c r="N549" s="18">
        <f>IF(E549="","",MAX(0,IF(G549="",TODAY(),G549)-L549))</f>
        <v/>
      </c>
    </row>
    <row r="550">
      <c r="E550" s="22" t="n"/>
      <c r="G550" s="22" t="n"/>
      <c r="I550" s="22" t="n"/>
      <c r="L550" s="20">
        <f>IF(E550="","",E550+IF(F550="",IFERROR(VLOOKUP(C550,Parametros!$E:$F,2,0),0),F550))</f>
        <v/>
      </c>
      <c r="M550" s="21">
        <f>IF(E550="","",IF(G550="",IF(TODAY()&gt;L550,"Atrasada","Em aberto"),IF(G550&lt;=L550,"No prazo","Com atraso")))</f>
        <v/>
      </c>
      <c r="N550" s="18">
        <f>IF(E550="","",MAX(0,IF(G550="",TODAY(),G550)-L550))</f>
        <v/>
      </c>
    </row>
    <row r="551">
      <c r="E551" s="22" t="n"/>
      <c r="G551" s="22" t="n"/>
      <c r="I551" s="22" t="n"/>
      <c r="L551" s="20">
        <f>IF(E551="","",E551+IF(F551="",IFERROR(VLOOKUP(C551,Parametros!$E:$F,2,0),0),F551))</f>
        <v/>
      </c>
      <c r="M551" s="21">
        <f>IF(E551="","",IF(G551="",IF(TODAY()&gt;L551,"Atrasada","Em aberto"),IF(G551&lt;=L551,"No prazo","Com atraso")))</f>
        <v/>
      </c>
      <c r="N551" s="18">
        <f>IF(E551="","",MAX(0,IF(G551="",TODAY(),G551)-L551))</f>
        <v/>
      </c>
    </row>
    <row r="552">
      <c r="E552" s="22" t="n"/>
      <c r="G552" s="22" t="n"/>
      <c r="I552" s="22" t="n"/>
      <c r="L552" s="20">
        <f>IF(E552="","",E552+IF(F552="",IFERROR(VLOOKUP(C552,Parametros!$E:$F,2,0),0),F552))</f>
        <v/>
      </c>
      <c r="M552" s="21">
        <f>IF(E552="","",IF(G552="",IF(TODAY()&gt;L552,"Atrasada","Em aberto"),IF(G552&lt;=L552,"No prazo","Com atraso")))</f>
        <v/>
      </c>
      <c r="N552" s="18">
        <f>IF(E552="","",MAX(0,IF(G552="",TODAY(),G552)-L552))</f>
        <v/>
      </c>
    </row>
    <row r="553">
      <c r="E553" s="22" t="n"/>
      <c r="G553" s="22" t="n"/>
      <c r="I553" s="22" t="n"/>
      <c r="L553" s="20">
        <f>IF(E553="","",E553+IF(F553="",IFERROR(VLOOKUP(C553,Parametros!$E:$F,2,0),0),F553))</f>
        <v/>
      </c>
      <c r="M553" s="21">
        <f>IF(E553="","",IF(G553="",IF(TODAY()&gt;L553,"Atrasada","Em aberto"),IF(G553&lt;=L553,"No prazo","Com atraso")))</f>
        <v/>
      </c>
      <c r="N553" s="18">
        <f>IF(E553="","",MAX(0,IF(G553="",TODAY(),G553)-L553))</f>
        <v/>
      </c>
    </row>
    <row r="554">
      <c r="E554" s="22" t="n"/>
      <c r="G554" s="22" t="n"/>
      <c r="I554" s="22" t="n"/>
      <c r="L554" s="20">
        <f>IF(E554="","",E554+IF(F554="",IFERROR(VLOOKUP(C554,Parametros!$E:$F,2,0),0),F554))</f>
        <v/>
      </c>
      <c r="M554" s="21">
        <f>IF(E554="","",IF(G554="",IF(TODAY()&gt;L554,"Atrasada","Em aberto"),IF(G554&lt;=L554,"No prazo","Com atraso")))</f>
        <v/>
      </c>
      <c r="N554" s="18">
        <f>IF(E554="","",MAX(0,IF(G554="",TODAY(),G554)-L554))</f>
        <v/>
      </c>
    </row>
    <row r="555">
      <c r="E555" s="22" t="n"/>
      <c r="G555" s="22" t="n"/>
      <c r="I555" s="22" t="n"/>
      <c r="L555" s="20">
        <f>IF(E555="","",E555+IF(F555="",IFERROR(VLOOKUP(C555,Parametros!$E:$F,2,0),0),F555))</f>
        <v/>
      </c>
      <c r="M555" s="21">
        <f>IF(E555="","",IF(G555="",IF(TODAY()&gt;L555,"Atrasada","Em aberto"),IF(G555&lt;=L555,"No prazo","Com atraso")))</f>
        <v/>
      </c>
      <c r="N555" s="18">
        <f>IF(E555="","",MAX(0,IF(G555="",TODAY(),G555)-L555))</f>
        <v/>
      </c>
    </row>
    <row r="556">
      <c r="E556" s="22" t="n"/>
      <c r="G556" s="22" t="n"/>
      <c r="I556" s="22" t="n"/>
      <c r="L556" s="20">
        <f>IF(E556="","",E556+IF(F556="",IFERROR(VLOOKUP(C556,Parametros!$E:$F,2,0),0),F556))</f>
        <v/>
      </c>
      <c r="M556" s="21">
        <f>IF(E556="","",IF(G556="",IF(TODAY()&gt;L556,"Atrasada","Em aberto"),IF(G556&lt;=L556,"No prazo","Com atraso")))</f>
        <v/>
      </c>
      <c r="N556" s="18">
        <f>IF(E556="","",MAX(0,IF(G556="",TODAY(),G556)-L556))</f>
        <v/>
      </c>
    </row>
    <row r="557">
      <c r="E557" s="22" t="n"/>
      <c r="G557" s="22" t="n"/>
      <c r="I557" s="22" t="n"/>
      <c r="L557" s="20">
        <f>IF(E557="","",E557+IF(F557="",IFERROR(VLOOKUP(C557,Parametros!$E:$F,2,0),0),F557))</f>
        <v/>
      </c>
      <c r="M557" s="21">
        <f>IF(E557="","",IF(G557="",IF(TODAY()&gt;L557,"Atrasada","Em aberto"),IF(G557&lt;=L557,"No prazo","Com atraso")))</f>
        <v/>
      </c>
      <c r="N557" s="18">
        <f>IF(E557="","",MAX(0,IF(G557="",TODAY(),G557)-L557))</f>
        <v/>
      </c>
    </row>
    <row r="558">
      <c r="E558" s="22" t="n"/>
      <c r="G558" s="22" t="n"/>
      <c r="I558" s="22" t="n"/>
      <c r="L558" s="20">
        <f>IF(E558="","",E558+IF(F558="",IFERROR(VLOOKUP(C558,Parametros!$E:$F,2,0),0),F558))</f>
        <v/>
      </c>
      <c r="M558" s="21">
        <f>IF(E558="","",IF(G558="",IF(TODAY()&gt;L558,"Atrasada","Em aberto"),IF(G558&lt;=L558,"No prazo","Com atraso")))</f>
        <v/>
      </c>
      <c r="N558" s="18">
        <f>IF(E558="","",MAX(0,IF(G558="",TODAY(),G558)-L558))</f>
        <v/>
      </c>
    </row>
    <row r="559">
      <c r="E559" s="22" t="n"/>
      <c r="G559" s="22" t="n"/>
      <c r="I559" s="22" t="n"/>
      <c r="L559" s="20">
        <f>IF(E559="","",E559+IF(F559="",IFERROR(VLOOKUP(C559,Parametros!$E:$F,2,0),0),F559))</f>
        <v/>
      </c>
      <c r="M559" s="21">
        <f>IF(E559="","",IF(G559="",IF(TODAY()&gt;L559,"Atrasada","Em aberto"),IF(G559&lt;=L559,"No prazo","Com atraso")))</f>
        <v/>
      </c>
      <c r="N559" s="18">
        <f>IF(E559="","",MAX(0,IF(G559="",TODAY(),G559)-L559))</f>
        <v/>
      </c>
    </row>
    <row r="560">
      <c r="E560" s="22" t="n"/>
      <c r="G560" s="22" t="n"/>
      <c r="I560" s="22" t="n"/>
      <c r="L560" s="20">
        <f>IF(E560="","",E560+IF(F560="",IFERROR(VLOOKUP(C560,Parametros!$E:$F,2,0),0),F560))</f>
        <v/>
      </c>
      <c r="M560" s="21">
        <f>IF(E560="","",IF(G560="",IF(TODAY()&gt;L560,"Atrasada","Em aberto"),IF(G560&lt;=L560,"No prazo","Com atraso")))</f>
        <v/>
      </c>
      <c r="N560" s="18">
        <f>IF(E560="","",MAX(0,IF(G560="",TODAY(),G560)-L560))</f>
        <v/>
      </c>
    </row>
    <row r="561">
      <c r="E561" s="22" t="n"/>
      <c r="G561" s="22" t="n"/>
      <c r="I561" s="22" t="n"/>
      <c r="L561" s="20">
        <f>IF(E561="","",E561+IF(F561="",IFERROR(VLOOKUP(C561,Parametros!$E:$F,2,0),0),F561))</f>
        <v/>
      </c>
      <c r="M561" s="21">
        <f>IF(E561="","",IF(G561="",IF(TODAY()&gt;L561,"Atrasada","Em aberto"),IF(G561&lt;=L561,"No prazo","Com atraso")))</f>
        <v/>
      </c>
      <c r="N561" s="18">
        <f>IF(E561="","",MAX(0,IF(G561="",TODAY(),G561)-L561))</f>
        <v/>
      </c>
    </row>
    <row r="562">
      <c r="E562" s="22" t="n"/>
      <c r="G562" s="22" t="n"/>
      <c r="I562" s="22" t="n"/>
      <c r="L562" s="20">
        <f>IF(E562="","",E562+IF(F562="",IFERROR(VLOOKUP(C562,Parametros!$E:$F,2,0),0),F562))</f>
        <v/>
      </c>
      <c r="M562" s="21">
        <f>IF(E562="","",IF(G562="",IF(TODAY()&gt;L562,"Atrasada","Em aberto"),IF(G562&lt;=L562,"No prazo","Com atraso")))</f>
        <v/>
      </c>
      <c r="N562" s="18">
        <f>IF(E562="","",MAX(0,IF(G562="",TODAY(),G562)-L562))</f>
        <v/>
      </c>
    </row>
    <row r="563">
      <c r="E563" s="22" t="n"/>
      <c r="G563" s="22" t="n"/>
      <c r="I563" s="22" t="n"/>
      <c r="L563" s="20">
        <f>IF(E563="","",E563+IF(F563="",IFERROR(VLOOKUP(C563,Parametros!$E:$F,2,0),0),F563))</f>
        <v/>
      </c>
      <c r="M563" s="21">
        <f>IF(E563="","",IF(G563="",IF(TODAY()&gt;L563,"Atrasada","Em aberto"),IF(G563&lt;=L563,"No prazo","Com atraso")))</f>
        <v/>
      </c>
      <c r="N563" s="18">
        <f>IF(E563="","",MAX(0,IF(G563="",TODAY(),G563)-L563))</f>
        <v/>
      </c>
    </row>
    <row r="564">
      <c r="E564" s="22" t="n"/>
      <c r="G564" s="22" t="n"/>
      <c r="I564" s="22" t="n"/>
      <c r="L564" s="20">
        <f>IF(E564="","",E564+IF(F564="",IFERROR(VLOOKUP(C564,Parametros!$E:$F,2,0),0),F564))</f>
        <v/>
      </c>
      <c r="M564" s="21">
        <f>IF(E564="","",IF(G564="",IF(TODAY()&gt;L564,"Atrasada","Em aberto"),IF(G564&lt;=L564,"No prazo","Com atraso")))</f>
        <v/>
      </c>
      <c r="N564" s="18">
        <f>IF(E564="","",MAX(0,IF(G564="",TODAY(),G564)-L564))</f>
        <v/>
      </c>
    </row>
    <row r="565">
      <c r="E565" s="22" t="n"/>
      <c r="G565" s="22" t="n"/>
      <c r="I565" s="22" t="n"/>
      <c r="L565" s="20">
        <f>IF(E565="","",E565+IF(F565="",IFERROR(VLOOKUP(C565,Parametros!$E:$F,2,0),0),F565))</f>
        <v/>
      </c>
      <c r="M565" s="21">
        <f>IF(E565="","",IF(G565="",IF(TODAY()&gt;L565,"Atrasada","Em aberto"),IF(G565&lt;=L565,"No prazo","Com atraso")))</f>
        <v/>
      </c>
      <c r="N565" s="18">
        <f>IF(E565="","",MAX(0,IF(G565="",TODAY(),G565)-L565))</f>
        <v/>
      </c>
    </row>
    <row r="566">
      <c r="E566" s="22" t="n"/>
      <c r="G566" s="22" t="n"/>
      <c r="I566" s="22" t="n"/>
      <c r="L566" s="20">
        <f>IF(E566="","",E566+IF(F566="",IFERROR(VLOOKUP(C566,Parametros!$E:$F,2,0),0),F566))</f>
        <v/>
      </c>
      <c r="M566" s="21">
        <f>IF(E566="","",IF(G566="",IF(TODAY()&gt;L566,"Atrasada","Em aberto"),IF(G566&lt;=L566,"No prazo","Com atraso")))</f>
        <v/>
      </c>
      <c r="N566" s="18">
        <f>IF(E566="","",MAX(0,IF(G566="",TODAY(),G566)-L566))</f>
        <v/>
      </c>
    </row>
    <row r="567">
      <c r="E567" s="22" t="n"/>
      <c r="G567" s="22" t="n"/>
      <c r="I567" s="22" t="n"/>
      <c r="L567" s="20">
        <f>IF(E567="","",E567+IF(F567="",IFERROR(VLOOKUP(C567,Parametros!$E:$F,2,0),0),F567))</f>
        <v/>
      </c>
      <c r="M567" s="21">
        <f>IF(E567="","",IF(G567="",IF(TODAY()&gt;L567,"Atrasada","Em aberto"),IF(G567&lt;=L567,"No prazo","Com atraso")))</f>
        <v/>
      </c>
      <c r="N567" s="18">
        <f>IF(E567="","",MAX(0,IF(G567="",TODAY(),G567)-L567))</f>
        <v/>
      </c>
    </row>
    <row r="568">
      <c r="E568" s="22" t="n"/>
      <c r="G568" s="22" t="n"/>
      <c r="I568" s="22" t="n"/>
      <c r="L568" s="20">
        <f>IF(E568="","",E568+IF(F568="",IFERROR(VLOOKUP(C568,Parametros!$E:$F,2,0),0),F568))</f>
        <v/>
      </c>
      <c r="M568" s="21">
        <f>IF(E568="","",IF(G568="",IF(TODAY()&gt;L568,"Atrasada","Em aberto"),IF(G568&lt;=L568,"No prazo","Com atraso")))</f>
        <v/>
      </c>
      <c r="N568" s="18">
        <f>IF(E568="","",MAX(0,IF(G568="",TODAY(),G568)-L568))</f>
        <v/>
      </c>
    </row>
    <row r="569">
      <c r="E569" s="22" t="n"/>
      <c r="G569" s="22" t="n"/>
      <c r="I569" s="22" t="n"/>
      <c r="L569" s="20">
        <f>IF(E569="","",E569+IF(F569="",IFERROR(VLOOKUP(C569,Parametros!$E:$F,2,0),0),F569))</f>
        <v/>
      </c>
      <c r="M569" s="21">
        <f>IF(E569="","",IF(G569="",IF(TODAY()&gt;L569,"Atrasada","Em aberto"),IF(G569&lt;=L569,"No prazo","Com atraso")))</f>
        <v/>
      </c>
      <c r="N569" s="18">
        <f>IF(E569="","",MAX(0,IF(G569="",TODAY(),G569)-L569))</f>
        <v/>
      </c>
    </row>
    <row r="570">
      <c r="E570" s="22" t="n"/>
      <c r="G570" s="22" t="n"/>
      <c r="I570" s="22" t="n"/>
      <c r="L570" s="20">
        <f>IF(E570="","",E570+IF(F570="",IFERROR(VLOOKUP(C570,Parametros!$E:$F,2,0),0),F570))</f>
        <v/>
      </c>
      <c r="M570" s="21">
        <f>IF(E570="","",IF(G570="",IF(TODAY()&gt;L570,"Atrasada","Em aberto"),IF(G570&lt;=L570,"No prazo","Com atraso")))</f>
        <v/>
      </c>
      <c r="N570" s="18">
        <f>IF(E570="","",MAX(0,IF(G570="",TODAY(),G570)-L570))</f>
        <v/>
      </c>
    </row>
    <row r="571">
      <c r="E571" s="22" t="n"/>
      <c r="G571" s="22" t="n"/>
      <c r="I571" s="22" t="n"/>
      <c r="L571" s="20">
        <f>IF(E571="","",E571+IF(F571="",IFERROR(VLOOKUP(C571,Parametros!$E:$F,2,0),0),F571))</f>
        <v/>
      </c>
      <c r="M571" s="21">
        <f>IF(E571="","",IF(G571="",IF(TODAY()&gt;L571,"Atrasada","Em aberto"),IF(G571&lt;=L571,"No prazo","Com atraso")))</f>
        <v/>
      </c>
      <c r="N571" s="18">
        <f>IF(E571="","",MAX(0,IF(G571="",TODAY(),G571)-L571))</f>
        <v/>
      </c>
    </row>
    <row r="572">
      <c r="E572" s="22" t="n"/>
      <c r="G572" s="22" t="n"/>
      <c r="I572" s="22" t="n"/>
      <c r="L572" s="20">
        <f>IF(E572="","",E572+IF(F572="",IFERROR(VLOOKUP(C572,Parametros!$E:$F,2,0),0),F572))</f>
        <v/>
      </c>
      <c r="M572" s="21">
        <f>IF(E572="","",IF(G572="",IF(TODAY()&gt;L572,"Atrasada","Em aberto"),IF(G572&lt;=L572,"No prazo","Com atraso")))</f>
        <v/>
      </c>
      <c r="N572" s="18">
        <f>IF(E572="","",MAX(0,IF(G572="",TODAY(),G572)-L572))</f>
        <v/>
      </c>
    </row>
    <row r="573">
      <c r="E573" s="22" t="n"/>
      <c r="G573" s="22" t="n"/>
      <c r="I573" s="22" t="n"/>
      <c r="L573" s="20">
        <f>IF(E573="","",E573+IF(F573="",IFERROR(VLOOKUP(C573,Parametros!$E:$F,2,0),0),F573))</f>
        <v/>
      </c>
      <c r="M573" s="21">
        <f>IF(E573="","",IF(G573="",IF(TODAY()&gt;L573,"Atrasada","Em aberto"),IF(G573&lt;=L573,"No prazo","Com atraso")))</f>
        <v/>
      </c>
      <c r="N573" s="18">
        <f>IF(E573="","",MAX(0,IF(G573="",TODAY(),G573)-L573))</f>
        <v/>
      </c>
    </row>
    <row r="574">
      <c r="E574" s="22" t="n"/>
      <c r="G574" s="22" t="n"/>
      <c r="I574" s="22" t="n"/>
      <c r="L574" s="20">
        <f>IF(E574="","",E574+IF(F574="",IFERROR(VLOOKUP(C574,Parametros!$E:$F,2,0),0),F574))</f>
        <v/>
      </c>
      <c r="M574" s="21">
        <f>IF(E574="","",IF(G574="",IF(TODAY()&gt;L574,"Atrasada","Em aberto"),IF(G574&lt;=L574,"No prazo","Com atraso")))</f>
        <v/>
      </c>
      <c r="N574" s="18">
        <f>IF(E574="","",MAX(0,IF(G574="",TODAY(),G574)-L574))</f>
        <v/>
      </c>
    </row>
    <row r="575">
      <c r="E575" s="22" t="n"/>
      <c r="G575" s="22" t="n"/>
      <c r="I575" s="22" t="n"/>
      <c r="L575" s="20">
        <f>IF(E575="","",E575+IF(F575="",IFERROR(VLOOKUP(C575,Parametros!$E:$F,2,0),0),F575))</f>
        <v/>
      </c>
      <c r="M575" s="21">
        <f>IF(E575="","",IF(G575="",IF(TODAY()&gt;L575,"Atrasada","Em aberto"),IF(G575&lt;=L575,"No prazo","Com atraso")))</f>
        <v/>
      </c>
      <c r="N575" s="18">
        <f>IF(E575="","",MAX(0,IF(G575="",TODAY(),G575)-L575))</f>
        <v/>
      </c>
    </row>
    <row r="576">
      <c r="E576" s="22" t="n"/>
      <c r="G576" s="22" t="n"/>
      <c r="I576" s="22" t="n"/>
      <c r="L576" s="20">
        <f>IF(E576="","",E576+IF(F576="",IFERROR(VLOOKUP(C576,Parametros!$E:$F,2,0),0),F576))</f>
        <v/>
      </c>
      <c r="M576" s="21">
        <f>IF(E576="","",IF(G576="",IF(TODAY()&gt;L576,"Atrasada","Em aberto"),IF(G576&lt;=L576,"No prazo","Com atraso")))</f>
        <v/>
      </c>
      <c r="N576" s="18">
        <f>IF(E576="","",MAX(0,IF(G576="",TODAY(),G576)-L576))</f>
        <v/>
      </c>
    </row>
    <row r="577">
      <c r="E577" s="22" t="n"/>
      <c r="G577" s="22" t="n"/>
      <c r="I577" s="22" t="n"/>
      <c r="L577" s="20">
        <f>IF(E577="","",E577+IF(F577="",IFERROR(VLOOKUP(C577,Parametros!$E:$F,2,0),0),F577))</f>
        <v/>
      </c>
      <c r="M577" s="21">
        <f>IF(E577="","",IF(G577="",IF(TODAY()&gt;L577,"Atrasada","Em aberto"),IF(G577&lt;=L577,"No prazo","Com atraso")))</f>
        <v/>
      </c>
      <c r="N577" s="18">
        <f>IF(E577="","",MAX(0,IF(G577="",TODAY(),G577)-L577))</f>
        <v/>
      </c>
    </row>
    <row r="578">
      <c r="E578" s="22" t="n"/>
      <c r="G578" s="22" t="n"/>
      <c r="I578" s="22" t="n"/>
      <c r="L578" s="20">
        <f>IF(E578="","",E578+IF(F578="",IFERROR(VLOOKUP(C578,Parametros!$E:$F,2,0),0),F578))</f>
        <v/>
      </c>
      <c r="M578" s="21">
        <f>IF(E578="","",IF(G578="",IF(TODAY()&gt;L578,"Atrasada","Em aberto"),IF(G578&lt;=L578,"No prazo","Com atraso")))</f>
        <v/>
      </c>
      <c r="N578" s="18">
        <f>IF(E578="","",MAX(0,IF(G578="",TODAY(),G578)-L578))</f>
        <v/>
      </c>
    </row>
    <row r="579">
      <c r="E579" s="22" t="n"/>
      <c r="G579" s="22" t="n"/>
      <c r="I579" s="22" t="n"/>
      <c r="L579" s="20">
        <f>IF(E579="","",E579+IF(F579="",IFERROR(VLOOKUP(C579,Parametros!$E:$F,2,0),0),F579))</f>
        <v/>
      </c>
      <c r="M579" s="21">
        <f>IF(E579="","",IF(G579="",IF(TODAY()&gt;L579,"Atrasada","Em aberto"),IF(G579&lt;=L579,"No prazo","Com atraso")))</f>
        <v/>
      </c>
      <c r="N579" s="18">
        <f>IF(E579="","",MAX(0,IF(G579="",TODAY(),G579)-L579))</f>
        <v/>
      </c>
    </row>
    <row r="580">
      <c r="E580" s="22" t="n"/>
      <c r="G580" s="22" t="n"/>
      <c r="I580" s="22" t="n"/>
      <c r="L580" s="20">
        <f>IF(E580="","",E580+IF(F580="",IFERROR(VLOOKUP(C580,Parametros!$E:$F,2,0),0),F580))</f>
        <v/>
      </c>
      <c r="M580" s="21">
        <f>IF(E580="","",IF(G580="",IF(TODAY()&gt;L580,"Atrasada","Em aberto"),IF(G580&lt;=L580,"No prazo","Com atraso")))</f>
        <v/>
      </c>
      <c r="N580" s="18">
        <f>IF(E580="","",MAX(0,IF(G580="",TODAY(),G580)-L580))</f>
        <v/>
      </c>
    </row>
    <row r="581">
      <c r="E581" s="22" t="n"/>
      <c r="G581" s="22" t="n"/>
      <c r="I581" s="22" t="n"/>
      <c r="L581" s="20">
        <f>IF(E581="","",E581+IF(F581="",IFERROR(VLOOKUP(C581,Parametros!$E:$F,2,0),0),F581))</f>
        <v/>
      </c>
      <c r="M581" s="21">
        <f>IF(E581="","",IF(G581="",IF(TODAY()&gt;L581,"Atrasada","Em aberto"),IF(G581&lt;=L581,"No prazo","Com atraso")))</f>
        <v/>
      </c>
      <c r="N581" s="18">
        <f>IF(E581="","",MAX(0,IF(G581="",TODAY(),G581)-L581))</f>
        <v/>
      </c>
    </row>
    <row r="582">
      <c r="E582" s="22" t="n"/>
      <c r="G582" s="22" t="n"/>
      <c r="I582" s="22" t="n"/>
      <c r="L582" s="20">
        <f>IF(E582="","",E582+IF(F582="",IFERROR(VLOOKUP(C582,Parametros!$E:$F,2,0),0),F582))</f>
        <v/>
      </c>
      <c r="M582" s="21">
        <f>IF(E582="","",IF(G582="",IF(TODAY()&gt;L582,"Atrasada","Em aberto"),IF(G582&lt;=L582,"No prazo","Com atraso")))</f>
        <v/>
      </c>
      <c r="N582" s="18">
        <f>IF(E582="","",MAX(0,IF(G582="",TODAY(),G582)-L582))</f>
        <v/>
      </c>
    </row>
    <row r="583">
      <c r="E583" s="22" t="n"/>
      <c r="G583" s="22" t="n"/>
      <c r="I583" s="22" t="n"/>
      <c r="L583" s="20">
        <f>IF(E583="","",E583+IF(F583="",IFERROR(VLOOKUP(C583,Parametros!$E:$F,2,0),0),F583))</f>
        <v/>
      </c>
      <c r="M583" s="21">
        <f>IF(E583="","",IF(G583="",IF(TODAY()&gt;L583,"Atrasada","Em aberto"),IF(G583&lt;=L583,"No prazo","Com atraso")))</f>
        <v/>
      </c>
      <c r="N583" s="18">
        <f>IF(E583="","",MAX(0,IF(G583="",TODAY(),G583)-L583))</f>
        <v/>
      </c>
    </row>
    <row r="584">
      <c r="E584" s="22" t="n"/>
      <c r="G584" s="22" t="n"/>
      <c r="I584" s="22" t="n"/>
      <c r="L584" s="20">
        <f>IF(E584="","",E584+IF(F584="",IFERROR(VLOOKUP(C584,Parametros!$E:$F,2,0),0),F584))</f>
        <v/>
      </c>
      <c r="M584" s="21">
        <f>IF(E584="","",IF(G584="",IF(TODAY()&gt;L584,"Atrasada","Em aberto"),IF(G584&lt;=L584,"No prazo","Com atraso")))</f>
        <v/>
      </c>
      <c r="N584" s="18">
        <f>IF(E584="","",MAX(0,IF(G584="",TODAY(),G584)-L584))</f>
        <v/>
      </c>
    </row>
    <row r="585">
      <c r="E585" s="22" t="n"/>
      <c r="G585" s="22" t="n"/>
      <c r="I585" s="22" t="n"/>
      <c r="L585" s="20">
        <f>IF(E585="","",E585+IF(F585="",IFERROR(VLOOKUP(C585,Parametros!$E:$F,2,0),0),F585))</f>
        <v/>
      </c>
      <c r="M585" s="21">
        <f>IF(E585="","",IF(G585="",IF(TODAY()&gt;L585,"Atrasada","Em aberto"),IF(G585&lt;=L585,"No prazo","Com atraso")))</f>
        <v/>
      </c>
      <c r="N585" s="18">
        <f>IF(E585="","",MAX(0,IF(G585="",TODAY(),G585)-L585))</f>
        <v/>
      </c>
    </row>
    <row r="586">
      <c r="E586" s="22" t="n"/>
      <c r="G586" s="22" t="n"/>
      <c r="I586" s="22" t="n"/>
      <c r="L586" s="20">
        <f>IF(E586="","",E586+IF(F586="",IFERROR(VLOOKUP(C586,Parametros!$E:$F,2,0),0),F586))</f>
        <v/>
      </c>
      <c r="M586" s="21">
        <f>IF(E586="","",IF(G586="",IF(TODAY()&gt;L586,"Atrasada","Em aberto"),IF(G586&lt;=L586,"No prazo","Com atraso")))</f>
        <v/>
      </c>
      <c r="N586" s="18">
        <f>IF(E586="","",MAX(0,IF(G586="",TODAY(),G586)-L586))</f>
        <v/>
      </c>
    </row>
    <row r="587">
      <c r="E587" s="22" t="n"/>
      <c r="G587" s="22" t="n"/>
      <c r="I587" s="22" t="n"/>
      <c r="L587" s="20">
        <f>IF(E587="","",E587+IF(F587="",IFERROR(VLOOKUP(C587,Parametros!$E:$F,2,0),0),F587))</f>
        <v/>
      </c>
      <c r="M587" s="21">
        <f>IF(E587="","",IF(G587="",IF(TODAY()&gt;L587,"Atrasada","Em aberto"),IF(G587&lt;=L587,"No prazo","Com atraso")))</f>
        <v/>
      </c>
      <c r="N587" s="18">
        <f>IF(E587="","",MAX(0,IF(G587="",TODAY(),G587)-L587))</f>
        <v/>
      </c>
    </row>
    <row r="588">
      <c r="E588" s="22" t="n"/>
      <c r="G588" s="22" t="n"/>
      <c r="I588" s="22" t="n"/>
      <c r="L588" s="20">
        <f>IF(E588="","",E588+IF(F588="",IFERROR(VLOOKUP(C588,Parametros!$E:$F,2,0),0),F588))</f>
        <v/>
      </c>
      <c r="M588" s="21">
        <f>IF(E588="","",IF(G588="",IF(TODAY()&gt;L588,"Atrasada","Em aberto"),IF(G588&lt;=L588,"No prazo","Com atraso")))</f>
        <v/>
      </c>
      <c r="N588" s="18">
        <f>IF(E588="","",MAX(0,IF(G588="",TODAY(),G588)-L588))</f>
        <v/>
      </c>
    </row>
    <row r="589">
      <c r="E589" s="22" t="n"/>
      <c r="G589" s="22" t="n"/>
      <c r="I589" s="22" t="n"/>
      <c r="L589" s="20">
        <f>IF(E589="","",E589+IF(F589="",IFERROR(VLOOKUP(C589,Parametros!$E:$F,2,0),0),F589))</f>
        <v/>
      </c>
      <c r="M589" s="21">
        <f>IF(E589="","",IF(G589="",IF(TODAY()&gt;L589,"Atrasada","Em aberto"),IF(G589&lt;=L589,"No prazo","Com atraso")))</f>
        <v/>
      </c>
      <c r="N589" s="18">
        <f>IF(E589="","",MAX(0,IF(G589="",TODAY(),G589)-L589))</f>
        <v/>
      </c>
    </row>
    <row r="590">
      <c r="E590" s="22" t="n"/>
      <c r="G590" s="22" t="n"/>
      <c r="I590" s="22" t="n"/>
      <c r="L590" s="20">
        <f>IF(E590="","",E590+IF(F590="",IFERROR(VLOOKUP(C590,Parametros!$E:$F,2,0),0),F590))</f>
        <v/>
      </c>
      <c r="M590" s="21">
        <f>IF(E590="","",IF(G590="",IF(TODAY()&gt;L590,"Atrasada","Em aberto"),IF(G590&lt;=L590,"No prazo","Com atraso")))</f>
        <v/>
      </c>
      <c r="N590" s="18">
        <f>IF(E590="","",MAX(0,IF(G590="",TODAY(),G590)-L590))</f>
        <v/>
      </c>
    </row>
    <row r="591">
      <c r="E591" s="22" t="n"/>
      <c r="G591" s="22" t="n"/>
      <c r="I591" s="22" t="n"/>
      <c r="L591" s="20">
        <f>IF(E591="","",E591+IF(F591="",IFERROR(VLOOKUP(C591,Parametros!$E:$F,2,0),0),F591))</f>
        <v/>
      </c>
      <c r="M591" s="21">
        <f>IF(E591="","",IF(G591="",IF(TODAY()&gt;L591,"Atrasada","Em aberto"),IF(G591&lt;=L591,"No prazo","Com atraso")))</f>
        <v/>
      </c>
      <c r="N591" s="18">
        <f>IF(E591="","",MAX(0,IF(G591="",TODAY(),G591)-L591))</f>
        <v/>
      </c>
    </row>
    <row r="592">
      <c r="E592" s="22" t="n"/>
      <c r="G592" s="22" t="n"/>
      <c r="I592" s="22" t="n"/>
      <c r="L592" s="20">
        <f>IF(E592="","",E592+IF(F592="",IFERROR(VLOOKUP(C592,Parametros!$E:$F,2,0),0),F592))</f>
        <v/>
      </c>
      <c r="M592" s="21">
        <f>IF(E592="","",IF(G592="",IF(TODAY()&gt;L592,"Atrasada","Em aberto"),IF(G592&lt;=L592,"No prazo","Com atraso")))</f>
        <v/>
      </c>
      <c r="N592" s="18">
        <f>IF(E592="","",MAX(0,IF(G592="",TODAY(),G592)-L592))</f>
        <v/>
      </c>
    </row>
    <row r="593">
      <c r="E593" s="22" t="n"/>
      <c r="G593" s="22" t="n"/>
      <c r="I593" s="22" t="n"/>
      <c r="L593" s="20">
        <f>IF(E593="","",E593+IF(F593="",IFERROR(VLOOKUP(C593,Parametros!$E:$F,2,0),0),F593))</f>
        <v/>
      </c>
      <c r="M593" s="21">
        <f>IF(E593="","",IF(G593="",IF(TODAY()&gt;L593,"Atrasada","Em aberto"),IF(G593&lt;=L593,"No prazo","Com atraso")))</f>
        <v/>
      </c>
      <c r="N593" s="18">
        <f>IF(E593="","",MAX(0,IF(G593="",TODAY(),G593)-L593))</f>
        <v/>
      </c>
    </row>
    <row r="594">
      <c r="E594" s="22" t="n"/>
      <c r="G594" s="22" t="n"/>
      <c r="I594" s="22" t="n"/>
      <c r="L594" s="20">
        <f>IF(E594="","",E594+IF(F594="",IFERROR(VLOOKUP(C594,Parametros!$E:$F,2,0),0),F594))</f>
        <v/>
      </c>
      <c r="M594" s="21">
        <f>IF(E594="","",IF(G594="",IF(TODAY()&gt;L594,"Atrasada","Em aberto"),IF(G594&lt;=L594,"No prazo","Com atraso")))</f>
        <v/>
      </c>
      <c r="N594" s="18">
        <f>IF(E594="","",MAX(0,IF(G594="",TODAY(),G594)-L594))</f>
        <v/>
      </c>
    </row>
    <row r="595">
      <c r="E595" s="22" t="n"/>
      <c r="G595" s="22" t="n"/>
      <c r="I595" s="22" t="n"/>
      <c r="L595" s="20">
        <f>IF(E595="","",E595+IF(F595="",IFERROR(VLOOKUP(C595,Parametros!$E:$F,2,0),0),F595))</f>
        <v/>
      </c>
      <c r="M595" s="21">
        <f>IF(E595="","",IF(G595="",IF(TODAY()&gt;L595,"Atrasada","Em aberto"),IF(G595&lt;=L595,"No prazo","Com atraso")))</f>
        <v/>
      </c>
      <c r="N595" s="18">
        <f>IF(E595="","",MAX(0,IF(G595="",TODAY(),G595)-L595))</f>
        <v/>
      </c>
    </row>
    <row r="596">
      <c r="E596" s="22" t="n"/>
      <c r="G596" s="22" t="n"/>
      <c r="I596" s="22" t="n"/>
      <c r="L596" s="20">
        <f>IF(E596="","",E596+IF(F596="",IFERROR(VLOOKUP(C596,Parametros!$E:$F,2,0),0),F596))</f>
        <v/>
      </c>
      <c r="M596" s="21">
        <f>IF(E596="","",IF(G596="",IF(TODAY()&gt;L596,"Atrasada","Em aberto"),IF(G596&lt;=L596,"No prazo","Com atraso")))</f>
        <v/>
      </c>
      <c r="N596" s="18">
        <f>IF(E596="","",MAX(0,IF(G596="",TODAY(),G596)-L596))</f>
        <v/>
      </c>
    </row>
    <row r="597">
      <c r="E597" s="22" t="n"/>
      <c r="G597" s="22" t="n"/>
      <c r="I597" s="22" t="n"/>
      <c r="L597" s="20">
        <f>IF(E597="","",E597+IF(F597="",IFERROR(VLOOKUP(C597,Parametros!$E:$F,2,0),0),F597))</f>
        <v/>
      </c>
      <c r="M597" s="21">
        <f>IF(E597="","",IF(G597="",IF(TODAY()&gt;L597,"Atrasada","Em aberto"),IF(G597&lt;=L597,"No prazo","Com atraso")))</f>
        <v/>
      </c>
      <c r="N597" s="18">
        <f>IF(E597="","",MAX(0,IF(G597="",TODAY(),G597)-L597))</f>
        <v/>
      </c>
    </row>
    <row r="598">
      <c r="E598" s="22" t="n"/>
      <c r="G598" s="22" t="n"/>
      <c r="I598" s="22" t="n"/>
      <c r="L598" s="20">
        <f>IF(E598="","",E598+IF(F598="",IFERROR(VLOOKUP(C598,Parametros!$E:$F,2,0),0),F598))</f>
        <v/>
      </c>
      <c r="M598" s="21">
        <f>IF(E598="","",IF(G598="",IF(TODAY()&gt;L598,"Atrasada","Em aberto"),IF(G598&lt;=L598,"No prazo","Com atraso")))</f>
        <v/>
      </c>
      <c r="N598" s="18">
        <f>IF(E598="","",MAX(0,IF(G598="",TODAY(),G598)-L598))</f>
        <v/>
      </c>
    </row>
    <row r="599">
      <c r="E599" s="22" t="n"/>
      <c r="G599" s="22" t="n"/>
      <c r="I599" s="22" t="n"/>
      <c r="L599" s="20">
        <f>IF(E599="","",E599+IF(F599="",IFERROR(VLOOKUP(C599,Parametros!$E:$F,2,0),0),F599))</f>
        <v/>
      </c>
      <c r="M599" s="21">
        <f>IF(E599="","",IF(G599="",IF(TODAY()&gt;L599,"Atrasada","Em aberto"),IF(G599&lt;=L599,"No prazo","Com atraso")))</f>
        <v/>
      </c>
      <c r="N599" s="18">
        <f>IF(E599="","",MAX(0,IF(G599="",TODAY(),G599)-L599))</f>
        <v/>
      </c>
    </row>
    <row r="600">
      <c r="E600" s="22" t="n"/>
      <c r="G600" s="22" t="n"/>
      <c r="I600" s="22" t="n"/>
      <c r="L600" s="20">
        <f>IF(E600="","",E600+IF(F600="",IFERROR(VLOOKUP(C600,Parametros!$E:$F,2,0),0),F600))</f>
        <v/>
      </c>
      <c r="M600" s="21">
        <f>IF(E600="","",IF(G600="",IF(TODAY()&gt;L600,"Atrasada","Em aberto"),IF(G600&lt;=L600,"No prazo","Com atraso")))</f>
        <v/>
      </c>
      <c r="N600" s="18">
        <f>IF(E600="","",MAX(0,IF(G600="",TODAY(),G600)-L600))</f>
        <v/>
      </c>
    </row>
    <row r="601">
      <c r="E601" s="22" t="n"/>
      <c r="G601" s="22" t="n"/>
      <c r="I601" s="22" t="n"/>
      <c r="L601" s="20">
        <f>IF(E601="","",E601+IF(F601="",IFERROR(VLOOKUP(C601,Parametros!$E:$F,2,0),0),F601))</f>
        <v/>
      </c>
      <c r="M601" s="21">
        <f>IF(E601="","",IF(G601="",IF(TODAY()&gt;L601,"Atrasada","Em aberto"),IF(G601&lt;=L601,"No prazo","Com atraso")))</f>
        <v/>
      </c>
      <c r="N601" s="18">
        <f>IF(E601="","",MAX(0,IF(G601="",TODAY(),G601)-L601))</f>
        <v/>
      </c>
    </row>
    <row r="602">
      <c r="E602" s="22" t="n"/>
      <c r="G602" s="22" t="n"/>
      <c r="I602" s="22" t="n"/>
      <c r="L602" s="20">
        <f>IF(E602="","",E602+IF(F602="",IFERROR(VLOOKUP(C602,Parametros!$E:$F,2,0),0),F602))</f>
        <v/>
      </c>
      <c r="M602" s="21">
        <f>IF(E602="","",IF(G602="",IF(TODAY()&gt;L602,"Atrasada","Em aberto"),IF(G602&lt;=L602,"No prazo","Com atraso")))</f>
        <v/>
      </c>
      <c r="N602" s="18">
        <f>IF(E602="","",MAX(0,IF(G602="",TODAY(),G602)-L602))</f>
        <v/>
      </c>
    </row>
    <row r="603">
      <c r="E603" s="22" t="n"/>
      <c r="G603" s="22" t="n"/>
      <c r="I603" s="22" t="n"/>
      <c r="L603" s="20">
        <f>IF(E603="","",E603+IF(F603="",IFERROR(VLOOKUP(C603,Parametros!$E:$F,2,0),0),F603))</f>
        <v/>
      </c>
      <c r="M603" s="21">
        <f>IF(E603="","",IF(G603="",IF(TODAY()&gt;L603,"Atrasada","Em aberto"),IF(G603&lt;=L603,"No prazo","Com atraso")))</f>
        <v/>
      </c>
      <c r="N603" s="18">
        <f>IF(E603="","",MAX(0,IF(G603="",TODAY(),G603)-L603))</f>
        <v/>
      </c>
    </row>
    <row r="604">
      <c r="E604" s="22" t="n"/>
      <c r="G604" s="22" t="n"/>
      <c r="I604" s="22" t="n"/>
      <c r="L604" s="20">
        <f>IF(E604="","",E604+IF(F604="",IFERROR(VLOOKUP(C604,Parametros!$E:$F,2,0),0),F604))</f>
        <v/>
      </c>
      <c r="M604" s="21">
        <f>IF(E604="","",IF(G604="",IF(TODAY()&gt;L604,"Atrasada","Em aberto"),IF(G604&lt;=L604,"No prazo","Com atraso")))</f>
        <v/>
      </c>
      <c r="N604" s="18">
        <f>IF(E604="","",MAX(0,IF(G604="",TODAY(),G604)-L604))</f>
        <v/>
      </c>
    </row>
    <row r="605">
      <c r="E605" s="22" t="n"/>
      <c r="G605" s="22" t="n"/>
      <c r="I605" s="22" t="n"/>
      <c r="L605" s="20">
        <f>IF(E605="","",E605+IF(F605="",IFERROR(VLOOKUP(C605,Parametros!$E:$F,2,0),0),F605))</f>
        <v/>
      </c>
      <c r="M605" s="21">
        <f>IF(E605="","",IF(G605="",IF(TODAY()&gt;L605,"Atrasada","Em aberto"),IF(G605&lt;=L605,"No prazo","Com atraso")))</f>
        <v/>
      </c>
      <c r="N605" s="18">
        <f>IF(E605="","",MAX(0,IF(G605="",TODAY(),G605)-L605))</f>
        <v/>
      </c>
    </row>
    <row r="606">
      <c r="E606" s="22" t="n"/>
      <c r="G606" s="22" t="n"/>
      <c r="I606" s="22" t="n"/>
      <c r="L606" s="20">
        <f>IF(E606="","",E606+IF(F606="",IFERROR(VLOOKUP(C606,Parametros!$E:$F,2,0),0),F606))</f>
        <v/>
      </c>
      <c r="M606" s="21">
        <f>IF(E606="","",IF(G606="",IF(TODAY()&gt;L606,"Atrasada","Em aberto"),IF(G606&lt;=L606,"No prazo","Com atraso")))</f>
        <v/>
      </c>
      <c r="N606" s="18">
        <f>IF(E606="","",MAX(0,IF(G606="",TODAY(),G606)-L606))</f>
        <v/>
      </c>
    </row>
    <row r="607">
      <c r="E607" s="22" t="n"/>
      <c r="G607" s="22" t="n"/>
      <c r="I607" s="22" t="n"/>
      <c r="L607" s="20">
        <f>IF(E607="","",E607+IF(F607="",IFERROR(VLOOKUP(C607,Parametros!$E:$F,2,0),0),F607))</f>
        <v/>
      </c>
      <c r="M607" s="21">
        <f>IF(E607="","",IF(G607="",IF(TODAY()&gt;L607,"Atrasada","Em aberto"),IF(G607&lt;=L607,"No prazo","Com atraso")))</f>
        <v/>
      </c>
      <c r="N607" s="18">
        <f>IF(E607="","",MAX(0,IF(G607="",TODAY(),G607)-L607))</f>
        <v/>
      </c>
    </row>
    <row r="608">
      <c r="E608" s="22" t="n"/>
      <c r="G608" s="22" t="n"/>
      <c r="I608" s="22" t="n"/>
      <c r="L608" s="20">
        <f>IF(E608="","",E608+IF(F608="",IFERROR(VLOOKUP(C608,Parametros!$E:$F,2,0),0),F608))</f>
        <v/>
      </c>
      <c r="M608" s="21">
        <f>IF(E608="","",IF(G608="",IF(TODAY()&gt;L608,"Atrasada","Em aberto"),IF(G608&lt;=L608,"No prazo","Com atraso")))</f>
        <v/>
      </c>
      <c r="N608" s="18">
        <f>IF(E608="","",MAX(0,IF(G608="",TODAY(),G608)-L608))</f>
        <v/>
      </c>
    </row>
    <row r="609">
      <c r="E609" s="22" t="n"/>
      <c r="G609" s="22" t="n"/>
      <c r="I609" s="22" t="n"/>
      <c r="L609" s="20">
        <f>IF(E609="","",E609+IF(F609="",IFERROR(VLOOKUP(C609,Parametros!$E:$F,2,0),0),F609))</f>
        <v/>
      </c>
      <c r="M609" s="21">
        <f>IF(E609="","",IF(G609="",IF(TODAY()&gt;L609,"Atrasada","Em aberto"),IF(G609&lt;=L609,"No prazo","Com atraso")))</f>
        <v/>
      </c>
      <c r="N609" s="18">
        <f>IF(E609="","",MAX(0,IF(G609="",TODAY(),G609)-L609))</f>
        <v/>
      </c>
    </row>
    <row r="610">
      <c r="E610" s="22" t="n"/>
      <c r="G610" s="22" t="n"/>
      <c r="I610" s="22" t="n"/>
      <c r="L610" s="20">
        <f>IF(E610="","",E610+IF(F610="",IFERROR(VLOOKUP(C610,Parametros!$E:$F,2,0),0),F610))</f>
        <v/>
      </c>
      <c r="M610" s="21">
        <f>IF(E610="","",IF(G610="",IF(TODAY()&gt;L610,"Atrasada","Em aberto"),IF(G610&lt;=L610,"No prazo","Com atraso")))</f>
        <v/>
      </c>
      <c r="N610" s="18">
        <f>IF(E610="","",MAX(0,IF(G610="",TODAY(),G610)-L610))</f>
        <v/>
      </c>
    </row>
    <row r="611">
      <c r="E611" s="22" t="n"/>
      <c r="G611" s="22" t="n"/>
      <c r="I611" s="22" t="n"/>
      <c r="L611" s="20">
        <f>IF(E611="","",E611+IF(F611="",IFERROR(VLOOKUP(C611,Parametros!$E:$F,2,0),0),F611))</f>
        <v/>
      </c>
      <c r="M611" s="21">
        <f>IF(E611="","",IF(G611="",IF(TODAY()&gt;L611,"Atrasada","Em aberto"),IF(G611&lt;=L611,"No prazo","Com atraso")))</f>
        <v/>
      </c>
      <c r="N611" s="18">
        <f>IF(E611="","",MAX(0,IF(G611="",TODAY(),G611)-L611))</f>
        <v/>
      </c>
    </row>
    <row r="612">
      <c r="E612" s="22" t="n"/>
      <c r="G612" s="22" t="n"/>
      <c r="I612" s="22" t="n"/>
      <c r="L612" s="20">
        <f>IF(E612="","",E612+IF(F612="",IFERROR(VLOOKUP(C612,Parametros!$E:$F,2,0),0),F612))</f>
        <v/>
      </c>
      <c r="M612" s="21">
        <f>IF(E612="","",IF(G612="",IF(TODAY()&gt;L612,"Atrasada","Em aberto"),IF(G612&lt;=L612,"No prazo","Com atraso")))</f>
        <v/>
      </c>
      <c r="N612" s="18">
        <f>IF(E612="","",MAX(0,IF(G612="",TODAY(),G612)-L612))</f>
        <v/>
      </c>
    </row>
    <row r="613">
      <c r="E613" s="22" t="n"/>
      <c r="G613" s="22" t="n"/>
      <c r="I613" s="22" t="n"/>
      <c r="L613" s="20">
        <f>IF(E613="","",E613+IF(F613="",IFERROR(VLOOKUP(C613,Parametros!$E:$F,2,0),0),F613))</f>
        <v/>
      </c>
      <c r="M613" s="21">
        <f>IF(E613="","",IF(G613="",IF(TODAY()&gt;L613,"Atrasada","Em aberto"),IF(G613&lt;=L613,"No prazo","Com atraso")))</f>
        <v/>
      </c>
      <c r="N613" s="18">
        <f>IF(E613="","",MAX(0,IF(G613="",TODAY(),G613)-L613))</f>
        <v/>
      </c>
    </row>
    <row r="614">
      <c r="E614" s="22" t="n"/>
      <c r="G614" s="22" t="n"/>
      <c r="I614" s="22" t="n"/>
      <c r="L614" s="20">
        <f>IF(E614="","",E614+IF(F614="",IFERROR(VLOOKUP(C614,Parametros!$E:$F,2,0),0),F614))</f>
        <v/>
      </c>
      <c r="M614" s="21">
        <f>IF(E614="","",IF(G614="",IF(TODAY()&gt;L614,"Atrasada","Em aberto"),IF(G614&lt;=L614,"No prazo","Com atraso")))</f>
        <v/>
      </c>
      <c r="N614" s="18">
        <f>IF(E614="","",MAX(0,IF(G614="",TODAY(),G614)-L614))</f>
        <v/>
      </c>
    </row>
    <row r="615">
      <c r="E615" s="22" t="n"/>
      <c r="G615" s="22" t="n"/>
      <c r="I615" s="22" t="n"/>
      <c r="L615" s="20">
        <f>IF(E615="","",E615+IF(F615="",IFERROR(VLOOKUP(C615,Parametros!$E:$F,2,0),0),F615))</f>
        <v/>
      </c>
      <c r="M615" s="21">
        <f>IF(E615="","",IF(G615="",IF(TODAY()&gt;L615,"Atrasada","Em aberto"),IF(G615&lt;=L615,"No prazo","Com atraso")))</f>
        <v/>
      </c>
      <c r="N615" s="18">
        <f>IF(E615="","",MAX(0,IF(G615="",TODAY(),G615)-L615))</f>
        <v/>
      </c>
    </row>
    <row r="616">
      <c r="E616" s="22" t="n"/>
      <c r="G616" s="22" t="n"/>
      <c r="I616" s="22" t="n"/>
      <c r="L616" s="20">
        <f>IF(E616="","",E616+IF(F616="",IFERROR(VLOOKUP(C616,Parametros!$E:$F,2,0),0),F616))</f>
        <v/>
      </c>
      <c r="M616" s="21">
        <f>IF(E616="","",IF(G616="",IF(TODAY()&gt;L616,"Atrasada","Em aberto"),IF(G616&lt;=L616,"No prazo","Com atraso")))</f>
        <v/>
      </c>
      <c r="N616" s="18">
        <f>IF(E616="","",MAX(0,IF(G616="",TODAY(),G616)-L616))</f>
        <v/>
      </c>
    </row>
    <row r="617">
      <c r="E617" s="22" t="n"/>
      <c r="G617" s="22" t="n"/>
      <c r="I617" s="22" t="n"/>
      <c r="L617" s="20">
        <f>IF(E617="","",E617+IF(F617="",IFERROR(VLOOKUP(C617,Parametros!$E:$F,2,0),0),F617))</f>
        <v/>
      </c>
      <c r="M617" s="21">
        <f>IF(E617="","",IF(G617="",IF(TODAY()&gt;L617,"Atrasada","Em aberto"),IF(G617&lt;=L617,"No prazo","Com atraso")))</f>
        <v/>
      </c>
      <c r="N617" s="18">
        <f>IF(E617="","",MAX(0,IF(G617="",TODAY(),G617)-L617))</f>
        <v/>
      </c>
    </row>
    <row r="618">
      <c r="E618" s="22" t="n"/>
      <c r="G618" s="22" t="n"/>
      <c r="I618" s="22" t="n"/>
      <c r="L618" s="20">
        <f>IF(E618="","",E618+IF(F618="",IFERROR(VLOOKUP(C618,Parametros!$E:$F,2,0),0),F618))</f>
        <v/>
      </c>
      <c r="M618" s="21">
        <f>IF(E618="","",IF(G618="",IF(TODAY()&gt;L618,"Atrasada","Em aberto"),IF(G618&lt;=L618,"No prazo","Com atraso")))</f>
        <v/>
      </c>
      <c r="N618" s="18">
        <f>IF(E618="","",MAX(0,IF(G618="",TODAY(),G618)-L618))</f>
        <v/>
      </c>
    </row>
    <row r="619">
      <c r="E619" s="22" t="n"/>
      <c r="G619" s="22" t="n"/>
      <c r="I619" s="22" t="n"/>
      <c r="L619" s="20">
        <f>IF(E619="","",E619+IF(F619="",IFERROR(VLOOKUP(C619,Parametros!$E:$F,2,0),0),F619))</f>
        <v/>
      </c>
      <c r="M619" s="21">
        <f>IF(E619="","",IF(G619="",IF(TODAY()&gt;L619,"Atrasada","Em aberto"),IF(G619&lt;=L619,"No prazo","Com atraso")))</f>
        <v/>
      </c>
      <c r="N619" s="18">
        <f>IF(E619="","",MAX(0,IF(G619="",TODAY(),G619)-L619))</f>
        <v/>
      </c>
    </row>
    <row r="620">
      <c r="E620" s="22" t="n"/>
      <c r="G620" s="22" t="n"/>
      <c r="I620" s="22" t="n"/>
      <c r="L620" s="20">
        <f>IF(E620="","",E620+IF(F620="",IFERROR(VLOOKUP(C620,Parametros!$E:$F,2,0),0),F620))</f>
        <v/>
      </c>
      <c r="M620" s="21">
        <f>IF(E620="","",IF(G620="",IF(TODAY()&gt;L620,"Atrasada","Em aberto"),IF(G620&lt;=L620,"No prazo","Com atraso")))</f>
        <v/>
      </c>
      <c r="N620" s="18">
        <f>IF(E620="","",MAX(0,IF(G620="",TODAY(),G620)-L620))</f>
        <v/>
      </c>
    </row>
    <row r="621">
      <c r="E621" s="22" t="n"/>
      <c r="G621" s="22" t="n"/>
      <c r="I621" s="22" t="n"/>
      <c r="L621" s="20">
        <f>IF(E621="","",E621+IF(F621="",IFERROR(VLOOKUP(C621,Parametros!$E:$F,2,0),0),F621))</f>
        <v/>
      </c>
      <c r="M621" s="21">
        <f>IF(E621="","",IF(G621="",IF(TODAY()&gt;L621,"Atrasada","Em aberto"),IF(G621&lt;=L621,"No prazo","Com atraso")))</f>
        <v/>
      </c>
      <c r="N621" s="18">
        <f>IF(E621="","",MAX(0,IF(G621="",TODAY(),G621)-L621))</f>
        <v/>
      </c>
    </row>
    <row r="622">
      <c r="E622" s="22" t="n"/>
      <c r="G622" s="22" t="n"/>
      <c r="I622" s="22" t="n"/>
      <c r="L622" s="20">
        <f>IF(E622="","",E622+IF(F622="",IFERROR(VLOOKUP(C622,Parametros!$E:$F,2,0),0),F622))</f>
        <v/>
      </c>
      <c r="M622" s="21">
        <f>IF(E622="","",IF(G622="",IF(TODAY()&gt;L622,"Atrasada","Em aberto"),IF(G622&lt;=L622,"No prazo","Com atraso")))</f>
        <v/>
      </c>
      <c r="N622" s="18">
        <f>IF(E622="","",MAX(0,IF(G622="",TODAY(),G622)-L622))</f>
        <v/>
      </c>
    </row>
    <row r="623">
      <c r="E623" s="22" t="n"/>
      <c r="G623" s="22" t="n"/>
      <c r="I623" s="22" t="n"/>
      <c r="L623" s="20">
        <f>IF(E623="","",E623+IF(F623="",IFERROR(VLOOKUP(C623,Parametros!$E:$F,2,0),0),F623))</f>
        <v/>
      </c>
      <c r="M623" s="21">
        <f>IF(E623="","",IF(G623="",IF(TODAY()&gt;L623,"Atrasada","Em aberto"),IF(G623&lt;=L623,"No prazo","Com atraso")))</f>
        <v/>
      </c>
      <c r="N623" s="18">
        <f>IF(E623="","",MAX(0,IF(G623="",TODAY(),G623)-L623))</f>
        <v/>
      </c>
    </row>
    <row r="624">
      <c r="E624" s="22" t="n"/>
      <c r="G624" s="22" t="n"/>
      <c r="I624" s="22" t="n"/>
      <c r="L624" s="20">
        <f>IF(E624="","",E624+IF(F624="",IFERROR(VLOOKUP(C624,Parametros!$E:$F,2,0),0),F624))</f>
        <v/>
      </c>
      <c r="M624" s="21">
        <f>IF(E624="","",IF(G624="",IF(TODAY()&gt;L624,"Atrasada","Em aberto"),IF(G624&lt;=L624,"No prazo","Com atraso")))</f>
        <v/>
      </c>
      <c r="N624" s="18">
        <f>IF(E624="","",MAX(0,IF(G624="",TODAY(),G624)-L624))</f>
        <v/>
      </c>
    </row>
    <row r="625">
      <c r="E625" s="22" t="n"/>
      <c r="G625" s="22" t="n"/>
      <c r="I625" s="22" t="n"/>
      <c r="L625" s="20">
        <f>IF(E625="","",E625+IF(F625="",IFERROR(VLOOKUP(C625,Parametros!$E:$F,2,0),0),F625))</f>
        <v/>
      </c>
      <c r="M625" s="21">
        <f>IF(E625="","",IF(G625="",IF(TODAY()&gt;L625,"Atrasada","Em aberto"),IF(G625&lt;=L625,"No prazo","Com atraso")))</f>
        <v/>
      </c>
      <c r="N625" s="18">
        <f>IF(E625="","",MAX(0,IF(G625="",TODAY(),G625)-L625))</f>
        <v/>
      </c>
    </row>
    <row r="626">
      <c r="E626" s="22" t="n"/>
      <c r="G626" s="22" t="n"/>
      <c r="I626" s="22" t="n"/>
      <c r="L626" s="20">
        <f>IF(E626="","",E626+IF(F626="",IFERROR(VLOOKUP(C626,Parametros!$E:$F,2,0),0),F626))</f>
        <v/>
      </c>
      <c r="M626" s="21">
        <f>IF(E626="","",IF(G626="",IF(TODAY()&gt;L626,"Atrasada","Em aberto"),IF(G626&lt;=L626,"No prazo","Com atraso")))</f>
        <v/>
      </c>
      <c r="N626" s="18">
        <f>IF(E626="","",MAX(0,IF(G626="",TODAY(),G626)-L626))</f>
        <v/>
      </c>
    </row>
    <row r="627">
      <c r="E627" s="22" t="n"/>
      <c r="G627" s="22" t="n"/>
      <c r="I627" s="22" t="n"/>
      <c r="L627" s="20">
        <f>IF(E627="","",E627+IF(F627="",IFERROR(VLOOKUP(C627,Parametros!$E:$F,2,0),0),F627))</f>
        <v/>
      </c>
      <c r="M627" s="21">
        <f>IF(E627="","",IF(G627="",IF(TODAY()&gt;L627,"Atrasada","Em aberto"),IF(G627&lt;=L627,"No prazo","Com atraso")))</f>
        <v/>
      </c>
      <c r="N627" s="18">
        <f>IF(E627="","",MAX(0,IF(G627="",TODAY(),G627)-L627))</f>
        <v/>
      </c>
    </row>
    <row r="628">
      <c r="E628" s="22" t="n"/>
      <c r="G628" s="22" t="n"/>
      <c r="I628" s="22" t="n"/>
      <c r="L628" s="20">
        <f>IF(E628="","",E628+IF(F628="",IFERROR(VLOOKUP(C628,Parametros!$E:$F,2,0),0),F628))</f>
        <v/>
      </c>
      <c r="M628" s="21">
        <f>IF(E628="","",IF(G628="",IF(TODAY()&gt;L628,"Atrasada","Em aberto"),IF(G628&lt;=L628,"No prazo","Com atraso")))</f>
        <v/>
      </c>
      <c r="N628" s="18">
        <f>IF(E628="","",MAX(0,IF(G628="",TODAY(),G628)-L628))</f>
        <v/>
      </c>
    </row>
    <row r="629">
      <c r="E629" s="22" t="n"/>
      <c r="G629" s="22" t="n"/>
      <c r="I629" s="22" t="n"/>
      <c r="L629" s="20">
        <f>IF(E629="","",E629+IF(F629="",IFERROR(VLOOKUP(C629,Parametros!$E:$F,2,0),0),F629))</f>
        <v/>
      </c>
      <c r="M629" s="21">
        <f>IF(E629="","",IF(G629="",IF(TODAY()&gt;L629,"Atrasada","Em aberto"),IF(G629&lt;=L629,"No prazo","Com atraso")))</f>
        <v/>
      </c>
      <c r="N629" s="18">
        <f>IF(E629="","",MAX(0,IF(G629="",TODAY(),G629)-L629))</f>
        <v/>
      </c>
    </row>
    <row r="630">
      <c r="E630" s="22" t="n"/>
      <c r="G630" s="22" t="n"/>
      <c r="I630" s="22" t="n"/>
      <c r="L630" s="20">
        <f>IF(E630="","",E630+IF(F630="",IFERROR(VLOOKUP(C630,Parametros!$E:$F,2,0),0),F630))</f>
        <v/>
      </c>
      <c r="M630" s="21">
        <f>IF(E630="","",IF(G630="",IF(TODAY()&gt;L630,"Atrasada","Em aberto"),IF(G630&lt;=L630,"No prazo","Com atraso")))</f>
        <v/>
      </c>
      <c r="N630" s="18">
        <f>IF(E630="","",MAX(0,IF(G630="",TODAY(),G630)-L630))</f>
        <v/>
      </c>
    </row>
    <row r="631">
      <c r="E631" s="22" t="n"/>
      <c r="G631" s="22" t="n"/>
      <c r="I631" s="22" t="n"/>
      <c r="L631" s="20">
        <f>IF(E631="","",E631+IF(F631="",IFERROR(VLOOKUP(C631,Parametros!$E:$F,2,0),0),F631))</f>
        <v/>
      </c>
      <c r="M631" s="21">
        <f>IF(E631="","",IF(G631="",IF(TODAY()&gt;L631,"Atrasada","Em aberto"),IF(G631&lt;=L631,"No prazo","Com atraso")))</f>
        <v/>
      </c>
      <c r="N631" s="18">
        <f>IF(E631="","",MAX(0,IF(G631="",TODAY(),G631)-L631))</f>
        <v/>
      </c>
    </row>
    <row r="632">
      <c r="E632" s="22" t="n"/>
      <c r="G632" s="22" t="n"/>
      <c r="I632" s="22" t="n"/>
      <c r="L632" s="20">
        <f>IF(E632="","",E632+IF(F632="",IFERROR(VLOOKUP(C632,Parametros!$E:$F,2,0),0),F632))</f>
        <v/>
      </c>
      <c r="M632" s="21">
        <f>IF(E632="","",IF(G632="",IF(TODAY()&gt;L632,"Atrasada","Em aberto"),IF(G632&lt;=L632,"No prazo","Com atraso")))</f>
        <v/>
      </c>
      <c r="N632" s="18">
        <f>IF(E632="","",MAX(0,IF(G632="",TODAY(),G632)-L632))</f>
        <v/>
      </c>
    </row>
    <row r="633">
      <c r="E633" s="22" t="n"/>
      <c r="G633" s="22" t="n"/>
      <c r="I633" s="22" t="n"/>
      <c r="L633" s="20">
        <f>IF(E633="","",E633+IF(F633="",IFERROR(VLOOKUP(C633,Parametros!$E:$F,2,0),0),F633))</f>
        <v/>
      </c>
      <c r="M633" s="21">
        <f>IF(E633="","",IF(G633="",IF(TODAY()&gt;L633,"Atrasada","Em aberto"),IF(G633&lt;=L633,"No prazo","Com atraso")))</f>
        <v/>
      </c>
      <c r="N633" s="18">
        <f>IF(E633="","",MAX(0,IF(G633="",TODAY(),G633)-L633))</f>
        <v/>
      </c>
    </row>
    <row r="634">
      <c r="E634" s="22" t="n"/>
      <c r="G634" s="22" t="n"/>
      <c r="I634" s="22" t="n"/>
      <c r="L634" s="20">
        <f>IF(E634="","",E634+IF(F634="",IFERROR(VLOOKUP(C634,Parametros!$E:$F,2,0),0),F634))</f>
        <v/>
      </c>
      <c r="M634" s="21">
        <f>IF(E634="","",IF(G634="",IF(TODAY()&gt;L634,"Atrasada","Em aberto"),IF(G634&lt;=L634,"No prazo","Com atraso")))</f>
        <v/>
      </c>
      <c r="N634" s="18">
        <f>IF(E634="","",MAX(0,IF(G634="",TODAY(),G634)-L634))</f>
        <v/>
      </c>
    </row>
    <row r="635">
      <c r="E635" s="22" t="n"/>
      <c r="G635" s="22" t="n"/>
      <c r="I635" s="22" t="n"/>
      <c r="L635" s="20">
        <f>IF(E635="","",E635+IF(F635="",IFERROR(VLOOKUP(C635,Parametros!$E:$F,2,0),0),F635))</f>
        <v/>
      </c>
      <c r="M635" s="21">
        <f>IF(E635="","",IF(G635="",IF(TODAY()&gt;L635,"Atrasada","Em aberto"),IF(G635&lt;=L635,"No prazo","Com atraso")))</f>
        <v/>
      </c>
      <c r="N635" s="18">
        <f>IF(E635="","",MAX(0,IF(G635="",TODAY(),G635)-L635))</f>
        <v/>
      </c>
    </row>
    <row r="636">
      <c r="E636" s="22" t="n"/>
      <c r="G636" s="22" t="n"/>
      <c r="I636" s="22" t="n"/>
      <c r="L636" s="20">
        <f>IF(E636="","",E636+IF(F636="",IFERROR(VLOOKUP(C636,Parametros!$E:$F,2,0),0),F636))</f>
        <v/>
      </c>
      <c r="M636" s="21">
        <f>IF(E636="","",IF(G636="",IF(TODAY()&gt;L636,"Atrasada","Em aberto"),IF(G636&lt;=L636,"No prazo","Com atraso")))</f>
        <v/>
      </c>
      <c r="N636" s="18">
        <f>IF(E636="","",MAX(0,IF(G636="",TODAY(),G636)-L636))</f>
        <v/>
      </c>
    </row>
    <row r="637">
      <c r="E637" s="22" t="n"/>
      <c r="G637" s="22" t="n"/>
      <c r="I637" s="22" t="n"/>
      <c r="L637" s="20">
        <f>IF(E637="","",E637+IF(F637="",IFERROR(VLOOKUP(C637,Parametros!$E:$F,2,0),0),F637))</f>
        <v/>
      </c>
      <c r="M637" s="21">
        <f>IF(E637="","",IF(G637="",IF(TODAY()&gt;L637,"Atrasada","Em aberto"),IF(G637&lt;=L637,"No prazo","Com atraso")))</f>
        <v/>
      </c>
      <c r="N637" s="18">
        <f>IF(E637="","",MAX(0,IF(G637="",TODAY(),G637)-L637))</f>
        <v/>
      </c>
    </row>
    <row r="638">
      <c r="E638" s="22" t="n"/>
      <c r="G638" s="22" t="n"/>
      <c r="I638" s="22" t="n"/>
      <c r="L638" s="20">
        <f>IF(E638="","",E638+IF(F638="",IFERROR(VLOOKUP(C638,Parametros!$E:$F,2,0),0),F638))</f>
        <v/>
      </c>
      <c r="M638" s="21">
        <f>IF(E638="","",IF(G638="",IF(TODAY()&gt;L638,"Atrasada","Em aberto"),IF(G638&lt;=L638,"No prazo","Com atraso")))</f>
        <v/>
      </c>
      <c r="N638" s="18">
        <f>IF(E638="","",MAX(0,IF(G638="",TODAY(),G638)-L638))</f>
        <v/>
      </c>
    </row>
    <row r="639">
      <c r="E639" s="22" t="n"/>
      <c r="G639" s="22" t="n"/>
      <c r="I639" s="22" t="n"/>
      <c r="L639" s="20">
        <f>IF(E639="","",E639+IF(F639="",IFERROR(VLOOKUP(C639,Parametros!$E:$F,2,0),0),F639))</f>
        <v/>
      </c>
      <c r="M639" s="21">
        <f>IF(E639="","",IF(G639="",IF(TODAY()&gt;L639,"Atrasada","Em aberto"),IF(G639&lt;=L639,"No prazo","Com atraso")))</f>
        <v/>
      </c>
      <c r="N639" s="18">
        <f>IF(E639="","",MAX(0,IF(G639="",TODAY(),G639)-L639))</f>
        <v/>
      </c>
    </row>
    <row r="640">
      <c r="E640" s="22" t="n"/>
      <c r="G640" s="22" t="n"/>
      <c r="I640" s="22" t="n"/>
      <c r="L640" s="20">
        <f>IF(E640="","",E640+IF(F640="",IFERROR(VLOOKUP(C640,Parametros!$E:$F,2,0),0),F640))</f>
        <v/>
      </c>
      <c r="M640" s="21">
        <f>IF(E640="","",IF(G640="",IF(TODAY()&gt;L640,"Atrasada","Em aberto"),IF(G640&lt;=L640,"No prazo","Com atraso")))</f>
        <v/>
      </c>
      <c r="N640" s="18">
        <f>IF(E640="","",MAX(0,IF(G640="",TODAY(),G640)-L640))</f>
        <v/>
      </c>
    </row>
    <row r="641">
      <c r="E641" s="22" t="n"/>
      <c r="G641" s="22" t="n"/>
      <c r="I641" s="22" t="n"/>
      <c r="L641" s="20">
        <f>IF(E641="","",E641+IF(F641="",IFERROR(VLOOKUP(C641,Parametros!$E:$F,2,0),0),F641))</f>
        <v/>
      </c>
      <c r="M641" s="21">
        <f>IF(E641="","",IF(G641="",IF(TODAY()&gt;L641,"Atrasada","Em aberto"),IF(G641&lt;=L641,"No prazo","Com atraso")))</f>
        <v/>
      </c>
      <c r="N641" s="18">
        <f>IF(E641="","",MAX(0,IF(G641="",TODAY(),G641)-L641))</f>
        <v/>
      </c>
    </row>
    <row r="642">
      <c r="E642" s="22" t="n"/>
      <c r="G642" s="22" t="n"/>
      <c r="I642" s="22" t="n"/>
      <c r="L642" s="20">
        <f>IF(E642="","",E642+IF(F642="",IFERROR(VLOOKUP(C642,Parametros!$E:$F,2,0),0),F642))</f>
        <v/>
      </c>
      <c r="M642" s="21">
        <f>IF(E642="","",IF(G642="",IF(TODAY()&gt;L642,"Atrasada","Em aberto"),IF(G642&lt;=L642,"No prazo","Com atraso")))</f>
        <v/>
      </c>
      <c r="N642" s="18">
        <f>IF(E642="","",MAX(0,IF(G642="",TODAY(),G642)-L642))</f>
        <v/>
      </c>
    </row>
    <row r="643">
      <c r="E643" s="22" t="n"/>
      <c r="G643" s="22" t="n"/>
      <c r="I643" s="22" t="n"/>
      <c r="L643" s="20">
        <f>IF(E643="","",E643+IF(F643="",IFERROR(VLOOKUP(C643,Parametros!$E:$F,2,0),0),F643))</f>
        <v/>
      </c>
      <c r="M643" s="21">
        <f>IF(E643="","",IF(G643="",IF(TODAY()&gt;L643,"Atrasada","Em aberto"),IF(G643&lt;=L643,"No prazo","Com atraso")))</f>
        <v/>
      </c>
      <c r="N643" s="18">
        <f>IF(E643="","",MAX(0,IF(G643="",TODAY(),G643)-L643))</f>
        <v/>
      </c>
    </row>
    <row r="644">
      <c r="E644" s="22" t="n"/>
      <c r="G644" s="22" t="n"/>
      <c r="I644" s="22" t="n"/>
      <c r="L644" s="20">
        <f>IF(E644="","",E644+IF(F644="",IFERROR(VLOOKUP(C644,Parametros!$E:$F,2,0),0),F644))</f>
        <v/>
      </c>
      <c r="M644" s="21">
        <f>IF(E644="","",IF(G644="",IF(TODAY()&gt;L644,"Atrasada","Em aberto"),IF(G644&lt;=L644,"No prazo","Com atraso")))</f>
        <v/>
      </c>
      <c r="N644" s="18">
        <f>IF(E644="","",MAX(0,IF(G644="",TODAY(),G644)-L644))</f>
        <v/>
      </c>
    </row>
    <row r="645">
      <c r="E645" s="22" t="n"/>
      <c r="G645" s="22" t="n"/>
      <c r="I645" s="22" t="n"/>
      <c r="L645" s="20">
        <f>IF(E645="","",E645+IF(F645="",IFERROR(VLOOKUP(C645,Parametros!$E:$F,2,0),0),F645))</f>
        <v/>
      </c>
      <c r="M645" s="21">
        <f>IF(E645="","",IF(G645="",IF(TODAY()&gt;L645,"Atrasada","Em aberto"),IF(G645&lt;=L645,"No prazo","Com atraso")))</f>
        <v/>
      </c>
      <c r="N645" s="18">
        <f>IF(E645="","",MAX(0,IF(G645="",TODAY(),G645)-L645))</f>
        <v/>
      </c>
    </row>
    <row r="646">
      <c r="E646" s="22" t="n"/>
      <c r="G646" s="22" t="n"/>
      <c r="I646" s="22" t="n"/>
      <c r="L646" s="20">
        <f>IF(E646="","",E646+IF(F646="",IFERROR(VLOOKUP(C646,Parametros!$E:$F,2,0),0),F646))</f>
        <v/>
      </c>
      <c r="M646" s="21">
        <f>IF(E646="","",IF(G646="",IF(TODAY()&gt;L646,"Atrasada","Em aberto"),IF(G646&lt;=L646,"No prazo","Com atraso")))</f>
        <v/>
      </c>
      <c r="N646" s="18">
        <f>IF(E646="","",MAX(0,IF(G646="",TODAY(),G646)-L646))</f>
        <v/>
      </c>
    </row>
    <row r="647">
      <c r="E647" s="22" t="n"/>
      <c r="G647" s="22" t="n"/>
      <c r="I647" s="22" t="n"/>
      <c r="L647" s="20">
        <f>IF(E647="","",E647+IF(F647="",IFERROR(VLOOKUP(C647,Parametros!$E:$F,2,0),0),F647))</f>
        <v/>
      </c>
      <c r="M647" s="21">
        <f>IF(E647="","",IF(G647="",IF(TODAY()&gt;L647,"Atrasada","Em aberto"),IF(G647&lt;=L647,"No prazo","Com atraso")))</f>
        <v/>
      </c>
      <c r="N647" s="18">
        <f>IF(E647="","",MAX(0,IF(G647="",TODAY(),G647)-L647))</f>
        <v/>
      </c>
    </row>
    <row r="648">
      <c r="E648" s="22" t="n"/>
      <c r="G648" s="22" t="n"/>
      <c r="I648" s="22" t="n"/>
      <c r="L648" s="20">
        <f>IF(E648="","",E648+IF(F648="",IFERROR(VLOOKUP(C648,Parametros!$E:$F,2,0),0),F648))</f>
        <v/>
      </c>
      <c r="M648" s="21">
        <f>IF(E648="","",IF(G648="",IF(TODAY()&gt;L648,"Atrasada","Em aberto"),IF(G648&lt;=L648,"No prazo","Com atraso")))</f>
        <v/>
      </c>
      <c r="N648" s="18">
        <f>IF(E648="","",MAX(0,IF(G648="",TODAY(),G648)-L648))</f>
        <v/>
      </c>
    </row>
    <row r="649">
      <c r="E649" s="22" t="n"/>
      <c r="G649" s="22" t="n"/>
      <c r="I649" s="22" t="n"/>
      <c r="L649" s="20">
        <f>IF(E649="","",E649+IF(F649="",IFERROR(VLOOKUP(C649,Parametros!$E:$F,2,0),0),F649))</f>
        <v/>
      </c>
      <c r="M649" s="21">
        <f>IF(E649="","",IF(G649="",IF(TODAY()&gt;L649,"Atrasada","Em aberto"),IF(G649&lt;=L649,"No prazo","Com atraso")))</f>
        <v/>
      </c>
      <c r="N649" s="18">
        <f>IF(E649="","",MAX(0,IF(G649="",TODAY(),G649)-L649))</f>
        <v/>
      </c>
    </row>
    <row r="650">
      <c r="E650" s="22" t="n"/>
      <c r="G650" s="22" t="n"/>
      <c r="I650" s="22" t="n"/>
      <c r="L650" s="20">
        <f>IF(E650="","",E650+IF(F650="",IFERROR(VLOOKUP(C650,Parametros!$E:$F,2,0),0),F650))</f>
        <v/>
      </c>
      <c r="M650" s="21">
        <f>IF(E650="","",IF(G650="",IF(TODAY()&gt;L650,"Atrasada","Em aberto"),IF(G650&lt;=L650,"No prazo","Com atraso")))</f>
        <v/>
      </c>
      <c r="N650" s="18">
        <f>IF(E650="","",MAX(0,IF(G650="",TODAY(),G650)-L650))</f>
        <v/>
      </c>
    </row>
    <row r="651">
      <c r="E651" s="22" t="n"/>
      <c r="G651" s="22" t="n"/>
      <c r="I651" s="22" t="n"/>
      <c r="L651" s="20">
        <f>IF(E651="","",E651+IF(F651="",IFERROR(VLOOKUP(C651,Parametros!$E:$F,2,0),0),F651))</f>
        <v/>
      </c>
      <c r="M651" s="21">
        <f>IF(E651="","",IF(G651="",IF(TODAY()&gt;L651,"Atrasada","Em aberto"),IF(G651&lt;=L651,"No prazo","Com atraso")))</f>
        <v/>
      </c>
      <c r="N651" s="18">
        <f>IF(E651="","",MAX(0,IF(G651="",TODAY(),G651)-L651))</f>
        <v/>
      </c>
    </row>
    <row r="652">
      <c r="E652" s="22" t="n"/>
      <c r="G652" s="22" t="n"/>
      <c r="I652" s="22" t="n"/>
      <c r="L652" s="20">
        <f>IF(E652="","",E652+IF(F652="",IFERROR(VLOOKUP(C652,Parametros!$E:$F,2,0),0),F652))</f>
        <v/>
      </c>
      <c r="M652" s="21">
        <f>IF(E652="","",IF(G652="",IF(TODAY()&gt;L652,"Atrasada","Em aberto"),IF(G652&lt;=L652,"No prazo","Com atraso")))</f>
        <v/>
      </c>
      <c r="N652" s="18">
        <f>IF(E652="","",MAX(0,IF(G652="",TODAY(),G652)-L652))</f>
        <v/>
      </c>
    </row>
    <row r="653">
      <c r="E653" s="22" t="n"/>
      <c r="G653" s="22" t="n"/>
      <c r="I653" s="22" t="n"/>
      <c r="L653" s="20">
        <f>IF(E653="","",E653+IF(F653="",IFERROR(VLOOKUP(C653,Parametros!$E:$F,2,0),0),F653))</f>
        <v/>
      </c>
      <c r="M653" s="21">
        <f>IF(E653="","",IF(G653="",IF(TODAY()&gt;L653,"Atrasada","Em aberto"),IF(G653&lt;=L653,"No prazo","Com atraso")))</f>
        <v/>
      </c>
      <c r="N653" s="18">
        <f>IF(E653="","",MAX(0,IF(G653="",TODAY(),G653)-L653))</f>
        <v/>
      </c>
    </row>
    <row r="654">
      <c r="E654" s="22" t="n"/>
      <c r="G654" s="22" t="n"/>
      <c r="I654" s="22" t="n"/>
      <c r="L654" s="20">
        <f>IF(E654="","",E654+IF(F654="",IFERROR(VLOOKUP(C654,Parametros!$E:$F,2,0),0),F654))</f>
        <v/>
      </c>
      <c r="M654" s="21">
        <f>IF(E654="","",IF(G654="",IF(TODAY()&gt;L654,"Atrasada","Em aberto"),IF(G654&lt;=L654,"No prazo","Com atraso")))</f>
        <v/>
      </c>
      <c r="N654" s="18">
        <f>IF(E654="","",MAX(0,IF(G654="",TODAY(),G654)-L654))</f>
        <v/>
      </c>
    </row>
    <row r="655">
      <c r="E655" s="22" t="n"/>
      <c r="G655" s="22" t="n"/>
      <c r="I655" s="22" t="n"/>
      <c r="L655" s="20">
        <f>IF(E655="","",E655+IF(F655="",IFERROR(VLOOKUP(C655,Parametros!$E:$F,2,0),0),F655))</f>
        <v/>
      </c>
      <c r="M655" s="21">
        <f>IF(E655="","",IF(G655="",IF(TODAY()&gt;L655,"Atrasada","Em aberto"),IF(G655&lt;=L655,"No prazo","Com atraso")))</f>
        <v/>
      </c>
      <c r="N655" s="18">
        <f>IF(E655="","",MAX(0,IF(G655="",TODAY(),G655)-L655))</f>
        <v/>
      </c>
    </row>
    <row r="656">
      <c r="E656" s="22" t="n"/>
      <c r="G656" s="22" t="n"/>
      <c r="I656" s="22" t="n"/>
      <c r="L656" s="20">
        <f>IF(E656="","",E656+IF(F656="",IFERROR(VLOOKUP(C656,Parametros!$E:$F,2,0),0),F656))</f>
        <v/>
      </c>
      <c r="M656" s="21">
        <f>IF(E656="","",IF(G656="",IF(TODAY()&gt;L656,"Atrasada","Em aberto"),IF(G656&lt;=L656,"No prazo","Com atraso")))</f>
        <v/>
      </c>
      <c r="N656" s="18">
        <f>IF(E656="","",MAX(0,IF(G656="",TODAY(),G656)-L656))</f>
        <v/>
      </c>
    </row>
    <row r="657">
      <c r="E657" s="22" t="n"/>
      <c r="G657" s="22" t="n"/>
      <c r="I657" s="22" t="n"/>
      <c r="L657" s="20">
        <f>IF(E657="","",E657+IF(F657="",IFERROR(VLOOKUP(C657,Parametros!$E:$F,2,0),0),F657))</f>
        <v/>
      </c>
      <c r="M657" s="21">
        <f>IF(E657="","",IF(G657="",IF(TODAY()&gt;L657,"Atrasada","Em aberto"),IF(G657&lt;=L657,"No prazo","Com atraso")))</f>
        <v/>
      </c>
      <c r="N657" s="18">
        <f>IF(E657="","",MAX(0,IF(G657="",TODAY(),G657)-L657))</f>
        <v/>
      </c>
    </row>
    <row r="658">
      <c r="E658" s="22" t="n"/>
      <c r="G658" s="22" t="n"/>
      <c r="I658" s="22" t="n"/>
      <c r="L658" s="20">
        <f>IF(E658="","",E658+IF(F658="",IFERROR(VLOOKUP(C658,Parametros!$E:$F,2,0),0),F658))</f>
        <v/>
      </c>
      <c r="M658" s="21">
        <f>IF(E658="","",IF(G658="",IF(TODAY()&gt;L658,"Atrasada","Em aberto"),IF(G658&lt;=L658,"No prazo","Com atraso")))</f>
        <v/>
      </c>
      <c r="N658" s="18">
        <f>IF(E658="","",MAX(0,IF(G658="",TODAY(),G658)-L658))</f>
        <v/>
      </c>
    </row>
    <row r="659">
      <c r="E659" s="22" t="n"/>
      <c r="G659" s="22" t="n"/>
      <c r="I659" s="22" t="n"/>
      <c r="L659" s="20">
        <f>IF(E659="","",E659+IF(F659="",IFERROR(VLOOKUP(C659,Parametros!$E:$F,2,0),0),F659))</f>
        <v/>
      </c>
      <c r="M659" s="21">
        <f>IF(E659="","",IF(G659="",IF(TODAY()&gt;L659,"Atrasada","Em aberto"),IF(G659&lt;=L659,"No prazo","Com atraso")))</f>
        <v/>
      </c>
      <c r="N659" s="18">
        <f>IF(E659="","",MAX(0,IF(G659="",TODAY(),G659)-L659))</f>
        <v/>
      </c>
    </row>
    <row r="660">
      <c r="E660" s="22" t="n"/>
      <c r="G660" s="22" t="n"/>
      <c r="I660" s="22" t="n"/>
      <c r="L660" s="20">
        <f>IF(E660="","",E660+IF(F660="",IFERROR(VLOOKUP(C660,Parametros!$E:$F,2,0),0),F660))</f>
        <v/>
      </c>
      <c r="M660" s="21">
        <f>IF(E660="","",IF(G660="",IF(TODAY()&gt;L660,"Atrasada","Em aberto"),IF(G660&lt;=L660,"No prazo","Com atraso")))</f>
        <v/>
      </c>
      <c r="N660" s="18">
        <f>IF(E660="","",MAX(0,IF(G660="",TODAY(),G660)-L660))</f>
        <v/>
      </c>
    </row>
    <row r="661">
      <c r="E661" s="22" t="n"/>
      <c r="G661" s="22" t="n"/>
      <c r="I661" s="22" t="n"/>
      <c r="L661" s="20">
        <f>IF(E661="","",E661+IF(F661="",IFERROR(VLOOKUP(C661,Parametros!$E:$F,2,0),0),F661))</f>
        <v/>
      </c>
      <c r="M661" s="21">
        <f>IF(E661="","",IF(G661="",IF(TODAY()&gt;L661,"Atrasada","Em aberto"),IF(G661&lt;=L661,"No prazo","Com atraso")))</f>
        <v/>
      </c>
      <c r="N661" s="18">
        <f>IF(E661="","",MAX(0,IF(G661="",TODAY(),G661)-L661))</f>
        <v/>
      </c>
    </row>
    <row r="662">
      <c r="E662" s="22" t="n"/>
      <c r="G662" s="22" t="n"/>
      <c r="I662" s="22" t="n"/>
      <c r="L662" s="20">
        <f>IF(E662="","",E662+IF(F662="",IFERROR(VLOOKUP(C662,Parametros!$E:$F,2,0),0),F662))</f>
        <v/>
      </c>
      <c r="M662" s="21">
        <f>IF(E662="","",IF(G662="",IF(TODAY()&gt;L662,"Atrasada","Em aberto"),IF(G662&lt;=L662,"No prazo","Com atraso")))</f>
        <v/>
      </c>
      <c r="N662" s="18">
        <f>IF(E662="","",MAX(0,IF(G662="",TODAY(),G662)-L662))</f>
        <v/>
      </c>
    </row>
    <row r="663">
      <c r="E663" s="22" t="n"/>
      <c r="G663" s="22" t="n"/>
      <c r="I663" s="22" t="n"/>
      <c r="L663" s="20">
        <f>IF(E663="","",E663+IF(F663="",IFERROR(VLOOKUP(C663,Parametros!$E:$F,2,0),0),F663))</f>
        <v/>
      </c>
      <c r="M663" s="21">
        <f>IF(E663="","",IF(G663="",IF(TODAY()&gt;L663,"Atrasada","Em aberto"),IF(G663&lt;=L663,"No prazo","Com atraso")))</f>
        <v/>
      </c>
      <c r="N663" s="18">
        <f>IF(E663="","",MAX(0,IF(G663="",TODAY(),G663)-L663))</f>
        <v/>
      </c>
    </row>
    <row r="664">
      <c r="E664" s="22" t="n"/>
      <c r="G664" s="22" t="n"/>
      <c r="I664" s="22" t="n"/>
      <c r="L664" s="20">
        <f>IF(E664="","",E664+IF(F664="",IFERROR(VLOOKUP(C664,Parametros!$E:$F,2,0),0),F664))</f>
        <v/>
      </c>
      <c r="M664" s="21">
        <f>IF(E664="","",IF(G664="",IF(TODAY()&gt;L664,"Atrasada","Em aberto"),IF(G664&lt;=L664,"No prazo","Com atraso")))</f>
        <v/>
      </c>
      <c r="N664" s="18">
        <f>IF(E664="","",MAX(0,IF(G664="",TODAY(),G664)-L664))</f>
        <v/>
      </c>
    </row>
    <row r="665">
      <c r="E665" s="22" t="n"/>
      <c r="G665" s="22" t="n"/>
      <c r="I665" s="22" t="n"/>
      <c r="L665" s="20">
        <f>IF(E665="","",E665+IF(F665="",IFERROR(VLOOKUP(C665,Parametros!$E:$F,2,0),0),F665))</f>
        <v/>
      </c>
      <c r="M665" s="21">
        <f>IF(E665="","",IF(G665="",IF(TODAY()&gt;L665,"Atrasada","Em aberto"),IF(G665&lt;=L665,"No prazo","Com atraso")))</f>
        <v/>
      </c>
      <c r="N665" s="18">
        <f>IF(E665="","",MAX(0,IF(G665="",TODAY(),G665)-L665))</f>
        <v/>
      </c>
    </row>
    <row r="666">
      <c r="E666" s="22" t="n"/>
      <c r="G666" s="22" t="n"/>
      <c r="I666" s="22" t="n"/>
      <c r="L666" s="20">
        <f>IF(E666="","",E666+IF(F666="",IFERROR(VLOOKUP(C666,Parametros!$E:$F,2,0),0),F666))</f>
        <v/>
      </c>
      <c r="M666" s="21">
        <f>IF(E666="","",IF(G666="",IF(TODAY()&gt;L666,"Atrasada","Em aberto"),IF(G666&lt;=L666,"No prazo","Com atraso")))</f>
        <v/>
      </c>
      <c r="N666" s="18">
        <f>IF(E666="","",MAX(0,IF(G666="",TODAY(),G666)-L666))</f>
        <v/>
      </c>
    </row>
    <row r="667">
      <c r="E667" s="22" t="n"/>
      <c r="G667" s="22" t="n"/>
      <c r="I667" s="22" t="n"/>
      <c r="L667" s="20">
        <f>IF(E667="","",E667+IF(F667="",IFERROR(VLOOKUP(C667,Parametros!$E:$F,2,0),0),F667))</f>
        <v/>
      </c>
      <c r="M667" s="21">
        <f>IF(E667="","",IF(G667="",IF(TODAY()&gt;L667,"Atrasada","Em aberto"),IF(G667&lt;=L667,"No prazo","Com atraso")))</f>
        <v/>
      </c>
      <c r="N667" s="18">
        <f>IF(E667="","",MAX(0,IF(G667="",TODAY(),G667)-L667))</f>
        <v/>
      </c>
    </row>
    <row r="668">
      <c r="E668" s="22" t="n"/>
      <c r="G668" s="22" t="n"/>
      <c r="I668" s="22" t="n"/>
      <c r="L668" s="20">
        <f>IF(E668="","",E668+IF(F668="",IFERROR(VLOOKUP(C668,Parametros!$E:$F,2,0),0),F668))</f>
        <v/>
      </c>
      <c r="M668" s="21">
        <f>IF(E668="","",IF(G668="",IF(TODAY()&gt;L668,"Atrasada","Em aberto"),IF(G668&lt;=L668,"No prazo","Com atraso")))</f>
        <v/>
      </c>
      <c r="N668" s="18">
        <f>IF(E668="","",MAX(0,IF(G668="",TODAY(),G668)-L668))</f>
        <v/>
      </c>
    </row>
    <row r="669">
      <c r="E669" s="22" t="n"/>
      <c r="G669" s="22" t="n"/>
      <c r="I669" s="22" t="n"/>
      <c r="L669" s="20">
        <f>IF(E669="","",E669+IF(F669="",IFERROR(VLOOKUP(C669,Parametros!$E:$F,2,0),0),F669))</f>
        <v/>
      </c>
      <c r="M669" s="21">
        <f>IF(E669="","",IF(G669="",IF(TODAY()&gt;L669,"Atrasada","Em aberto"),IF(G669&lt;=L669,"No prazo","Com atraso")))</f>
        <v/>
      </c>
      <c r="N669" s="18">
        <f>IF(E669="","",MAX(0,IF(G669="",TODAY(),G669)-L669))</f>
        <v/>
      </c>
    </row>
    <row r="670">
      <c r="E670" s="22" t="n"/>
      <c r="G670" s="22" t="n"/>
      <c r="I670" s="22" t="n"/>
      <c r="L670" s="20">
        <f>IF(E670="","",E670+IF(F670="",IFERROR(VLOOKUP(C670,Parametros!$E:$F,2,0),0),F670))</f>
        <v/>
      </c>
      <c r="M670" s="21">
        <f>IF(E670="","",IF(G670="",IF(TODAY()&gt;L670,"Atrasada","Em aberto"),IF(G670&lt;=L670,"No prazo","Com atraso")))</f>
        <v/>
      </c>
      <c r="N670" s="18">
        <f>IF(E670="","",MAX(0,IF(G670="",TODAY(),G670)-L670))</f>
        <v/>
      </c>
    </row>
    <row r="671">
      <c r="E671" s="22" t="n"/>
      <c r="G671" s="22" t="n"/>
      <c r="I671" s="22" t="n"/>
      <c r="L671" s="20">
        <f>IF(E671="","",E671+IF(F671="",IFERROR(VLOOKUP(C671,Parametros!$E:$F,2,0),0),F671))</f>
        <v/>
      </c>
      <c r="M671" s="21">
        <f>IF(E671="","",IF(G671="",IF(TODAY()&gt;L671,"Atrasada","Em aberto"),IF(G671&lt;=L671,"No prazo","Com atraso")))</f>
        <v/>
      </c>
      <c r="N671" s="18">
        <f>IF(E671="","",MAX(0,IF(G671="",TODAY(),G671)-L671))</f>
        <v/>
      </c>
    </row>
    <row r="672">
      <c r="E672" s="22" t="n"/>
      <c r="G672" s="22" t="n"/>
      <c r="I672" s="22" t="n"/>
      <c r="L672" s="20">
        <f>IF(E672="","",E672+IF(F672="",IFERROR(VLOOKUP(C672,Parametros!$E:$F,2,0),0),F672))</f>
        <v/>
      </c>
      <c r="M672" s="21">
        <f>IF(E672="","",IF(G672="",IF(TODAY()&gt;L672,"Atrasada","Em aberto"),IF(G672&lt;=L672,"No prazo","Com atraso")))</f>
        <v/>
      </c>
      <c r="N672" s="18">
        <f>IF(E672="","",MAX(0,IF(G672="",TODAY(),G672)-L672))</f>
        <v/>
      </c>
    </row>
    <row r="673">
      <c r="E673" s="22" t="n"/>
      <c r="G673" s="22" t="n"/>
      <c r="I673" s="22" t="n"/>
      <c r="L673" s="20">
        <f>IF(E673="","",E673+IF(F673="",IFERROR(VLOOKUP(C673,Parametros!$E:$F,2,0),0),F673))</f>
        <v/>
      </c>
      <c r="M673" s="21">
        <f>IF(E673="","",IF(G673="",IF(TODAY()&gt;L673,"Atrasada","Em aberto"),IF(G673&lt;=L673,"No prazo","Com atraso")))</f>
        <v/>
      </c>
      <c r="N673" s="18">
        <f>IF(E673="","",MAX(0,IF(G673="",TODAY(),G673)-L673))</f>
        <v/>
      </c>
    </row>
    <row r="674">
      <c r="E674" s="22" t="n"/>
      <c r="G674" s="22" t="n"/>
      <c r="I674" s="22" t="n"/>
      <c r="L674" s="20">
        <f>IF(E674="","",E674+IF(F674="",IFERROR(VLOOKUP(C674,Parametros!$E:$F,2,0),0),F674))</f>
        <v/>
      </c>
      <c r="M674" s="21">
        <f>IF(E674="","",IF(G674="",IF(TODAY()&gt;L674,"Atrasada","Em aberto"),IF(G674&lt;=L674,"No prazo","Com atraso")))</f>
        <v/>
      </c>
      <c r="N674" s="18">
        <f>IF(E674="","",MAX(0,IF(G674="",TODAY(),G674)-L674))</f>
        <v/>
      </c>
    </row>
    <row r="675">
      <c r="E675" s="22" t="n"/>
      <c r="G675" s="22" t="n"/>
      <c r="I675" s="22" t="n"/>
      <c r="L675" s="20">
        <f>IF(E675="","",E675+IF(F675="",IFERROR(VLOOKUP(C675,Parametros!$E:$F,2,0),0),F675))</f>
        <v/>
      </c>
      <c r="M675" s="21">
        <f>IF(E675="","",IF(G675="",IF(TODAY()&gt;L675,"Atrasada","Em aberto"),IF(G675&lt;=L675,"No prazo","Com atraso")))</f>
        <v/>
      </c>
      <c r="N675" s="18">
        <f>IF(E675="","",MAX(0,IF(G675="",TODAY(),G675)-L675))</f>
        <v/>
      </c>
    </row>
    <row r="676">
      <c r="E676" s="22" t="n"/>
      <c r="G676" s="22" t="n"/>
      <c r="I676" s="22" t="n"/>
      <c r="L676" s="20">
        <f>IF(E676="","",E676+IF(F676="",IFERROR(VLOOKUP(C676,Parametros!$E:$F,2,0),0),F676))</f>
        <v/>
      </c>
      <c r="M676" s="21">
        <f>IF(E676="","",IF(G676="",IF(TODAY()&gt;L676,"Atrasada","Em aberto"),IF(G676&lt;=L676,"No prazo","Com atraso")))</f>
        <v/>
      </c>
      <c r="N676" s="18">
        <f>IF(E676="","",MAX(0,IF(G676="",TODAY(),G676)-L676))</f>
        <v/>
      </c>
    </row>
    <row r="677">
      <c r="E677" s="22" t="n"/>
      <c r="G677" s="22" t="n"/>
      <c r="I677" s="22" t="n"/>
      <c r="L677" s="20">
        <f>IF(E677="","",E677+IF(F677="",IFERROR(VLOOKUP(C677,Parametros!$E:$F,2,0),0),F677))</f>
        <v/>
      </c>
      <c r="M677" s="21">
        <f>IF(E677="","",IF(G677="",IF(TODAY()&gt;L677,"Atrasada","Em aberto"),IF(G677&lt;=L677,"No prazo","Com atraso")))</f>
        <v/>
      </c>
      <c r="N677" s="18">
        <f>IF(E677="","",MAX(0,IF(G677="",TODAY(),G677)-L677))</f>
        <v/>
      </c>
    </row>
    <row r="678">
      <c r="E678" s="22" t="n"/>
      <c r="G678" s="22" t="n"/>
      <c r="I678" s="22" t="n"/>
      <c r="L678" s="20">
        <f>IF(E678="","",E678+IF(F678="",IFERROR(VLOOKUP(C678,Parametros!$E:$F,2,0),0),F678))</f>
        <v/>
      </c>
      <c r="M678" s="21">
        <f>IF(E678="","",IF(G678="",IF(TODAY()&gt;L678,"Atrasada","Em aberto"),IF(G678&lt;=L678,"No prazo","Com atraso")))</f>
        <v/>
      </c>
      <c r="N678" s="18">
        <f>IF(E678="","",MAX(0,IF(G678="",TODAY(),G678)-L678))</f>
        <v/>
      </c>
    </row>
    <row r="679">
      <c r="E679" s="22" t="n"/>
      <c r="G679" s="22" t="n"/>
      <c r="I679" s="22" t="n"/>
      <c r="L679" s="20">
        <f>IF(E679="","",E679+IF(F679="",IFERROR(VLOOKUP(C679,Parametros!$E:$F,2,0),0),F679))</f>
        <v/>
      </c>
      <c r="M679" s="21">
        <f>IF(E679="","",IF(G679="",IF(TODAY()&gt;L679,"Atrasada","Em aberto"),IF(G679&lt;=L679,"No prazo","Com atraso")))</f>
        <v/>
      </c>
      <c r="N679" s="18">
        <f>IF(E679="","",MAX(0,IF(G679="",TODAY(),G679)-L679))</f>
        <v/>
      </c>
    </row>
    <row r="680">
      <c r="E680" s="22" t="n"/>
      <c r="G680" s="22" t="n"/>
      <c r="I680" s="22" t="n"/>
      <c r="L680" s="20">
        <f>IF(E680="","",E680+IF(F680="",IFERROR(VLOOKUP(C680,Parametros!$E:$F,2,0),0),F680))</f>
        <v/>
      </c>
      <c r="M680" s="21">
        <f>IF(E680="","",IF(G680="",IF(TODAY()&gt;L680,"Atrasada","Em aberto"),IF(G680&lt;=L680,"No prazo","Com atraso")))</f>
        <v/>
      </c>
      <c r="N680" s="18">
        <f>IF(E680="","",MAX(0,IF(G680="",TODAY(),G680)-L680))</f>
        <v/>
      </c>
    </row>
    <row r="681">
      <c r="E681" s="22" t="n"/>
      <c r="G681" s="22" t="n"/>
      <c r="I681" s="22" t="n"/>
      <c r="L681" s="20">
        <f>IF(E681="","",E681+IF(F681="",IFERROR(VLOOKUP(C681,Parametros!$E:$F,2,0),0),F681))</f>
        <v/>
      </c>
      <c r="M681" s="21">
        <f>IF(E681="","",IF(G681="",IF(TODAY()&gt;L681,"Atrasada","Em aberto"),IF(G681&lt;=L681,"No prazo","Com atraso")))</f>
        <v/>
      </c>
      <c r="N681" s="18">
        <f>IF(E681="","",MAX(0,IF(G681="",TODAY(),G681)-L681))</f>
        <v/>
      </c>
    </row>
    <row r="682">
      <c r="E682" s="22" t="n"/>
      <c r="G682" s="22" t="n"/>
      <c r="I682" s="22" t="n"/>
      <c r="L682" s="20">
        <f>IF(E682="","",E682+IF(F682="",IFERROR(VLOOKUP(C682,Parametros!$E:$F,2,0),0),F682))</f>
        <v/>
      </c>
      <c r="M682" s="21">
        <f>IF(E682="","",IF(G682="",IF(TODAY()&gt;L682,"Atrasada","Em aberto"),IF(G682&lt;=L682,"No prazo","Com atraso")))</f>
        <v/>
      </c>
      <c r="N682" s="18">
        <f>IF(E682="","",MAX(0,IF(G682="",TODAY(),G682)-L682))</f>
        <v/>
      </c>
    </row>
    <row r="683">
      <c r="E683" s="22" t="n"/>
      <c r="G683" s="22" t="n"/>
      <c r="I683" s="22" t="n"/>
      <c r="L683" s="20">
        <f>IF(E683="","",E683+IF(F683="",IFERROR(VLOOKUP(C683,Parametros!$E:$F,2,0),0),F683))</f>
        <v/>
      </c>
      <c r="M683" s="21">
        <f>IF(E683="","",IF(G683="",IF(TODAY()&gt;L683,"Atrasada","Em aberto"),IF(G683&lt;=L683,"No prazo","Com atraso")))</f>
        <v/>
      </c>
      <c r="N683" s="18">
        <f>IF(E683="","",MAX(0,IF(G683="",TODAY(),G683)-L683))</f>
        <v/>
      </c>
    </row>
    <row r="684">
      <c r="E684" s="22" t="n"/>
      <c r="G684" s="22" t="n"/>
      <c r="I684" s="22" t="n"/>
      <c r="L684" s="20">
        <f>IF(E684="","",E684+IF(F684="",IFERROR(VLOOKUP(C684,Parametros!$E:$F,2,0),0),F684))</f>
        <v/>
      </c>
      <c r="M684" s="21">
        <f>IF(E684="","",IF(G684="",IF(TODAY()&gt;L684,"Atrasada","Em aberto"),IF(G684&lt;=L684,"No prazo","Com atraso")))</f>
        <v/>
      </c>
      <c r="N684" s="18">
        <f>IF(E684="","",MAX(0,IF(G684="",TODAY(),G684)-L684))</f>
        <v/>
      </c>
    </row>
    <row r="685">
      <c r="E685" s="22" t="n"/>
      <c r="G685" s="22" t="n"/>
      <c r="I685" s="22" t="n"/>
      <c r="L685" s="20">
        <f>IF(E685="","",E685+IF(F685="",IFERROR(VLOOKUP(C685,Parametros!$E:$F,2,0),0),F685))</f>
        <v/>
      </c>
      <c r="M685" s="21">
        <f>IF(E685="","",IF(G685="",IF(TODAY()&gt;L685,"Atrasada","Em aberto"),IF(G685&lt;=L685,"No prazo","Com atraso")))</f>
        <v/>
      </c>
      <c r="N685" s="18">
        <f>IF(E685="","",MAX(0,IF(G685="",TODAY(),G685)-L685))</f>
        <v/>
      </c>
    </row>
    <row r="686">
      <c r="E686" s="22" t="n"/>
      <c r="G686" s="22" t="n"/>
      <c r="I686" s="22" t="n"/>
      <c r="L686" s="20">
        <f>IF(E686="","",E686+IF(F686="",IFERROR(VLOOKUP(C686,Parametros!$E:$F,2,0),0),F686))</f>
        <v/>
      </c>
      <c r="M686" s="21">
        <f>IF(E686="","",IF(G686="",IF(TODAY()&gt;L686,"Atrasada","Em aberto"),IF(G686&lt;=L686,"No prazo","Com atraso")))</f>
        <v/>
      </c>
      <c r="N686" s="18">
        <f>IF(E686="","",MAX(0,IF(G686="",TODAY(),G686)-L686))</f>
        <v/>
      </c>
    </row>
    <row r="687">
      <c r="E687" s="22" t="n"/>
      <c r="G687" s="22" t="n"/>
      <c r="I687" s="22" t="n"/>
      <c r="L687" s="20">
        <f>IF(E687="","",E687+IF(F687="",IFERROR(VLOOKUP(C687,Parametros!$E:$F,2,0),0),F687))</f>
        <v/>
      </c>
      <c r="M687" s="21">
        <f>IF(E687="","",IF(G687="",IF(TODAY()&gt;L687,"Atrasada","Em aberto"),IF(G687&lt;=L687,"No prazo","Com atraso")))</f>
        <v/>
      </c>
      <c r="N687" s="18">
        <f>IF(E687="","",MAX(0,IF(G687="",TODAY(),G687)-L687))</f>
        <v/>
      </c>
    </row>
    <row r="688">
      <c r="E688" s="22" t="n"/>
      <c r="G688" s="22" t="n"/>
      <c r="I688" s="22" t="n"/>
      <c r="L688" s="20">
        <f>IF(E688="","",E688+IF(F688="",IFERROR(VLOOKUP(C688,Parametros!$E:$F,2,0),0),F688))</f>
        <v/>
      </c>
      <c r="M688" s="21">
        <f>IF(E688="","",IF(G688="",IF(TODAY()&gt;L688,"Atrasada","Em aberto"),IF(G688&lt;=L688,"No prazo","Com atraso")))</f>
        <v/>
      </c>
      <c r="N688" s="18">
        <f>IF(E688="","",MAX(0,IF(G688="",TODAY(),G688)-L688))</f>
        <v/>
      </c>
    </row>
    <row r="689">
      <c r="E689" s="22" t="n"/>
      <c r="G689" s="22" t="n"/>
      <c r="I689" s="22" t="n"/>
      <c r="L689" s="20">
        <f>IF(E689="","",E689+IF(F689="",IFERROR(VLOOKUP(C689,Parametros!$E:$F,2,0),0),F689))</f>
        <v/>
      </c>
      <c r="M689" s="21">
        <f>IF(E689="","",IF(G689="",IF(TODAY()&gt;L689,"Atrasada","Em aberto"),IF(G689&lt;=L689,"No prazo","Com atraso")))</f>
        <v/>
      </c>
      <c r="N689" s="18">
        <f>IF(E689="","",MAX(0,IF(G689="",TODAY(),G689)-L689))</f>
        <v/>
      </c>
    </row>
    <row r="690">
      <c r="E690" s="22" t="n"/>
      <c r="G690" s="22" t="n"/>
      <c r="I690" s="22" t="n"/>
      <c r="L690" s="20">
        <f>IF(E690="","",E690+IF(F690="",IFERROR(VLOOKUP(C690,Parametros!$E:$F,2,0),0),F690))</f>
        <v/>
      </c>
      <c r="M690" s="21">
        <f>IF(E690="","",IF(G690="",IF(TODAY()&gt;L690,"Atrasada","Em aberto"),IF(G690&lt;=L690,"No prazo","Com atraso")))</f>
        <v/>
      </c>
      <c r="N690" s="18">
        <f>IF(E690="","",MAX(0,IF(G690="",TODAY(),G690)-L690))</f>
        <v/>
      </c>
    </row>
    <row r="691">
      <c r="E691" s="22" t="n"/>
      <c r="G691" s="22" t="n"/>
      <c r="I691" s="22" t="n"/>
      <c r="L691" s="20">
        <f>IF(E691="","",E691+IF(F691="",IFERROR(VLOOKUP(C691,Parametros!$E:$F,2,0),0),F691))</f>
        <v/>
      </c>
      <c r="M691" s="21">
        <f>IF(E691="","",IF(G691="",IF(TODAY()&gt;L691,"Atrasada","Em aberto"),IF(G691&lt;=L691,"No prazo","Com atraso")))</f>
        <v/>
      </c>
      <c r="N691" s="18">
        <f>IF(E691="","",MAX(0,IF(G691="",TODAY(),G691)-L691))</f>
        <v/>
      </c>
    </row>
    <row r="692">
      <c r="E692" s="22" t="n"/>
      <c r="G692" s="22" t="n"/>
      <c r="I692" s="22" t="n"/>
      <c r="L692" s="20">
        <f>IF(E692="","",E692+IF(F692="",IFERROR(VLOOKUP(C692,Parametros!$E:$F,2,0),0),F692))</f>
        <v/>
      </c>
      <c r="M692" s="21">
        <f>IF(E692="","",IF(G692="",IF(TODAY()&gt;L692,"Atrasada","Em aberto"),IF(G692&lt;=L692,"No prazo","Com atraso")))</f>
        <v/>
      </c>
      <c r="N692" s="18">
        <f>IF(E692="","",MAX(0,IF(G692="",TODAY(),G692)-L692))</f>
        <v/>
      </c>
    </row>
    <row r="693">
      <c r="E693" s="22" t="n"/>
      <c r="G693" s="22" t="n"/>
      <c r="I693" s="22" t="n"/>
      <c r="L693" s="20">
        <f>IF(E693="","",E693+IF(F693="",IFERROR(VLOOKUP(C693,Parametros!$E:$F,2,0),0),F693))</f>
        <v/>
      </c>
      <c r="M693" s="21">
        <f>IF(E693="","",IF(G693="",IF(TODAY()&gt;L693,"Atrasada","Em aberto"),IF(G693&lt;=L693,"No prazo","Com atraso")))</f>
        <v/>
      </c>
      <c r="N693" s="18">
        <f>IF(E693="","",MAX(0,IF(G693="",TODAY(),G693)-L693))</f>
        <v/>
      </c>
    </row>
    <row r="694">
      <c r="E694" s="22" t="n"/>
      <c r="G694" s="22" t="n"/>
      <c r="I694" s="22" t="n"/>
      <c r="L694" s="20">
        <f>IF(E694="","",E694+IF(F694="",IFERROR(VLOOKUP(C694,Parametros!$E:$F,2,0),0),F694))</f>
        <v/>
      </c>
      <c r="M694" s="21">
        <f>IF(E694="","",IF(G694="",IF(TODAY()&gt;L694,"Atrasada","Em aberto"),IF(G694&lt;=L694,"No prazo","Com atraso")))</f>
        <v/>
      </c>
      <c r="N694" s="18">
        <f>IF(E694="","",MAX(0,IF(G694="",TODAY(),G694)-L694))</f>
        <v/>
      </c>
    </row>
    <row r="695">
      <c r="E695" s="22" t="n"/>
      <c r="G695" s="22" t="n"/>
      <c r="I695" s="22" t="n"/>
      <c r="L695" s="20">
        <f>IF(E695="","",E695+IF(F695="",IFERROR(VLOOKUP(C695,Parametros!$E:$F,2,0),0),F695))</f>
        <v/>
      </c>
      <c r="M695" s="21">
        <f>IF(E695="","",IF(G695="",IF(TODAY()&gt;L695,"Atrasada","Em aberto"),IF(G695&lt;=L695,"No prazo","Com atraso")))</f>
        <v/>
      </c>
      <c r="N695" s="18">
        <f>IF(E695="","",MAX(0,IF(G695="",TODAY(),G695)-L695))</f>
        <v/>
      </c>
    </row>
    <row r="696">
      <c r="E696" s="22" t="n"/>
      <c r="G696" s="22" t="n"/>
      <c r="I696" s="22" t="n"/>
      <c r="L696" s="20">
        <f>IF(E696="","",E696+IF(F696="",IFERROR(VLOOKUP(C696,Parametros!$E:$F,2,0),0),F696))</f>
        <v/>
      </c>
      <c r="M696" s="21">
        <f>IF(E696="","",IF(G696="",IF(TODAY()&gt;L696,"Atrasada","Em aberto"),IF(G696&lt;=L696,"No prazo","Com atraso")))</f>
        <v/>
      </c>
      <c r="N696" s="18">
        <f>IF(E696="","",MAX(0,IF(G696="",TODAY(),G696)-L696))</f>
        <v/>
      </c>
    </row>
    <row r="697">
      <c r="E697" s="22" t="n"/>
      <c r="G697" s="22" t="n"/>
      <c r="I697" s="22" t="n"/>
      <c r="L697" s="20">
        <f>IF(E697="","",E697+IF(F697="",IFERROR(VLOOKUP(C697,Parametros!$E:$F,2,0),0),F697))</f>
        <v/>
      </c>
      <c r="M697" s="21">
        <f>IF(E697="","",IF(G697="",IF(TODAY()&gt;L697,"Atrasada","Em aberto"),IF(G697&lt;=L697,"No prazo","Com atraso")))</f>
        <v/>
      </c>
      <c r="N697" s="18">
        <f>IF(E697="","",MAX(0,IF(G697="",TODAY(),G697)-L697))</f>
        <v/>
      </c>
    </row>
    <row r="698">
      <c r="E698" s="22" t="n"/>
      <c r="G698" s="22" t="n"/>
      <c r="I698" s="22" t="n"/>
      <c r="L698" s="20">
        <f>IF(E698="","",E698+IF(F698="",IFERROR(VLOOKUP(C698,Parametros!$E:$F,2,0),0),F698))</f>
        <v/>
      </c>
      <c r="M698" s="21">
        <f>IF(E698="","",IF(G698="",IF(TODAY()&gt;L698,"Atrasada","Em aberto"),IF(G698&lt;=L698,"No prazo","Com atraso")))</f>
        <v/>
      </c>
      <c r="N698" s="18">
        <f>IF(E698="","",MAX(0,IF(G698="",TODAY(),G698)-L698))</f>
        <v/>
      </c>
    </row>
    <row r="699">
      <c r="E699" s="22" t="n"/>
      <c r="G699" s="22" t="n"/>
      <c r="I699" s="22" t="n"/>
      <c r="L699" s="20">
        <f>IF(E699="","",E699+IF(F699="",IFERROR(VLOOKUP(C699,Parametros!$E:$F,2,0),0),F699))</f>
        <v/>
      </c>
      <c r="M699" s="21">
        <f>IF(E699="","",IF(G699="",IF(TODAY()&gt;L699,"Atrasada","Em aberto"),IF(G699&lt;=L699,"No prazo","Com atraso")))</f>
        <v/>
      </c>
      <c r="N699" s="18">
        <f>IF(E699="","",MAX(0,IF(G699="",TODAY(),G699)-L699))</f>
        <v/>
      </c>
    </row>
    <row r="700">
      <c r="E700" s="22" t="n"/>
      <c r="G700" s="22" t="n"/>
      <c r="I700" s="22" t="n"/>
      <c r="L700" s="20">
        <f>IF(E700="","",E700+IF(F700="",IFERROR(VLOOKUP(C700,Parametros!$E:$F,2,0),0),F700))</f>
        <v/>
      </c>
      <c r="M700" s="21">
        <f>IF(E700="","",IF(G700="",IF(TODAY()&gt;L700,"Atrasada","Em aberto"),IF(G700&lt;=L700,"No prazo","Com atraso")))</f>
        <v/>
      </c>
      <c r="N700" s="18">
        <f>IF(E700="","",MAX(0,IF(G700="",TODAY(),G700)-L700))</f>
        <v/>
      </c>
    </row>
    <row r="701">
      <c r="E701" s="22" t="n"/>
      <c r="G701" s="22" t="n"/>
      <c r="I701" s="22" t="n"/>
      <c r="L701" s="20">
        <f>IF(E701="","",E701+IF(F701="",IFERROR(VLOOKUP(C701,Parametros!$E:$F,2,0),0),F701))</f>
        <v/>
      </c>
      <c r="M701" s="21">
        <f>IF(E701="","",IF(G701="",IF(TODAY()&gt;L701,"Atrasada","Em aberto"),IF(G701&lt;=L701,"No prazo","Com atraso")))</f>
        <v/>
      </c>
      <c r="N701" s="18">
        <f>IF(E701="","",MAX(0,IF(G701="",TODAY(),G701)-L701))</f>
        <v/>
      </c>
    </row>
    <row r="702">
      <c r="E702" s="22" t="n"/>
      <c r="G702" s="22" t="n"/>
      <c r="I702" s="22" t="n"/>
      <c r="L702" s="20">
        <f>IF(E702="","",E702+IF(F702="",IFERROR(VLOOKUP(C702,Parametros!$E:$F,2,0),0),F702))</f>
        <v/>
      </c>
      <c r="M702" s="21">
        <f>IF(E702="","",IF(G702="",IF(TODAY()&gt;L702,"Atrasada","Em aberto"),IF(G702&lt;=L702,"No prazo","Com atraso")))</f>
        <v/>
      </c>
      <c r="N702" s="18">
        <f>IF(E702="","",MAX(0,IF(G702="",TODAY(),G702)-L702))</f>
        <v/>
      </c>
    </row>
    <row r="703">
      <c r="E703" s="22" t="n"/>
      <c r="G703" s="22" t="n"/>
      <c r="I703" s="22" t="n"/>
      <c r="L703" s="20">
        <f>IF(E703="","",E703+IF(F703="",IFERROR(VLOOKUP(C703,Parametros!$E:$F,2,0),0),F703))</f>
        <v/>
      </c>
      <c r="M703" s="21">
        <f>IF(E703="","",IF(G703="",IF(TODAY()&gt;L703,"Atrasada","Em aberto"),IF(G703&lt;=L703,"No prazo","Com atraso")))</f>
        <v/>
      </c>
      <c r="N703" s="18">
        <f>IF(E703="","",MAX(0,IF(G703="",TODAY(),G703)-L703))</f>
        <v/>
      </c>
    </row>
    <row r="704">
      <c r="E704" s="22" t="n"/>
      <c r="G704" s="22" t="n"/>
      <c r="I704" s="22" t="n"/>
      <c r="L704" s="20">
        <f>IF(E704="","",E704+IF(F704="",IFERROR(VLOOKUP(C704,Parametros!$E:$F,2,0),0),F704))</f>
        <v/>
      </c>
      <c r="M704" s="21">
        <f>IF(E704="","",IF(G704="",IF(TODAY()&gt;L704,"Atrasada","Em aberto"),IF(G704&lt;=L704,"No prazo","Com atraso")))</f>
        <v/>
      </c>
      <c r="N704" s="18">
        <f>IF(E704="","",MAX(0,IF(G704="",TODAY(),G704)-L704))</f>
        <v/>
      </c>
    </row>
    <row r="705">
      <c r="E705" s="22" t="n"/>
      <c r="G705" s="22" t="n"/>
      <c r="I705" s="22" t="n"/>
      <c r="L705" s="20">
        <f>IF(E705="","",E705+IF(F705="",IFERROR(VLOOKUP(C705,Parametros!$E:$F,2,0),0),F705))</f>
        <v/>
      </c>
      <c r="M705" s="21">
        <f>IF(E705="","",IF(G705="",IF(TODAY()&gt;L705,"Atrasada","Em aberto"),IF(G705&lt;=L705,"No prazo","Com atraso")))</f>
        <v/>
      </c>
      <c r="N705" s="18">
        <f>IF(E705="","",MAX(0,IF(G705="",TODAY(),G705)-L705))</f>
        <v/>
      </c>
    </row>
    <row r="706">
      <c r="E706" s="22" t="n"/>
      <c r="G706" s="22" t="n"/>
      <c r="I706" s="22" t="n"/>
      <c r="L706" s="20">
        <f>IF(E706="","",E706+IF(F706="",IFERROR(VLOOKUP(C706,Parametros!$E:$F,2,0),0),F706))</f>
        <v/>
      </c>
      <c r="M706" s="21">
        <f>IF(E706="","",IF(G706="",IF(TODAY()&gt;L706,"Atrasada","Em aberto"),IF(G706&lt;=L706,"No prazo","Com atraso")))</f>
        <v/>
      </c>
      <c r="N706" s="18">
        <f>IF(E706="","",MAX(0,IF(G706="",TODAY(),G706)-L706))</f>
        <v/>
      </c>
    </row>
    <row r="707">
      <c r="E707" s="22" t="n"/>
      <c r="G707" s="22" t="n"/>
      <c r="I707" s="22" t="n"/>
      <c r="L707" s="20">
        <f>IF(E707="","",E707+IF(F707="",IFERROR(VLOOKUP(C707,Parametros!$E:$F,2,0),0),F707))</f>
        <v/>
      </c>
      <c r="M707" s="21">
        <f>IF(E707="","",IF(G707="",IF(TODAY()&gt;L707,"Atrasada","Em aberto"),IF(G707&lt;=L707,"No prazo","Com atraso")))</f>
        <v/>
      </c>
      <c r="N707" s="18">
        <f>IF(E707="","",MAX(0,IF(G707="",TODAY(),G707)-L707))</f>
        <v/>
      </c>
    </row>
    <row r="708">
      <c r="E708" s="22" t="n"/>
      <c r="G708" s="22" t="n"/>
      <c r="I708" s="22" t="n"/>
      <c r="L708" s="20">
        <f>IF(E708="","",E708+IF(F708="",IFERROR(VLOOKUP(C708,Parametros!$E:$F,2,0),0),F708))</f>
        <v/>
      </c>
      <c r="M708" s="21">
        <f>IF(E708="","",IF(G708="",IF(TODAY()&gt;L708,"Atrasada","Em aberto"),IF(G708&lt;=L708,"No prazo","Com atraso")))</f>
        <v/>
      </c>
      <c r="N708" s="18">
        <f>IF(E708="","",MAX(0,IF(G708="",TODAY(),G708)-L708))</f>
        <v/>
      </c>
    </row>
    <row r="709">
      <c r="E709" s="22" t="n"/>
      <c r="G709" s="22" t="n"/>
      <c r="I709" s="22" t="n"/>
      <c r="L709" s="20">
        <f>IF(E709="","",E709+IF(F709="",IFERROR(VLOOKUP(C709,Parametros!$E:$F,2,0),0),F709))</f>
        <v/>
      </c>
      <c r="M709" s="21">
        <f>IF(E709="","",IF(G709="",IF(TODAY()&gt;L709,"Atrasada","Em aberto"),IF(G709&lt;=L709,"No prazo","Com atraso")))</f>
        <v/>
      </c>
      <c r="N709" s="18">
        <f>IF(E709="","",MAX(0,IF(G709="",TODAY(),G709)-L709))</f>
        <v/>
      </c>
    </row>
    <row r="710">
      <c r="E710" s="22" t="n"/>
      <c r="G710" s="22" t="n"/>
      <c r="I710" s="22" t="n"/>
      <c r="L710" s="20">
        <f>IF(E710="","",E710+IF(F710="",IFERROR(VLOOKUP(C710,Parametros!$E:$F,2,0),0),F710))</f>
        <v/>
      </c>
      <c r="M710" s="21">
        <f>IF(E710="","",IF(G710="",IF(TODAY()&gt;L710,"Atrasada","Em aberto"),IF(G710&lt;=L710,"No prazo","Com atraso")))</f>
        <v/>
      </c>
      <c r="N710" s="18">
        <f>IF(E710="","",MAX(0,IF(G710="",TODAY(),G710)-L710))</f>
        <v/>
      </c>
    </row>
    <row r="711">
      <c r="E711" s="22" t="n"/>
      <c r="G711" s="22" t="n"/>
      <c r="I711" s="22" t="n"/>
      <c r="L711" s="20">
        <f>IF(E711="","",E711+IF(F711="",IFERROR(VLOOKUP(C711,Parametros!$E:$F,2,0),0),F711))</f>
        <v/>
      </c>
      <c r="M711" s="21">
        <f>IF(E711="","",IF(G711="",IF(TODAY()&gt;L711,"Atrasada","Em aberto"),IF(G711&lt;=L711,"No prazo","Com atraso")))</f>
        <v/>
      </c>
      <c r="N711" s="18">
        <f>IF(E711="","",MAX(0,IF(G711="",TODAY(),G711)-L711))</f>
        <v/>
      </c>
    </row>
    <row r="712">
      <c r="E712" s="22" t="n"/>
      <c r="G712" s="22" t="n"/>
      <c r="I712" s="22" t="n"/>
      <c r="L712" s="20">
        <f>IF(E712="","",E712+IF(F712="",IFERROR(VLOOKUP(C712,Parametros!$E:$F,2,0),0),F712))</f>
        <v/>
      </c>
      <c r="M712" s="21">
        <f>IF(E712="","",IF(G712="",IF(TODAY()&gt;L712,"Atrasada","Em aberto"),IF(G712&lt;=L712,"No prazo","Com atraso")))</f>
        <v/>
      </c>
      <c r="N712" s="18">
        <f>IF(E712="","",MAX(0,IF(G712="",TODAY(),G712)-L712))</f>
        <v/>
      </c>
    </row>
    <row r="713">
      <c r="E713" s="22" t="n"/>
      <c r="G713" s="22" t="n"/>
      <c r="I713" s="22" t="n"/>
      <c r="L713" s="20">
        <f>IF(E713="","",E713+IF(F713="",IFERROR(VLOOKUP(C713,Parametros!$E:$F,2,0),0),F713))</f>
        <v/>
      </c>
      <c r="M713" s="21">
        <f>IF(E713="","",IF(G713="",IF(TODAY()&gt;L713,"Atrasada","Em aberto"),IF(G713&lt;=L713,"No prazo","Com atraso")))</f>
        <v/>
      </c>
      <c r="N713" s="18">
        <f>IF(E713="","",MAX(0,IF(G713="",TODAY(),G713)-L713))</f>
        <v/>
      </c>
    </row>
    <row r="714">
      <c r="E714" s="22" t="n"/>
      <c r="G714" s="22" t="n"/>
      <c r="I714" s="22" t="n"/>
      <c r="L714" s="20">
        <f>IF(E714="","",E714+IF(F714="",IFERROR(VLOOKUP(C714,Parametros!$E:$F,2,0),0),F714))</f>
        <v/>
      </c>
      <c r="M714" s="21">
        <f>IF(E714="","",IF(G714="",IF(TODAY()&gt;L714,"Atrasada","Em aberto"),IF(G714&lt;=L714,"No prazo","Com atraso")))</f>
        <v/>
      </c>
      <c r="N714" s="18">
        <f>IF(E714="","",MAX(0,IF(G714="",TODAY(),G714)-L714))</f>
        <v/>
      </c>
    </row>
    <row r="715">
      <c r="E715" s="22" t="n"/>
      <c r="G715" s="22" t="n"/>
      <c r="I715" s="22" t="n"/>
      <c r="L715" s="20">
        <f>IF(E715="","",E715+IF(F715="",IFERROR(VLOOKUP(C715,Parametros!$E:$F,2,0),0),F715))</f>
        <v/>
      </c>
      <c r="M715" s="21">
        <f>IF(E715="","",IF(G715="",IF(TODAY()&gt;L715,"Atrasada","Em aberto"),IF(G715&lt;=L715,"No prazo","Com atraso")))</f>
        <v/>
      </c>
      <c r="N715" s="18">
        <f>IF(E715="","",MAX(0,IF(G715="",TODAY(),G715)-L715))</f>
        <v/>
      </c>
    </row>
    <row r="716">
      <c r="E716" s="22" t="n"/>
      <c r="G716" s="22" t="n"/>
      <c r="I716" s="22" t="n"/>
      <c r="L716" s="20">
        <f>IF(E716="","",E716+IF(F716="",IFERROR(VLOOKUP(C716,Parametros!$E:$F,2,0),0),F716))</f>
        <v/>
      </c>
      <c r="M716" s="21">
        <f>IF(E716="","",IF(G716="",IF(TODAY()&gt;L716,"Atrasada","Em aberto"),IF(G716&lt;=L716,"No prazo","Com atraso")))</f>
        <v/>
      </c>
      <c r="N716" s="18">
        <f>IF(E716="","",MAX(0,IF(G716="",TODAY(),G716)-L716))</f>
        <v/>
      </c>
    </row>
    <row r="717">
      <c r="E717" s="22" t="n"/>
      <c r="G717" s="22" t="n"/>
      <c r="I717" s="22" t="n"/>
      <c r="L717" s="20">
        <f>IF(E717="","",E717+IF(F717="",IFERROR(VLOOKUP(C717,Parametros!$E:$F,2,0),0),F717))</f>
        <v/>
      </c>
      <c r="M717" s="21">
        <f>IF(E717="","",IF(G717="",IF(TODAY()&gt;L717,"Atrasada","Em aberto"),IF(G717&lt;=L717,"No prazo","Com atraso")))</f>
        <v/>
      </c>
      <c r="N717" s="18">
        <f>IF(E717="","",MAX(0,IF(G717="",TODAY(),G717)-L717))</f>
        <v/>
      </c>
    </row>
    <row r="718">
      <c r="E718" s="22" t="n"/>
      <c r="G718" s="22" t="n"/>
      <c r="I718" s="22" t="n"/>
      <c r="L718" s="20">
        <f>IF(E718="","",E718+IF(F718="",IFERROR(VLOOKUP(C718,Parametros!$E:$F,2,0),0),F718))</f>
        <v/>
      </c>
      <c r="M718" s="21">
        <f>IF(E718="","",IF(G718="",IF(TODAY()&gt;L718,"Atrasada","Em aberto"),IF(G718&lt;=L718,"No prazo","Com atraso")))</f>
        <v/>
      </c>
      <c r="N718" s="18">
        <f>IF(E718="","",MAX(0,IF(G718="",TODAY(),G718)-L718))</f>
        <v/>
      </c>
    </row>
    <row r="719">
      <c r="E719" s="22" t="n"/>
      <c r="G719" s="22" t="n"/>
      <c r="I719" s="22" t="n"/>
      <c r="L719" s="20">
        <f>IF(E719="","",E719+IF(F719="",IFERROR(VLOOKUP(C719,Parametros!$E:$F,2,0),0),F719))</f>
        <v/>
      </c>
      <c r="M719" s="21">
        <f>IF(E719="","",IF(G719="",IF(TODAY()&gt;L719,"Atrasada","Em aberto"),IF(G719&lt;=L719,"No prazo","Com atraso")))</f>
        <v/>
      </c>
      <c r="N719" s="18">
        <f>IF(E719="","",MAX(0,IF(G719="",TODAY(),G719)-L719))</f>
        <v/>
      </c>
    </row>
    <row r="720">
      <c r="E720" s="22" t="n"/>
      <c r="G720" s="22" t="n"/>
      <c r="I720" s="22" t="n"/>
      <c r="L720" s="20">
        <f>IF(E720="","",E720+IF(F720="",IFERROR(VLOOKUP(C720,Parametros!$E:$F,2,0),0),F720))</f>
        <v/>
      </c>
      <c r="M720" s="21">
        <f>IF(E720="","",IF(G720="",IF(TODAY()&gt;L720,"Atrasada","Em aberto"),IF(G720&lt;=L720,"No prazo","Com atraso")))</f>
        <v/>
      </c>
      <c r="N720" s="18">
        <f>IF(E720="","",MAX(0,IF(G720="",TODAY(),G720)-L720))</f>
        <v/>
      </c>
    </row>
    <row r="721">
      <c r="E721" s="22" t="n"/>
      <c r="G721" s="22" t="n"/>
      <c r="I721" s="22" t="n"/>
      <c r="L721" s="20">
        <f>IF(E721="","",E721+IF(F721="",IFERROR(VLOOKUP(C721,Parametros!$E:$F,2,0),0),F721))</f>
        <v/>
      </c>
      <c r="M721" s="21">
        <f>IF(E721="","",IF(G721="",IF(TODAY()&gt;L721,"Atrasada","Em aberto"),IF(G721&lt;=L721,"No prazo","Com atraso")))</f>
        <v/>
      </c>
      <c r="N721" s="18">
        <f>IF(E721="","",MAX(0,IF(G721="",TODAY(),G721)-L721))</f>
        <v/>
      </c>
    </row>
    <row r="722">
      <c r="E722" s="22" t="n"/>
      <c r="G722" s="22" t="n"/>
      <c r="I722" s="22" t="n"/>
      <c r="L722" s="20">
        <f>IF(E722="","",E722+IF(F722="",IFERROR(VLOOKUP(C722,Parametros!$E:$F,2,0),0),F722))</f>
        <v/>
      </c>
      <c r="M722" s="21">
        <f>IF(E722="","",IF(G722="",IF(TODAY()&gt;L722,"Atrasada","Em aberto"),IF(G722&lt;=L722,"No prazo","Com atraso")))</f>
        <v/>
      </c>
      <c r="N722" s="18">
        <f>IF(E722="","",MAX(0,IF(G722="",TODAY(),G722)-L722))</f>
        <v/>
      </c>
    </row>
    <row r="723">
      <c r="E723" s="22" t="n"/>
      <c r="G723" s="22" t="n"/>
      <c r="I723" s="22" t="n"/>
      <c r="L723" s="20">
        <f>IF(E723="","",E723+IF(F723="",IFERROR(VLOOKUP(C723,Parametros!$E:$F,2,0),0),F723))</f>
        <v/>
      </c>
      <c r="M723" s="21">
        <f>IF(E723="","",IF(G723="",IF(TODAY()&gt;L723,"Atrasada","Em aberto"),IF(G723&lt;=L723,"No prazo","Com atraso")))</f>
        <v/>
      </c>
      <c r="N723" s="18">
        <f>IF(E723="","",MAX(0,IF(G723="",TODAY(),G723)-L723))</f>
        <v/>
      </c>
    </row>
    <row r="724">
      <c r="E724" s="22" t="n"/>
      <c r="G724" s="22" t="n"/>
      <c r="I724" s="22" t="n"/>
      <c r="L724" s="20">
        <f>IF(E724="","",E724+IF(F724="",IFERROR(VLOOKUP(C724,Parametros!$E:$F,2,0),0),F724))</f>
        <v/>
      </c>
      <c r="M724" s="21">
        <f>IF(E724="","",IF(G724="",IF(TODAY()&gt;L724,"Atrasada","Em aberto"),IF(G724&lt;=L724,"No prazo","Com atraso")))</f>
        <v/>
      </c>
      <c r="N724" s="18">
        <f>IF(E724="","",MAX(0,IF(G724="",TODAY(),G724)-L724))</f>
        <v/>
      </c>
    </row>
    <row r="725">
      <c r="E725" s="22" t="n"/>
      <c r="G725" s="22" t="n"/>
      <c r="I725" s="22" t="n"/>
      <c r="L725" s="20">
        <f>IF(E725="","",E725+IF(F725="",IFERROR(VLOOKUP(C725,Parametros!$E:$F,2,0),0),F725))</f>
        <v/>
      </c>
      <c r="M725" s="21">
        <f>IF(E725="","",IF(G725="",IF(TODAY()&gt;L725,"Atrasada","Em aberto"),IF(G725&lt;=L725,"No prazo","Com atraso")))</f>
        <v/>
      </c>
      <c r="N725" s="18">
        <f>IF(E725="","",MAX(0,IF(G725="",TODAY(),G725)-L725))</f>
        <v/>
      </c>
    </row>
    <row r="726">
      <c r="E726" s="22" t="n"/>
      <c r="G726" s="22" t="n"/>
      <c r="I726" s="22" t="n"/>
      <c r="L726" s="20">
        <f>IF(E726="","",E726+IF(F726="",IFERROR(VLOOKUP(C726,Parametros!$E:$F,2,0),0),F726))</f>
        <v/>
      </c>
      <c r="M726" s="21">
        <f>IF(E726="","",IF(G726="",IF(TODAY()&gt;L726,"Atrasada","Em aberto"),IF(G726&lt;=L726,"No prazo","Com atraso")))</f>
        <v/>
      </c>
      <c r="N726" s="18">
        <f>IF(E726="","",MAX(0,IF(G726="",TODAY(),G726)-L726))</f>
        <v/>
      </c>
    </row>
    <row r="727">
      <c r="E727" s="22" t="n"/>
      <c r="G727" s="22" t="n"/>
      <c r="I727" s="22" t="n"/>
      <c r="L727" s="20">
        <f>IF(E727="","",E727+IF(F727="",IFERROR(VLOOKUP(C727,Parametros!$E:$F,2,0),0),F727))</f>
        <v/>
      </c>
      <c r="M727" s="21">
        <f>IF(E727="","",IF(G727="",IF(TODAY()&gt;L727,"Atrasada","Em aberto"),IF(G727&lt;=L727,"No prazo","Com atraso")))</f>
        <v/>
      </c>
      <c r="N727" s="18">
        <f>IF(E727="","",MAX(0,IF(G727="",TODAY(),G727)-L727))</f>
        <v/>
      </c>
    </row>
    <row r="728">
      <c r="E728" s="22" t="n"/>
      <c r="G728" s="22" t="n"/>
      <c r="I728" s="22" t="n"/>
      <c r="L728" s="20">
        <f>IF(E728="","",E728+IF(F728="",IFERROR(VLOOKUP(C728,Parametros!$E:$F,2,0),0),F728))</f>
        <v/>
      </c>
      <c r="M728" s="21">
        <f>IF(E728="","",IF(G728="",IF(TODAY()&gt;L728,"Atrasada","Em aberto"),IF(G728&lt;=L728,"No prazo","Com atraso")))</f>
        <v/>
      </c>
      <c r="N728" s="18">
        <f>IF(E728="","",MAX(0,IF(G728="",TODAY(),G728)-L728))</f>
        <v/>
      </c>
    </row>
    <row r="729">
      <c r="E729" s="22" t="n"/>
      <c r="G729" s="22" t="n"/>
      <c r="I729" s="22" t="n"/>
      <c r="L729" s="20">
        <f>IF(E729="","",E729+IF(F729="",IFERROR(VLOOKUP(C729,Parametros!$E:$F,2,0),0),F729))</f>
        <v/>
      </c>
      <c r="M729" s="21">
        <f>IF(E729="","",IF(G729="",IF(TODAY()&gt;L729,"Atrasada","Em aberto"),IF(G729&lt;=L729,"No prazo","Com atraso")))</f>
        <v/>
      </c>
      <c r="N729" s="18">
        <f>IF(E729="","",MAX(0,IF(G729="",TODAY(),G729)-L729))</f>
        <v/>
      </c>
    </row>
    <row r="730">
      <c r="E730" s="22" t="n"/>
      <c r="G730" s="22" t="n"/>
      <c r="I730" s="22" t="n"/>
      <c r="L730" s="20">
        <f>IF(E730="","",E730+IF(F730="",IFERROR(VLOOKUP(C730,Parametros!$E:$F,2,0),0),F730))</f>
        <v/>
      </c>
      <c r="M730" s="21">
        <f>IF(E730="","",IF(G730="",IF(TODAY()&gt;L730,"Atrasada","Em aberto"),IF(G730&lt;=L730,"No prazo","Com atraso")))</f>
        <v/>
      </c>
      <c r="N730" s="18">
        <f>IF(E730="","",MAX(0,IF(G730="",TODAY(),G730)-L730))</f>
        <v/>
      </c>
    </row>
    <row r="731">
      <c r="E731" s="22" t="n"/>
      <c r="G731" s="22" t="n"/>
      <c r="I731" s="22" t="n"/>
      <c r="L731" s="20">
        <f>IF(E731="","",E731+IF(F731="",IFERROR(VLOOKUP(C731,Parametros!$E:$F,2,0),0),F731))</f>
        <v/>
      </c>
      <c r="M731" s="21">
        <f>IF(E731="","",IF(G731="",IF(TODAY()&gt;L731,"Atrasada","Em aberto"),IF(G731&lt;=L731,"No prazo","Com atraso")))</f>
        <v/>
      </c>
      <c r="N731" s="18">
        <f>IF(E731="","",MAX(0,IF(G731="",TODAY(),G731)-L731))</f>
        <v/>
      </c>
    </row>
    <row r="732">
      <c r="E732" s="22" t="n"/>
      <c r="G732" s="22" t="n"/>
      <c r="I732" s="22" t="n"/>
      <c r="L732" s="20">
        <f>IF(E732="","",E732+IF(F732="",IFERROR(VLOOKUP(C732,Parametros!$E:$F,2,0),0),F732))</f>
        <v/>
      </c>
      <c r="M732" s="21">
        <f>IF(E732="","",IF(G732="",IF(TODAY()&gt;L732,"Atrasada","Em aberto"),IF(G732&lt;=L732,"No prazo","Com atraso")))</f>
        <v/>
      </c>
      <c r="N732" s="18">
        <f>IF(E732="","",MAX(0,IF(G732="",TODAY(),G732)-L732))</f>
        <v/>
      </c>
    </row>
    <row r="733">
      <c r="E733" s="22" t="n"/>
      <c r="G733" s="22" t="n"/>
      <c r="I733" s="22" t="n"/>
      <c r="L733" s="20">
        <f>IF(E733="","",E733+IF(F733="",IFERROR(VLOOKUP(C733,Parametros!$E:$F,2,0),0),F733))</f>
        <v/>
      </c>
      <c r="M733" s="21">
        <f>IF(E733="","",IF(G733="",IF(TODAY()&gt;L733,"Atrasada","Em aberto"),IF(G733&lt;=L733,"No prazo","Com atraso")))</f>
        <v/>
      </c>
      <c r="N733" s="18">
        <f>IF(E733="","",MAX(0,IF(G733="",TODAY(),G733)-L733))</f>
        <v/>
      </c>
    </row>
    <row r="734">
      <c r="E734" s="22" t="n"/>
      <c r="G734" s="22" t="n"/>
      <c r="I734" s="22" t="n"/>
      <c r="L734" s="20">
        <f>IF(E734="","",E734+IF(F734="",IFERROR(VLOOKUP(C734,Parametros!$E:$F,2,0),0),F734))</f>
        <v/>
      </c>
      <c r="M734" s="21">
        <f>IF(E734="","",IF(G734="",IF(TODAY()&gt;L734,"Atrasada","Em aberto"),IF(G734&lt;=L734,"No prazo","Com atraso")))</f>
        <v/>
      </c>
      <c r="N734" s="18">
        <f>IF(E734="","",MAX(0,IF(G734="",TODAY(),G734)-L734))</f>
        <v/>
      </c>
    </row>
    <row r="735">
      <c r="E735" s="22" t="n"/>
      <c r="G735" s="22" t="n"/>
      <c r="I735" s="22" t="n"/>
      <c r="L735" s="20">
        <f>IF(E735="","",E735+IF(F735="",IFERROR(VLOOKUP(C735,Parametros!$E:$F,2,0),0),F735))</f>
        <v/>
      </c>
      <c r="M735" s="21">
        <f>IF(E735="","",IF(G735="",IF(TODAY()&gt;L735,"Atrasada","Em aberto"),IF(G735&lt;=L735,"No prazo","Com atraso")))</f>
        <v/>
      </c>
      <c r="N735" s="18">
        <f>IF(E735="","",MAX(0,IF(G735="",TODAY(),G735)-L735))</f>
        <v/>
      </c>
    </row>
    <row r="736">
      <c r="E736" s="22" t="n"/>
      <c r="G736" s="22" t="n"/>
      <c r="I736" s="22" t="n"/>
      <c r="L736" s="20">
        <f>IF(E736="","",E736+IF(F736="",IFERROR(VLOOKUP(C736,Parametros!$E:$F,2,0),0),F736))</f>
        <v/>
      </c>
      <c r="M736" s="21">
        <f>IF(E736="","",IF(G736="",IF(TODAY()&gt;L736,"Atrasada","Em aberto"),IF(G736&lt;=L736,"No prazo","Com atraso")))</f>
        <v/>
      </c>
      <c r="N736" s="18">
        <f>IF(E736="","",MAX(0,IF(G736="",TODAY(),G736)-L736))</f>
        <v/>
      </c>
    </row>
    <row r="737">
      <c r="E737" s="22" t="n"/>
      <c r="G737" s="22" t="n"/>
      <c r="I737" s="22" t="n"/>
      <c r="L737" s="20">
        <f>IF(E737="","",E737+IF(F737="",IFERROR(VLOOKUP(C737,Parametros!$E:$F,2,0),0),F737))</f>
        <v/>
      </c>
      <c r="M737" s="21">
        <f>IF(E737="","",IF(G737="",IF(TODAY()&gt;L737,"Atrasada","Em aberto"),IF(G737&lt;=L737,"No prazo","Com atraso")))</f>
        <v/>
      </c>
      <c r="N737" s="18">
        <f>IF(E737="","",MAX(0,IF(G737="",TODAY(),G737)-L737))</f>
        <v/>
      </c>
    </row>
    <row r="738">
      <c r="E738" s="22" t="n"/>
      <c r="G738" s="22" t="n"/>
      <c r="I738" s="22" t="n"/>
      <c r="L738" s="20">
        <f>IF(E738="","",E738+IF(F738="",IFERROR(VLOOKUP(C738,Parametros!$E:$F,2,0),0),F738))</f>
        <v/>
      </c>
      <c r="M738" s="21">
        <f>IF(E738="","",IF(G738="",IF(TODAY()&gt;L738,"Atrasada","Em aberto"),IF(G738&lt;=L738,"No prazo","Com atraso")))</f>
        <v/>
      </c>
      <c r="N738" s="18">
        <f>IF(E738="","",MAX(0,IF(G738="",TODAY(),G738)-L738))</f>
        <v/>
      </c>
    </row>
    <row r="739">
      <c r="E739" s="22" t="n"/>
      <c r="G739" s="22" t="n"/>
      <c r="I739" s="22" t="n"/>
      <c r="L739" s="20">
        <f>IF(E739="","",E739+IF(F739="",IFERROR(VLOOKUP(C739,Parametros!$E:$F,2,0),0),F739))</f>
        <v/>
      </c>
      <c r="M739" s="21">
        <f>IF(E739="","",IF(G739="",IF(TODAY()&gt;L739,"Atrasada","Em aberto"),IF(G739&lt;=L739,"No prazo","Com atraso")))</f>
        <v/>
      </c>
      <c r="N739" s="18">
        <f>IF(E739="","",MAX(0,IF(G739="",TODAY(),G739)-L739))</f>
        <v/>
      </c>
    </row>
    <row r="740">
      <c r="E740" s="22" t="n"/>
      <c r="G740" s="22" t="n"/>
      <c r="I740" s="22" t="n"/>
      <c r="L740" s="20">
        <f>IF(E740="","",E740+IF(F740="",IFERROR(VLOOKUP(C740,Parametros!$E:$F,2,0),0),F740))</f>
        <v/>
      </c>
      <c r="M740" s="21">
        <f>IF(E740="","",IF(G740="",IF(TODAY()&gt;L740,"Atrasada","Em aberto"),IF(G740&lt;=L740,"No prazo","Com atraso")))</f>
        <v/>
      </c>
      <c r="N740" s="18">
        <f>IF(E740="","",MAX(0,IF(G740="",TODAY(),G740)-L740))</f>
        <v/>
      </c>
    </row>
    <row r="741">
      <c r="E741" s="22" t="n"/>
      <c r="G741" s="22" t="n"/>
      <c r="I741" s="22" t="n"/>
      <c r="L741" s="20">
        <f>IF(E741="","",E741+IF(F741="",IFERROR(VLOOKUP(C741,Parametros!$E:$F,2,0),0),F741))</f>
        <v/>
      </c>
      <c r="M741" s="21">
        <f>IF(E741="","",IF(G741="",IF(TODAY()&gt;L741,"Atrasada","Em aberto"),IF(G741&lt;=L741,"No prazo","Com atraso")))</f>
        <v/>
      </c>
      <c r="N741" s="18">
        <f>IF(E741="","",MAX(0,IF(G741="",TODAY(),G741)-L741))</f>
        <v/>
      </c>
    </row>
    <row r="742">
      <c r="E742" s="22" t="n"/>
      <c r="G742" s="22" t="n"/>
      <c r="I742" s="22" t="n"/>
      <c r="L742" s="20">
        <f>IF(E742="","",E742+IF(F742="",IFERROR(VLOOKUP(C742,Parametros!$E:$F,2,0),0),F742))</f>
        <v/>
      </c>
      <c r="M742" s="21">
        <f>IF(E742="","",IF(G742="",IF(TODAY()&gt;L742,"Atrasada","Em aberto"),IF(G742&lt;=L742,"No prazo","Com atraso")))</f>
        <v/>
      </c>
      <c r="N742" s="18">
        <f>IF(E742="","",MAX(0,IF(G742="",TODAY(),G742)-L742))</f>
        <v/>
      </c>
    </row>
    <row r="743">
      <c r="E743" s="22" t="n"/>
      <c r="G743" s="22" t="n"/>
      <c r="I743" s="22" t="n"/>
      <c r="L743" s="20">
        <f>IF(E743="","",E743+IF(F743="",IFERROR(VLOOKUP(C743,Parametros!$E:$F,2,0),0),F743))</f>
        <v/>
      </c>
      <c r="M743" s="21">
        <f>IF(E743="","",IF(G743="",IF(TODAY()&gt;L743,"Atrasada","Em aberto"),IF(G743&lt;=L743,"No prazo","Com atraso")))</f>
        <v/>
      </c>
      <c r="N743" s="18">
        <f>IF(E743="","",MAX(0,IF(G743="",TODAY(),G743)-L743))</f>
        <v/>
      </c>
    </row>
    <row r="744">
      <c r="E744" s="22" t="n"/>
      <c r="G744" s="22" t="n"/>
      <c r="I744" s="22" t="n"/>
      <c r="L744" s="20">
        <f>IF(E744="","",E744+IF(F744="",IFERROR(VLOOKUP(C744,Parametros!$E:$F,2,0),0),F744))</f>
        <v/>
      </c>
      <c r="M744" s="21">
        <f>IF(E744="","",IF(G744="",IF(TODAY()&gt;L744,"Atrasada","Em aberto"),IF(G744&lt;=L744,"No prazo","Com atraso")))</f>
        <v/>
      </c>
      <c r="N744" s="18">
        <f>IF(E744="","",MAX(0,IF(G744="",TODAY(),G744)-L744))</f>
        <v/>
      </c>
    </row>
    <row r="745">
      <c r="E745" s="22" t="n"/>
      <c r="G745" s="22" t="n"/>
      <c r="I745" s="22" t="n"/>
      <c r="L745" s="20">
        <f>IF(E745="","",E745+IF(F745="",IFERROR(VLOOKUP(C745,Parametros!$E:$F,2,0),0),F745))</f>
        <v/>
      </c>
      <c r="M745" s="21">
        <f>IF(E745="","",IF(G745="",IF(TODAY()&gt;L745,"Atrasada","Em aberto"),IF(G745&lt;=L745,"No prazo","Com atraso")))</f>
        <v/>
      </c>
      <c r="N745" s="18">
        <f>IF(E745="","",MAX(0,IF(G745="",TODAY(),G745)-L745))</f>
        <v/>
      </c>
    </row>
    <row r="746">
      <c r="E746" s="22" t="n"/>
      <c r="G746" s="22" t="n"/>
      <c r="I746" s="22" t="n"/>
      <c r="L746" s="20">
        <f>IF(E746="","",E746+IF(F746="",IFERROR(VLOOKUP(C746,Parametros!$E:$F,2,0),0),F746))</f>
        <v/>
      </c>
      <c r="M746" s="21">
        <f>IF(E746="","",IF(G746="",IF(TODAY()&gt;L746,"Atrasada","Em aberto"),IF(G746&lt;=L746,"No prazo","Com atraso")))</f>
        <v/>
      </c>
      <c r="N746" s="18">
        <f>IF(E746="","",MAX(0,IF(G746="",TODAY(),G746)-L746))</f>
        <v/>
      </c>
    </row>
    <row r="747">
      <c r="E747" s="22" t="n"/>
      <c r="G747" s="22" t="n"/>
      <c r="I747" s="22" t="n"/>
      <c r="L747" s="20">
        <f>IF(E747="","",E747+IF(F747="",IFERROR(VLOOKUP(C747,Parametros!$E:$F,2,0),0),F747))</f>
        <v/>
      </c>
      <c r="M747" s="21">
        <f>IF(E747="","",IF(G747="",IF(TODAY()&gt;L747,"Atrasada","Em aberto"),IF(G747&lt;=L747,"No prazo","Com atraso")))</f>
        <v/>
      </c>
      <c r="N747" s="18">
        <f>IF(E747="","",MAX(0,IF(G747="",TODAY(),G747)-L747))</f>
        <v/>
      </c>
    </row>
    <row r="748">
      <c r="E748" s="22" t="n"/>
      <c r="G748" s="22" t="n"/>
      <c r="I748" s="22" t="n"/>
      <c r="L748" s="20">
        <f>IF(E748="","",E748+IF(F748="",IFERROR(VLOOKUP(C748,Parametros!$E:$F,2,0),0),F748))</f>
        <v/>
      </c>
      <c r="M748" s="21">
        <f>IF(E748="","",IF(G748="",IF(TODAY()&gt;L748,"Atrasada","Em aberto"),IF(G748&lt;=L748,"No prazo","Com atraso")))</f>
        <v/>
      </c>
      <c r="N748" s="18">
        <f>IF(E748="","",MAX(0,IF(G748="",TODAY(),G748)-L748))</f>
        <v/>
      </c>
    </row>
    <row r="749">
      <c r="E749" s="22" t="n"/>
      <c r="G749" s="22" t="n"/>
      <c r="I749" s="22" t="n"/>
      <c r="L749" s="20">
        <f>IF(E749="","",E749+IF(F749="",IFERROR(VLOOKUP(C749,Parametros!$E:$F,2,0),0),F749))</f>
        <v/>
      </c>
      <c r="M749" s="21">
        <f>IF(E749="","",IF(G749="",IF(TODAY()&gt;L749,"Atrasada","Em aberto"),IF(G749&lt;=L749,"No prazo","Com atraso")))</f>
        <v/>
      </c>
      <c r="N749" s="18">
        <f>IF(E749="","",MAX(0,IF(G749="",TODAY(),G749)-L749))</f>
        <v/>
      </c>
    </row>
    <row r="750">
      <c r="E750" s="22" t="n"/>
      <c r="G750" s="22" t="n"/>
      <c r="I750" s="22" t="n"/>
      <c r="L750" s="20">
        <f>IF(E750="","",E750+IF(F750="",IFERROR(VLOOKUP(C750,Parametros!$E:$F,2,0),0),F750))</f>
        <v/>
      </c>
      <c r="M750" s="21">
        <f>IF(E750="","",IF(G750="",IF(TODAY()&gt;L750,"Atrasada","Em aberto"),IF(G750&lt;=L750,"No prazo","Com atraso")))</f>
        <v/>
      </c>
      <c r="N750" s="18">
        <f>IF(E750="","",MAX(0,IF(G750="",TODAY(),G750)-L750))</f>
        <v/>
      </c>
    </row>
    <row r="751">
      <c r="E751" s="22" t="n"/>
      <c r="G751" s="22" t="n"/>
      <c r="I751" s="22" t="n"/>
      <c r="L751" s="20">
        <f>IF(E751="","",E751+IF(F751="",IFERROR(VLOOKUP(C751,Parametros!$E:$F,2,0),0),F751))</f>
        <v/>
      </c>
      <c r="M751" s="21">
        <f>IF(E751="","",IF(G751="",IF(TODAY()&gt;L751,"Atrasada","Em aberto"),IF(G751&lt;=L751,"No prazo","Com atraso")))</f>
        <v/>
      </c>
      <c r="N751" s="18">
        <f>IF(E751="","",MAX(0,IF(G751="",TODAY(),G751)-L751))</f>
        <v/>
      </c>
    </row>
    <row r="752">
      <c r="E752" s="22" t="n"/>
      <c r="G752" s="22" t="n"/>
      <c r="I752" s="22" t="n"/>
      <c r="L752" s="20">
        <f>IF(E752="","",E752+IF(F752="",IFERROR(VLOOKUP(C752,Parametros!$E:$F,2,0),0),F752))</f>
        <v/>
      </c>
      <c r="M752" s="21">
        <f>IF(E752="","",IF(G752="",IF(TODAY()&gt;L752,"Atrasada","Em aberto"),IF(G752&lt;=L752,"No prazo","Com atraso")))</f>
        <v/>
      </c>
      <c r="N752" s="18">
        <f>IF(E752="","",MAX(0,IF(G752="",TODAY(),G752)-L752))</f>
        <v/>
      </c>
    </row>
    <row r="753">
      <c r="E753" s="22" t="n"/>
      <c r="G753" s="22" t="n"/>
      <c r="I753" s="22" t="n"/>
      <c r="L753" s="20">
        <f>IF(E753="","",E753+IF(F753="",IFERROR(VLOOKUP(C753,Parametros!$E:$F,2,0),0),F753))</f>
        <v/>
      </c>
      <c r="M753" s="21">
        <f>IF(E753="","",IF(G753="",IF(TODAY()&gt;L753,"Atrasada","Em aberto"),IF(G753&lt;=L753,"No prazo","Com atraso")))</f>
        <v/>
      </c>
      <c r="N753" s="18">
        <f>IF(E753="","",MAX(0,IF(G753="",TODAY(),G753)-L753))</f>
        <v/>
      </c>
    </row>
    <row r="754">
      <c r="E754" s="22" t="n"/>
      <c r="G754" s="22" t="n"/>
      <c r="I754" s="22" t="n"/>
      <c r="L754" s="20">
        <f>IF(E754="","",E754+IF(F754="",IFERROR(VLOOKUP(C754,Parametros!$E:$F,2,0),0),F754))</f>
        <v/>
      </c>
      <c r="M754" s="21">
        <f>IF(E754="","",IF(G754="",IF(TODAY()&gt;L754,"Atrasada","Em aberto"),IF(G754&lt;=L754,"No prazo","Com atraso")))</f>
        <v/>
      </c>
      <c r="N754" s="18">
        <f>IF(E754="","",MAX(0,IF(G754="",TODAY(),G754)-L754))</f>
        <v/>
      </c>
    </row>
    <row r="755">
      <c r="E755" s="22" t="n"/>
      <c r="G755" s="22" t="n"/>
      <c r="I755" s="22" t="n"/>
      <c r="L755" s="20">
        <f>IF(E755="","",E755+IF(F755="",IFERROR(VLOOKUP(C755,Parametros!$E:$F,2,0),0),F755))</f>
        <v/>
      </c>
      <c r="M755" s="21">
        <f>IF(E755="","",IF(G755="",IF(TODAY()&gt;L755,"Atrasada","Em aberto"),IF(G755&lt;=L755,"No prazo","Com atraso")))</f>
        <v/>
      </c>
      <c r="N755" s="18">
        <f>IF(E755="","",MAX(0,IF(G755="",TODAY(),G755)-L755))</f>
        <v/>
      </c>
    </row>
    <row r="756">
      <c r="E756" s="22" t="n"/>
      <c r="G756" s="22" t="n"/>
      <c r="I756" s="22" t="n"/>
      <c r="L756" s="20">
        <f>IF(E756="","",E756+IF(F756="",IFERROR(VLOOKUP(C756,Parametros!$E:$F,2,0),0),F756))</f>
        <v/>
      </c>
      <c r="M756" s="21">
        <f>IF(E756="","",IF(G756="",IF(TODAY()&gt;L756,"Atrasada","Em aberto"),IF(G756&lt;=L756,"No prazo","Com atraso")))</f>
        <v/>
      </c>
      <c r="N756" s="18">
        <f>IF(E756="","",MAX(0,IF(G756="",TODAY(),G756)-L756))</f>
        <v/>
      </c>
    </row>
    <row r="757">
      <c r="E757" s="22" t="n"/>
      <c r="G757" s="22" t="n"/>
      <c r="I757" s="22" t="n"/>
      <c r="L757" s="20">
        <f>IF(E757="","",E757+IF(F757="",IFERROR(VLOOKUP(C757,Parametros!$E:$F,2,0),0),F757))</f>
        <v/>
      </c>
      <c r="M757" s="21">
        <f>IF(E757="","",IF(G757="",IF(TODAY()&gt;L757,"Atrasada","Em aberto"),IF(G757&lt;=L757,"No prazo","Com atraso")))</f>
        <v/>
      </c>
      <c r="N757" s="18">
        <f>IF(E757="","",MAX(0,IF(G757="",TODAY(),G757)-L757))</f>
        <v/>
      </c>
    </row>
    <row r="758">
      <c r="E758" s="22" t="n"/>
      <c r="G758" s="22" t="n"/>
      <c r="I758" s="22" t="n"/>
      <c r="L758" s="20">
        <f>IF(E758="","",E758+IF(F758="",IFERROR(VLOOKUP(C758,Parametros!$E:$F,2,0),0),F758))</f>
        <v/>
      </c>
      <c r="M758" s="21">
        <f>IF(E758="","",IF(G758="",IF(TODAY()&gt;L758,"Atrasada","Em aberto"),IF(G758&lt;=L758,"No prazo","Com atraso")))</f>
        <v/>
      </c>
      <c r="N758" s="18">
        <f>IF(E758="","",MAX(0,IF(G758="",TODAY(),G758)-L758))</f>
        <v/>
      </c>
    </row>
    <row r="759">
      <c r="E759" s="22" t="n"/>
      <c r="G759" s="22" t="n"/>
      <c r="I759" s="22" t="n"/>
      <c r="L759" s="20">
        <f>IF(E759="","",E759+IF(F759="",IFERROR(VLOOKUP(C759,Parametros!$E:$F,2,0),0),F759))</f>
        <v/>
      </c>
      <c r="M759" s="21">
        <f>IF(E759="","",IF(G759="",IF(TODAY()&gt;L759,"Atrasada","Em aberto"),IF(G759&lt;=L759,"No prazo","Com atraso")))</f>
        <v/>
      </c>
      <c r="N759" s="18">
        <f>IF(E759="","",MAX(0,IF(G759="",TODAY(),G759)-L759))</f>
        <v/>
      </c>
    </row>
    <row r="760">
      <c r="E760" s="22" t="n"/>
      <c r="G760" s="22" t="n"/>
      <c r="I760" s="22" t="n"/>
      <c r="L760" s="20">
        <f>IF(E760="","",E760+IF(F760="",IFERROR(VLOOKUP(C760,Parametros!$E:$F,2,0),0),F760))</f>
        <v/>
      </c>
      <c r="M760" s="21">
        <f>IF(E760="","",IF(G760="",IF(TODAY()&gt;L760,"Atrasada","Em aberto"),IF(G760&lt;=L760,"No prazo","Com atraso")))</f>
        <v/>
      </c>
      <c r="N760" s="18">
        <f>IF(E760="","",MAX(0,IF(G760="",TODAY(),G760)-L760))</f>
        <v/>
      </c>
    </row>
    <row r="761">
      <c r="E761" s="22" t="n"/>
      <c r="G761" s="22" t="n"/>
      <c r="I761" s="22" t="n"/>
      <c r="L761" s="20">
        <f>IF(E761="","",E761+IF(F761="",IFERROR(VLOOKUP(C761,Parametros!$E:$F,2,0),0),F761))</f>
        <v/>
      </c>
      <c r="M761" s="21">
        <f>IF(E761="","",IF(G761="",IF(TODAY()&gt;L761,"Atrasada","Em aberto"),IF(G761&lt;=L761,"No prazo","Com atraso")))</f>
        <v/>
      </c>
      <c r="N761" s="18">
        <f>IF(E761="","",MAX(0,IF(G761="",TODAY(),G761)-L761))</f>
        <v/>
      </c>
    </row>
    <row r="762">
      <c r="E762" s="22" t="n"/>
      <c r="G762" s="22" t="n"/>
      <c r="I762" s="22" t="n"/>
      <c r="L762" s="20">
        <f>IF(E762="","",E762+IF(F762="",IFERROR(VLOOKUP(C762,Parametros!$E:$F,2,0),0),F762))</f>
        <v/>
      </c>
      <c r="M762" s="21">
        <f>IF(E762="","",IF(G762="",IF(TODAY()&gt;L762,"Atrasada","Em aberto"),IF(G762&lt;=L762,"No prazo","Com atraso")))</f>
        <v/>
      </c>
      <c r="N762" s="18">
        <f>IF(E762="","",MAX(0,IF(G762="",TODAY(),G762)-L762))</f>
        <v/>
      </c>
    </row>
    <row r="763">
      <c r="E763" s="22" t="n"/>
      <c r="G763" s="22" t="n"/>
      <c r="I763" s="22" t="n"/>
      <c r="L763" s="20">
        <f>IF(E763="","",E763+IF(F763="",IFERROR(VLOOKUP(C763,Parametros!$E:$F,2,0),0),F763))</f>
        <v/>
      </c>
      <c r="M763" s="21">
        <f>IF(E763="","",IF(G763="",IF(TODAY()&gt;L763,"Atrasada","Em aberto"),IF(G763&lt;=L763,"No prazo","Com atraso")))</f>
        <v/>
      </c>
      <c r="N763" s="18">
        <f>IF(E763="","",MAX(0,IF(G763="",TODAY(),G763)-L763))</f>
        <v/>
      </c>
    </row>
    <row r="764">
      <c r="E764" s="22" t="n"/>
      <c r="G764" s="22" t="n"/>
      <c r="I764" s="22" t="n"/>
      <c r="L764" s="20">
        <f>IF(E764="","",E764+IF(F764="",IFERROR(VLOOKUP(C764,Parametros!$E:$F,2,0),0),F764))</f>
        <v/>
      </c>
      <c r="M764" s="21">
        <f>IF(E764="","",IF(G764="",IF(TODAY()&gt;L764,"Atrasada","Em aberto"),IF(G764&lt;=L764,"No prazo","Com atraso")))</f>
        <v/>
      </c>
      <c r="N764" s="18">
        <f>IF(E764="","",MAX(0,IF(G764="",TODAY(),G764)-L764))</f>
        <v/>
      </c>
    </row>
    <row r="765">
      <c r="E765" s="22" t="n"/>
      <c r="G765" s="22" t="n"/>
      <c r="I765" s="22" t="n"/>
      <c r="L765" s="20">
        <f>IF(E765="","",E765+IF(F765="",IFERROR(VLOOKUP(C765,Parametros!$E:$F,2,0),0),F765))</f>
        <v/>
      </c>
      <c r="M765" s="21">
        <f>IF(E765="","",IF(G765="",IF(TODAY()&gt;L765,"Atrasada","Em aberto"),IF(G765&lt;=L765,"No prazo","Com atraso")))</f>
        <v/>
      </c>
      <c r="N765" s="18">
        <f>IF(E765="","",MAX(0,IF(G765="",TODAY(),G765)-L765))</f>
        <v/>
      </c>
    </row>
    <row r="766">
      <c r="E766" s="22" t="n"/>
      <c r="G766" s="22" t="n"/>
      <c r="I766" s="22" t="n"/>
      <c r="L766" s="20">
        <f>IF(E766="","",E766+IF(F766="",IFERROR(VLOOKUP(C766,Parametros!$E:$F,2,0),0),F766))</f>
        <v/>
      </c>
      <c r="M766" s="21">
        <f>IF(E766="","",IF(G766="",IF(TODAY()&gt;L766,"Atrasada","Em aberto"),IF(G766&lt;=L766,"No prazo","Com atraso")))</f>
        <v/>
      </c>
      <c r="N766" s="18">
        <f>IF(E766="","",MAX(0,IF(G766="",TODAY(),G766)-L766))</f>
        <v/>
      </c>
    </row>
    <row r="767">
      <c r="E767" s="22" t="n"/>
      <c r="G767" s="22" t="n"/>
      <c r="I767" s="22" t="n"/>
      <c r="L767" s="20">
        <f>IF(E767="","",E767+IF(F767="",IFERROR(VLOOKUP(C767,Parametros!$E:$F,2,0),0),F767))</f>
        <v/>
      </c>
      <c r="M767" s="21">
        <f>IF(E767="","",IF(G767="",IF(TODAY()&gt;L767,"Atrasada","Em aberto"),IF(G767&lt;=L767,"No prazo","Com atraso")))</f>
        <v/>
      </c>
      <c r="N767" s="18">
        <f>IF(E767="","",MAX(0,IF(G767="",TODAY(),G767)-L767))</f>
        <v/>
      </c>
    </row>
    <row r="768">
      <c r="E768" s="22" t="n"/>
      <c r="G768" s="22" t="n"/>
      <c r="I768" s="22" t="n"/>
      <c r="L768" s="20">
        <f>IF(E768="","",E768+IF(F768="",IFERROR(VLOOKUP(C768,Parametros!$E:$F,2,0),0),F768))</f>
        <v/>
      </c>
      <c r="M768" s="21">
        <f>IF(E768="","",IF(G768="",IF(TODAY()&gt;L768,"Atrasada","Em aberto"),IF(G768&lt;=L768,"No prazo","Com atraso")))</f>
        <v/>
      </c>
      <c r="N768" s="18">
        <f>IF(E768="","",MAX(0,IF(G768="",TODAY(),G768)-L768))</f>
        <v/>
      </c>
    </row>
    <row r="769">
      <c r="E769" s="22" t="n"/>
      <c r="G769" s="22" t="n"/>
      <c r="I769" s="22" t="n"/>
      <c r="L769" s="20">
        <f>IF(E769="","",E769+IF(F769="",IFERROR(VLOOKUP(C769,Parametros!$E:$F,2,0),0),F769))</f>
        <v/>
      </c>
      <c r="M769" s="21">
        <f>IF(E769="","",IF(G769="",IF(TODAY()&gt;L769,"Atrasada","Em aberto"),IF(G769&lt;=L769,"No prazo","Com atraso")))</f>
        <v/>
      </c>
      <c r="N769" s="18">
        <f>IF(E769="","",MAX(0,IF(G769="",TODAY(),G769)-L769))</f>
        <v/>
      </c>
    </row>
    <row r="770">
      <c r="E770" s="22" t="n"/>
      <c r="G770" s="22" t="n"/>
      <c r="I770" s="22" t="n"/>
      <c r="L770" s="20">
        <f>IF(E770="","",E770+IF(F770="",IFERROR(VLOOKUP(C770,Parametros!$E:$F,2,0),0),F770))</f>
        <v/>
      </c>
      <c r="M770" s="21">
        <f>IF(E770="","",IF(G770="",IF(TODAY()&gt;L770,"Atrasada","Em aberto"),IF(G770&lt;=L770,"No prazo","Com atraso")))</f>
        <v/>
      </c>
      <c r="N770" s="18">
        <f>IF(E770="","",MAX(0,IF(G770="",TODAY(),G770)-L770))</f>
        <v/>
      </c>
    </row>
    <row r="771">
      <c r="E771" s="22" t="n"/>
      <c r="G771" s="22" t="n"/>
      <c r="I771" s="22" t="n"/>
      <c r="L771" s="20">
        <f>IF(E771="","",E771+IF(F771="",IFERROR(VLOOKUP(C771,Parametros!$E:$F,2,0),0),F771))</f>
        <v/>
      </c>
      <c r="M771" s="21">
        <f>IF(E771="","",IF(G771="",IF(TODAY()&gt;L771,"Atrasada","Em aberto"),IF(G771&lt;=L771,"No prazo","Com atraso")))</f>
        <v/>
      </c>
      <c r="N771" s="18">
        <f>IF(E771="","",MAX(0,IF(G771="",TODAY(),G771)-L771))</f>
        <v/>
      </c>
    </row>
    <row r="772">
      <c r="E772" s="22" t="n"/>
      <c r="G772" s="22" t="n"/>
      <c r="I772" s="22" t="n"/>
      <c r="L772" s="20">
        <f>IF(E772="","",E772+IF(F772="",IFERROR(VLOOKUP(C772,Parametros!$E:$F,2,0),0),F772))</f>
        <v/>
      </c>
      <c r="M772" s="21">
        <f>IF(E772="","",IF(G772="",IF(TODAY()&gt;L772,"Atrasada","Em aberto"),IF(G772&lt;=L772,"No prazo","Com atraso")))</f>
        <v/>
      </c>
      <c r="N772" s="18">
        <f>IF(E772="","",MAX(0,IF(G772="",TODAY(),G772)-L772))</f>
        <v/>
      </c>
    </row>
    <row r="773">
      <c r="E773" s="22" t="n"/>
      <c r="G773" s="22" t="n"/>
      <c r="I773" s="22" t="n"/>
      <c r="L773" s="20">
        <f>IF(E773="","",E773+IF(F773="",IFERROR(VLOOKUP(C773,Parametros!$E:$F,2,0),0),F773))</f>
        <v/>
      </c>
      <c r="M773" s="21">
        <f>IF(E773="","",IF(G773="",IF(TODAY()&gt;L773,"Atrasada","Em aberto"),IF(G773&lt;=L773,"No prazo","Com atraso")))</f>
        <v/>
      </c>
      <c r="N773" s="18">
        <f>IF(E773="","",MAX(0,IF(G773="",TODAY(),G773)-L773))</f>
        <v/>
      </c>
    </row>
    <row r="774">
      <c r="E774" s="22" t="n"/>
      <c r="G774" s="22" t="n"/>
      <c r="I774" s="22" t="n"/>
      <c r="L774" s="20">
        <f>IF(E774="","",E774+IF(F774="",IFERROR(VLOOKUP(C774,Parametros!$E:$F,2,0),0),F774))</f>
        <v/>
      </c>
      <c r="M774" s="21">
        <f>IF(E774="","",IF(G774="",IF(TODAY()&gt;L774,"Atrasada","Em aberto"),IF(G774&lt;=L774,"No prazo","Com atraso")))</f>
        <v/>
      </c>
      <c r="N774" s="18">
        <f>IF(E774="","",MAX(0,IF(G774="",TODAY(),G774)-L774))</f>
        <v/>
      </c>
    </row>
    <row r="775">
      <c r="E775" s="22" t="n"/>
      <c r="G775" s="22" t="n"/>
      <c r="I775" s="22" t="n"/>
      <c r="L775" s="20">
        <f>IF(E775="","",E775+IF(F775="",IFERROR(VLOOKUP(C775,Parametros!$E:$F,2,0),0),F775))</f>
        <v/>
      </c>
      <c r="M775" s="21">
        <f>IF(E775="","",IF(G775="",IF(TODAY()&gt;L775,"Atrasada","Em aberto"),IF(G775&lt;=L775,"No prazo","Com atraso")))</f>
        <v/>
      </c>
      <c r="N775" s="18">
        <f>IF(E775="","",MAX(0,IF(G775="",TODAY(),G775)-L775))</f>
        <v/>
      </c>
    </row>
    <row r="776">
      <c r="E776" s="22" t="n"/>
      <c r="G776" s="22" t="n"/>
      <c r="I776" s="22" t="n"/>
      <c r="L776" s="20">
        <f>IF(E776="","",E776+IF(F776="",IFERROR(VLOOKUP(C776,Parametros!$E:$F,2,0),0),F776))</f>
        <v/>
      </c>
      <c r="M776" s="21">
        <f>IF(E776="","",IF(G776="",IF(TODAY()&gt;L776,"Atrasada","Em aberto"),IF(G776&lt;=L776,"No prazo","Com atraso")))</f>
        <v/>
      </c>
      <c r="N776" s="18">
        <f>IF(E776="","",MAX(0,IF(G776="",TODAY(),G776)-L776))</f>
        <v/>
      </c>
    </row>
    <row r="777">
      <c r="E777" s="22" t="n"/>
      <c r="G777" s="22" t="n"/>
      <c r="I777" s="22" t="n"/>
      <c r="L777" s="20">
        <f>IF(E777="","",E777+IF(F777="",IFERROR(VLOOKUP(C777,Parametros!$E:$F,2,0),0),F777))</f>
        <v/>
      </c>
      <c r="M777" s="21">
        <f>IF(E777="","",IF(G777="",IF(TODAY()&gt;L777,"Atrasada","Em aberto"),IF(G777&lt;=L777,"No prazo","Com atraso")))</f>
        <v/>
      </c>
      <c r="N777" s="18">
        <f>IF(E777="","",MAX(0,IF(G777="",TODAY(),G777)-L777))</f>
        <v/>
      </c>
    </row>
    <row r="778">
      <c r="E778" s="22" t="n"/>
      <c r="G778" s="22" t="n"/>
      <c r="I778" s="22" t="n"/>
      <c r="L778" s="20">
        <f>IF(E778="","",E778+IF(F778="",IFERROR(VLOOKUP(C778,Parametros!$E:$F,2,0),0),F778))</f>
        <v/>
      </c>
      <c r="M778" s="21">
        <f>IF(E778="","",IF(G778="",IF(TODAY()&gt;L778,"Atrasada","Em aberto"),IF(G778&lt;=L778,"No prazo","Com atraso")))</f>
        <v/>
      </c>
      <c r="N778" s="18">
        <f>IF(E778="","",MAX(0,IF(G778="",TODAY(),G778)-L778))</f>
        <v/>
      </c>
    </row>
    <row r="779">
      <c r="E779" s="22" t="n"/>
      <c r="G779" s="22" t="n"/>
      <c r="I779" s="22" t="n"/>
      <c r="L779" s="20">
        <f>IF(E779="","",E779+IF(F779="",IFERROR(VLOOKUP(C779,Parametros!$E:$F,2,0),0),F779))</f>
        <v/>
      </c>
      <c r="M779" s="21">
        <f>IF(E779="","",IF(G779="",IF(TODAY()&gt;L779,"Atrasada","Em aberto"),IF(G779&lt;=L779,"No prazo","Com atraso")))</f>
        <v/>
      </c>
      <c r="N779" s="18">
        <f>IF(E779="","",MAX(0,IF(G779="",TODAY(),G779)-L779))</f>
        <v/>
      </c>
    </row>
    <row r="780">
      <c r="E780" s="22" t="n"/>
      <c r="G780" s="22" t="n"/>
      <c r="I780" s="22" t="n"/>
      <c r="L780" s="20">
        <f>IF(E780="","",E780+IF(F780="",IFERROR(VLOOKUP(C780,Parametros!$E:$F,2,0),0),F780))</f>
        <v/>
      </c>
      <c r="M780" s="21">
        <f>IF(E780="","",IF(G780="",IF(TODAY()&gt;L780,"Atrasada","Em aberto"),IF(G780&lt;=L780,"No prazo","Com atraso")))</f>
        <v/>
      </c>
      <c r="N780" s="18">
        <f>IF(E780="","",MAX(0,IF(G780="",TODAY(),G780)-L780))</f>
        <v/>
      </c>
    </row>
    <row r="781">
      <c r="E781" s="22" t="n"/>
      <c r="G781" s="22" t="n"/>
      <c r="I781" s="22" t="n"/>
      <c r="L781" s="20">
        <f>IF(E781="","",E781+IF(F781="",IFERROR(VLOOKUP(C781,Parametros!$E:$F,2,0),0),F781))</f>
        <v/>
      </c>
      <c r="M781" s="21">
        <f>IF(E781="","",IF(G781="",IF(TODAY()&gt;L781,"Atrasada","Em aberto"),IF(G781&lt;=L781,"No prazo","Com atraso")))</f>
        <v/>
      </c>
      <c r="N781" s="18">
        <f>IF(E781="","",MAX(0,IF(G781="",TODAY(),G781)-L781))</f>
        <v/>
      </c>
    </row>
    <row r="782">
      <c r="E782" s="22" t="n"/>
      <c r="G782" s="22" t="n"/>
      <c r="I782" s="22" t="n"/>
      <c r="L782" s="20">
        <f>IF(E782="","",E782+IF(F782="",IFERROR(VLOOKUP(C782,Parametros!$E:$F,2,0),0),F782))</f>
        <v/>
      </c>
      <c r="M782" s="21">
        <f>IF(E782="","",IF(G782="",IF(TODAY()&gt;L782,"Atrasada","Em aberto"),IF(G782&lt;=L782,"No prazo","Com atraso")))</f>
        <v/>
      </c>
      <c r="N782" s="18">
        <f>IF(E782="","",MAX(0,IF(G782="",TODAY(),G782)-L782))</f>
        <v/>
      </c>
    </row>
    <row r="783">
      <c r="E783" s="22" t="n"/>
      <c r="G783" s="22" t="n"/>
      <c r="I783" s="22" t="n"/>
      <c r="L783" s="20">
        <f>IF(E783="","",E783+IF(F783="",IFERROR(VLOOKUP(C783,Parametros!$E:$F,2,0),0),F783))</f>
        <v/>
      </c>
      <c r="M783" s="21">
        <f>IF(E783="","",IF(G783="",IF(TODAY()&gt;L783,"Atrasada","Em aberto"),IF(G783&lt;=L783,"No prazo","Com atraso")))</f>
        <v/>
      </c>
      <c r="N783" s="18">
        <f>IF(E783="","",MAX(0,IF(G783="",TODAY(),G783)-L783))</f>
        <v/>
      </c>
    </row>
    <row r="784">
      <c r="E784" s="22" t="n"/>
      <c r="G784" s="22" t="n"/>
      <c r="I784" s="22" t="n"/>
      <c r="L784" s="20">
        <f>IF(E784="","",E784+IF(F784="",IFERROR(VLOOKUP(C784,Parametros!$E:$F,2,0),0),F784))</f>
        <v/>
      </c>
      <c r="M784" s="21">
        <f>IF(E784="","",IF(G784="",IF(TODAY()&gt;L784,"Atrasada","Em aberto"),IF(G784&lt;=L784,"No prazo","Com atraso")))</f>
        <v/>
      </c>
      <c r="N784" s="18">
        <f>IF(E784="","",MAX(0,IF(G784="",TODAY(),G784)-L784))</f>
        <v/>
      </c>
    </row>
    <row r="785">
      <c r="E785" s="22" t="n"/>
      <c r="G785" s="22" t="n"/>
      <c r="I785" s="22" t="n"/>
      <c r="L785" s="20">
        <f>IF(E785="","",E785+IF(F785="",IFERROR(VLOOKUP(C785,Parametros!$E:$F,2,0),0),F785))</f>
        <v/>
      </c>
      <c r="M785" s="21">
        <f>IF(E785="","",IF(G785="",IF(TODAY()&gt;L785,"Atrasada","Em aberto"),IF(G785&lt;=L785,"No prazo","Com atraso")))</f>
        <v/>
      </c>
      <c r="N785" s="18">
        <f>IF(E785="","",MAX(0,IF(G785="",TODAY(),G785)-L785))</f>
        <v/>
      </c>
    </row>
    <row r="786">
      <c r="E786" s="22" t="n"/>
      <c r="G786" s="22" t="n"/>
      <c r="I786" s="22" t="n"/>
      <c r="L786" s="20">
        <f>IF(E786="","",E786+IF(F786="",IFERROR(VLOOKUP(C786,Parametros!$E:$F,2,0),0),F786))</f>
        <v/>
      </c>
      <c r="M786" s="21">
        <f>IF(E786="","",IF(G786="",IF(TODAY()&gt;L786,"Atrasada","Em aberto"),IF(G786&lt;=L786,"No prazo","Com atraso")))</f>
        <v/>
      </c>
      <c r="N786" s="18">
        <f>IF(E786="","",MAX(0,IF(G786="",TODAY(),G786)-L786))</f>
        <v/>
      </c>
    </row>
    <row r="787">
      <c r="E787" s="22" t="n"/>
      <c r="G787" s="22" t="n"/>
      <c r="I787" s="22" t="n"/>
      <c r="L787" s="20">
        <f>IF(E787="","",E787+IF(F787="",IFERROR(VLOOKUP(C787,Parametros!$E:$F,2,0),0),F787))</f>
        <v/>
      </c>
      <c r="M787" s="21">
        <f>IF(E787="","",IF(G787="",IF(TODAY()&gt;L787,"Atrasada","Em aberto"),IF(G787&lt;=L787,"No prazo","Com atraso")))</f>
        <v/>
      </c>
      <c r="N787" s="18">
        <f>IF(E787="","",MAX(0,IF(G787="",TODAY(),G787)-L787))</f>
        <v/>
      </c>
    </row>
    <row r="788">
      <c r="E788" s="22" t="n"/>
      <c r="G788" s="22" t="n"/>
      <c r="I788" s="22" t="n"/>
      <c r="L788" s="20">
        <f>IF(E788="","",E788+IF(F788="",IFERROR(VLOOKUP(C788,Parametros!$E:$F,2,0),0),F788))</f>
        <v/>
      </c>
      <c r="M788" s="21">
        <f>IF(E788="","",IF(G788="",IF(TODAY()&gt;L788,"Atrasada","Em aberto"),IF(G788&lt;=L788,"No prazo","Com atraso")))</f>
        <v/>
      </c>
      <c r="N788" s="18">
        <f>IF(E788="","",MAX(0,IF(G788="",TODAY(),G788)-L788))</f>
        <v/>
      </c>
    </row>
    <row r="789">
      <c r="E789" s="22" t="n"/>
      <c r="G789" s="22" t="n"/>
      <c r="I789" s="22" t="n"/>
      <c r="L789" s="20">
        <f>IF(E789="","",E789+IF(F789="",IFERROR(VLOOKUP(C789,Parametros!$E:$F,2,0),0),F789))</f>
        <v/>
      </c>
      <c r="M789" s="21">
        <f>IF(E789="","",IF(G789="",IF(TODAY()&gt;L789,"Atrasada","Em aberto"),IF(G789&lt;=L789,"No prazo","Com atraso")))</f>
        <v/>
      </c>
      <c r="N789" s="18">
        <f>IF(E789="","",MAX(0,IF(G789="",TODAY(),G789)-L789))</f>
        <v/>
      </c>
    </row>
    <row r="790">
      <c r="E790" s="22" t="n"/>
      <c r="G790" s="22" t="n"/>
      <c r="I790" s="22" t="n"/>
      <c r="L790" s="20">
        <f>IF(E790="","",E790+IF(F790="",IFERROR(VLOOKUP(C790,Parametros!$E:$F,2,0),0),F790))</f>
        <v/>
      </c>
      <c r="M790" s="21">
        <f>IF(E790="","",IF(G790="",IF(TODAY()&gt;L790,"Atrasada","Em aberto"),IF(G790&lt;=L790,"No prazo","Com atraso")))</f>
        <v/>
      </c>
      <c r="N790" s="18">
        <f>IF(E790="","",MAX(0,IF(G790="",TODAY(),G790)-L790))</f>
        <v/>
      </c>
    </row>
    <row r="791">
      <c r="E791" s="22" t="n"/>
      <c r="G791" s="22" t="n"/>
      <c r="I791" s="22" t="n"/>
      <c r="L791" s="20">
        <f>IF(E791="","",E791+IF(F791="",IFERROR(VLOOKUP(C791,Parametros!$E:$F,2,0),0),F791))</f>
        <v/>
      </c>
      <c r="M791" s="21">
        <f>IF(E791="","",IF(G791="",IF(TODAY()&gt;L791,"Atrasada","Em aberto"),IF(G791&lt;=L791,"No prazo","Com atraso")))</f>
        <v/>
      </c>
      <c r="N791" s="18">
        <f>IF(E791="","",MAX(0,IF(G791="",TODAY(),G791)-L791))</f>
        <v/>
      </c>
    </row>
    <row r="792">
      <c r="E792" s="22" t="n"/>
      <c r="G792" s="22" t="n"/>
      <c r="I792" s="22" t="n"/>
      <c r="L792" s="20">
        <f>IF(E792="","",E792+IF(F792="",IFERROR(VLOOKUP(C792,Parametros!$E:$F,2,0),0),F792))</f>
        <v/>
      </c>
      <c r="M792" s="21">
        <f>IF(E792="","",IF(G792="",IF(TODAY()&gt;L792,"Atrasada","Em aberto"),IF(G792&lt;=L792,"No prazo","Com atraso")))</f>
        <v/>
      </c>
      <c r="N792" s="18">
        <f>IF(E792="","",MAX(0,IF(G792="",TODAY(),G792)-L792))</f>
        <v/>
      </c>
    </row>
    <row r="793">
      <c r="E793" s="22" t="n"/>
      <c r="G793" s="22" t="n"/>
      <c r="I793" s="22" t="n"/>
      <c r="L793" s="20">
        <f>IF(E793="","",E793+IF(F793="",IFERROR(VLOOKUP(C793,Parametros!$E:$F,2,0),0),F793))</f>
        <v/>
      </c>
      <c r="M793" s="21">
        <f>IF(E793="","",IF(G793="",IF(TODAY()&gt;L793,"Atrasada","Em aberto"),IF(G793&lt;=L793,"No prazo","Com atraso")))</f>
        <v/>
      </c>
      <c r="N793" s="18">
        <f>IF(E793="","",MAX(0,IF(G793="",TODAY(),G793)-L793))</f>
        <v/>
      </c>
    </row>
    <row r="794">
      <c r="E794" s="22" t="n"/>
      <c r="G794" s="22" t="n"/>
      <c r="I794" s="22" t="n"/>
      <c r="L794" s="20">
        <f>IF(E794="","",E794+IF(F794="",IFERROR(VLOOKUP(C794,Parametros!$E:$F,2,0),0),F794))</f>
        <v/>
      </c>
      <c r="M794" s="21">
        <f>IF(E794="","",IF(G794="",IF(TODAY()&gt;L794,"Atrasada","Em aberto"),IF(G794&lt;=L794,"No prazo","Com atraso")))</f>
        <v/>
      </c>
      <c r="N794" s="18">
        <f>IF(E794="","",MAX(0,IF(G794="",TODAY(),G794)-L794))</f>
        <v/>
      </c>
    </row>
    <row r="795">
      <c r="E795" s="22" t="n"/>
      <c r="G795" s="22" t="n"/>
      <c r="I795" s="22" t="n"/>
      <c r="L795" s="20">
        <f>IF(E795="","",E795+IF(F795="",IFERROR(VLOOKUP(C795,Parametros!$E:$F,2,0),0),F795))</f>
        <v/>
      </c>
      <c r="M795" s="21">
        <f>IF(E795="","",IF(G795="",IF(TODAY()&gt;L795,"Atrasada","Em aberto"),IF(G795&lt;=L795,"No prazo","Com atraso")))</f>
        <v/>
      </c>
      <c r="N795" s="18">
        <f>IF(E795="","",MAX(0,IF(G795="",TODAY(),G795)-L795))</f>
        <v/>
      </c>
    </row>
    <row r="796">
      <c r="E796" s="22" t="n"/>
      <c r="G796" s="22" t="n"/>
      <c r="I796" s="22" t="n"/>
      <c r="L796" s="20">
        <f>IF(E796="","",E796+IF(F796="",IFERROR(VLOOKUP(C796,Parametros!$E:$F,2,0),0),F796))</f>
        <v/>
      </c>
      <c r="M796" s="21">
        <f>IF(E796="","",IF(G796="",IF(TODAY()&gt;L796,"Atrasada","Em aberto"),IF(G796&lt;=L796,"No prazo","Com atraso")))</f>
        <v/>
      </c>
      <c r="N796" s="18">
        <f>IF(E796="","",MAX(0,IF(G796="",TODAY(),G796)-L796))</f>
        <v/>
      </c>
    </row>
    <row r="797">
      <c r="E797" s="22" t="n"/>
      <c r="G797" s="22" t="n"/>
      <c r="I797" s="22" t="n"/>
      <c r="L797" s="20">
        <f>IF(E797="","",E797+IF(F797="",IFERROR(VLOOKUP(C797,Parametros!$E:$F,2,0),0),F797))</f>
        <v/>
      </c>
      <c r="M797" s="21">
        <f>IF(E797="","",IF(G797="",IF(TODAY()&gt;L797,"Atrasada","Em aberto"),IF(G797&lt;=L797,"No prazo","Com atraso")))</f>
        <v/>
      </c>
      <c r="N797" s="18">
        <f>IF(E797="","",MAX(0,IF(G797="",TODAY(),G797)-L797))</f>
        <v/>
      </c>
    </row>
    <row r="798">
      <c r="E798" s="22" t="n"/>
      <c r="G798" s="22" t="n"/>
      <c r="I798" s="22" t="n"/>
      <c r="L798" s="20">
        <f>IF(E798="","",E798+IF(F798="",IFERROR(VLOOKUP(C798,Parametros!$E:$F,2,0),0),F798))</f>
        <v/>
      </c>
      <c r="M798" s="21">
        <f>IF(E798="","",IF(G798="",IF(TODAY()&gt;L798,"Atrasada","Em aberto"),IF(G798&lt;=L798,"No prazo","Com atraso")))</f>
        <v/>
      </c>
      <c r="N798" s="18">
        <f>IF(E798="","",MAX(0,IF(G798="",TODAY(),G798)-L798))</f>
        <v/>
      </c>
    </row>
    <row r="799">
      <c r="E799" s="22" t="n"/>
      <c r="G799" s="22" t="n"/>
      <c r="I799" s="22" t="n"/>
      <c r="L799" s="20">
        <f>IF(E799="","",E799+IF(F799="",IFERROR(VLOOKUP(C799,Parametros!$E:$F,2,0),0),F799))</f>
        <v/>
      </c>
      <c r="M799" s="21">
        <f>IF(E799="","",IF(G799="",IF(TODAY()&gt;L799,"Atrasada","Em aberto"),IF(G799&lt;=L799,"No prazo","Com atraso")))</f>
        <v/>
      </c>
      <c r="N799" s="18">
        <f>IF(E799="","",MAX(0,IF(G799="",TODAY(),G799)-L799))</f>
        <v/>
      </c>
    </row>
    <row r="800">
      <c r="E800" s="22" t="n"/>
      <c r="G800" s="22" t="n"/>
      <c r="I800" s="22" t="n"/>
      <c r="L800" s="20">
        <f>IF(E800="","",E800+IF(F800="",IFERROR(VLOOKUP(C800,Parametros!$E:$F,2,0),0),F800))</f>
        <v/>
      </c>
      <c r="M800" s="21">
        <f>IF(E800="","",IF(G800="",IF(TODAY()&gt;L800,"Atrasada","Em aberto"),IF(G800&lt;=L800,"No prazo","Com atraso")))</f>
        <v/>
      </c>
      <c r="N800" s="18">
        <f>IF(E800="","",MAX(0,IF(G800="",TODAY(),G800)-L800))</f>
        <v/>
      </c>
    </row>
    <row r="801">
      <c r="E801" s="22" t="n"/>
      <c r="G801" s="22" t="n"/>
      <c r="I801" s="22" t="n"/>
      <c r="L801" s="20">
        <f>IF(E801="","",E801+IF(F801="",IFERROR(VLOOKUP(C801,Parametros!$E:$F,2,0),0),F801))</f>
        <v/>
      </c>
      <c r="M801" s="21">
        <f>IF(E801="","",IF(G801="",IF(TODAY()&gt;L801,"Atrasada","Em aberto"),IF(G801&lt;=L801,"No prazo","Com atraso")))</f>
        <v/>
      </c>
      <c r="N801" s="18">
        <f>IF(E801="","",MAX(0,IF(G801="",TODAY(),G801)-L801))</f>
        <v/>
      </c>
    </row>
    <row r="802">
      <c r="E802" s="22" t="n"/>
      <c r="G802" s="22" t="n"/>
      <c r="I802" s="22" t="n"/>
      <c r="L802" s="20">
        <f>IF(E802="","",E802+IF(F802="",IFERROR(VLOOKUP(C802,Parametros!$E:$F,2,0),0),F802))</f>
        <v/>
      </c>
      <c r="M802" s="21">
        <f>IF(E802="","",IF(G802="",IF(TODAY()&gt;L802,"Atrasada","Em aberto"),IF(G802&lt;=L802,"No prazo","Com atraso")))</f>
        <v/>
      </c>
      <c r="N802" s="18">
        <f>IF(E802="","",MAX(0,IF(G802="",TODAY(),G802)-L802))</f>
        <v/>
      </c>
    </row>
    <row r="803">
      <c r="E803" s="22" t="n"/>
      <c r="G803" s="22" t="n"/>
      <c r="I803" s="22" t="n"/>
      <c r="L803" s="20">
        <f>IF(E803="","",E803+IF(F803="",IFERROR(VLOOKUP(C803,Parametros!$E:$F,2,0),0),F803))</f>
        <v/>
      </c>
      <c r="M803" s="21">
        <f>IF(E803="","",IF(G803="",IF(TODAY()&gt;L803,"Atrasada","Em aberto"),IF(G803&lt;=L803,"No prazo","Com atraso")))</f>
        <v/>
      </c>
      <c r="N803" s="18">
        <f>IF(E803="","",MAX(0,IF(G803="",TODAY(),G803)-L803))</f>
        <v/>
      </c>
    </row>
    <row r="804">
      <c r="E804" s="22" t="n"/>
      <c r="G804" s="22" t="n"/>
      <c r="I804" s="22" t="n"/>
      <c r="L804" s="20">
        <f>IF(E804="","",E804+IF(F804="",IFERROR(VLOOKUP(C804,Parametros!$E:$F,2,0),0),F804))</f>
        <v/>
      </c>
      <c r="M804" s="21">
        <f>IF(E804="","",IF(G804="",IF(TODAY()&gt;L804,"Atrasada","Em aberto"),IF(G804&lt;=L804,"No prazo","Com atraso")))</f>
        <v/>
      </c>
      <c r="N804" s="18">
        <f>IF(E804="","",MAX(0,IF(G804="",TODAY(),G804)-L804))</f>
        <v/>
      </c>
    </row>
    <row r="805">
      <c r="E805" s="22" t="n"/>
      <c r="G805" s="22" t="n"/>
      <c r="I805" s="22" t="n"/>
      <c r="L805" s="20">
        <f>IF(E805="","",E805+IF(F805="",IFERROR(VLOOKUP(C805,Parametros!$E:$F,2,0),0),F805))</f>
        <v/>
      </c>
      <c r="M805" s="21">
        <f>IF(E805="","",IF(G805="",IF(TODAY()&gt;L805,"Atrasada","Em aberto"),IF(G805&lt;=L805,"No prazo","Com atraso")))</f>
        <v/>
      </c>
      <c r="N805" s="18">
        <f>IF(E805="","",MAX(0,IF(G805="",TODAY(),G805)-L805))</f>
        <v/>
      </c>
    </row>
    <row r="806">
      <c r="E806" s="22" t="n"/>
      <c r="G806" s="22" t="n"/>
      <c r="I806" s="22" t="n"/>
      <c r="L806" s="20">
        <f>IF(E806="","",E806+IF(F806="",IFERROR(VLOOKUP(C806,Parametros!$E:$F,2,0),0),F806))</f>
        <v/>
      </c>
      <c r="M806" s="21">
        <f>IF(E806="","",IF(G806="",IF(TODAY()&gt;L806,"Atrasada","Em aberto"),IF(G806&lt;=L806,"No prazo","Com atraso")))</f>
        <v/>
      </c>
      <c r="N806" s="18">
        <f>IF(E806="","",MAX(0,IF(G806="",TODAY(),G806)-L806))</f>
        <v/>
      </c>
    </row>
    <row r="807">
      <c r="E807" s="22" t="n"/>
      <c r="G807" s="22" t="n"/>
      <c r="I807" s="22" t="n"/>
      <c r="L807" s="20">
        <f>IF(E807="","",E807+IF(F807="",IFERROR(VLOOKUP(C807,Parametros!$E:$F,2,0),0),F807))</f>
        <v/>
      </c>
      <c r="M807" s="21">
        <f>IF(E807="","",IF(G807="",IF(TODAY()&gt;L807,"Atrasada","Em aberto"),IF(G807&lt;=L807,"No prazo","Com atraso")))</f>
        <v/>
      </c>
      <c r="N807" s="18">
        <f>IF(E807="","",MAX(0,IF(G807="",TODAY(),G807)-L807))</f>
        <v/>
      </c>
    </row>
    <row r="808">
      <c r="E808" s="22" t="n"/>
      <c r="G808" s="22" t="n"/>
      <c r="I808" s="22" t="n"/>
      <c r="L808" s="20">
        <f>IF(E808="","",E808+IF(F808="",IFERROR(VLOOKUP(C808,Parametros!$E:$F,2,0),0),F808))</f>
        <v/>
      </c>
      <c r="M808" s="21">
        <f>IF(E808="","",IF(G808="",IF(TODAY()&gt;L808,"Atrasada","Em aberto"),IF(G808&lt;=L808,"No prazo","Com atraso")))</f>
        <v/>
      </c>
      <c r="N808" s="18">
        <f>IF(E808="","",MAX(0,IF(G808="",TODAY(),G808)-L808))</f>
        <v/>
      </c>
    </row>
    <row r="809">
      <c r="E809" s="22" t="n"/>
      <c r="G809" s="22" t="n"/>
      <c r="I809" s="22" t="n"/>
      <c r="L809" s="20">
        <f>IF(E809="","",E809+IF(F809="",IFERROR(VLOOKUP(C809,Parametros!$E:$F,2,0),0),F809))</f>
        <v/>
      </c>
      <c r="M809" s="21">
        <f>IF(E809="","",IF(G809="",IF(TODAY()&gt;L809,"Atrasada","Em aberto"),IF(G809&lt;=L809,"No prazo","Com atraso")))</f>
        <v/>
      </c>
      <c r="N809" s="18">
        <f>IF(E809="","",MAX(0,IF(G809="",TODAY(),G809)-L809))</f>
        <v/>
      </c>
    </row>
    <row r="810">
      <c r="E810" s="22" t="n"/>
      <c r="G810" s="22" t="n"/>
      <c r="I810" s="22" t="n"/>
      <c r="L810" s="20">
        <f>IF(E810="","",E810+IF(F810="",IFERROR(VLOOKUP(C810,Parametros!$E:$F,2,0),0),F810))</f>
        <v/>
      </c>
      <c r="M810" s="21">
        <f>IF(E810="","",IF(G810="",IF(TODAY()&gt;L810,"Atrasada","Em aberto"),IF(G810&lt;=L810,"No prazo","Com atraso")))</f>
        <v/>
      </c>
      <c r="N810" s="18">
        <f>IF(E810="","",MAX(0,IF(G810="",TODAY(),G810)-L810))</f>
        <v/>
      </c>
    </row>
    <row r="811">
      <c r="E811" s="22" t="n"/>
      <c r="G811" s="22" t="n"/>
      <c r="I811" s="22" t="n"/>
      <c r="L811" s="20">
        <f>IF(E811="","",E811+IF(F811="",IFERROR(VLOOKUP(C811,Parametros!$E:$F,2,0),0),F811))</f>
        <v/>
      </c>
      <c r="M811" s="21">
        <f>IF(E811="","",IF(G811="",IF(TODAY()&gt;L811,"Atrasada","Em aberto"),IF(G811&lt;=L811,"No prazo","Com atraso")))</f>
        <v/>
      </c>
      <c r="N811" s="18">
        <f>IF(E811="","",MAX(0,IF(G811="",TODAY(),G811)-L811))</f>
        <v/>
      </c>
    </row>
    <row r="812">
      <c r="E812" s="22" t="n"/>
      <c r="G812" s="22" t="n"/>
      <c r="I812" s="22" t="n"/>
      <c r="L812" s="20">
        <f>IF(E812="","",E812+IF(F812="",IFERROR(VLOOKUP(C812,Parametros!$E:$F,2,0),0),F812))</f>
        <v/>
      </c>
      <c r="M812" s="21">
        <f>IF(E812="","",IF(G812="",IF(TODAY()&gt;L812,"Atrasada","Em aberto"),IF(G812&lt;=L812,"No prazo","Com atraso")))</f>
        <v/>
      </c>
      <c r="N812" s="18">
        <f>IF(E812="","",MAX(0,IF(G812="",TODAY(),G812)-L812))</f>
        <v/>
      </c>
    </row>
    <row r="813">
      <c r="E813" s="22" t="n"/>
      <c r="G813" s="22" t="n"/>
      <c r="I813" s="22" t="n"/>
      <c r="L813" s="20">
        <f>IF(E813="","",E813+IF(F813="",IFERROR(VLOOKUP(C813,Parametros!$E:$F,2,0),0),F813))</f>
        <v/>
      </c>
      <c r="M813" s="21">
        <f>IF(E813="","",IF(G813="",IF(TODAY()&gt;L813,"Atrasada","Em aberto"),IF(G813&lt;=L813,"No prazo","Com atraso")))</f>
        <v/>
      </c>
      <c r="N813" s="18">
        <f>IF(E813="","",MAX(0,IF(G813="",TODAY(),G813)-L813))</f>
        <v/>
      </c>
    </row>
    <row r="814">
      <c r="E814" s="22" t="n"/>
      <c r="G814" s="22" t="n"/>
      <c r="I814" s="22" t="n"/>
      <c r="L814" s="20">
        <f>IF(E814="","",E814+IF(F814="",IFERROR(VLOOKUP(C814,Parametros!$E:$F,2,0),0),F814))</f>
        <v/>
      </c>
      <c r="M814" s="21">
        <f>IF(E814="","",IF(G814="",IF(TODAY()&gt;L814,"Atrasada","Em aberto"),IF(G814&lt;=L814,"No prazo","Com atraso")))</f>
        <v/>
      </c>
      <c r="N814" s="18">
        <f>IF(E814="","",MAX(0,IF(G814="",TODAY(),G814)-L814))</f>
        <v/>
      </c>
    </row>
    <row r="815">
      <c r="E815" s="22" t="n"/>
      <c r="G815" s="22" t="n"/>
      <c r="I815" s="22" t="n"/>
      <c r="L815" s="20">
        <f>IF(E815="","",E815+IF(F815="",IFERROR(VLOOKUP(C815,Parametros!$E:$F,2,0),0),F815))</f>
        <v/>
      </c>
      <c r="M815" s="21">
        <f>IF(E815="","",IF(G815="",IF(TODAY()&gt;L815,"Atrasada","Em aberto"),IF(G815&lt;=L815,"No prazo","Com atraso")))</f>
        <v/>
      </c>
      <c r="N815" s="18">
        <f>IF(E815="","",MAX(0,IF(G815="",TODAY(),G815)-L815))</f>
        <v/>
      </c>
    </row>
    <row r="816">
      <c r="E816" s="22" t="n"/>
      <c r="G816" s="22" t="n"/>
      <c r="I816" s="22" t="n"/>
      <c r="L816" s="20">
        <f>IF(E816="","",E816+IF(F816="",IFERROR(VLOOKUP(C816,Parametros!$E:$F,2,0),0),F816))</f>
        <v/>
      </c>
      <c r="M816" s="21">
        <f>IF(E816="","",IF(G816="",IF(TODAY()&gt;L816,"Atrasada","Em aberto"),IF(G816&lt;=L816,"No prazo","Com atraso")))</f>
        <v/>
      </c>
      <c r="N816" s="18">
        <f>IF(E816="","",MAX(0,IF(G816="",TODAY(),G816)-L816))</f>
        <v/>
      </c>
    </row>
    <row r="817">
      <c r="E817" s="22" t="n"/>
      <c r="G817" s="22" t="n"/>
      <c r="I817" s="22" t="n"/>
      <c r="L817" s="20">
        <f>IF(E817="","",E817+IF(F817="",IFERROR(VLOOKUP(C817,Parametros!$E:$F,2,0),0),F817))</f>
        <v/>
      </c>
      <c r="M817" s="21">
        <f>IF(E817="","",IF(G817="",IF(TODAY()&gt;L817,"Atrasada","Em aberto"),IF(G817&lt;=L817,"No prazo","Com atraso")))</f>
        <v/>
      </c>
      <c r="N817" s="18">
        <f>IF(E817="","",MAX(0,IF(G817="",TODAY(),G817)-L817))</f>
        <v/>
      </c>
    </row>
    <row r="818">
      <c r="E818" s="22" t="n"/>
      <c r="G818" s="22" t="n"/>
      <c r="I818" s="22" t="n"/>
      <c r="L818" s="20">
        <f>IF(E818="","",E818+IF(F818="",IFERROR(VLOOKUP(C818,Parametros!$E:$F,2,0),0),F818))</f>
        <v/>
      </c>
      <c r="M818" s="21">
        <f>IF(E818="","",IF(G818="",IF(TODAY()&gt;L818,"Atrasada","Em aberto"),IF(G818&lt;=L818,"No prazo","Com atraso")))</f>
        <v/>
      </c>
      <c r="N818" s="18">
        <f>IF(E818="","",MAX(0,IF(G818="",TODAY(),G818)-L818))</f>
        <v/>
      </c>
    </row>
    <row r="819">
      <c r="E819" s="22" t="n"/>
      <c r="G819" s="22" t="n"/>
      <c r="I819" s="22" t="n"/>
      <c r="L819" s="20">
        <f>IF(E819="","",E819+IF(F819="",IFERROR(VLOOKUP(C819,Parametros!$E:$F,2,0),0),F819))</f>
        <v/>
      </c>
      <c r="M819" s="21">
        <f>IF(E819="","",IF(G819="",IF(TODAY()&gt;L819,"Atrasada","Em aberto"),IF(G819&lt;=L819,"No prazo","Com atraso")))</f>
        <v/>
      </c>
      <c r="N819" s="18">
        <f>IF(E819="","",MAX(0,IF(G819="",TODAY(),G819)-L819))</f>
        <v/>
      </c>
    </row>
    <row r="820">
      <c r="E820" s="22" t="n"/>
      <c r="G820" s="22" t="n"/>
      <c r="I820" s="22" t="n"/>
      <c r="L820" s="20">
        <f>IF(E820="","",E820+IF(F820="",IFERROR(VLOOKUP(C820,Parametros!$E:$F,2,0),0),F820))</f>
        <v/>
      </c>
      <c r="M820" s="21">
        <f>IF(E820="","",IF(G820="",IF(TODAY()&gt;L820,"Atrasada","Em aberto"),IF(G820&lt;=L820,"No prazo","Com atraso")))</f>
        <v/>
      </c>
      <c r="N820" s="18">
        <f>IF(E820="","",MAX(0,IF(G820="",TODAY(),G820)-L820))</f>
        <v/>
      </c>
    </row>
    <row r="821">
      <c r="E821" s="22" t="n"/>
      <c r="G821" s="22" t="n"/>
      <c r="I821" s="22" t="n"/>
      <c r="L821" s="20">
        <f>IF(E821="","",E821+IF(F821="",IFERROR(VLOOKUP(C821,Parametros!$E:$F,2,0),0),F821))</f>
        <v/>
      </c>
      <c r="M821" s="21">
        <f>IF(E821="","",IF(G821="",IF(TODAY()&gt;L821,"Atrasada","Em aberto"),IF(G821&lt;=L821,"No prazo","Com atraso")))</f>
        <v/>
      </c>
      <c r="N821" s="18">
        <f>IF(E821="","",MAX(0,IF(G821="",TODAY(),G821)-L821))</f>
        <v/>
      </c>
    </row>
    <row r="822">
      <c r="E822" s="22" t="n"/>
      <c r="G822" s="22" t="n"/>
      <c r="I822" s="22" t="n"/>
      <c r="L822" s="20">
        <f>IF(E822="","",E822+IF(F822="",IFERROR(VLOOKUP(C822,Parametros!$E:$F,2,0),0),F822))</f>
        <v/>
      </c>
      <c r="M822" s="21">
        <f>IF(E822="","",IF(G822="",IF(TODAY()&gt;L822,"Atrasada","Em aberto"),IF(G822&lt;=L822,"No prazo","Com atraso")))</f>
        <v/>
      </c>
      <c r="N822" s="18">
        <f>IF(E822="","",MAX(0,IF(G822="",TODAY(),G822)-L822))</f>
        <v/>
      </c>
    </row>
    <row r="823">
      <c r="E823" s="22" t="n"/>
      <c r="G823" s="22" t="n"/>
      <c r="I823" s="22" t="n"/>
      <c r="L823" s="20">
        <f>IF(E823="","",E823+IF(F823="",IFERROR(VLOOKUP(C823,Parametros!$E:$F,2,0),0),F823))</f>
        <v/>
      </c>
      <c r="M823" s="21">
        <f>IF(E823="","",IF(G823="",IF(TODAY()&gt;L823,"Atrasada","Em aberto"),IF(G823&lt;=L823,"No prazo","Com atraso")))</f>
        <v/>
      </c>
      <c r="N823" s="18">
        <f>IF(E823="","",MAX(0,IF(G823="",TODAY(),G823)-L823))</f>
        <v/>
      </c>
    </row>
    <row r="824">
      <c r="E824" s="22" t="n"/>
      <c r="G824" s="22" t="n"/>
      <c r="I824" s="22" t="n"/>
      <c r="L824" s="20">
        <f>IF(E824="","",E824+IF(F824="",IFERROR(VLOOKUP(C824,Parametros!$E:$F,2,0),0),F824))</f>
        <v/>
      </c>
      <c r="M824" s="21">
        <f>IF(E824="","",IF(G824="",IF(TODAY()&gt;L824,"Atrasada","Em aberto"),IF(G824&lt;=L824,"No prazo","Com atraso")))</f>
        <v/>
      </c>
      <c r="N824" s="18">
        <f>IF(E824="","",MAX(0,IF(G824="",TODAY(),G824)-L824))</f>
        <v/>
      </c>
    </row>
    <row r="825">
      <c r="E825" s="22" t="n"/>
      <c r="G825" s="22" t="n"/>
      <c r="I825" s="22" t="n"/>
      <c r="L825" s="20">
        <f>IF(E825="","",E825+IF(F825="",IFERROR(VLOOKUP(C825,Parametros!$E:$F,2,0),0),F825))</f>
        <v/>
      </c>
      <c r="M825" s="21">
        <f>IF(E825="","",IF(G825="",IF(TODAY()&gt;L825,"Atrasada","Em aberto"),IF(G825&lt;=L825,"No prazo","Com atraso")))</f>
        <v/>
      </c>
      <c r="N825" s="18">
        <f>IF(E825="","",MAX(0,IF(G825="",TODAY(),G825)-L825))</f>
        <v/>
      </c>
    </row>
    <row r="826">
      <c r="E826" s="22" t="n"/>
      <c r="G826" s="22" t="n"/>
      <c r="I826" s="22" t="n"/>
      <c r="L826" s="20">
        <f>IF(E826="","",E826+IF(F826="",IFERROR(VLOOKUP(C826,Parametros!$E:$F,2,0),0),F826))</f>
        <v/>
      </c>
      <c r="M826" s="21">
        <f>IF(E826="","",IF(G826="",IF(TODAY()&gt;L826,"Atrasada","Em aberto"),IF(G826&lt;=L826,"No prazo","Com atraso")))</f>
        <v/>
      </c>
      <c r="N826" s="18">
        <f>IF(E826="","",MAX(0,IF(G826="",TODAY(),G826)-L826))</f>
        <v/>
      </c>
    </row>
    <row r="827">
      <c r="E827" s="22" t="n"/>
      <c r="G827" s="22" t="n"/>
      <c r="I827" s="22" t="n"/>
      <c r="L827" s="20">
        <f>IF(E827="","",E827+IF(F827="",IFERROR(VLOOKUP(C827,Parametros!$E:$F,2,0),0),F827))</f>
        <v/>
      </c>
      <c r="M827" s="21">
        <f>IF(E827="","",IF(G827="",IF(TODAY()&gt;L827,"Atrasada","Em aberto"),IF(G827&lt;=L827,"No prazo","Com atraso")))</f>
        <v/>
      </c>
      <c r="N827" s="18">
        <f>IF(E827="","",MAX(0,IF(G827="",TODAY(),G827)-L827))</f>
        <v/>
      </c>
    </row>
    <row r="828">
      <c r="E828" s="22" t="n"/>
      <c r="G828" s="22" t="n"/>
      <c r="I828" s="22" t="n"/>
      <c r="L828" s="20">
        <f>IF(E828="","",E828+IF(F828="",IFERROR(VLOOKUP(C828,Parametros!$E:$F,2,0),0),F828))</f>
        <v/>
      </c>
      <c r="M828" s="21">
        <f>IF(E828="","",IF(G828="",IF(TODAY()&gt;L828,"Atrasada","Em aberto"),IF(G828&lt;=L828,"No prazo","Com atraso")))</f>
        <v/>
      </c>
      <c r="N828" s="18">
        <f>IF(E828="","",MAX(0,IF(G828="",TODAY(),G828)-L828))</f>
        <v/>
      </c>
    </row>
    <row r="829">
      <c r="E829" s="22" t="n"/>
      <c r="G829" s="22" t="n"/>
      <c r="I829" s="22" t="n"/>
      <c r="L829" s="20">
        <f>IF(E829="","",E829+IF(F829="",IFERROR(VLOOKUP(C829,Parametros!$E:$F,2,0),0),F829))</f>
        <v/>
      </c>
      <c r="M829" s="21">
        <f>IF(E829="","",IF(G829="",IF(TODAY()&gt;L829,"Atrasada","Em aberto"),IF(G829&lt;=L829,"No prazo","Com atraso")))</f>
        <v/>
      </c>
      <c r="N829" s="18">
        <f>IF(E829="","",MAX(0,IF(G829="",TODAY(),G829)-L829))</f>
        <v/>
      </c>
    </row>
    <row r="830">
      <c r="E830" s="22" t="n"/>
      <c r="G830" s="22" t="n"/>
      <c r="I830" s="22" t="n"/>
      <c r="L830" s="20">
        <f>IF(E830="","",E830+IF(F830="",IFERROR(VLOOKUP(C830,Parametros!$E:$F,2,0),0),F830))</f>
        <v/>
      </c>
      <c r="M830" s="21">
        <f>IF(E830="","",IF(G830="",IF(TODAY()&gt;L830,"Atrasada","Em aberto"),IF(G830&lt;=L830,"No prazo","Com atraso")))</f>
        <v/>
      </c>
      <c r="N830" s="18">
        <f>IF(E830="","",MAX(0,IF(G830="",TODAY(),G830)-L830))</f>
        <v/>
      </c>
    </row>
    <row r="831">
      <c r="E831" s="22" t="n"/>
      <c r="G831" s="22" t="n"/>
      <c r="I831" s="22" t="n"/>
      <c r="L831" s="20">
        <f>IF(E831="","",E831+IF(F831="",IFERROR(VLOOKUP(C831,Parametros!$E:$F,2,0),0),F831))</f>
        <v/>
      </c>
      <c r="M831" s="21">
        <f>IF(E831="","",IF(G831="",IF(TODAY()&gt;L831,"Atrasada","Em aberto"),IF(G831&lt;=L831,"No prazo","Com atraso")))</f>
        <v/>
      </c>
      <c r="N831" s="18">
        <f>IF(E831="","",MAX(0,IF(G831="",TODAY(),G831)-L831))</f>
        <v/>
      </c>
    </row>
    <row r="832">
      <c r="E832" s="22" t="n"/>
      <c r="G832" s="22" t="n"/>
      <c r="I832" s="22" t="n"/>
      <c r="L832" s="20">
        <f>IF(E832="","",E832+IF(F832="",IFERROR(VLOOKUP(C832,Parametros!$E:$F,2,0),0),F832))</f>
        <v/>
      </c>
      <c r="M832" s="21">
        <f>IF(E832="","",IF(G832="",IF(TODAY()&gt;L832,"Atrasada","Em aberto"),IF(G832&lt;=L832,"No prazo","Com atraso")))</f>
        <v/>
      </c>
      <c r="N832" s="18">
        <f>IF(E832="","",MAX(0,IF(G832="",TODAY(),G832)-L832))</f>
        <v/>
      </c>
    </row>
    <row r="833">
      <c r="E833" s="22" t="n"/>
      <c r="G833" s="22" t="n"/>
      <c r="I833" s="22" t="n"/>
      <c r="L833" s="20">
        <f>IF(E833="","",E833+IF(F833="",IFERROR(VLOOKUP(C833,Parametros!$E:$F,2,0),0),F833))</f>
        <v/>
      </c>
      <c r="M833" s="21">
        <f>IF(E833="","",IF(G833="",IF(TODAY()&gt;L833,"Atrasada","Em aberto"),IF(G833&lt;=L833,"No prazo","Com atraso")))</f>
        <v/>
      </c>
      <c r="N833" s="18">
        <f>IF(E833="","",MAX(0,IF(G833="",TODAY(),G833)-L833))</f>
        <v/>
      </c>
    </row>
    <row r="834">
      <c r="E834" s="22" t="n"/>
      <c r="G834" s="22" t="n"/>
      <c r="I834" s="22" t="n"/>
      <c r="L834" s="20">
        <f>IF(E834="","",E834+IF(F834="",IFERROR(VLOOKUP(C834,Parametros!$E:$F,2,0),0),F834))</f>
        <v/>
      </c>
      <c r="M834" s="21">
        <f>IF(E834="","",IF(G834="",IF(TODAY()&gt;L834,"Atrasada","Em aberto"),IF(G834&lt;=L834,"No prazo","Com atraso")))</f>
        <v/>
      </c>
      <c r="N834" s="18">
        <f>IF(E834="","",MAX(0,IF(G834="",TODAY(),G834)-L834))</f>
        <v/>
      </c>
    </row>
    <row r="835">
      <c r="E835" s="22" t="n"/>
      <c r="G835" s="22" t="n"/>
      <c r="I835" s="22" t="n"/>
      <c r="L835" s="20">
        <f>IF(E835="","",E835+IF(F835="",IFERROR(VLOOKUP(C835,Parametros!$E:$F,2,0),0),F835))</f>
        <v/>
      </c>
      <c r="M835" s="21">
        <f>IF(E835="","",IF(G835="",IF(TODAY()&gt;L835,"Atrasada","Em aberto"),IF(G835&lt;=L835,"No prazo","Com atraso")))</f>
        <v/>
      </c>
      <c r="N835" s="18">
        <f>IF(E835="","",MAX(0,IF(G835="",TODAY(),G835)-L835))</f>
        <v/>
      </c>
    </row>
    <row r="836">
      <c r="E836" s="22" t="n"/>
      <c r="G836" s="22" t="n"/>
      <c r="I836" s="22" t="n"/>
      <c r="L836" s="20">
        <f>IF(E836="","",E836+IF(F836="",IFERROR(VLOOKUP(C836,Parametros!$E:$F,2,0),0),F836))</f>
        <v/>
      </c>
      <c r="M836" s="21">
        <f>IF(E836="","",IF(G836="",IF(TODAY()&gt;L836,"Atrasada","Em aberto"),IF(G836&lt;=L836,"No prazo","Com atraso")))</f>
        <v/>
      </c>
      <c r="N836" s="18">
        <f>IF(E836="","",MAX(0,IF(G836="",TODAY(),G836)-L836))</f>
        <v/>
      </c>
    </row>
    <row r="837">
      <c r="E837" s="22" t="n"/>
      <c r="G837" s="22" t="n"/>
      <c r="I837" s="22" t="n"/>
      <c r="L837" s="20">
        <f>IF(E837="","",E837+IF(F837="",IFERROR(VLOOKUP(C837,Parametros!$E:$F,2,0),0),F837))</f>
        <v/>
      </c>
      <c r="M837" s="21">
        <f>IF(E837="","",IF(G837="",IF(TODAY()&gt;L837,"Atrasada","Em aberto"),IF(G837&lt;=L837,"No prazo","Com atraso")))</f>
        <v/>
      </c>
      <c r="N837" s="18">
        <f>IF(E837="","",MAX(0,IF(G837="",TODAY(),G837)-L837))</f>
        <v/>
      </c>
    </row>
    <row r="838">
      <c r="E838" s="22" t="n"/>
      <c r="G838" s="22" t="n"/>
      <c r="I838" s="22" t="n"/>
      <c r="L838" s="20">
        <f>IF(E838="","",E838+IF(F838="",IFERROR(VLOOKUP(C838,Parametros!$E:$F,2,0),0),F838))</f>
        <v/>
      </c>
      <c r="M838" s="21">
        <f>IF(E838="","",IF(G838="",IF(TODAY()&gt;L838,"Atrasada","Em aberto"),IF(G838&lt;=L838,"No prazo","Com atraso")))</f>
        <v/>
      </c>
      <c r="N838" s="18">
        <f>IF(E838="","",MAX(0,IF(G838="",TODAY(),G838)-L838))</f>
        <v/>
      </c>
    </row>
    <row r="839">
      <c r="E839" s="22" t="n"/>
      <c r="G839" s="22" t="n"/>
      <c r="I839" s="22" t="n"/>
      <c r="L839" s="20">
        <f>IF(E839="","",E839+IF(F839="",IFERROR(VLOOKUP(C839,Parametros!$E:$F,2,0),0),F839))</f>
        <v/>
      </c>
      <c r="M839" s="21">
        <f>IF(E839="","",IF(G839="",IF(TODAY()&gt;L839,"Atrasada","Em aberto"),IF(G839&lt;=L839,"No prazo","Com atraso")))</f>
        <v/>
      </c>
      <c r="N839" s="18">
        <f>IF(E839="","",MAX(0,IF(G839="",TODAY(),G839)-L839))</f>
        <v/>
      </c>
    </row>
    <row r="840">
      <c r="E840" s="22" t="n"/>
      <c r="G840" s="22" t="n"/>
      <c r="I840" s="22" t="n"/>
      <c r="L840" s="20">
        <f>IF(E840="","",E840+IF(F840="",IFERROR(VLOOKUP(C840,Parametros!$E:$F,2,0),0),F840))</f>
        <v/>
      </c>
      <c r="M840" s="21">
        <f>IF(E840="","",IF(G840="",IF(TODAY()&gt;L840,"Atrasada","Em aberto"),IF(G840&lt;=L840,"No prazo","Com atraso")))</f>
        <v/>
      </c>
      <c r="N840" s="18">
        <f>IF(E840="","",MAX(0,IF(G840="",TODAY(),G840)-L840))</f>
        <v/>
      </c>
    </row>
    <row r="841">
      <c r="E841" s="22" t="n"/>
      <c r="G841" s="22" t="n"/>
      <c r="I841" s="22" t="n"/>
      <c r="L841" s="20">
        <f>IF(E841="","",E841+IF(F841="",IFERROR(VLOOKUP(C841,Parametros!$E:$F,2,0),0),F841))</f>
        <v/>
      </c>
      <c r="M841" s="21">
        <f>IF(E841="","",IF(G841="",IF(TODAY()&gt;L841,"Atrasada","Em aberto"),IF(G841&lt;=L841,"No prazo","Com atraso")))</f>
        <v/>
      </c>
      <c r="N841" s="18">
        <f>IF(E841="","",MAX(0,IF(G841="",TODAY(),G841)-L841))</f>
        <v/>
      </c>
    </row>
    <row r="842">
      <c r="E842" s="22" t="n"/>
      <c r="G842" s="22" t="n"/>
      <c r="I842" s="22" t="n"/>
      <c r="L842" s="20">
        <f>IF(E842="","",E842+IF(F842="",IFERROR(VLOOKUP(C842,Parametros!$E:$F,2,0),0),F842))</f>
        <v/>
      </c>
      <c r="M842" s="21">
        <f>IF(E842="","",IF(G842="",IF(TODAY()&gt;L842,"Atrasada","Em aberto"),IF(G842&lt;=L842,"No prazo","Com atraso")))</f>
        <v/>
      </c>
      <c r="N842" s="18">
        <f>IF(E842="","",MAX(0,IF(G842="",TODAY(),G842)-L842))</f>
        <v/>
      </c>
    </row>
    <row r="843">
      <c r="E843" s="22" t="n"/>
      <c r="G843" s="22" t="n"/>
      <c r="I843" s="22" t="n"/>
      <c r="L843" s="20">
        <f>IF(E843="","",E843+IF(F843="",IFERROR(VLOOKUP(C843,Parametros!$E:$F,2,0),0),F843))</f>
        <v/>
      </c>
      <c r="M843" s="21">
        <f>IF(E843="","",IF(G843="",IF(TODAY()&gt;L843,"Atrasada","Em aberto"),IF(G843&lt;=L843,"No prazo","Com atraso")))</f>
        <v/>
      </c>
      <c r="N843" s="18">
        <f>IF(E843="","",MAX(0,IF(G843="",TODAY(),G843)-L843))</f>
        <v/>
      </c>
    </row>
    <row r="844">
      <c r="E844" s="22" t="n"/>
      <c r="G844" s="22" t="n"/>
      <c r="I844" s="22" t="n"/>
      <c r="L844" s="20">
        <f>IF(E844="","",E844+IF(F844="",IFERROR(VLOOKUP(C844,Parametros!$E:$F,2,0),0),F844))</f>
        <v/>
      </c>
      <c r="M844" s="21">
        <f>IF(E844="","",IF(G844="",IF(TODAY()&gt;L844,"Atrasada","Em aberto"),IF(G844&lt;=L844,"No prazo","Com atraso")))</f>
        <v/>
      </c>
      <c r="N844" s="18">
        <f>IF(E844="","",MAX(0,IF(G844="",TODAY(),G844)-L844))</f>
        <v/>
      </c>
    </row>
    <row r="845">
      <c r="E845" s="22" t="n"/>
      <c r="G845" s="22" t="n"/>
      <c r="I845" s="22" t="n"/>
      <c r="L845" s="20">
        <f>IF(E845="","",E845+IF(F845="",IFERROR(VLOOKUP(C845,Parametros!$E:$F,2,0),0),F845))</f>
        <v/>
      </c>
      <c r="M845" s="21">
        <f>IF(E845="","",IF(G845="",IF(TODAY()&gt;L845,"Atrasada","Em aberto"),IF(G845&lt;=L845,"No prazo","Com atraso")))</f>
        <v/>
      </c>
      <c r="N845" s="18">
        <f>IF(E845="","",MAX(0,IF(G845="",TODAY(),G845)-L845))</f>
        <v/>
      </c>
    </row>
    <row r="846">
      <c r="E846" s="22" t="n"/>
      <c r="G846" s="22" t="n"/>
      <c r="I846" s="22" t="n"/>
      <c r="L846" s="20">
        <f>IF(E846="","",E846+IF(F846="",IFERROR(VLOOKUP(C846,Parametros!$E:$F,2,0),0),F846))</f>
        <v/>
      </c>
      <c r="M846" s="21">
        <f>IF(E846="","",IF(G846="",IF(TODAY()&gt;L846,"Atrasada","Em aberto"),IF(G846&lt;=L846,"No prazo","Com atraso")))</f>
        <v/>
      </c>
      <c r="N846" s="18">
        <f>IF(E846="","",MAX(0,IF(G846="",TODAY(),G846)-L846))</f>
        <v/>
      </c>
    </row>
    <row r="847">
      <c r="E847" s="22" t="n"/>
      <c r="G847" s="22" t="n"/>
      <c r="I847" s="22" t="n"/>
      <c r="L847" s="20">
        <f>IF(E847="","",E847+IF(F847="",IFERROR(VLOOKUP(C847,Parametros!$E:$F,2,0),0),F847))</f>
        <v/>
      </c>
      <c r="M847" s="21">
        <f>IF(E847="","",IF(G847="",IF(TODAY()&gt;L847,"Atrasada","Em aberto"),IF(G847&lt;=L847,"No prazo","Com atraso")))</f>
        <v/>
      </c>
      <c r="N847" s="18">
        <f>IF(E847="","",MAX(0,IF(G847="",TODAY(),G847)-L847))</f>
        <v/>
      </c>
    </row>
    <row r="848">
      <c r="E848" s="22" t="n"/>
      <c r="G848" s="22" t="n"/>
      <c r="I848" s="22" t="n"/>
      <c r="L848" s="20">
        <f>IF(E848="","",E848+IF(F848="",IFERROR(VLOOKUP(C848,Parametros!$E:$F,2,0),0),F848))</f>
        <v/>
      </c>
      <c r="M848" s="21">
        <f>IF(E848="","",IF(G848="",IF(TODAY()&gt;L848,"Atrasada","Em aberto"),IF(G848&lt;=L848,"No prazo","Com atraso")))</f>
        <v/>
      </c>
      <c r="N848" s="18">
        <f>IF(E848="","",MAX(0,IF(G848="",TODAY(),G848)-L848))</f>
        <v/>
      </c>
    </row>
    <row r="849">
      <c r="E849" s="22" t="n"/>
      <c r="G849" s="22" t="n"/>
      <c r="I849" s="22" t="n"/>
      <c r="L849" s="20">
        <f>IF(E849="","",E849+IF(F849="",IFERROR(VLOOKUP(C849,Parametros!$E:$F,2,0),0),F849))</f>
        <v/>
      </c>
      <c r="M849" s="21">
        <f>IF(E849="","",IF(G849="",IF(TODAY()&gt;L849,"Atrasada","Em aberto"),IF(G849&lt;=L849,"No prazo","Com atraso")))</f>
        <v/>
      </c>
      <c r="N849" s="18">
        <f>IF(E849="","",MAX(0,IF(G849="",TODAY(),G849)-L849))</f>
        <v/>
      </c>
    </row>
    <row r="850">
      <c r="E850" s="22" t="n"/>
      <c r="G850" s="22" t="n"/>
      <c r="I850" s="22" t="n"/>
      <c r="L850" s="20">
        <f>IF(E850="","",E850+IF(F850="",IFERROR(VLOOKUP(C850,Parametros!$E:$F,2,0),0),F850))</f>
        <v/>
      </c>
      <c r="M850" s="21">
        <f>IF(E850="","",IF(G850="",IF(TODAY()&gt;L850,"Atrasada","Em aberto"),IF(G850&lt;=L850,"No prazo","Com atraso")))</f>
        <v/>
      </c>
      <c r="N850" s="18">
        <f>IF(E850="","",MAX(0,IF(G850="",TODAY(),G850)-L850))</f>
        <v/>
      </c>
    </row>
    <row r="851">
      <c r="E851" s="22" t="n"/>
      <c r="G851" s="22" t="n"/>
      <c r="I851" s="22" t="n"/>
      <c r="L851" s="20">
        <f>IF(E851="","",E851+IF(F851="",IFERROR(VLOOKUP(C851,Parametros!$E:$F,2,0),0),F851))</f>
        <v/>
      </c>
      <c r="M851" s="21">
        <f>IF(E851="","",IF(G851="",IF(TODAY()&gt;L851,"Atrasada","Em aberto"),IF(G851&lt;=L851,"No prazo","Com atraso")))</f>
        <v/>
      </c>
      <c r="N851" s="18">
        <f>IF(E851="","",MAX(0,IF(G851="",TODAY(),G851)-L851))</f>
        <v/>
      </c>
    </row>
    <row r="852">
      <c r="E852" s="22" t="n"/>
      <c r="G852" s="22" t="n"/>
      <c r="I852" s="22" t="n"/>
      <c r="L852" s="20">
        <f>IF(E852="","",E852+IF(F852="",IFERROR(VLOOKUP(C852,Parametros!$E:$F,2,0),0),F852))</f>
        <v/>
      </c>
      <c r="M852" s="21">
        <f>IF(E852="","",IF(G852="",IF(TODAY()&gt;L852,"Atrasada","Em aberto"),IF(G852&lt;=L852,"No prazo","Com atraso")))</f>
        <v/>
      </c>
      <c r="N852" s="18">
        <f>IF(E852="","",MAX(0,IF(G852="",TODAY(),G852)-L852))</f>
        <v/>
      </c>
    </row>
    <row r="853">
      <c r="E853" s="22" t="n"/>
      <c r="G853" s="22" t="n"/>
      <c r="I853" s="22" t="n"/>
      <c r="L853" s="20">
        <f>IF(E853="","",E853+IF(F853="",IFERROR(VLOOKUP(C853,Parametros!$E:$F,2,0),0),F853))</f>
        <v/>
      </c>
      <c r="M853" s="21">
        <f>IF(E853="","",IF(G853="",IF(TODAY()&gt;L853,"Atrasada","Em aberto"),IF(G853&lt;=L853,"No prazo","Com atraso")))</f>
        <v/>
      </c>
      <c r="N853" s="18">
        <f>IF(E853="","",MAX(0,IF(G853="",TODAY(),G853)-L853))</f>
        <v/>
      </c>
    </row>
    <row r="854">
      <c r="E854" s="22" t="n"/>
      <c r="G854" s="22" t="n"/>
      <c r="I854" s="22" t="n"/>
      <c r="L854" s="20">
        <f>IF(E854="","",E854+IF(F854="",IFERROR(VLOOKUP(C854,Parametros!$E:$F,2,0),0),F854))</f>
        <v/>
      </c>
      <c r="M854" s="21">
        <f>IF(E854="","",IF(G854="",IF(TODAY()&gt;L854,"Atrasada","Em aberto"),IF(G854&lt;=L854,"No prazo","Com atraso")))</f>
        <v/>
      </c>
      <c r="N854" s="18">
        <f>IF(E854="","",MAX(0,IF(G854="",TODAY(),G854)-L854))</f>
        <v/>
      </c>
    </row>
    <row r="855">
      <c r="E855" s="22" t="n"/>
      <c r="G855" s="22" t="n"/>
      <c r="I855" s="22" t="n"/>
      <c r="L855" s="20">
        <f>IF(E855="","",E855+IF(F855="",IFERROR(VLOOKUP(C855,Parametros!$E:$F,2,0),0),F855))</f>
        <v/>
      </c>
      <c r="M855" s="21">
        <f>IF(E855="","",IF(G855="",IF(TODAY()&gt;L855,"Atrasada","Em aberto"),IF(G855&lt;=L855,"No prazo","Com atraso")))</f>
        <v/>
      </c>
      <c r="N855" s="18">
        <f>IF(E855="","",MAX(0,IF(G855="",TODAY(),G855)-L855))</f>
        <v/>
      </c>
    </row>
    <row r="856">
      <c r="E856" s="22" t="n"/>
      <c r="G856" s="22" t="n"/>
      <c r="I856" s="22" t="n"/>
      <c r="L856" s="20">
        <f>IF(E856="","",E856+IF(F856="",IFERROR(VLOOKUP(C856,Parametros!$E:$F,2,0),0),F856))</f>
        <v/>
      </c>
      <c r="M856" s="21">
        <f>IF(E856="","",IF(G856="",IF(TODAY()&gt;L856,"Atrasada","Em aberto"),IF(G856&lt;=L856,"No prazo","Com atraso")))</f>
        <v/>
      </c>
      <c r="N856" s="18">
        <f>IF(E856="","",MAX(0,IF(G856="",TODAY(),G856)-L856))</f>
        <v/>
      </c>
    </row>
    <row r="857">
      <c r="E857" s="22" t="n"/>
      <c r="G857" s="22" t="n"/>
      <c r="I857" s="22" t="n"/>
      <c r="L857" s="20">
        <f>IF(E857="","",E857+IF(F857="",IFERROR(VLOOKUP(C857,Parametros!$E:$F,2,0),0),F857))</f>
        <v/>
      </c>
      <c r="M857" s="21">
        <f>IF(E857="","",IF(G857="",IF(TODAY()&gt;L857,"Atrasada","Em aberto"),IF(G857&lt;=L857,"No prazo","Com atraso")))</f>
        <v/>
      </c>
      <c r="N857" s="18">
        <f>IF(E857="","",MAX(0,IF(G857="",TODAY(),G857)-L857))</f>
        <v/>
      </c>
    </row>
    <row r="858">
      <c r="E858" s="22" t="n"/>
      <c r="G858" s="22" t="n"/>
      <c r="I858" s="22" t="n"/>
      <c r="L858" s="20">
        <f>IF(E858="","",E858+IF(F858="",IFERROR(VLOOKUP(C858,Parametros!$E:$F,2,0),0),F858))</f>
        <v/>
      </c>
      <c r="M858" s="21">
        <f>IF(E858="","",IF(G858="",IF(TODAY()&gt;L858,"Atrasada","Em aberto"),IF(G858&lt;=L858,"No prazo","Com atraso")))</f>
        <v/>
      </c>
      <c r="N858" s="18">
        <f>IF(E858="","",MAX(0,IF(G858="",TODAY(),G858)-L858))</f>
        <v/>
      </c>
    </row>
    <row r="859">
      <c r="E859" s="22" t="n"/>
      <c r="G859" s="22" t="n"/>
      <c r="I859" s="22" t="n"/>
      <c r="L859" s="20">
        <f>IF(E859="","",E859+IF(F859="",IFERROR(VLOOKUP(C859,Parametros!$E:$F,2,0),0),F859))</f>
        <v/>
      </c>
      <c r="M859" s="21">
        <f>IF(E859="","",IF(G859="",IF(TODAY()&gt;L859,"Atrasada","Em aberto"),IF(G859&lt;=L859,"No prazo","Com atraso")))</f>
        <v/>
      </c>
      <c r="N859" s="18">
        <f>IF(E859="","",MAX(0,IF(G859="",TODAY(),G859)-L859))</f>
        <v/>
      </c>
    </row>
    <row r="860">
      <c r="E860" s="22" t="n"/>
      <c r="G860" s="22" t="n"/>
      <c r="I860" s="22" t="n"/>
      <c r="L860" s="20">
        <f>IF(E860="","",E860+IF(F860="",IFERROR(VLOOKUP(C860,Parametros!$E:$F,2,0),0),F860))</f>
        <v/>
      </c>
      <c r="M860" s="21">
        <f>IF(E860="","",IF(G860="",IF(TODAY()&gt;L860,"Atrasada","Em aberto"),IF(G860&lt;=L860,"No prazo","Com atraso")))</f>
        <v/>
      </c>
      <c r="N860" s="18">
        <f>IF(E860="","",MAX(0,IF(G860="",TODAY(),G860)-L860))</f>
        <v/>
      </c>
    </row>
    <row r="861">
      <c r="E861" s="22" t="n"/>
      <c r="G861" s="22" t="n"/>
      <c r="I861" s="22" t="n"/>
      <c r="L861" s="20">
        <f>IF(E861="","",E861+IF(F861="",IFERROR(VLOOKUP(C861,Parametros!$E:$F,2,0),0),F861))</f>
        <v/>
      </c>
      <c r="M861" s="21">
        <f>IF(E861="","",IF(G861="",IF(TODAY()&gt;L861,"Atrasada","Em aberto"),IF(G861&lt;=L861,"No prazo","Com atraso")))</f>
        <v/>
      </c>
      <c r="N861" s="18">
        <f>IF(E861="","",MAX(0,IF(G861="",TODAY(),G861)-L861))</f>
        <v/>
      </c>
    </row>
    <row r="862">
      <c r="E862" s="22" t="n"/>
      <c r="G862" s="22" t="n"/>
      <c r="I862" s="22" t="n"/>
      <c r="L862" s="20">
        <f>IF(E862="","",E862+IF(F862="",IFERROR(VLOOKUP(C862,Parametros!$E:$F,2,0),0),F862))</f>
        <v/>
      </c>
      <c r="M862" s="21">
        <f>IF(E862="","",IF(G862="",IF(TODAY()&gt;L862,"Atrasada","Em aberto"),IF(G862&lt;=L862,"No prazo","Com atraso")))</f>
        <v/>
      </c>
      <c r="N862" s="18">
        <f>IF(E862="","",MAX(0,IF(G862="",TODAY(),G862)-L862))</f>
        <v/>
      </c>
    </row>
    <row r="863">
      <c r="E863" s="22" t="n"/>
      <c r="G863" s="22" t="n"/>
      <c r="I863" s="22" t="n"/>
      <c r="L863" s="20">
        <f>IF(E863="","",E863+IF(F863="",IFERROR(VLOOKUP(C863,Parametros!$E:$F,2,0),0),F863))</f>
        <v/>
      </c>
      <c r="M863" s="21">
        <f>IF(E863="","",IF(G863="",IF(TODAY()&gt;L863,"Atrasada","Em aberto"),IF(G863&lt;=L863,"No prazo","Com atraso")))</f>
        <v/>
      </c>
      <c r="N863" s="18">
        <f>IF(E863="","",MAX(0,IF(G863="",TODAY(),G863)-L863))</f>
        <v/>
      </c>
    </row>
    <row r="864">
      <c r="E864" s="22" t="n"/>
      <c r="G864" s="22" t="n"/>
      <c r="I864" s="22" t="n"/>
      <c r="L864" s="20">
        <f>IF(E864="","",E864+IF(F864="",IFERROR(VLOOKUP(C864,Parametros!$E:$F,2,0),0),F864))</f>
        <v/>
      </c>
      <c r="M864" s="21">
        <f>IF(E864="","",IF(G864="",IF(TODAY()&gt;L864,"Atrasada","Em aberto"),IF(G864&lt;=L864,"No prazo","Com atraso")))</f>
        <v/>
      </c>
      <c r="N864" s="18">
        <f>IF(E864="","",MAX(0,IF(G864="",TODAY(),G864)-L864))</f>
        <v/>
      </c>
    </row>
    <row r="865">
      <c r="E865" s="22" t="n"/>
      <c r="G865" s="22" t="n"/>
      <c r="I865" s="22" t="n"/>
      <c r="L865" s="20">
        <f>IF(E865="","",E865+IF(F865="",IFERROR(VLOOKUP(C865,Parametros!$E:$F,2,0),0),F865))</f>
        <v/>
      </c>
      <c r="M865" s="21">
        <f>IF(E865="","",IF(G865="",IF(TODAY()&gt;L865,"Atrasada","Em aberto"),IF(G865&lt;=L865,"No prazo","Com atraso")))</f>
        <v/>
      </c>
      <c r="N865" s="18">
        <f>IF(E865="","",MAX(0,IF(G865="",TODAY(),G865)-L865))</f>
        <v/>
      </c>
    </row>
    <row r="866">
      <c r="E866" s="22" t="n"/>
      <c r="G866" s="22" t="n"/>
      <c r="I866" s="22" t="n"/>
      <c r="L866" s="20">
        <f>IF(E866="","",E866+IF(F866="",IFERROR(VLOOKUP(C866,Parametros!$E:$F,2,0),0),F866))</f>
        <v/>
      </c>
      <c r="M866" s="21">
        <f>IF(E866="","",IF(G866="",IF(TODAY()&gt;L866,"Atrasada","Em aberto"),IF(G866&lt;=L866,"No prazo","Com atraso")))</f>
        <v/>
      </c>
      <c r="N866" s="18">
        <f>IF(E866="","",MAX(0,IF(G866="",TODAY(),G866)-L866))</f>
        <v/>
      </c>
    </row>
    <row r="867">
      <c r="E867" s="22" t="n"/>
      <c r="G867" s="22" t="n"/>
      <c r="I867" s="22" t="n"/>
      <c r="L867" s="20">
        <f>IF(E867="","",E867+IF(F867="",IFERROR(VLOOKUP(C867,Parametros!$E:$F,2,0),0),F867))</f>
        <v/>
      </c>
      <c r="M867" s="21">
        <f>IF(E867="","",IF(G867="",IF(TODAY()&gt;L867,"Atrasada","Em aberto"),IF(G867&lt;=L867,"No prazo","Com atraso")))</f>
        <v/>
      </c>
      <c r="N867" s="18">
        <f>IF(E867="","",MAX(0,IF(G867="",TODAY(),G867)-L867))</f>
        <v/>
      </c>
    </row>
    <row r="868">
      <c r="E868" s="22" t="n"/>
      <c r="G868" s="22" t="n"/>
      <c r="I868" s="22" t="n"/>
      <c r="L868" s="20">
        <f>IF(E868="","",E868+IF(F868="",IFERROR(VLOOKUP(C868,Parametros!$E:$F,2,0),0),F868))</f>
        <v/>
      </c>
      <c r="M868" s="21">
        <f>IF(E868="","",IF(G868="",IF(TODAY()&gt;L868,"Atrasada","Em aberto"),IF(G868&lt;=L868,"No prazo","Com atraso")))</f>
        <v/>
      </c>
      <c r="N868" s="18">
        <f>IF(E868="","",MAX(0,IF(G868="",TODAY(),G868)-L868))</f>
        <v/>
      </c>
    </row>
    <row r="869">
      <c r="E869" s="22" t="n"/>
      <c r="G869" s="22" t="n"/>
      <c r="I869" s="22" t="n"/>
      <c r="L869" s="20">
        <f>IF(E869="","",E869+IF(F869="",IFERROR(VLOOKUP(C869,Parametros!$E:$F,2,0),0),F869))</f>
        <v/>
      </c>
      <c r="M869" s="21">
        <f>IF(E869="","",IF(G869="",IF(TODAY()&gt;L869,"Atrasada","Em aberto"),IF(G869&lt;=L869,"No prazo","Com atraso")))</f>
        <v/>
      </c>
      <c r="N869" s="18">
        <f>IF(E869="","",MAX(0,IF(G869="",TODAY(),G869)-L869))</f>
        <v/>
      </c>
    </row>
    <row r="870">
      <c r="E870" s="22" t="n"/>
      <c r="G870" s="22" t="n"/>
      <c r="I870" s="22" t="n"/>
      <c r="L870" s="20">
        <f>IF(E870="","",E870+IF(F870="",IFERROR(VLOOKUP(C870,Parametros!$E:$F,2,0),0),F870))</f>
        <v/>
      </c>
      <c r="M870" s="21">
        <f>IF(E870="","",IF(G870="",IF(TODAY()&gt;L870,"Atrasada","Em aberto"),IF(G870&lt;=L870,"No prazo","Com atraso")))</f>
        <v/>
      </c>
      <c r="N870" s="18">
        <f>IF(E870="","",MAX(0,IF(G870="",TODAY(),G870)-L870))</f>
        <v/>
      </c>
    </row>
    <row r="871">
      <c r="E871" s="22" t="n"/>
      <c r="G871" s="22" t="n"/>
      <c r="I871" s="22" t="n"/>
      <c r="L871" s="20">
        <f>IF(E871="","",E871+IF(F871="",IFERROR(VLOOKUP(C871,Parametros!$E:$F,2,0),0),F871))</f>
        <v/>
      </c>
      <c r="M871" s="21">
        <f>IF(E871="","",IF(G871="",IF(TODAY()&gt;L871,"Atrasada","Em aberto"),IF(G871&lt;=L871,"No prazo","Com atraso")))</f>
        <v/>
      </c>
      <c r="N871" s="18">
        <f>IF(E871="","",MAX(0,IF(G871="",TODAY(),G871)-L871))</f>
        <v/>
      </c>
    </row>
    <row r="872">
      <c r="E872" s="22" t="n"/>
      <c r="G872" s="22" t="n"/>
      <c r="I872" s="22" t="n"/>
      <c r="L872" s="20">
        <f>IF(E872="","",E872+IF(F872="",IFERROR(VLOOKUP(C872,Parametros!$E:$F,2,0),0),F872))</f>
        <v/>
      </c>
      <c r="M872" s="21">
        <f>IF(E872="","",IF(G872="",IF(TODAY()&gt;L872,"Atrasada","Em aberto"),IF(G872&lt;=L872,"No prazo","Com atraso")))</f>
        <v/>
      </c>
      <c r="N872" s="18">
        <f>IF(E872="","",MAX(0,IF(G872="",TODAY(),G872)-L872))</f>
        <v/>
      </c>
    </row>
    <row r="873">
      <c r="E873" s="22" t="n"/>
      <c r="G873" s="22" t="n"/>
      <c r="I873" s="22" t="n"/>
      <c r="L873" s="20">
        <f>IF(E873="","",E873+IF(F873="",IFERROR(VLOOKUP(C873,Parametros!$E:$F,2,0),0),F873))</f>
        <v/>
      </c>
      <c r="M873" s="21">
        <f>IF(E873="","",IF(G873="",IF(TODAY()&gt;L873,"Atrasada","Em aberto"),IF(G873&lt;=L873,"No prazo","Com atraso")))</f>
        <v/>
      </c>
      <c r="N873" s="18">
        <f>IF(E873="","",MAX(0,IF(G873="",TODAY(),G873)-L873))</f>
        <v/>
      </c>
    </row>
    <row r="874">
      <c r="E874" s="22" t="n"/>
      <c r="G874" s="22" t="n"/>
      <c r="I874" s="22" t="n"/>
      <c r="L874" s="20">
        <f>IF(E874="","",E874+IF(F874="",IFERROR(VLOOKUP(C874,Parametros!$E:$F,2,0),0),F874))</f>
        <v/>
      </c>
      <c r="M874" s="21">
        <f>IF(E874="","",IF(G874="",IF(TODAY()&gt;L874,"Atrasada","Em aberto"),IF(G874&lt;=L874,"No prazo","Com atraso")))</f>
        <v/>
      </c>
      <c r="N874" s="18">
        <f>IF(E874="","",MAX(0,IF(G874="",TODAY(),G874)-L874))</f>
        <v/>
      </c>
    </row>
    <row r="875">
      <c r="E875" s="22" t="n"/>
      <c r="G875" s="22" t="n"/>
      <c r="I875" s="22" t="n"/>
      <c r="L875" s="20">
        <f>IF(E875="","",E875+IF(F875="",IFERROR(VLOOKUP(C875,Parametros!$E:$F,2,0),0),F875))</f>
        <v/>
      </c>
      <c r="M875" s="21">
        <f>IF(E875="","",IF(G875="",IF(TODAY()&gt;L875,"Atrasada","Em aberto"),IF(G875&lt;=L875,"No prazo","Com atraso")))</f>
        <v/>
      </c>
      <c r="N875" s="18">
        <f>IF(E875="","",MAX(0,IF(G875="",TODAY(),G875)-L875))</f>
        <v/>
      </c>
    </row>
    <row r="876">
      <c r="E876" s="22" t="n"/>
      <c r="G876" s="22" t="n"/>
      <c r="I876" s="22" t="n"/>
      <c r="L876" s="20">
        <f>IF(E876="","",E876+IF(F876="",IFERROR(VLOOKUP(C876,Parametros!$E:$F,2,0),0),F876))</f>
        <v/>
      </c>
      <c r="M876" s="21">
        <f>IF(E876="","",IF(G876="",IF(TODAY()&gt;L876,"Atrasada","Em aberto"),IF(G876&lt;=L876,"No prazo","Com atraso")))</f>
        <v/>
      </c>
      <c r="N876" s="18">
        <f>IF(E876="","",MAX(0,IF(G876="",TODAY(),G876)-L876))</f>
        <v/>
      </c>
    </row>
    <row r="877">
      <c r="E877" s="22" t="n"/>
      <c r="G877" s="22" t="n"/>
      <c r="I877" s="22" t="n"/>
      <c r="L877" s="20">
        <f>IF(E877="","",E877+IF(F877="",IFERROR(VLOOKUP(C877,Parametros!$E:$F,2,0),0),F877))</f>
        <v/>
      </c>
      <c r="M877" s="21">
        <f>IF(E877="","",IF(G877="",IF(TODAY()&gt;L877,"Atrasada","Em aberto"),IF(G877&lt;=L877,"No prazo","Com atraso")))</f>
        <v/>
      </c>
      <c r="N877" s="18">
        <f>IF(E877="","",MAX(0,IF(G877="",TODAY(),G877)-L877))</f>
        <v/>
      </c>
    </row>
    <row r="878">
      <c r="E878" s="22" t="n"/>
      <c r="G878" s="22" t="n"/>
      <c r="I878" s="22" t="n"/>
      <c r="L878" s="20">
        <f>IF(E878="","",E878+IF(F878="",IFERROR(VLOOKUP(C878,Parametros!$E:$F,2,0),0),F878))</f>
        <v/>
      </c>
      <c r="M878" s="21">
        <f>IF(E878="","",IF(G878="",IF(TODAY()&gt;L878,"Atrasada","Em aberto"),IF(G878&lt;=L878,"No prazo","Com atraso")))</f>
        <v/>
      </c>
      <c r="N878" s="18">
        <f>IF(E878="","",MAX(0,IF(G878="",TODAY(),G878)-L878))</f>
        <v/>
      </c>
    </row>
    <row r="879">
      <c r="E879" s="22" t="n"/>
      <c r="G879" s="22" t="n"/>
      <c r="I879" s="22" t="n"/>
      <c r="L879" s="20">
        <f>IF(E879="","",E879+IF(F879="",IFERROR(VLOOKUP(C879,Parametros!$E:$F,2,0),0),F879))</f>
        <v/>
      </c>
      <c r="M879" s="21">
        <f>IF(E879="","",IF(G879="",IF(TODAY()&gt;L879,"Atrasada","Em aberto"),IF(G879&lt;=L879,"No prazo","Com atraso")))</f>
        <v/>
      </c>
      <c r="N879" s="18">
        <f>IF(E879="","",MAX(0,IF(G879="",TODAY(),G879)-L879))</f>
        <v/>
      </c>
    </row>
    <row r="880">
      <c r="E880" s="22" t="n"/>
      <c r="G880" s="22" t="n"/>
      <c r="I880" s="22" t="n"/>
      <c r="L880" s="20">
        <f>IF(E880="","",E880+IF(F880="",IFERROR(VLOOKUP(C880,Parametros!$E:$F,2,0),0),F880))</f>
        <v/>
      </c>
      <c r="M880" s="21">
        <f>IF(E880="","",IF(G880="",IF(TODAY()&gt;L880,"Atrasada","Em aberto"),IF(G880&lt;=L880,"No prazo","Com atraso")))</f>
        <v/>
      </c>
      <c r="N880" s="18">
        <f>IF(E880="","",MAX(0,IF(G880="",TODAY(),G880)-L880))</f>
        <v/>
      </c>
    </row>
    <row r="881">
      <c r="E881" s="22" t="n"/>
      <c r="G881" s="22" t="n"/>
      <c r="I881" s="22" t="n"/>
      <c r="L881" s="20">
        <f>IF(E881="","",E881+IF(F881="",IFERROR(VLOOKUP(C881,Parametros!$E:$F,2,0),0),F881))</f>
        <v/>
      </c>
      <c r="M881" s="21">
        <f>IF(E881="","",IF(G881="",IF(TODAY()&gt;L881,"Atrasada","Em aberto"),IF(G881&lt;=L881,"No prazo","Com atraso")))</f>
        <v/>
      </c>
      <c r="N881" s="18">
        <f>IF(E881="","",MAX(0,IF(G881="",TODAY(),G881)-L881))</f>
        <v/>
      </c>
    </row>
    <row r="882">
      <c r="E882" s="22" t="n"/>
      <c r="G882" s="22" t="n"/>
      <c r="I882" s="22" t="n"/>
      <c r="L882" s="20">
        <f>IF(E882="","",E882+IF(F882="",IFERROR(VLOOKUP(C882,Parametros!$E:$F,2,0),0),F882))</f>
        <v/>
      </c>
      <c r="M882" s="21">
        <f>IF(E882="","",IF(G882="",IF(TODAY()&gt;L882,"Atrasada","Em aberto"),IF(G882&lt;=L882,"No prazo","Com atraso")))</f>
        <v/>
      </c>
      <c r="N882" s="18">
        <f>IF(E882="","",MAX(0,IF(G882="",TODAY(),G882)-L882))</f>
        <v/>
      </c>
    </row>
    <row r="883">
      <c r="E883" s="22" t="n"/>
      <c r="G883" s="22" t="n"/>
      <c r="I883" s="22" t="n"/>
      <c r="L883" s="20">
        <f>IF(E883="","",E883+IF(F883="",IFERROR(VLOOKUP(C883,Parametros!$E:$F,2,0),0),F883))</f>
        <v/>
      </c>
      <c r="M883" s="21">
        <f>IF(E883="","",IF(G883="",IF(TODAY()&gt;L883,"Atrasada","Em aberto"),IF(G883&lt;=L883,"No prazo","Com atraso")))</f>
        <v/>
      </c>
      <c r="N883" s="18">
        <f>IF(E883="","",MAX(0,IF(G883="",TODAY(),G883)-L883))</f>
        <v/>
      </c>
    </row>
    <row r="884">
      <c r="E884" s="22" t="n"/>
      <c r="G884" s="22" t="n"/>
      <c r="I884" s="22" t="n"/>
      <c r="L884" s="20">
        <f>IF(E884="","",E884+IF(F884="",IFERROR(VLOOKUP(C884,Parametros!$E:$F,2,0),0),F884))</f>
        <v/>
      </c>
      <c r="M884" s="21">
        <f>IF(E884="","",IF(G884="",IF(TODAY()&gt;L884,"Atrasada","Em aberto"),IF(G884&lt;=L884,"No prazo","Com atraso")))</f>
        <v/>
      </c>
      <c r="N884" s="18">
        <f>IF(E884="","",MAX(0,IF(G884="",TODAY(),G884)-L884))</f>
        <v/>
      </c>
    </row>
    <row r="885">
      <c r="E885" s="22" t="n"/>
      <c r="G885" s="22" t="n"/>
      <c r="I885" s="22" t="n"/>
      <c r="L885" s="20">
        <f>IF(E885="","",E885+IF(F885="",IFERROR(VLOOKUP(C885,Parametros!$E:$F,2,0),0),F885))</f>
        <v/>
      </c>
      <c r="M885" s="21">
        <f>IF(E885="","",IF(G885="",IF(TODAY()&gt;L885,"Atrasada","Em aberto"),IF(G885&lt;=L885,"No prazo","Com atraso")))</f>
        <v/>
      </c>
      <c r="N885" s="18">
        <f>IF(E885="","",MAX(0,IF(G885="",TODAY(),G885)-L885))</f>
        <v/>
      </c>
    </row>
    <row r="886">
      <c r="E886" s="22" t="n"/>
      <c r="G886" s="22" t="n"/>
      <c r="I886" s="22" t="n"/>
      <c r="L886" s="20">
        <f>IF(E886="","",E886+IF(F886="",IFERROR(VLOOKUP(C886,Parametros!$E:$F,2,0),0),F886))</f>
        <v/>
      </c>
      <c r="M886" s="21">
        <f>IF(E886="","",IF(G886="",IF(TODAY()&gt;L886,"Atrasada","Em aberto"),IF(G886&lt;=L886,"No prazo","Com atraso")))</f>
        <v/>
      </c>
      <c r="N886" s="18">
        <f>IF(E886="","",MAX(0,IF(G886="",TODAY(),G886)-L886))</f>
        <v/>
      </c>
    </row>
    <row r="887">
      <c r="E887" s="22" t="n"/>
      <c r="G887" s="22" t="n"/>
      <c r="I887" s="22" t="n"/>
      <c r="L887" s="20">
        <f>IF(E887="","",E887+IF(F887="",IFERROR(VLOOKUP(C887,Parametros!$E:$F,2,0),0),F887))</f>
        <v/>
      </c>
      <c r="M887" s="21">
        <f>IF(E887="","",IF(G887="",IF(TODAY()&gt;L887,"Atrasada","Em aberto"),IF(G887&lt;=L887,"No prazo","Com atraso")))</f>
        <v/>
      </c>
      <c r="N887" s="18">
        <f>IF(E887="","",MAX(0,IF(G887="",TODAY(),G887)-L887))</f>
        <v/>
      </c>
    </row>
    <row r="888">
      <c r="E888" s="22" t="n"/>
      <c r="G888" s="22" t="n"/>
      <c r="I888" s="22" t="n"/>
      <c r="L888" s="20">
        <f>IF(E888="","",E888+IF(F888="",IFERROR(VLOOKUP(C888,Parametros!$E:$F,2,0),0),F888))</f>
        <v/>
      </c>
      <c r="M888" s="21">
        <f>IF(E888="","",IF(G888="",IF(TODAY()&gt;L888,"Atrasada","Em aberto"),IF(G888&lt;=L888,"No prazo","Com atraso")))</f>
        <v/>
      </c>
      <c r="N888" s="18">
        <f>IF(E888="","",MAX(0,IF(G888="",TODAY(),G888)-L888))</f>
        <v/>
      </c>
    </row>
    <row r="889">
      <c r="E889" s="22" t="n"/>
      <c r="G889" s="22" t="n"/>
      <c r="I889" s="22" t="n"/>
      <c r="L889" s="20">
        <f>IF(E889="","",E889+IF(F889="",IFERROR(VLOOKUP(C889,Parametros!$E:$F,2,0),0),F889))</f>
        <v/>
      </c>
      <c r="M889" s="21">
        <f>IF(E889="","",IF(G889="",IF(TODAY()&gt;L889,"Atrasada","Em aberto"),IF(G889&lt;=L889,"No prazo","Com atraso")))</f>
        <v/>
      </c>
      <c r="N889" s="18">
        <f>IF(E889="","",MAX(0,IF(G889="",TODAY(),G889)-L889))</f>
        <v/>
      </c>
    </row>
    <row r="890">
      <c r="E890" s="22" t="n"/>
      <c r="G890" s="22" t="n"/>
      <c r="I890" s="22" t="n"/>
      <c r="L890" s="20">
        <f>IF(E890="","",E890+IF(F890="",IFERROR(VLOOKUP(C890,Parametros!$E:$F,2,0),0),F890))</f>
        <v/>
      </c>
      <c r="M890" s="21">
        <f>IF(E890="","",IF(G890="",IF(TODAY()&gt;L890,"Atrasada","Em aberto"),IF(G890&lt;=L890,"No prazo","Com atraso")))</f>
        <v/>
      </c>
      <c r="N890" s="18">
        <f>IF(E890="","",MAX(0,IF(G890="",TODAY(),G890)-L890))</f>
        <v/>
      </c>
    </row>
    <row r="891">
      <c r="E891" s="22" t="n"/>
      <c r="G891" s="22" t="n"/>
      <c r="I891" s="22" t="n"/>
      <c r="L891" s="20">
        <f>IF(E891="","",E891+IF(F891="",IFERROR(VLOOKUP(C891,Parametros!$E:$F,2,0),0),F891))</f>
        <v/>
      </c>
      <c r="M891" s="21">
        <f>IF(E891="","",IF(G891="",IF(TODAY()&gt;L891,"Atrasada","Em aberto"),IF(G891&lt;=L891,"No prazo","Com atraso")))</f>
        <v/>
      </c>
      <c r="N891" s="18">
        <f>IF(E891="","",MAX(0,IF(G891="",TODAY(),G891)-L891))</f>
        <v/>
      </c>
    </row>
    <row r="892">
      <c r="E892" s="22" t="n"/>
      <c r="G892" s="22" t="n"/>
      <c r="I892" s="22" t="n"/>
      <c r="L892" s="20">
        <f>IF(E892="","",E892+IF(F892="",IFERROR(VLOOKUP(C892,Parametros!$E:$F,2,0),0),F892))</f>
        <v/>
      </c>
      <c r="M892" s="21">
        <f>IF(E892="","",IF(G892="",IF(TODAY()&gt;L892,"Atrasada","Em aberto"),IF(G892&lt;=L892,"No prazo","Com atraso")))</f>
        <v/>
      </c>
      <c r="N892" s="18">
        <f>IF(E892="","",MAX(0,IF(G892="",TODAY(),G892)-L892))</f>
        <v/>
      </c>
    </row>
    <row r="893">
      <c r="E893" s="22" t="n"/>
      <c r="G893" s="22" t="n"/>
      <c r="I893" s="22" t="n"/>
      <c r="L893" s="20">
        <f>IF(E893="","",E893+IF(F893="",IFERROR(VLOOKUP(C893,Parametros!$E:$F,2,0),0),F893))</f>
        <v/>
      </c>
      <c r="M893" s="21">
        <f>IF(E893="","",IF(G893="",IF(TODAY()&gt;L893,"Atrasada","Em aberto"),IF(G893&lt;=L893,"No prazo","Com atraso")))</f>
        <v/>
      </c>
      <c r="N893" s="18">
        <f>IF(E893="","",MAX(0,IF(G893="",TODAY(),G893)-L893))</f>
        <v/>
      </c>
    </row>
    <row r="894">
      <c r="E894" s="22" t="n"/>
      <c r="G894" s="22" t="n"/>
      <c r="I894" s="22" t="n"/>
      <c r="L894" s="20">
        <f>IF(E894="","",E894+IF(F894="",IFERROR(VLOOKUP(C894,Parametros!$E:$F,2,0),0),F894))</f>
        <v/>
      </c>
      <c r="M894" s="21">
        <f>IF(E894="","",IF(G894="",IF(TODAY()&gt;L894,"Atrasada","Em aberto"),IF(G894&lt;=L894,"No prazo","Com atraso")))</f>
        <v/>
      </c>
      <c r="N894" s="18">
        <f>IF(E894="","",MAX(0,IF(G894="",TODAY(),G894)-L894))</f>
        <v/>
      </c>
    </row>
    <row r="895">
      <c r="E895" s="22" t="n"/>
      <c r="G895" s="22" t="n"/>
      <c r="I895" s="22" t="n"/>
      <c r="L895" s="20">
        <f>IF(E895="","",E895+IF(F895="",IFERROR(VLOOKUP(C895,Parametros!$E:$F,2,0),0),F895))</f>
        <v/>
      </c>
      <c r="M895" s="21">
        <f>IF(E895="","",IF(G895="",IF(TODAY()&gt;L895,"Atrasada","Em aberto"),IF(G895&lt;=L895,"No prazo","Com atraso")))</f>
        <v/>
      </c>
      <c r="N895" s="18">
        <f>IF(E895="","",MAX(0,IF(G895="",TODAY(),G895)-L895))</f>
        <v/>
      </c>
    </row>
    <row r="896">
      <c r="E896" s="22" t="n"/>
      <c r="G896" s="22" t="n"/>
      <c r="I896" s="22" t="n"/>
      <c r="L896" s="20">
        <f>IF(E896="","",E896+IF(F896="",IFERROR(VLOOKUP(C896,Parametros!$E:$F,2,0),0),F896))</f>
        <v/>
      </c>
      <c r="M896" s="21">
        <f>IF(E896="","",IF(G896="",IF(TODAY()&gt;L896,"Atrasada","Em aberto"),IF(G896&lt;=L896,"No prazo","Com atraso")))</f>
        <v/>
      </c>
      <c r="N896" s="18">
        <f>IF(E896="","",MAX(0,IF(G896="",TODAY(),G896)-L896))</f>
        <v/>
      </c>
    </row>
    <row r="897">
      <c r="E897" s="22" t="n"/>
      <c r="G897" s="22" t="n"/>
      <c r="I897" s="22" t="n"/>
      <c r="L897" s="20">
        <f>IF(E897="","",E897+IF(F897="",IFERROR(VLOOKUP(C897,Parametros!$E:$F,2,0),0),F897))</f>
        <v/>
      </c>
      <c r="M897" s="21">
        <f>IF(E897="","",IF(G897="",IF(TODAY()&gt;L897,"Atrasada","Em aberto"),IF(G897&lt;=L897,"No prazo","Com atraso")))</f>
        <v/>
      </c>
      <c r="N897" s="18">
        <f>IF(E897="","",MAX(0,IF(G897="",TODAY(),G897)-L897))</f>
        <v/>
      </c>
    </row>
    <row r="898">
      <c r="E898" s="22" t="n"/>
      <c r="G898" s="22" t="n"/>
      <c r="I898" s="22" t="n"/>
      <c r="L898" s="20">
        <f>IF(E898="","",E898+IF(F898="",IFERROR(VLOOKUP(C898,Parametros!$E:$F,2,0),0),F898))</f>
        <v/>
      </c>
      <c r="M898" s="21">
        <f>IF(E898="","",IF(G898="",IF(TODAY()&gt;L898,"Atrasada","Em aberto"),IF(G898&lt;=L898,"No prazo","Com atraso")))</f>
        <v/>
      </c>
      <c r="N898" s="18">
        <f>IF(E898="","",MAX(0,IF(G898="",TODAY(),G898)-L898))</f>
        <v/>
      </c>
    </row>
    <row r="899">
      <c r="E899" s="22" t="n"/>
      <c r="G899" s="22" t="n"/>
      <c r="I899" s="22" t="n"/>
      <c r="L899" s="20">
        <f>IF(E899="","",E899+IF(F899="",IFERROR(VLOOKUP(C899,Parametros!$E:$F,2,0),0),F899))</f>
        <v/>
      </c>
      <c r="M899" s="21">
        <f>IF(E899="","",IF(G899="",IF(TODAY()&gt;L899,"Atrasada","Em aberto"),IF(G899&lt;=L899,"No prazo","Com atraso")))</f>
        <v/>
      </c>
      <c r="N899" s="18">
        <f>IF(E899="","",MAX(0,IF(G899="",TODAY(),G899)-L899))</f>
        <v/>
      </c>
    </row>
    <row r="900">
      <c r="E900" s="22" t="n"/>
      <c r="G900" s="22" t="n"/>
      <c r="I900" s="22" t="n"/>
      <c r="L900" s="20">
        <f>IF(E900="","",E900+IF(F900="",IFERROR(VLOOKUP(C900,Parametros!$E:$F,2,0),0),F900))</f>
        <v/>
      </c>
      <c r="M900" s="21">
        <f>IF(E900="","",IF(G900="",IF(TODAY()&gt;L900,"Atrasada","Em aberto"),IF(G900&lt;=L900,"No prazo","Com atraso")))</f>
        <v/>
      </c>
      <c r="N900" s="18">
        <f>IF(E900="","",MAX(0,IF(G900="",TODAY(),G900)-L900))</f>
        <v/>
      </c>
    </row>
    <row r="901">
      <c r="E901" s="22" t="n"/>
      <c r="G901" s="22" t="n"/>
      <c r="I901" s="22" t="n"/>
      <c r="L901" s="20">
        <f>IF(E901="","",E901+IF(F901="",IFERROR(VLOOKUP(C901,Parametros!$E:$F,2,0),0),F901))</f>
        <v/>
      </c>
      <c r="M901" s="21">
        <f>IF(E901="","",IF(G901="",IF(TODAY()&gt;L901,"Atrasada","Em aberto"),IF(G901&lt;=L901,"No prazo","Com atraso")))</f>
        <v/>
      </c>
      <c r="N901" s="18">
        <f>IF(E901="","",MAX(0,IF(G901="",TODAY(),G901)-L901))</f>
        <v/>
      </c>
    </row>
    <row r="902">
      <c r="E902" s="22" t="n"/>
      <c r="G902" s="22" t="n"/>
      <c r="I902" s="22" t="n"/>
      <c r="L902" s="20">
        <f>IF(E902="","",E902+IF(F902="",IFERROR(VLOOKUP(C902,Parametros!$E:$F,2,0),0),F902))</f>
        <v/>
      </c>
      <c r="M902" s="21">
        <f>IF(E902="","",IF(G902="",IF(TODAY()&gt;L902,"Atrasada","Em aberto"),IF(G902&lt;=L902,"No prazo","Com atraso")))</f>
        <v/>
      </c>
      <c r="N902" s="18">
        <f>IF(E902="","",MAX(0,IF(G902="",TODAY(),G902)-L902))</f>
        <v/>
      </c>
    </row>
    <row r="903">
      <c r="E903" s="22" t="n"/>
      <c r="G903" s="22" t="n"/>
      <c r="I903" s="22" t="n"/>
      <c r="L903" s="20">
        <f>IF(E903="","",E903+IF(F903="",IFERROR(VLOOKUP(C903,Parametros!$E:$F,2,0),0),F903))</f>
        <v/>
      </c>
      <c r="M903" s="21">
        <f>IF(E903="","",IF(G903="",IF(TODAY()&gt;L903,"Atrasada","Em aberto"),IF(G903&lt;=L903,"No prazo","Com atraso")))</f>
        <v/>
      </c>
      <c r="N903" s="18">
        <f>IF(E903="","",MAX(0,IF(G903="",TODAY(),G903)-L903))</f>
        <v/>
      </c>
    </row>
    <row r="904">
      <c r="E904" s="22" t="n"/>
      <c r="G904" s="22" t="n"/>
      <c r="I904" s="22" t="n"/>
      <c r="L904" s="20">
        <f>IF(E904="","",E904+IF(F904="",IFERROR(VLOOKUP(C904,Parametros!$E:$F,2,0),0),F904))</f>
        <v/>
      </c>
      <c r="M904" s="21">
        <f>IF(E904="","",IF(G904="",IF(TODAY()&gt;L904,"Atrasada","Em aberto"),IF(G904&lt;=L904,"No prazo","Com atraso")))</f>
        <v/>
      </c>
      <c r="N904" s="18">
        <f>IF(E904="","",MAX(0,IF(G904="",TODAY(),G904)-L904))</f>
        <v/>
      </c>
    </row>
    <row r="905">
      <c r="E905" s="22" t="n"/>
      <c r="G905" s="22" t="n"/>
      <c r="I905" s="22" t="n"/>
      <c r="L905" s="20">
        <f>IF(E905="","",E905+IF(F905="",IFERROR(VLOOKUP(C905,Parametros!$E:$F,2,0),0),F905))</f>
        <v/>
      </c>
      <c r="M905" s="21">
        <f>IF(E905="","",IF(G905="",IF(TODAY()&gt;L905,"Atrasada","Em aberto"),IF(G905&lt;=L905,"No prazo","Com atraso")))</f>
        <v/>
      </c>
      <c r="N905" s="18">
        <f>IF(E905="","",MAX(0,IF(G905="",TODAY(),G905)-L905))</f>
        <v/>
      </c>
    </row>
    <row r="906">
      <c r="E906" s="22" t="n"/>
      <c r="G906" s="22" t="n"/>
      <c r="I906" s="22" t="n"/>
      <c r="L906" s="20">
        <f>IF(E906="","",E906+IF(F906="",IFERROR(VLOOKUP(C906,Parametros!$E:$F,2,0),0),F906))</f>
        <v/>
      </c>
      <c r="M906" s="21">
        <f>IF(E906="","",IF(G906="",IF(TODAY()&gt;L906,"Atrasada","Em aberto"),IF(G906&lt;=L906,"No prazo","Com atraso")))</f>
        <v/>
      </c>
      <c r="N906" s="18">
        <f>IF(E906="","",MAX(0,IF(G906="",TODAY(),G906)-L906))</f>
        <v/>
      </c>
    </row>
    <row r="907">
      <c r="E907" s="22" t="n"/>
      <c r="G907" s="22" t="n"/>
      <c r="I907" s="22" t="n"/>
      <c r="L907" s="20">
        <f>IF(E907="","",E907+IF(F907="",IFERROR(VLOOKUP(C907,Parametros!$E:$F,2,0),0),F907))</f>
        <v/>
      </c>
      <c r="M907" s="21">
        <f>IF(E907="","",IF(G907="",IF(TODAY()&gt;L907,"Atrasada","Em aberto"),IF(G907&lt;=L907,"No prazo","Com atraso")))</f>
        <v/>
      </c>
      <c r="N907" s="18">
        <f>IF(E907="","",MAX(0,IF(G907="",TODAY(),G907)-L907))</f>
        <v/>
      </c>
    </row>
    <row r="908">
      <c r="E908" s="22" t="n"/>
      <c r="G908" s="22" t="n"/>
      <c r="I908" s="22" t="n"/>
      <c r="L908" s="20">
        <f>IF(E908="","",E908+IF(F908="",IFERROR(VLOOKUP(C908,Parametros!$E:$F,2,0),0),F908))</f>
        <v/>
      </c>
      <c r="M908" s="21">
        <f>IF(E908="","",IF(G908="",IF(TODAY()&gt;L908,"Atrasada","Em aberto"),IF(G908&lt;=L908,"No prazo","Com atraso")))</f>
        <v/>
      </c>
      <c r="N908" s="18">
        <f>IF(E908="","",MAX(0,IF(G908="",TODAY(),G908)-L908))</f>
        <v/>
      </c>
    </row>
    <row r="909">
      <c r="E909" s="22" t="n"/>
      <c r="G909" s="22" t="n"/>
      <c r="I909" s="22" t="n"/>
      <c r="L909" s="20">
        <f>IF(E909="","",E909+IF(F909="",IFERROR(VLOOKUP(C909,Parametros!$E:$F,2,0),0),F909))</f>
        <v/>
      </c>
      <c r="M909" s="21">
        <f>IF(E909="","",IF(G909="",IF(TODAY()&gt;L909,"Atrasada","Em aberto"),IF(G909&lt;=L909,"No prazo","Com atraso")))</f>
        <v/>
      </c>
      <c r="N909" s="18">
        <f>IF(E909="","",MAX(0,IF(G909="",TODAY(),G909)-L909))</f>
        <v/>
      </c>
    </row>
    <row r="910">
      <c r="E910" s="22" t="n"/>
      <c r="G910" s="22" t="n"/>
      <c r="I910" s="22" t="n"/>
      <c r="L910" s="20">
        <f>IF(E910="","",E910+IF(F910="",IFERROR(VLOOKUP(C910,Parametros!$E:$F,2,0),0),F910))</f>
        <v/>
      </c>
      <c r="M910" s="21">
        <f>IF(E910="","",IF(G910="",IF(TODAY()&gt;L910,"Atrasada","Em aberto"),IF(G910&lt;=L910,"No prazo","Com atraso")))</f>
        <v/>
      </c>
      <c r="N910" s="18">
        <f>IF(E910="","",MAX(0,IF(G910="",TODAY(),G910)-L910))</f>
        <v/>
      </c>
    </row>
    <row r="911">
      <c r="E911" s="22" t="n"/>
      <c r="G911" s="22" t="n"/>
      <c r="I911" s="22" t="n"/>
      <c r="L911" s="20">
        <f>IF(E911="","",E911+IF(F911="",IFERROR(VLOOKUP(C911,Parametros!$E:$F,2,0),0),F911))</f>
        <v/>
      </c>
      <c r="M911" s="21">
        <f>IF(E911="","",IF(G911="",IF(TODAY()&gt;L911,"Atrasada","Em aberto"),IF(G911&lt;=L911,"No prazo","Com atraso")))</f>
        <v/>
      </c>
      <c r="N911" s="18">
        <f>IF(E911="","",MAX(0,IF(G911="",TODAY(),G911)-L911))</f>
        <v/>
      </c>
    </row>
    <row r="912">
      <c r="E912" s="22" t="n"/>
      <c r="G912" s="22" t="n"/>
      <c r="I912" s="22" t="n"/>
      <c r="L912" s="20">
        <f>IF(E912="","",E912+IF(F912="",IFERROR(VLOOKUP(C912,Parametros!$E:$F,2,0),0),F912))</f>
        <v/>
      </c>
      <c r="M912" s="21">
        <f>IF(E912="","",IF(G912="",IF(TODAY()&gt;L912,"Atrasada","Em aberto"),IF(G912&lt;=L912,"No prazo","Com atraso")))</f>
        <v/>
      </c>
      <c r="N912" s="18">
        <f>IF(E912="","",MAX(0,IF(G912="",TODAY(),G912)-L912))</f>
        <v/>
      </c>
    </row>
    <row r="913">
      <c r="E913" s="22" t="n"/>
      <c r="G913" s="22" t="n"/>
      <c r="I913" s="22" t="n"/>
      <c r="L913" s="20">
        <f>IF(E913="","",E913+IF(F913="",IFERROR(VLOOKUP(C913,Parametros!$E:$F,2,0),0),F913))</f>
        <v/>
      </c>
      <c r="M913" s="21">
        <f>IF(E913="","",IF(G913="",IF(TODAY()&gt;L913,"Atrasada","Em aberto"),IF(G913&lt;=L913,"No prazo","Com atraso")))</f>
        <v/>
      </c>
      <c r="N913" s="18">
        <f>IF(E913="","",MAX(0,IF(G913="",TODAY(),G913)-L913))</f>
        <v/>
      </c>
    </row>
    <row r="914">
      <c r="E914" s="22" t="n"/>
      <c r="G914" s="22" t="n"/>
      <c r="I914" s="22" t="n"/>
      <c r="L914" s="20">
        <f>IF(E914="","",E914+IF(F914="",IFERROR(VLOOKUP(C914,Parametros!$E:$F,2,0),0),F914))</f>
        <v/>
      </c>
      <c r="M914" s="21">
        <f>IF(E914="","",IF(G914="",IF(TODAY()&gt;L914,"Atrasada","Em aberto"),IF(G914&lt;=L914,"No prazo","Com atraso")))</f>
        <v/>
      </c>
      <c r="N914" s="18">
        <f>IF(E914="","",MAX(0,IF(G914="",TODAY(),G914)-L914))</f>
        <v/>
      </c>
    </row>
    <row r="915">
      <c r="E915" s="22" t="n"/>
      <c r="G915" s="22" t="n"/>
      <c r="I915" s="22" t="n"/>
      <c r="L915" s="20">
        <f>IF(E915="","",E915+IF(F915="",IFERROR(VLOOKUP(C915,Parametros!$E:$F,2,0),0),F915))</f>
        <v/>
      </c>
      <c r="M915" s="21">
        <f>IF(E915="","",IF(G915="",IF(TODAY()&gt;L915,"Atrasada","Em aberto"),IF(G915&lt;=L915,"No prazo","Com atraso")))</f>
        <v/>
      </c>
      <c r="N915" s="18">
        <f>IF(E915="","",MAX(0,IF(G915="",TODAY(),G915)-L915))</f>
        <v/>
      </c>
    </row>
    <row r="916">
      <c r="E916" s="22" t="n"/>
      <c r="G916" s="22" t="n"/>
      <c r="I916" s="22" t="n"/>
      <c r="L916" s="20">
        <f>IF(E916="","",E916+IF(F916="",IFERROR(VLOOKUP(C916,Parametros!$E:$F,2,0),0),F916))</f>
        <v/>
      </c>
      <c r="M916" s="21">
        <f>IF(E916="","",IF(G916="",IF(TODAY()&gt;L916,"Atrasada","Em aberto"),IF(G916&lt;=L916,"No prazo","Com atraso")))</f>
        <v/>
      </c>
      <c r="N916" s="18">
        <f>IF(E916="","",MAX(0,IF(G916="",TODAY(),G916)-L916))</f>
        <v/>
      </c>
    </row>
    <row r="917">
      <c r="E917" s="22" t="n"/>
      <c r="G917" s="22" t="n"/>
      <c r="I917" s="22" t="n"/>
      <c r="L917" s="20">
        <f>IF(E917="","",E917+IF(F917="",IFERROR(VLOOKUP(C917,Parametros!$E:$F,2,0),0),F917))</f>
        <v/>
      </c>
      <c r="M917" s="21">
        <f>IF(E917="","",IF(G917="",IF(TODAY()&gt;L917,"Atrasada","Em aberto"),IF(G917&lt;=L917,"No prazo","Com atraso")))</f>
        <v/>
      </c>
      <c r="N917" s="18">
        <f>IF(E917="","",MAX(0,IF(G917="",TODAY(),G917)-L917))</f>
        <v/>
      </c>
    </row>
    <row r="918">
      <c r="E918" s="22" t="n"/>
      <c r="G918" s="22" t="n"/>
      <c r="I918" s="22" t="n"/>
      <c r="L918" s="20">
        <f>IF(E918="","",E918+IF(F918="",IFERROR(VLOOKUP(C918,Parametros!$E:$F,2,0),0),F918))</f>
        <v/>
      </c>
      <c r="M918" s="21">
        <f>IF(E918="","",IF(G918="",IF(TODAY()&gt;L918,"Atrasada","Em aberto"),IF(G918&lt;=L918,"No prazo","Com atraso")))</f>
        <v/>
      </c>
      <c r="N918" s="18">
        <f>IF(E918="","",MAX(0,IF(G918="",TODAY(),G918)-L918))</f>
        <v/>
      </c>
    </row>
    <row r="919">
      <c r="E919" s="22" t="n"/>
      <c r="G919" s="22" t="n"/>
      <c r="I919" s="22" t="n"/>
      <c r="L919" s="20">
        <f>IF(E919="","",E919+IF(F919="",IFERROR(VLOOKUP(C919,Parametros!$E:$F,2,0),0),F919))</f>
        <v/>
      </c>
      <c r="M919" s="21">
        <f>IF(E919="","",IF(G919="",IF(TODAY()&gt;L919,"Atrasada","Em aberto"),IF(G919&lt;=L919,"No prazo","Com atraso")))</f>
        <v/>
      </c>
      <c r="N919" s="18">
        <f>IF(E919="","",MAX(0,IF(G919="",TODAY(),G919)-L919))</f>
        <v/>
      </c>
    </row>
    <row r="920">
      <c r="E920" s="22" t="n"/>
      <c r="G920" s="22" t="n"/>
      <c r="I920" s="22" t="n"/>
      <c r="L920" s="20">
        <f>IF(E920="","",E920+IF(F920="",IFERROR(VLOOKUP(C920,Parametros!$E:$F,2,0),0),F920))</f>
        <v/>
      </c>
      <c r="M920" s="21">
        <f>IF(E920="","",IF(G920="",IF(TODAY()&gt;L920,"Atrasada","Em aberto"),IF(G920&lt;=L920,"No prazo","Com atraso")))</f>
        <v/>
      </c>
      <c r="N920" s="18">
        <f>IF(E920="","",MAX(0,IF(G920="",TODAY(),G920)-L920))</f>
        <v/>
      </c>
    </row>
    <row r="921">
      <c r="E921" s="22" t="n"/>
      <c r="G921" s="22" t="n"/>
      <c r="I921" s="22" t="n"/>
      <c r="L921" s="20">
        <f>IF(E921="","",E921+IF(F921="",IFERROR(VLOOKUP(C921,Parametros!$E:$F,2,0),0),F921))</f>
        <v/>
      </c>
      <c r="M921" s="21">
        <f>IF(E921="","",IF(G921="",IF(TODAY()&gt;L921,"Atrasada","Em aberto"),IF(G921&lt;=L921,"No prazo","Com atraso")))</f>
        <v/>
      </c>
      <c r="N921" s="18">
        <f>IF(E921="","",MAX(0,IF(G921="",TODAY(),G921)-L921))</f>
        <v/>
      </c>
    </row>
    <row r="922">
      <c r="E922" s="22" t="n"/>
      <c r="G922" s="22" t="n"/>
      <c r="I922" s="22" t="n"/>
      <c r="L922" s="20">
        <f>IF(E922="","",E922+IF(F922="",IFERROR(VLOOKUP(C922,Parametros!$E:$F,2,0),0),F922))</f>
        <v/>
      </c>
      <c r="M922" s="21">
        <f>IF(E922="","",IF(G922="",IF(TODAY()&gt;L922,"Atrasada","Em aberto"),IF(G922&lt;=L922,"No prazo","Com atraso")))</f>
        <v/>
      </c>
      <c r="N922" s="18">
        <f>IF(E922="","",MAX(0,IF(G922="",TODAY(),G922)-L922))</f>
        <v/>
      </c>
    </row>
    <row r="923">
      <c r="E923" s="22" t="n"/>
      <c r="G923" s="22" t="n"/>
      <c r="I923" s="22" t="n"/>
      <c r="L923" s="20">
        <f>IF(E923="","",E923+IF(F923="",IFERROR(VLOOKUP(C923,Parametros!$E:$F,2,0),0),F923))</f>
        <v/>
      </c>
      <c r="M923" s="21">
        <f>IF(E923="","",IF(G923="",IF(TODAY()&gt;L923,"Atrasada","Em aberto"),IF(G923&lt;=L923,"No prazo","Com atraso")))</f>
        <v/>
      </c>
      <c r="N923" s="18">
        <f>IF(E923="","",MAX(0,IF(G923="",TODAY(),G923)-L923))</f>
        <v/>
      </c>
    </row>
    <row r="924">
      <c r="E924" s="22" t="n"/>
      <c r="G924" s="22" t="n"/>
      <c r="I924" s="22" t="n"/>
      <c r="L924" s="20">
        <f>IF(E924="","",E924+IF(F924="",IFERROR(VLOOKUP(C924,Parametros!$E:$F,2,0),0),F924))</f>
        <v/>
      </c>
      <c r="M924" s="21">
        <f>IF(E924="","",IF(G924="",IF(TODAY()&gt;L924,"Atrasada","Em aberto"),IF(G924&lt;=L924,"No prazo","Com atraso")))</f>
        <v/>
      </c>
      <c r="N924" s="18">
        <f>IF(E924="","",MAX(0,IF(G924="",TODAY(),G924)-L924))</f>
        <v/>
      </c>
    </row>
    <row r="925">
      <c r="E925" s="22" t="n"/>
      <c r="G925" s="22" t="n"/>
      <c r="I925" s="22" t="n"/>
      <c r="L925" s="20">
        <f>IF(E925="","",E925+IF(F925="",IFERROR(VLOOKUP(C925,Parametros!$E:$F,2,0),0),F925))</f>
        <v/>
      </c>
      <c r="M925" s="21">
        <f>IF(E925="","",IF(G925="",IF(TODAY()&gt;L925,"Atrasada","Em aberto"),IF(G925&lt;=L925,"No prazo","Com atraso")))</f>
        <v/>
      </c>
      <c r="N925" s="18">
        <f>IF(E925="","",MAX(0,IF(G925="",TODAY(),G925)-L925))</f>
        <v/>
      </c>
    </row>
    <row r="926">
      <c r="E926" s="22" t="n"/>
      <c r="G926" s="22" t="n"/>
      <c r="I926" s="22" t="n"/>
      <c r="L926" s="20">
        <f>IF(E926="","",E926+IF(F926="",IFERROR(VLOOKUP(C926,Parametros!$E:$F,2,0),0),F926))</f>
        <v/>
      </c>
      <c r="M926" s="21">
        <f>IF(E926="","",IF(G926="",IF(TODAY()&gt;L926,"Atrasada","Em aberto"),IF(G926&lt;=L926,"No prazo","Com atraso")))</f>
        <v/>
      </c>
      <c r="N926" s="18">
        <f>IF(E926="","",MAX(0,IF(G926="",TODAY(),G926)-L926))</f>
        <v/>
      </c>
    </row>
    <row r="927">
      <c r="E927" s="22" t="n"/>
      <c r="G927" s="22" t="n"/>
      <c r="I927" s="22" t="n"/>
      <c r="L927" s="20">
        <f>IF(E927="","",E927+IF(F927="",IFERROR(VLOOKUP(C927,Parametros!$E:$F,2,0),0),F927))</f>
        <v/>
      </c>
      <c r="M927" s="21">
        <f>IF(E927="","",IF(G927="",IF(TODAY()&gt;L927,"Atrasada","Em aberto"),IF(G927&lt;=L927,"No prazo","Com atraso")))</f>
        <v/>
      </c>
      <c r="N927" s="18">
        <f>IF(E927="","",MAX(0,IF(G927="",TODAY(),G927)-L927))</f>
        <v/>
      </c>
    </row>
    <row r="928">
      <c r="E928" s="22" t="n"/>
      <c r="G928" s="22" t="n"/>
      <c r="I928" s="22" t="n"/>
      <c r="L928" s="20">
        <f>IF(E928="","",E928+IF(F928="",IFERROR(VLOOKUP(C928,Parametros!$E:$F,2,0),0),F928))</f>
        <v/>
      </c>
      <c r="M928" s="21">
        <f>IF(E928="","",IF(G928="",IF(TODAY()&gt;L928,"Atrasada","Em aberto"),IF(G928&lt;=L928,"No prazo","Com atraso")))</f>
        <v/>
      </c>
      <c r="N928" s="18">
        <f>IF(E928="","",MAX(0,IF(G928="",TODAY(),G928)-L928))</f>
        <v/>
      </c>
    </row>
    <row r="929">
      <c r="E929" s="22" t="n"/>
      <c r="G929" s="22" t="n"/>
      <c r="I929" s="22" t="n"/>
      <c r="L929" s="20">
        <f>IF(E929="","",E929+IF(F929="",IFERROR(VLOOKUP(C929,Parametros!$E:$F,2,0),0),F929))</f>
        <v/>
      </c>
      <c r="M929" s="21">
        <f>IF(E929="","",IF(G929="",IF(TODAY()&gt;L929,"Atrasada","Em aberto"),IF(G929&lt;=L929,"No prazo","Com atraso")))</f>
        <v/>
      </c>
      <c r="N929" s="18">
        <f>IF(E929="","",MAX(0,IF(G929="",TODAY(),G929)-L929))</f>
        <v/>
      </c>
    </row>
    <row r="930">
      <c r="E930" s="22" t="n"/>
      <c r="G930" s="22" t="n"/>
      <c r="I930" s="22" t="n"/>
      <c r="L930" s="20">
        <f>IF(E930="","",E930+IF(F930="",IFERROR(VLOOKUP(C930,Parametros!$E:$F,2,0),0),F930))</f>
        <v/>
      </c>
      <c r="M930" s="21">
        <f>IF(E930="","",IF(G930="",IF(TODAY()&gt;L930,"Atrasada","Em aberto"),IF(G930&lt;=L930,"No prazo","Com atraso")))</f>
        <v/>
      </c>
      <c r="N930" s="18">
        <f>IF(E930="","",MAX(0,IF(G930="",TODAY(),G930)-L930))</f>
        <v/>
      </c>
    </row>
    <row r="931">
      <c r="E931" s="22" t="n"/>
      <c r="G931" s="22" t="n"/>
      <c r="I931" s="22" t="n"/>
      <c r="L931" s="20">
        <f>IF(E931="","",E931+IF(F931="",IFERROR(VLOOKUP(C931,Parametros!$E:$F,2,0),0),F931))</f>
        <v/>
      </c>
      <c r="M931" s="21">
        <f>IF(E931="","",IF(G931="",IF(TODAY()&gt;L931,"Atrasada","Em aberto"),IF(G931&lt;=L931,"No prazo","Com atraso")))</f>
        <v/>
      </c>
      <c r="N931" s="18">
        <f>IF(E931="","",MAX(0,IF(G931="",TODAY(),G931)-L931))</f>
        <v/>
      </c>
    </row>
    <row r="932">
      <c r="E932" s="22" t="n"/>
      <c r="G932" s="22" t="n"/>
      <c r="I932" s="22" t="n"/>
      <c r="L932" s="20">
        <f>IF(E932="","",E932+IF(F932="",IFERROR(VLOOKUP(C932,Parametros!$E:$F,2,0),0),F932))</f>
        <v/>
      </c>
      <c r="M932" s="21">
        <f>IF(E932="","",IF(G932="",IF(TODAY()&gt;L932,"Atrasada","Em aberto"),IF(G932&lt;=L932,"No prazo","Com atraso")))</f>
        <v/>
      </c>
      <c r="N932" s="18">
        <f>IF(E932="","",MAX(0,IF(G932="",TODAY(),G932)-L932))</f>
        <v/>
      </c>
    </row>
    <row r="933">
      <c r="E933" s="22" t="n"/>
      <c r="G933" s="22" t="n"/>
      <c r="I933" s="22" t="n"/>
      <c r="L933" s="20">
        <f>IF(E933="","",E933+IF(F933="",IFERROR(VLOOKUP(C933,Parametros!$E:$F,2,0),0),F933))</f>
        <v/>
      </c>
      <c r="M933" s="21">
        <f>IF(E933="","",IF(G933="",IF(TODAY()&gt;L933,"Atrasada","Em aberto"),IF(G933&lt;=L933,"No prazo","Com atraso")))</f>
        <v/>
      </c>
      <c r="N933" s="18">
        <f>IF(E933="","",MAX(0,IF(G933="",TODAY(),G933)-L933))</f>
        <v/>
      </c>
    </row>
    <row r="934">
      <c r="E934" s="22" t="n"/>
      <c r="G934" s="22" t="n"/>
      <c r="I934" s="22" t="n"/>
      <c r="L934" s="20">
        <f>IF(E934="","",E934+IF(F934="",IFERROR(VLOOKUP(C934,Parametros!$E:$F,2,0),0),F934))</f>
        <v/>
      </c>
      <c r="M934" s="21">
        <f>IF(E934="","",IF(G934="",IF(TODAY()&gt;L934,"Atrasada","Em aberto"),IF(G934&lt;=L934,"No prazo","Com atraso")))</f>
        <v/>
      </c>
      <c r="N934" s="18">
        <f>IF(E934="","",MAX(0,IF(G934="",TODAY(),G934)-L934))</f>
        <v/>
      </c>
    </row>
    <row r="935">
      <c r="E935" s="22" t="n"/>
      <c r="G935" s="22" t="n"/>
      <c r="I935" s="22" t="n"/>
      <c r="L935" s="20">
        <f>IF(E935="","",E935+IF(F935="",IFERROR(VLOOKUP(C935,Parametros!$E:$F,2,0),0),F935))</f>
        <v/>
      </c>
      <c r="M935" s="21">
        <f>IF(E935="","",IF(G935="",IF(TODAY()&gt;L935,"Atrasada","Em aberto"),IF(G935&lt;=L935,"No prazo","Com atraso")))</f>
        <v/>
      </c>
      <c r="N935" s="18">
        <f>IF(E935="","",MAX(0,IF(G935="",TODAY(),G935)-L935))</f>
        <v/>
      </c>
    </row>
    <row r="936">
      <c r="E936" s="22" t="n"/>
      <c r="G936" s="22" t="n"/>
      <c r="I936" s="22" t="n"/>
      <c r="L936" s="20">
        <f>IF(E936="","",E936+IF(F936="",IFERROR(VLOOKUP(C936,Parametros!$E:$F,2,0),0),F936))</f>
        <v/>
      </c>
      <c r="M936" s="21">
        <f>IF(E936="","",IF(G936="",IF(TODAY()&gt;L936,"Atrasada","Em aberto"),IF(G936&lt;=L936,"No prazo","Com atraso")))</f>
        <v/>
      </c>
      <c r="N936" s="18">
        <f>IF(E936="","",MAX(0,IF(G936="",TODAY(),G936)-L936))</f>
        <v/>
      </c>
    </row>
    <row r="937">
      <c r="E937" s="22" t="n"/>
      <c r="G937" s="22" t="n"/>
      <c r="I937" s="22" t="n"/>
      <c r="L937" s="20">
        <f>IF(E937="","",E937+IF(F937="",IFERROR(VLOOKUP(C937,Parametros!$E:$F,2,0),0),F937))</f>
        <v/>
      </c>
      <c r="M937" s="21">
        <f>IF(E937="","",IF(G937="",IF(TODAY()&gt;L937,"Atrasada","Em aberto"),IF(G937&lt;=L937,"No prazo","Com atraso")))</f>
        <v/>
      </c>
      <c r="N937" s="18">
        <f>IF(E937="","",MAX(0,IF(G937="",TODAY(),G937)-L937))</f>
        <v/>
      </c>
    </row>
    <row r="938">
      <c r="E938" s="22" t="n"/>
      <c r="G938" s="22" t="n"/>
      <c r="I938" s="22" t="n"/>
      <c r="L938" s="20">
        <f>IF(E938="","",E938+IF(F938="",IFERROR(VLOOKUP(C938,Parametros!$E:$F,2,0),0),F938))</f>
        <v/>
      </c>
      <c r="M938" s="21">
        <f>IF(E938="","",IF(G938="",IF(TODAY()&gt;L938,"Atrasada","Em aberto"),IF(G938&lt;=L938,"No prazo","Com atraso")))</f>
        <v/>
      </c>
      <c r="N938" s="18">
        <f>IF(E938="","",MAX(0,IF(G938="",TODAY(),G938)-L938))</f>
        <v/>
      </c>
    </row>
    <row r="939">
      <c r="E939" s="22" t="n"/>
      <c r="G939" s="22" t="n"/>
      <c r="I939" s="22" t="n"/>
      <c r="L939" s="20">
        <f>IF(E939="","",E939+IF(F939="",IFERROR(VLOOKUP(C939,Parametros!$E:$F,2,0),0),F939))</f>
        <v/>
      </c>
      <c r="M939" s="21">
        <f>IF(E939="","",IF(G939="",IF(TODAY()&gt;L939,"Atrasada","Em aberto"),IF(G939&lt;=L939,"No prazo","Com atraso")))</f>
        <v/>
      </c>
      <c r="N939" s="18">
        <f>IF(E939="","",MAX(0,IF(G939="",TODAY(),G939)-L939))</f>
        <v/>
      </c>
    </row>
    <row r="940">
      <c r="E940" s="22" t="n"/>
      <c r="G940" s="22" t="n"/>
      <c r="I940" s="22" t="n"/>
      <c r="L940" s="20">
        <f>IF(E940="","",E940+IF(F940="",IFERROR(VLOOKUP(C940,Parametros!$E:$F,2,0),0),F940))</f>
        <v/>
      </c>
      <c r="M940" s="21">
        <f>IF(E940="","",IF(G940="",IF(TODAY()&gt;L940,"Atrasada","Em aberto"),IF(G940&lt;=L940,"No prazo","Com atraso")))</f>
        <v/>
      </c>
      <c r="N940" s="18">
        <f>IF(E940="","",MAX(0,IF(G940="",TODAY(),G940)-L940))</f>
        <v/>
      </c>
    </row>
    <row r="941">
      <c r="E941" s="22" t="n"/>
      <c r="G941" s="22" t="n"/>
      <c r="I941" s="22" t="n"/>
      <c r="L941" s="20">
        <f>IF(E941="","",E941+IF(F941="",IFERROR(VLOOKUP(C941,Parametros!$E:$F,2,0),0),F941))</f>
        <v/>
      </c>
      <c r="M941" s="21">
        <f>IF(E941="","",IF(G941="",IF(TODAY()&gt;L941,"Atrasada","Em aberto"),IF(G941&lt;=L941,"No prazo","Com atraso")))</f>
        <v/>
      </c>
      <c r="N941" s="18">
        <f>IF(E941="","",MAX(0,IF(G941="",TODAY(),G941)-L941))</f>
        <v/>
      </c>
    </row>
    <row r="942">
      <c r="E942" s="22" t="n"/>
      <c r="G942" s="22" t="n"/>
      <c r="I942" s="22" t="n"/>
      <c r="L942" s="20">
        <f>IF(E942="","",E942+IF(F942="",IFERROR(VLOOKUP(C942,Parametros!$E:$F,2,0),0),F942))</f>
        <v/>
      </c>
      <c r="M942" s="21">
        <f>IF(E942="","",IF(G942="",IF(TODAY()&gt;L942,"Atrasada","Em aberto"),IF(G942&lt;=L942,"No prazo","Com atraso")))</f>
        <v/>
      </c>
      <c r="N942" s="18">
        <f>IF(E942="","",MAX(0,IF(G942="",TODAY(),G942)-L942))</f>
        <v/>
      </c>
    </row>
    <row r="943">
      <c r="E943" s="22" t="n"/>
      <c r="G943" s="22" t="n"/>
      <c r="I943" s="22" t="n"/>
      <c r="L943" s="20">
        <f>IF(E943="","",E943+IF(F943="",IFERROR(VLOOKUP(C943,Parametros!$E:$F,2,0),0),F943))</f>
        <v/>
      </c>
      <c r="M943" s="21">
        <f>IF(E943="","",IF(G943="",IF(TODAY()&gt;L943,"Atrasada","Em aberto"),IF(G943&lt;=L943,"No prazo","Com atraso")))</f>
        <v/>
      </c>
      <c r="N943" s="18">
        <f>IF(E943="","",MAX(0,IF(G943="",TODAY(),G943)-L943))</f>
        <v/>
      </c>
    </row>
    <row r="944">
      <c r="E944" s="22" t="n"/>
      <c r="G944" s="22" t="n"/>
      <c r="I944" s="22" t="n"/>
      <c r="L944" s="20">
        <f>IF(E944="","",E944+IF(F944="",IFERROR(VLOOKUP(C944,Parametros!$E:$F,2,0),0),F944))</f>
        <v/>
      </c>
      <c r="M944" s="21">
        <f>IF(E944="","",IF(G944="",IF(TODAY()&gt;L944,"Atrasada","Em aberto"),IF(G944&lt;=L944,"No prazo","Com atraso")))</f>
        <v/>
      </c>
      <c r="N944" s="18">
        <f>IF(E944="","",MAX(0,IF(G944="",TODAY(),G944)-L944))</f>
        <v/>
      </c>
    </row>
    <row r="945">
      <c r="E945" s="22" t="n"/>
      <c r="G945" s="22" t="n"/>
      <c r="I945" s="22" t="n"/>
      <c r="L945" s="20">
        <f>IF(E945="","",E945+IF(F945="",IFERROR(VLOOKUP(C945,Parametros!$E:$F,2,0),0),F945))</f>
        <v/>
      </c>
      <c r="M945" s="21">
        <f>IF(E945="","",IF(G945="",IF(TODAY()&gt;L945,"Atrasada","Em aberto"),IF(G945&lt;=L945,"No prazo","Com atraso")))</f>
        <v/>
      </c>
      <c r="N945" s="18">
        <f>IF(E945="","",MAX(0,IF(G945="",TODAY(),G945)-L945))</f>
        <v/>
      </c>
    </row>
    <row r="946">
      <c r="E946" s="22" t="n"/>
      <c r="G946" s="22" t="n"/>
      <c r="I946" s="22" t="n"/>
      <c r="L946" s="20">
        <f>IF(E946="","",E946+IF(F946="",IFERROR(VLOOKUP(C946,Parametros!$E:$F,2,0),0),F946))</f>
        <v/>
      </c>
      <c r="M946" s="21">
        <f>IF(E946="","",IF(G946="",IF(TODAY()&gt;L946,"Atrasada","Em aberto"),IF(G946&lt;=L946,"No prazo","Com atraso")))</f>
        <v/>
      </c>
      <c r="N946" s="18">
        <f>IF(E946="","",MAX(0,IF(G946="",TODAY(),G946)-L946))</f>
        <v/>
      </c>
    </row>
    <row r="947">
      <c r="E947" s="22" t="n"/>
      <c r="G947" s="22" t="n"/>
      <c r="I947" s="22" t="n"/>
      <c r="L947" s="20">
        <f>IF(E947="","",E947+IF(F947="",IFERROR(VLOOKUP(C947,Parametros!$E:$F,2,0),0),F947))</f>
        <v/>
      </c>
      <c r="M947" s="21">
        <f>IF(E947="","",IF(G947="",IF(TODAY()&gt;L947,"Atrasada","Em aberto"),IF(G947&lt;=L947,"No prazo","Com atraso")))</f>
        <v/>
      </c>
      <c r="N947" s="18">
        <f>IF(E947="","",MAX(0,IF(G947="",TODAY(),G947)-L947))</f>
        <v/>
      </c>
    </row>
    <row r="948">
      <c r="E948" s="22" t="n"/>
      <c r="G948" s="22" t="n"/>
      <c r="I948" s="22" t="n"/>
      <c r="L948" s="20">
        <f>IF(E948="","",E948+IF(F948="",IFERROR(VLOOKUP(C948,Parametros!$E:$F,2,0),0),F948))</f>
        <v/>
      </c>
      <c r="M948" s="21">
        <f>IF(E948="","",IF(G948="",IF(TODAY()&gt;L948,"Atrasada","Em aberto"),IF(G948&lt;=L948,"No prazo","Com atraso")))</f>
        <v/>
      </c>
      <c r="N948" s="18">
        <f>IF(E948="","",MAX(0,IF(G948="",TODAY(),G948)-L948))</f>
        <v/>
      </c>
    </row>
    <row r="949">
      <c r="E949" s="22" t="n"/>
      <c r="G949" s="22" t="n"/>
      <c r="I949" s="22" t="n"/>
      <c r="L949" s="20">
        <f>IF(E949="","",E949+IF(F949="",IFERROR(VLOOKUP(C949,Parametros!$E:$F,2,0),0),F949))</f>
        <v/>
      </c>
      <c r="M949" s="21">
        <f>IF(E949="","",IF(G949="",IF(TODAY()&gt;L949,"Atrasada","Em aberto"),IF(G949&lt;=L949,"No prazo","Com atraso")))</f>
        <v/>
      </c>
      <c r="N949" s="18">
        <f>IF(E949="","",MAX(0,IF(G949="",TODAY(),G949)-L949))</f>
        <v/>
      </c>
    </row>
    <row r="950">
      <c r="E950" s="22" t="n"/>
      <c r="G950" s="22" t="n"/>
      <c r="I950" s="22" t="n"/>
      <c r="L950" s="20">
        <f>IF(E950="","",E950+IF(F950="",IFERROR(VLOOKUP(C950,Parametros!$E:$F,2,0),0),F950))</f>
        <v/>
      </c>
      <c r="M950" s="21">
        <f>IF(E950="","",IF(G950="",IF(TODAY()&gt;L950,"Atrasada","Em aberto"),IF(G950&lt;=L950,"No prazo","Com atraso")))</f>
        <v/>
      </c>
      <c r="N950" s="18">
        <f>IF(E950="","",MAX(0,IF(G950="",TODAY(),G950)-L950))</f>
        <v/>
      </c>
    </row>
    <row r="951">
      <c r="E951" s="22" t="n"/>
      <c r="G951" s="22" t="n"/>
      <c r="I951" s="22" t="n"/>
      <c r="L951" s="20">
        <f>IF(E951="","",E951+IF(F951="",IFERROR(VLOOKUP(C951,Parametros!$E:$F,2,0),0),F951))</f>
        <v/>
      </c>
      <c r="M951" s="21">
        <f>IF(E951="","",IF(G951="",IF(TODAY()&gt;L951,"Atrasada","Em aberto"),IF(G951&lt;=L951,"No prazo","Com atraso")))</f>
        <v/>
      </c>
      <c r="N951" s="18">
        <f>IF(E951="","",MAX(0,IF(G951="",TODAY(),G951)-L951))</f>
        <v/>
      </c>
    </row>
    <row r="952">
      <c r="E952" s="22" t="n"/>
      <c r="G952" s="22" t="n"/>
      <c r="I952" s="22" t="n"/>
      <c r="L952" s="20">
        <f>IF(E952="","",E952+IF(F952="",IFERROR(VLOOKUP(C952,Parametros!$E:$F,2,0),0),F952))</f>
        <v/>
      </c>
      <c r="M952" s="21">
        <f>IF(E952="","",IF(G952="",IF(TODAY()&gt;L952,"Atrasada","Em aberto"),IF(G952&lt;=L952,"No prazo","Com atraso")))</f>
        <v/>
      </c>
      <c r="N952" s="18">
        <f>IF(E952="","",MAX(0,IF(G952="",TODAY(),G952)-L952))</f>
        <v/>
      </c>
    </row>
    <row r="953">
      <c r="E953" s="22" t="n"/>
      <c r="G953" s="22" t="n"/>
      <c r="I953" s="22" t="n"/>
      <c r="L953" s="20">
        <f>IF(E953="","",E953+IF(F953="",IFERROR(VLOOKUP(C953,Parametros!$E:$F,2,0),0),F953))</f>
        <v/>
      </c>
      <c r="M953" s="21">
        <f>IF(E953="","",IF(G953="",IF(TODAY()&gt;L953,"Atrasada","Em aberto"),IF(G953&lt;=L953,"No prazo","Com atraso")))</f>
        <v/>
      </c>
      <c r="N953" s="18">
        <f>IF(E953="","",MAX(0,IF(G953="",TODAY(),G953)-L953))</f>
        <v/>
      </c>
    </row>
    <row r="954">
      <c r="E954" s="22" t="n"/>
      <c r="G954" s="22" t="n"/>
      <c r="I954" s="22" t="n"/>
      <c r="L954" s="20">
        <f>IF(E954="","",E954+IF(F954="",IFERROR(VLOOKUP(C954,Parametros!$E:$F,2,0),0),F954))</f>
        <v/>
      </c>
      <c r="M954" s="21">
        <f>IF(E954="","",IF(G954="",IF(TODAY()&gt;L954,"Atrasada","Em aberto"),IF(G954&lt;=L954,"No prazo","Com atraso")))</f>
        <v/>
      </c>
      <c r="N954" s="18">
        <f>IF(E954="","",MAX(0,IF(G954="",TODAY(),G954)-L954))</f>
        <v/>
      </c>
    </row>
    <row r="955">
      <c r="E955" s="22" t="n"/>
      <c r="G955" s="22" t="n"/>
      <c r="I955" s="22" t="n"/>
      <c r="L955" s="20">
        <f>IF(E955="","",E955+IF(F955="",IFERROR(VLOOKUP(C955,Parametros!$E:$F,2,0),0),F955))</f>
        <v/>
      </c>
      <c r="M955" s="21">
        <f>IF(E955="","",IF(G955="",IF(TODAY()&gt;L955,"Atrasada","Em aberto"),IF(G955&lt;=L955,"No prazo","Com atraso")))</f>
        <v/>
      </c>
      <c r="N955" s="18">
        <f>IF(E955="","",MAX(0,IF(G955="",TODAY(),G955)-L955))</f>
        <v/>
      </c>
    </row>
    <row r="956">
      <c r="E956" s="22" t="n"/>
      <c r="G956" s="22" t="n"/>
      <c r="I956" s="22" t="n"/>
      <c r="L956" s="20">
        <f>IF(E956="","",E956+IF(F956="",IFERROR(VLOOKUP(C956,Parametros!$E:$F,2,0),0),F956))</f>
        <v/>
      </c>
      <c r="M956" s="21">
        <f>IF(E956="","",IF(G956="",IF(TODAY()&gt;L956,"Atrasada","Em aberto"),IF(G956&lt;=L956,"No prazo","Com atraso")))</f>
        <v/>
      </c>
      <c r="N956" s="18">
        <f>IF(E956="","",MAX(0,IF(G956="",TODAY(),G956)-L956))</f>
        <v/>
      </c>
    </row>
    <row r="957">
      <c r="E957" s="22" t="n"/>
      <c r="G957" s="22" t="n"/>
      <c r="I957" s="22" t="n"/>
      <c r="L957" s="20">
        <f>IF(E957="","",E957+IF(F957="",IFERROR(VLOOKUP(C957,Parametros!$E:$F,2,0),0),F957))</f>
        <v/>
      </c>
      <c r="M957" s="21">
        <f>IF(E957="","",IF(G957="",IF(TODAY()&gt;L957,"Atrasada","Em aberto"),IF(G957&lt;=L957,"No prazo","Com atraso")))</f>
        <v/>
      </c>
      <c r="N957" s="18">
        <f>IF(E957="","",MAX(0,IF(G957="",TODAY(),G957)-L957))</f>
        <v/>
      </c>
    </row>
    <row r="958">
      <c r="E958" s="22" t="n"/>
      <c r="G958" s="22" t="n"/>
      <c r="I958" s="22" t="n"/>
      <c r="L958" s="20">
        <f>IF(E958="","",E958+IF(F958="",IFERROR(VLOOKUP(C958,Parametros!$E:$F,2,0),0),F958))</f>
        <v/>
      </c>
      <c r="M958" s="21">
        <f>IF(E958="","",IF(G958="",IF(TODAY()&gt;L958,"Atrasada","Em aberto"),IF(G958&lt;=L958,"No prazo","Com atraso")))</f>
        <v/>
      </c>
      <c r="N958" s="18">
        <f>IF(E958="","",MAX(0,IF(G958="",TODAY(),G958)-L958))</f>
        <v/>
      </c>
    </row>
    <row r="959">
      <c r="E959" s="22" t="n"/>
      <c r="G959" s="22" t="n"/>
      <c r="I959" s="22" t="n"/>
      <c r="L959" s="20">
        <f>IF(E959="","",E959+IF(F959="",IFERROR(VLOOKUP(C959,Parametros!$E:$F,2,0),0),F959))</f>
        <v/>
      </c>
      <c r="M959" s="21">
        <f>IF(E959="","",IF(G959="",IF(TODAY()&gt;L959,"Atrasada","Em aberto"),IF(G959&lt;=L959,"No prazo","Com atraso")))</f>
        <v/>
      </c>
      <c r="N959" s="18">
        <f>IF(E959="","",MAX(0,IF(G959="",TODAY(),G959)-L959))</f>
        <v/>
      </c>
    </row>
    <row r="960">
      <c r="E960" s="22" t="n"/>
      <c r="G960" s="22" t="n"/>
      <c r="I960" s="22" t="n"/>
      <c r="L960" s="20">
        <f>IF(E960="","",E960+IF(F960="",IFERROR(VLOOKUP(C960,Parametros!$E:$F,2,0),0),F960))</f>
        <v/>
      </c>
      <c r="M960" s="21">
        <f>IF(E960="","",IF(G960="",IF(TODAY()&gt;L960,"Atrasada","Em aberto"),IF(G960&lt;=L960,"No prazo","Com atraso")))</f>
        <v/>
      </c>
      <c r="N960" s="18">
        <f>IF(E960="","",MAX(0,IF(G960="",TODAY(),G960)-L960))</f>
        <v/>
      </c>
    </row>
    <row r="961">
      <c r="E961" s="22" t="n"/>
      <c r="G961" s="22" t="n"/>
      <c r="I961" s="22" t="n"/>
      <c r="L961" s="20">
        <f>IF(E961="","",E961+IF(F961="",IFERROR(VLOOKUP(C961,Parametros!$E:$F,2,0),0),F961))</f>
        <v/>
      </c>
      <c r="M961" s="21">
        <f>IF(E961="","",IF(G961="",IF(TODAY()&gt;L961,"Atrasada","Em aberto"),IF(G961&lt;=L961,"No prazo","Com atraso")))</f>
        <v/>
      </c>
      <c r="N961" s="18">
        <f>IF(E961="","",MAX(0,IF(G961="",TODAY(),G961)-L961))</f>
        <v/>
      </c>
    </row>
    <row r="962">
      <c r="E962" s="22" t="n"/>
      <c r="G962" s="22" t="n"/>
      <c r="I962" s="22" t="n"/>
      <c r="L962" s="20">
        <f>IF(E962="","",E962+IF(F962="",IFERROR(VLOOKUP(C962,Parametros!$E:$F,2,0),0),F962))</f>
        <v/>
      </c>
      <c r="M962" s="21">
        <f>IF(E962="","",IF(G962="",IF(TODAY()&gt;L962,"Atrasada","Em aberto"),IF(G962&lt;=L962,"No prazo","Com atraso")))</f>
        <v/>
      </c>
      <c r="N962" s="18">
        <f>IF(E962="","",MAX(0,IF(G962="",TODAY(),G962)-L962))</f>
        <v/>
      </c>
    </row>
    <row r="963">
      <c r="E963" s="22" t="n"/>
      <c r="G963" s="22" t="n"/>
      <c r="I963" s="22" t="n"/>
      <c r="L963" s="20">
        <f>IF(E963="","",E963+IF(F963="",IFERROR(VLOOKUP(C963,Parametros!$E:$F,2,0),0),F963))</f>
        <v/>
      </c>
      <c r="M963" s="21">
        <f>IF(E963="","",IF(G963="",IF(TODAY()&gt;L963,"Atrasada","Em aberto"),IF(G963&lt;=L963,"No prazo","Com atraso")))</f>
        <v/>
      </c>
      <c r="N963" s="18">
        <f>IF(E963="","",MAX(0,IF(G963="",TODAY(),G963)-L963))</f>
        <v/>
      </c>
    </row>
    <row r="964">
      <c r="E964" s="22" t="n"/>
      <c r="G964" s="22" t="n"/>
      <c r="I964" s="22" t="n"/>
      <c r="L964" s="20">
        <f>IF(E964="","",E964+IF(F964="",IFERROR(VLOOKUP(C964,Parametros!$E:$F,2,0),0),F964))</f>
        <v/>
      </c>
      <c r="M964" s="21">
        <f>IF(E964="","",IF(G964="",IF(TODAY()&gt;L964,"Atrasada","Em aberto"),IF(G964&lt;=L964,"No prazo","Com atraso")))</f>
        <v/>
      </c>
      <c r="N964" s="18">
        <f>IF(E964="","",MAX(0,IF(G964="",TODAY(),G964)-L964))</f>
        <v/>
      </c>
    </row>
    <row r="965">
      <c r="E965" s="22" t="n"/>
      <c r="G965" s="22" t="n"/>
      <c r="I965" s="22" t="n"/>
      <c r="L965" s="20">
        <f>IF(E965="","",E965+IF(F965="",IFERROR(VLOOKUP(C965,Parametros!$E:$F,2,0),0),F965))</f>
        <v/>
      </c>
      <c r="M965" s="21">
        <f>IF(E965="","",IF(G965="",IF(TODAY()&gt;L965,"Atrasada","Em aberto"),IF(G965&lt;=L965,"No prazo","Com atraso")))</f>
        <v/>
      </c>
      <c r="N965" s="18">
        <f>IF(E965="","",MAX(0,IF(G965="",TODAY(),G965)-L965))</f>
        <v/>
      </c>
    </row>
    <row r="966">
      <c r="E966" s="22" t="n"/>
      <c r="G966" s="22" t="n"/>
      <c r="I966" s="22" t="n"/>
      <c r="L966" s="20">
        <f>IF(E966="","",E966+IF(F966="",IFERROR(VLOOKUP(C966,Parametros!$E:$F,2,0),0),F966))</f>
        <v/>
      </c>
      <c r="M966" s="21">
        <f>IF(E966="","",IF(G966="",IF(TODAY()&gt;L966,"Atrasada","Em aberto"),IF(G966&lt;=L966,"No prazo","Com atraso")))</f>
        <v/>
      </c>
      <c r="N966" s="18">
        <f>IF(E966="","",MAX(0,IF(G966="",TODAY(),G966)-L966))</f>
        <v/>
      </c>
    </row>
    <row r="967">
      <c r="E967" s="22" t="n"/>
      <c r="G967" s="22" t="n"/>
      <c r="I967" s="22" t="n"/>
      <c r="L967" s="20">
        <f>IF(E967="","",E967+IF(F967="",IFERROR(VLOOKUP(C967,Parametros!$E:$F,2,0),0),F967))</f>
        <v/>
      </c>
      <c r="M967" s="21">
        <f>IF(E967="","",IF(G967="",IF(TODAY()&gt;L967,"Atrasada","Em aberto"),IF(G967&lt;=L967,"No prazo","Com atraso")))</f>
        <v/>
      </c>
      <c r="N967" s="18">
        <f>IF(E967="","",MAX(0,IF(G967="",TODAY(),G967)-L967))</f>
        <v/>
      </c>
    </row>
    <row r="968">
      <c r="E968" s="22" t="n"/>
      <c r="G968" s="22" t="n"/>
      <c r="I968" s="22" t="n"/>
      <c r="L968" s="20">
        <f>IF(E968="","",E968+IF(F968="",IFERROR(VLOOKUP(C968,Parametros!$E:$F,2,0),0),F968))</f>
        <v/>
      </c>
      <c r="M968" s="21">
        <f>IF(E968="","",IF(G968="",IF(TODAY()&gt;L968,"Atrasada","Em aberto"),IF(G968&lt;=L968,"No prazo","Com atraso")))</f>
        <v/>
      </c>
      <c r="N968" s="18">
        <f>IF(E968="","",MAX(0,IF(G968="",TODAY(),G968)-L968))</f>
        <v/>
      </c>
    </row>
    <row r="969">
      <c r="E969" s="22" t="n"/>
      <c r="G969" s="22" t="n"/>
      <c r="I969" s="22" t="n"/>
      <c r="L969" s="20">
        <f>IF(E969="","",E969+IF(F969="",IFERROR(VLOOKUP(C969,Parametros!$E:$F,2,0),0),F969))</f>
        <v/>
      </c>
      <c r="M969" s="21">
        <f>IF(E969="","",IF(G969="",IF(TODAY()&gt;L969,"Atrasada","Em aberto"),IF(G969&lt;=L969,"No prazo","Com atraso")))</f>
        <v/>
      </c>
      <c r="N969" s="18">
        <f>IF(E969="","",MAX(0,IF(G969="",TODAY(),G969)-L969))</f>
        <v/>
      </c>
    </row>
    <row r="970">
      <c r="E970" s="22" t="n"/>
      <c r="G970" s="22" t="n"/>
      <c r="I970" s="22" t="n"/>
      <c r="L970" s="20">
        <f>IF(E970="","",E970+IF(F970="",IFERROR(VLOOKUP(C970,Parametros!$E:$F,2,0),0),F970))</f>
        <v/>
      </c>
      <c r="M970" s="21">
        <f>IF(E970="","",IF(G970="",IF(TODAY()&gt;L970,"Atrasada","Em aberto"),IF(G970&lt;=L970,"No prazo","Com atraso")))</f>
        <v/>
      </c>
      <c r="N970" s="18">
        <f>IF(E970="","",MAX(0,IF(G970="",TODAY(),G970)-L970))</f>
        <v/>
      </c>
    </row>
    <row r="971">
      <c r="E971" s="22" t="n"/>
      <c r="G971" s="22" t="n"/>
      <c r="I971" s="22" t="n"/>
      <c r="L971" s="20">
        <f>IF(E971="","",E971+IF(F971="",IFERROR(VLOOKUP(C971,Parametros!$E:$F,2,0),0),F971))</f>
        <v/>
      </c>
      <c r="M971" s="21">
        <f>IF(E971="","",IF(G971="",IF(TODAY()&gt;L971,"Atrasada","Em aberto"),IF(G971&lt;=L971,"No prazo","Com atraso")))</f>
        <v/>
      </c>
      <c r="N971" s="18">
        <f>IF(E971="","",MAX(0,IF(G971="",TODAY(),G971)-L971))</f>
        <v/>
      </c>
    </row>
    <row r="972">
      <c r="E972" s="22" t="n"/>
      <c r="G972" s="22" t="n"/>
      <c r="I972" s="22" t="n"/>
      <c r="L972" s="20">
        <f>IF(E972="","",E972+IF(F972="",IFERROR(VLOOKUP(C972,Parametros!$E:$F,2,0),0),F972))</f>
        <v/>
      </c>
      <c r="M972" s="21">
        <f>IF(E972="","",IF(G972="",IF(TODAY()&gt;L972,"Atrasada","Em aberto"),IF(G972&lt;=L972,"No prazo","Com atraso")))</f>
        <v/>
      </c>
      <c r="N972" s="18">
        <f>IF(E972="","",MAX(0,IF(G972="",TODAY(),G972)-L972))</f>
        <v/>
      </c>
    </row>
    <row r="973">
      <c r="E973" s="22" t="n"/>
      <c r="G973" s="22" t="n"/>
      <c r="I973" s="22" t="n"/>
      <c r="L973" s="20">
        <f>IF(E973="","",E973+IF(F973="",IFERROR(VLOOKUP(C973,Parametros!$E:$F,2,0),0),F973))</f>
        <v/>
      </c>
      <c r="M973" s="21">
        <f>IF(E973="","",IF(G973="",IF(TODAY()&gt;L973,"Atrasada","Em aberto"),IF(G973&lt;=L973,"No prazo","Com atraso")))</f>
        <v/>
      </c>
      <c r="N973" s="18">
        <f>IF(E973="","",MAX(0,IF(G973="",TODAY(),G973)-L973))</f>
        <v/>
      </c>
    </row>
    <row r="974">
      <c r="E974" s="22" t="n"/>
      <c r="G974" s="22" t="n"/>
      <c r="I974" s="22" t="n"/>
      <c r="L974" s="20">
        <f>IF(E974="","",E974+IF(F974="",IFERROR(VLOOKUP(C974,Parametros!$E:$F,2,0),0),F974))</f>
        <v/>
      </c>
      <c r="M974" s="21">
        <f>IF(E974="","",IF(G974="",IF(TODAY()&gt;L974,"Atrasada","Em aberto"),IF(G974&lt;=L974,"No prazo","Com atraso")))</f>
        <v/>
      </c>
      <c r="N974" s="18">
        <f>IF(E974="","",MAX(0,IF(G974="",TODAY(),G974)-L974))</f>
        <v/>
      </c>
    </row>
    <row r="975">
      <c r="E975" s="22" t="n"/>
      <c r="G975" s="22" t="n"/>
      <c r="I975" s="22" t="n"/>
      <c r="L975" s="20">
        <f>IF(E975="","",E975+IF(F975="",IFERROR(VLOOKUP(C975,Parametros!$E:$F,2,0),0),F975))</f>
        <v/>
      </c>
      <c r="M975" s="21">
        <f>IF(E975="","",IF(G975="",IF(TODAY()&gt;L975,"Atrasada","Em aberto"),IF(G975&lt;=L975,"No prazo","Com atraso")))</f>
        <v/>
      </c>
      <c r="N975" s="18">
        <f>IF(E975="","",MAX(0,IF(G975="",TODAY(),G975)-L975))</f>
        <v/>
      </c>
    </row>
    <row r="976">
      <c r="E976" s="22" t="n"/>
      <c r="G976" s="22" t="n"/>
      <c r="I976" s="22" t="n"/>
      <c r="L976" s="20">
        <f>IF(E976="","",E976+IF(F976="",IFERROR(VLOOKUP(C976,Parametros!$E:$F,2,0),0),F976))</f>
        <v/>
      </c>
      <c r="M976" s="21">
        <f>IF(E976="","",IF(G976="",IF(TODAY()&gt;L976,"Atrasada","Em aberto"),IF(G976&lt;=L976,"No prazo","Com atraso")))</f>
        <v/>
      </c>
      <c r="N976" s="18">
        <f>IF(E976="","",MAX(0,IF(G976="",TODAY(),G976)-L976))</f>
        <v/>
      </c>
    </row>
    <row r="977">
      <c r="E977" s="22" t="n"/>
      <c r="G977" s="22" t="n"/>
      <c r="I977" s="22" t="n"/>
      <c r="L977" s="20">
        <f>IF(E977="","",E977+IF(F977="",IFERROR(VLOOKUP(C977,Parametros!$E:$F,2,0),0),F977))</f>
        <v/>
      </c>
      <c r="M977" s="21">
        <f>IF(E977="","",IF(G977="",IF(TODAY()&gt;L977,"Atrasada","Em aberto"),IF(G977&lt;=L977,"No prazo","Com atraso")))</f>
        <v/>
      </c>
      <c r="N977" s="18">
        <f>IF(E977="","",MAX(0,IF(G977="",TODAY(),G977)-L977))</f>
        <v/>
      </c>
    </row>
    <row r="978">
      <c r="E978" s="22" t="n"/>
      <c r="G978" s="22" t="n"/>
      <c r="I978" s="22" t="n"/>
      <c r="L978" s="20">
        <f>IF(E978="","",E978+IF(F978="",IFERROR(VLOOKUP(C978,Parametros!$E:$F,2,0),0),F978))</f>
        <v/>
      </c>
      <c r="M978" s="21">
        <f>IF(E978="","",IF(G978="",IF(TODAY()&gt;L978,"Atrasada","Em aberto"),IF(G978&lt;=L978,"No prazo","Com atraso")))</f>
        <v/>
      </c>
      <c r="N978" s="18">
        <f>IF(E978="","",MAX(0,IF(G978="",TODAY(),G978)-L978))</f>
        <v/>
      </c>
    </row>
    <row r="979">
      <c r="E979" s="22" t="n"/>
      <c r="G979" s="22" t="n"/>
      <c r="I979" s="22" t="n"/>
      <c r="L979" s="20">
        <f>IF(E979="","",E979+IF(F979="",IFERROR(VLOOKUP(C979,Parametros!$E:$F,2,0),0),F979))</f>
        <v/>
      </c>
      <c r="M979" s="21">
        <f>IF(E979="","",IF(G979="",IF(TODAY()&gt;L979,"Atrasada","Em aberto"),IF(G979&lt;=L979,"No prazo","Com atraso")))</f>
        <v/>
      </c>
      <c r="N979" s="18">
        <f>IF(E979="","",MAX(0,IF(G979="",TODAY(),G979)-L979))</f>
        <v/>
      </c>
    </row>
    <row r="980">
      <c r="E980" s="22" t="n"/>
      <c r="G980" s="22" t="n"/>
      <c r="I980" s="22" t="n"/>
      <c r="L980" s="20">
        <f>IF(E980="","",E980+IF(F980="",IFERROR(VLOOKUP(C980,Parametros!$E:$F,2,0),0),F980))</f>
        <v/>
      </c>
      <c r="M980" s="21">
        <f>IF(E980="","",IF(G980="",IF(TODAY()&gt;L980,"Atrasada","Em aberto"),IF(G980&lt;=L980,"No prazo","Com atraso")))</f>
        <v/>
      </c>
      <c r="N980" s="18">
        <f>IF(E980="","",MAX(0,IF(G980="",TODAY(),G980)-L980))</f>
        <v/>
      </c>
    </row>
    <row r="981">
      <c r="E981" s="22" t="n"/>
      <c r="G981" s="22" t="n"/>
      <c r="I981" s="22" t="n"/>
      <c r="L981" s="20">
        <f>IF(E981="","",E981+IF(F981="",IFERROR(VLOOKUP(C981,Parametros!$E:$F,2,0),0),F981))</f>
        <v/>
      </c>
      <c r="M981" s="21">
        <f>IF(E981="","",IF(G981="",IF(TODAY()&gt;L981,"Atrasada","Em aberto"),IF(G981&lt;=L981,"No prazo","Com atraso")))</f>
        <v/>
      </c>
      <c r="N981" s="18">
        <f>IF(E981="","",MAX(0,IF(G981="",TODAY(),G981)-L981))</f>
        <v/>
      </c>
    </row>
    <row r="982">
      <c r="E982" s="22" t="n"/>
      <c r="G982" s="22" t="n"/>
      <c r="I982" s="22" t="n"/>
      <c r="L982" s="20">
        <f>IF(E982="","",E982+IF(F982="",IFERROR(VLOOKUP(C982,Parametros!$E:$F,2,0),0),F982))</f>
        <v/>
      </c>
      <c r="M982" s="21">
        <f>IF(E982="","",IF(G982="",IF(TODAY()&gt;L982,"Atrasada","Em aberto"),IF(G982&lt;=L982,"No prazo","Com atraso")))</f>
        <v/>
      </c>
      <c r="N982" s="18">
        <f>IF(E982="","",MAX(0,IF(G982="",TODAY(),G982)-L982))</f>
        <v/>
      </c>
    </row>
    <row r="983">
      <c r="E983" s="22" t="n"/>
      <c r="G983" s="22" t="n"/>
      <c r="I983" s="22" t="n"/>
      <c r="L983" s="20">
        <f>IF(E983="","",E983+IF(F983="",IFERROR(VLOOKUP(C983,Parametros!$E:$F,2,0),0),F983))</f>
        <v/>
      </c>
      <c r="M983" s="21">
        <f>IF(E983="","",IF(G983="",IF(TODAY()&gt;L983,"Atrasada","Em aberto"),IF(G983&lt;=L983,"No prazo","Com atraso")))</f>
        <v/>
      </c>
      <c r="N983" s="18">
        <f>IF(E983="","",MAX(0,IF(G983="",TODAY(),G983)-L983))</f>
        <v/>
      </c>
    </row>
    <row r="984">
      <c r="E984" s="22" t="n"/>
      <c r="G984" s="22" t="n"/>
      <c r="I984" s="22" t="n"/>
      <c r="L984" s="20">
        <f>IF(E984="","",E984+IF(F984="",IFERROR(VLOOKUP(C984,Parametros!$E:$F,2,0),0),F984))</f>
        <v/>
      </c>
      <c r="M984" s="21">
        <f>IF(E984="","",IF(G984="",IF(TODAY()&gt;L984,"Atrasada","Em aberto"),IF(G984&lt;=L984,"No prazo","Com atraso")))</f>
        <v/>
      </c>
      <c r="N984" s="18">
        <f>IF(E984="","",MAX(0,IF(G984="",TODAY(),G984)-L984))</f>
        <v/>
      </c>
    </row>
    <row r="985">
      <c r="E985" s="22" t="n"/>
      <c r="G985" s="22" t="n"/>
      <c r="I985" s="22" t="n"/>
      <c r="L985" s="20">
        <f>IF(E985="","",E985+IF(F985="",IFERROR(VLOOKUP(C985,Parametros!$E:$F,2,0),0),F985))</f>
        <v/>
      </c>
      <c r="M985" s="21">
        <f>IF(E985="","",IF(G985="",IF(TODAY()&gt;L985,"Atrasada","Em aberto"),IF(G985&lt;=L985,"No prazo","Com atraso")))</f>
        <v/>
      </c>
      <c r="N985" s="18">
        <f>IF(E985="","",MAX(0,IF(G985="",TODAY(),G985)-L985))</f>
        <v/>
      </c>
    </row>
    <row r="986">
      <c r="E986" s="22" t="n"/>
      <c r="G986" s="22" t="n"/>
      <c r="I986" s="22" t="n"/>
      <c r="L986" s="20">
        <f>IF(E986="","",E986+IF(F986="",IFERROR(VLOOKUP(C986,Parametros!$E:$F,2,0),0),F986))</f>
        <v/>
      </c>
      <c r="M986" s="21">
        <f>IF(E986="","",IF(G986="",IF(TODAY()&gt;L986,"Atrasada","Em aberto"),IF(G986&lt;=L986,"No prazo","Com atraso")))</f>
        <v/>
      </c>
      <c r="N986" s="18">
        <f>IF(E986="","",MAX(0,IF(G986="",TODAY(),G986)-L986))</f>
        <v/>
      </c>
    </row>
    <row r="987">
      <c r="E987" s="22" t="n"/>
      <c r="G987" s="22" t="n"/>
      <c r="I987" s="22" t="n"/>
      <c r="L987" s="20">
        <f>IF(E987="","",E987+IF(F987="",IFERROR(VLOOKUP(C987,Parametros!$E:$F,2,0),0),F987))</f>
        <v/>
      </c>
      <c r="M987" s="21">
        <f>IF(E987="","",IF(G987="",IF(TODAY()&gt;L987,"Atrasada","Em aberto"),IF(G987&lt;=L987,"No prazo","Com atraso")))</f>
        <v/>
      </c>
      <c r="N987" s="18">
        <f>IF(E987="","",MAX(0,IF(G987="",TODAY(),G987)-L987))</f>
        <v/>
      </c>
    </row>
    <row r="988">
      <c r="E988" s="22" t="n"/>
      <c r="G988" s="22" t="n"/>
      <c r="I988" s="22" t="n"/>
      <c r="L988" s="20">
        <f>IF(E988="","",E988+IF(F988="",IFERROR(VLOOKUP(C988,Parametros!$E:$F,2,0),0),F988))</f>
        <v/>
      </c>
      <c r="M988" s="21">
        <f>IF(E988="","",IF(G988="",IF(TODAY()&gt;L988,"Atrasada","Em aberto"),IF(G988&lt;=L988,"No prazo","Com atraso")))</f>
        <v/>
      </c>
      <c r="N988" s="18">
        <f>IF(E988="","",MAX(0,IF(G988="",TODAY(),G988)-L988))</f>
        <v/>
      </c>
    </row>
    <row r="989">
      <c r="E989" s="22" t="n"/>
      <c r="G989" s="22" t="n"/>
      <c r="I989" s="22" t="n"/>
      <c r="L989" s="20">
        <f>IF(E989="","",E989+IF(F989="",IFERROR(VLOOKUP(C989,Parametros!$E:$F,2,0),0),F989))</f>
        <v/>
      </c>
      <c r="M989" s="21">
        <f>IF(E989="","",IF(G989="",IF(TODAY()&gt;L989,"Atrasada","Em aberto"),IF(G989&lt;=L989,"No prazo","Com atraso")))</f>
        <v/>
      </c>
      <c r="N989" s="18">
        <f>IF(E989="","",MAX(0,IF(G989="",TODAY(),G989)-L989))</f>
        <v/>
      </c>
    </row>
    <row r="990">
      <c r="E990" s="22" t="n"/>
      <c r="G990" s="22" t="n"/>
      <c r="I990" s="22" t="n"/>
      <c r="L990" s="20">
        <f>IF(E990="","",E990+IF(F990="",IFERROR(VLOOKUP(C990,Parametros!$E:$F,2,0),0),F990))</f>
        <v/>
      </c>
      <c r="M990" s="21">
        <f>IF(E990="","",IF(G990="",IF(TODAY()&gt;L990,"Atrasada","Em aberto"),IF(G990&lt;=L990,"No prazo","Com atraso")))</f>
        <v/>
      </c>
      <c r="N990" s="18">
        <f>IF(E990="","",MAX(0,IF(G990="",TODAY(),G990)-L990))</f>
        <v/>
      </c>
    </row>
    <row r="991">
      <c r="E991" s="22" t="n"/>
      <c r="G991" s="22" t="n"/>
      <c r="I991" s="22" t="n"/>
      <c r="L991" s="20">
        <f>IF(E991="","",E991+IF(F991="",IFERROR(VLOOKUP(C991,Parametros!$E:$F,2,0),0),F991))</f>
        <v/>
      </c>
      <c r="M991" s="21">
        <f>IF(E991="","",IF(G991="",IF(TODAY()&gt;L991,"Atrasada","Em aberto"),IF(G991&lt;=L991,"No prazo","Com atraso")))</f>
        <v/>
      </c>
      <c r="N991" s="18">
        <f>IF(E991="","",MAX(0,IF(G991="",TODAY(),G991)-L991))</f>
        <v/>
      </c>
    </row>
    <row r="992">
      <c r="E992" s="22" t="n"/>
      <c r="G992" s="22" t="n"/>
      <c r="I992" s="22" t="n"/>
      <c r="L992" s="20">
        <f>IF(E992="","",E992+IF(F992="",IFERROR(VLOOKUP(C992,Parametros!$E:$F,2,0),0),F992))</f>
        <v/>
      </c>
      <c r="M992" s="21">
        <f>IF(E992="","",IF(G992="",IF(TODAY()&gt;L992,"Atrasada","Em aberto"),IF(G992&lt;=L992,"No prazo","Com atraso")))</f>
        <v/>
      </c>
      <c r="N992" s="18">
        <f>IF(E992="","",MAX(0,IF(G992="",TODAY(),G992)-L992))</f>
        <v/>
      </c>
    </row>
    <row r="993">
      <c r="E993" s="22" t="n"/>
      <c r="G993" s="22" t="n"/>
      <c r="I993" s="22" t="n"/>
      <c r="L993" s="20">
        <f>IF(E993="","",E993+IF(F993="",IFERROR(VLOOKUP(C993,Parametros!$E:$F,2,0),0),F993))</f>
        <v/>
      </c>
      <c r="M993" s="21">
        <f>IF(E993="","",IF(G993="",IF(TODAY()&gt;L993,"Atrasada","Em aberto"),IF(G993&lt;=L993,"No prazo","Com atraso")))</f>
        <v/>
      </c>
      <c r="N993" s="18">
        <f>IF(E993="","",MAX(0,IF(G993="",TODAY(),G993)-L993))</f>
        <v/>
      </c>
    </row>
    <row r="994">
      <c r="E994" s="22" t="n"/>
      <c r="G994" s="22" t="n"/>
      <c r="I994" s="22" t="n"/>
      <c r="L994" s="20">
        <f>IF(E994="","",E994+IF(F994="",IFERROR(VLOOKUP(C994,Parametros!$E:$F,2,0),0),F994))</f>
        <v/>
      </c>
      <c r="M994" s="21">
        <f>IF(E994="","",IF(G994="",IF(TODAY()&gt;L994,"Atrasada","Em aberto"),IF(G994&lt;=L994,"No prazo","Com atraso")))</f>
        <v/>
      </c>
      <c r="N994" s="18">
        <f>IF(E994="","",MAX(0,IF(G994="",TODAY(),G994)-L994))</f>
        <v/>
      </c>
    </row>
    <row r="995">
      <c r="E995" s="22" t="n"/>
      <c r="G995" s="22" t="n"/>
      <c r="I995" s="22" t="n"/>
      <c r="L995" s="20">
        <f>IF(E995="","",E995+IF(F995="",IFERROR(VLOOKUP(C995,Parametros!$E:$F,2,0),0),F995))</f>
        <v/>
      </c>
      <c r="M995" s="21">
        <f>IF(E995="","",IF(G995="",IF(TODAY()&gt;L995,"Atrasada","Em aberto"),IF(G995&lt;=L995,"No prazo","Com atraso")))</f>
        <v/>
      </c>
      <c r="N995" s="18">
        <f>IF(E995="","",MAX(0,IF(G995="",TODAY(),G995)-L995))</f>
        <v/>
      </c>
    </row>
    <row r="996">
      <c r="E996" s="22" t="n"/>
      <c r="G996" s="22" t="n"/>
      <c r="I996" s="22" t="n"/>
      <c r="L996" s="20">
        <f>IF(E996="","",E996+IF(F996="",IFERROR(VLOOKUP(C996,Parametros!$E:$F,2,0),0),F996))</f>
        <v/>
      </c>
      <c r="M996" s="21">
        <f>IF(E996="","",IF(G996="",IF(TODAY()&gt;L996,"Atrasada","Em aberto"),IF(G996&lt;=L996,"No prazo","Com atraso")))</f>
        <v/>
      </c>
      <c r="N996" s="18">
        <f>IF(E996="","",MAX(0,IF(G996="",TODAY(),G996)-L996))</f>
        <v/>
      </c>
    </row>
    <row r="997">
      <c r="E997" s="22" t="n"/>
      <c r="G997" s="22" t="n"/>
      <c r="I997" s="22" t="n"/>
      <c r="L997" s="20">
        <f>IF(E997="","",E997+IF(F997="",IFERROR(VLOOKUP(C997,Parametros!$E:$F,2,0),0),F997))</f>
        <v/>
      </c>
      <c r="M997" s="21">
        <f>IF(E997="","",IF(G997="",IF(TODAY()&gt;L997,"Atrasada","Em aberto"),IF(G997&lt;=L997,"No prazo","Com atraso")))</f>
        <v/>
      </c>
      <c r="N997" s="18">
        <f>IF(E997="","",MAX(0,IF(G997="",TODAY(),G997)-L997))</f>
        <v/>
      </c>
    </row>
    <row r="998">
      <c r="E998" s="22" t="n"/>
      <c r="G998" s="22" t="n"/>
      <c r="I998" s="22" t="n"/>
      <c r="L998" s="20">
        <f>IF(E998="","",E998+IF(F998="",IFERROR(VLOOKUP(C998,Parametros!$E:$F,2,0),0),F998))</f>
        <v/>
      </c>
      <c r="M998" s="21">
        <f>IF(E998="","",IF(G998="",IF(TODAY()&gt;L998,"Atrasada","Em aberto"),IF(G998&lt;=L998,"No prazo","Com atraso")))</f>
        <v/>
      </c>
      <c r="N998" s="18">
        <f>IF(E998="","",MAX(0,IF(G998="",TODAY(),G998)-L998))</f>
        <v/>
      </c>
    </row>
    <row r="999">
      <c r="E999" s="22" t="n"/>
      <c r="G999" s="22" t="n"/>
      <c r="I999" s="22" t="n"/>
      <c r="L999" s="20">
        <f>IF(E999="","",E999+IF(F999="",IFERROR(VLOOKUP(C999,Parametros!$E:$F,2,0),0),F999))</f>
        <v/>
      </c>
      <c r="M999" s="21">
        <f>IF(E999="","",IF(G999="",IF(TODAY()&gt;L999,"Atrasada","Em aberto"),IF(G999&lt;=L999,"No prazo","Com atraso")))</f>
        <v/>
      </c>
      <c r="N999" s="18">
        <f>IF(E999="","",MAX(0,IF(G999="",TODAY(),G999)-L999))</f>
        <v/>
      </c>
    </row>
    <row r="1000">
      <c r="E1000" s="22" t="n"/>
      <c r="G1000" s="22" t="n"/>
      <c r="I1000" s="22" t="n"/>
      <c r="L1000" s="20">
        <f>IF(E1000="","",E1000+IF(F1000="",IFERROR(VLOOKUP(C1000,Parametros!$E:$F,2,0),0),F1000))</f>
        <v/>
      </c>
      <c r="M1000" s="21">
        <f>IF(E1000="","",IF(G1000="",IF(TODAY()&gt;L1000,"Atrasada","Em aberto"),IF(G1000&lt;=L1000,"No prazo","Com atraso")))</f>
        <v/>
      </c>
      <c r="N1000" s="18">
        <f>IF(E1000="","",MAX(0,IF(G1000="",TODAY(),G1000)-L1000))</f>
        <v/>
      </c>
    </row>
    <row r="1001">
      <c r="E1001" s="22" t="n"/>
      <c r="G1001" s="22" t="n"/>
      <c r="I1001" s="22" t="n"/>
      <c r="L1001" s="20">
        <f>IF(E1001="","",E1001+IF(F1001="",IFERROR(VLOOKUP(C1001,Parametros!$E:$F,2,0),0),F1001))</f>
        <v/>
      </c>
      <c r="M1001" s="21">
        <f>IF(E1001="","",IF(G1001="",IF(TODAY()&gt;L1001,"Atrasada","Em aberto"),IF(G1001&lt;=L1001,"No prazo","Com atraso")))</f>
        <v/>
      </c>
      <c r="N1001" s="18">
        <f>IF(E1001="","",MAX(0,IF(G1001="",TODAY(),G1001)-L1001))</f>
        <v/>
      </c>
    </row>
    <row r="1002">
      <c r="E1002" s="22" t="n"/>
      <c r="G1002" s="22" t="n"/>
      <c r="I1002" s="22" t="n"/>
      <c r="L1002" s="20">
        <f>IF(E1002="","",E1002+IF(F1002="",IFERROR(VLOOKUP(C1002,Parametros!$E:$F,2,0),0),F1002))</f>
        <v/>
      </c>
      <c r="M1002" s="21">
        <f>IF(E1002="","",IF(G1002="",IF(TODAY()&gt;L1002,"Atrasada","Em aberto"),IF(G1002&lt;=L1002,"No prazo","Com atraso")))</f>
        <v/>
      </c>
      <c r="N1002" s="18">
        <f>IF(E1002="","",MAX(0,IF(G1002="",TODAY(),G1002)-L1002))</f>
        <v/>
      </c>
    </row>
    <row r="1003">
      <c r="E1003" s="22" t="n"/>
      <c r="G1003" s="22" t="n"/>
      <c r="I1003" s="22" t="n"/>
      <c r="L1003" s="20">
        <f>IF(E1003="","",E1003+IF(F1003="",IFERROR(VLOOKUP(C1003,Parametros!$E:$F,2,0),0),F1003))</f>
        <v/>
      </c>
      <c r="M1003" s="21">
        <f>IF(E1003="","",IF(G1003="",IF(TODAY()&gt;L1003,"Atrasada","Em aberto"),IF(G1003&lt;=L1003,"No prazo","Com atraso")))</f>
        <v/>
      </c>
      <c r="N1003" s="18">
        <f>IF(E1003="","",MAX(0,IF(G1003="",TODAY(),G1003)-L1003))</f>
        <v/>
      </c>
    </row>
    <row r="1004">
      <c r="E1004" s="22" t="n"/>
      <c r="G1004" s="22" t="n"/>
      <c r="I1004" s="22" t="n"/>
      <c r="L1004" s="20">
        <f>IF(E1004="","",E1004+IF(F1004="",IFERROR(VLOOKUP(C1004,Parametros!$E:$F,2,0),0),F1004))</f>
        <v/>
      </c>
      <c r="M1004" s="21">
        <f>IF(E1004="","",IF(G1004="",IF(TODAY()&gt;L1004,"Atrasada","Em aberto"),IF(G1004&lt;=L1004,"No prazo","Com atraso")))</f>
        <v/>
      </c>
      <c r="N1004" s="18">
        <f>IF(E1004="","",MAX(0,IF(G1004="",TODAY(),G1004)-L1004))</f>
        <v/>
      </c>
    </row>
    <row r="1005">
      <c r="E1005" s="22" t="n"/>
      <c r="G1005" s="22" t="n"/>
      <c r="I1005" s="22" t="n"/>
      <c r="L1005" s="20">
        <f>IF(E1005="","",E1005+IF(F1005="",IFERROR(VLOOKUP(C1005,Parametros!$E:$F,2,0),0),F1005))</f>
        <v/>
      </c>
      <c r="M1005" s="21">
        <f>IF(E1005="","",IF(G1005="",IF(TODAY()&gt;L1005,"Atrasada","Em aberto"),IF(G1005&lt;=L1005,"No prazo","Com atraso")))</f>
        <v/>
      </c>
      <c r="N1005" s="18">
        <f>IF(E1005="","",MAX(0,IF(G1005="",TODAY(),G1005)-L1005))</f>
        <v/>
      </c>
    </row>
    <row r="1006">
      <c r="E1006" s="22" t="n"/>
      <c r="G1006" s="22" t="n"/>
      <c r="I1006" s="22" t="n"/>
      <c r="L1006" s="20">
        <f>IF(E1006="","",E1006+IF(F1006="",IFERROR(VLOOKUP(C1006,Parametros!$E:$F,2,0),0),F1006))</f>
        <v/>
      </c>
      <c r="M1006" s="21">
        <f>IF(E1006="","",IF(G1006="",IF(TODAY()&gt;L1006,"Atrasada","Em aberto"),IF(G1006&lt;=L1006,"No prazo","Com atraso")))</f>
        <v/>
      </c>
      <c r="N1006" s="18">
        <f>IF(E1006="","",MAX(0,IF(G1006="",TODAY(),G1006)-L1006))</f>
        <v/>
      </c>
    </row>
    <row r="1007">
      <c r="E1007" s="22" t="n"/>
      <c r="G1007" s="22" t="n"/>
      <c r="I1007" s="22" t="n"/>
      <c r="L1007" s="20">
        <f>IF(E1007="","",E1007+IF(F1007="",IFERROR(VLOOKUP(C1007,Parametros!$E:$F,2,0),0),F1007))</f>
        <v/>
      </c>
      <c r="M1007" s="21">
        <f>IF(E1007="","",IF(G1007="",IF(TODAY()&gt;L1007,"Atrasada","Em aberto"),IF(G1007&lt;=L1007,"No prazo","Com atraso")))</f>
        <v/>
      </c>
      <c r="N1007" s="18">
        <f>IF(E1007="","",MAX(0,IF(G1007="",TODAY(),G1007)-L1007))</f>
        <v/>
      </c>
    </row>
    <row r="1008">
      <c r="E1008" s="22" t="n"/>
      <c r="G1008" s="22" t="n"/>
      <c r="I1008" s="22" t="n"/>
      <c r="L1008" s="20">
        <f>IF(E1008="","",E1008+IF(F1008="",IFERROR(VLOOKUP(C1008,Parametros!$E:$F,2,0),0),F1008))</f>
        <v/>
      </c>
      <c r="M1008" s="21">
        <f>IF(E1008="","",IF(G1008="",IF(TODAY()&gt;L1008,"Atrasada","Em aberto"),IF(G1008&lt;=L1008,"No prazo","Com atraso")))</f>
        <v/>
      </c>
      <c r="N1008" s="18">
        <f>IF(E1008="","",MAX(0,IF(G1008="",TODAY(),G1008)-L1008))</f>
        <v/>
      </c>
    </row>
    <row r="1009">
      <c r="E1009" s="22" t="n"/>
      <c r="G1009" s="22" t="n"/>
      <c r="I1009" s="22" t="n"/>
      <c r="L1009" s="20">
        <f>IF(E1009="","",E1009+IF(F1009="",IFERROR(VLOOKUP(C1009,Parametros!$E:$F,2,0),0),F1009))</f>
        <v/>
      </c>
      <c r="M1009" s="21">
        <f>IF(E1009="","",IF(G1009="",IF(TODAY()&gt;L1009,"Atrasada","Em aberto"),IF(G1009&lt;=L1009,"No prazo","Com atraso")))</f>
        <v/>
      </c>
      <c r="N1009" s="18">
        <f>IF(E1009="","",MAX(0,IF(G1009="",TODAY(),G1009)-L1009))</f>
        <v/>
      </c>
    </row>
    <row r="1010">
      <c r="E1010" s="22" t="n"/>
      <c r="G1010" s="22" t="n"/>
      <c r="I1010" s="22" t="n"/>
      <c r="L1010" s="20">
        <f>IF(E1010="","",E1010+IF(F1010="",IFERROR(VLOOKUP(C1010,Parametros!$E:$F,2,0),0),F1010))</f>
        <v/>
      </c>
      <c r="M1010" s="21">
        <f>IF(E1010="","",IF(G1010="",IF(TODAY()&gt;L1010,"Atrasada","Em aberto"),IF(G1010&lt;=L1010,"No prazo","Com atraso")))</f>
        <v/>
      </c>
      <c r="N1010" s="18">
        <f>IF(E1010="","",MAX(0,IF(G1010="",TODAY(),G1010)-L1010))</f>
        <v/>
      </c>
    </row>
    <row r="1011">
      <c r="E1011" s="22" t="n"/>
      <c r="G1011" s="22" t="n"/>
      <c r="I1011" s="22" t="n"/>
      <c r="L1011" s="20">
        <f>IF(E1011="","",E1011+IF(F1011="",IFERROR(VLOOKUP(C1011,Parametros!$E:$F,2,0),0),F1011))</f>
        <v/>
      </c>
      <c r="M1011" s="21">
        <f>IF(E1011="","",IF(G1011="",IF(TODAY()&gt;L1011,"Atrasada","Em aberto"),IF(G1011&lt;=L1011,"No prazo","Com atraso")))</f>
        <v/>
      </c>
      <c r="N1011" s="18">
        <f>IF(E1011="","",MAX(0,IF(G1011="",TODAY(),G1011)-L1011))</f>
        <v/>
      </c>
    </row>
    <row r="1012">
      <c r="E1012" s="22" t="n"/>
      <c r="G1012" s="22" t="n"/>
      <c r="I1012" s="22" t="n"/>
      <c r="L1012" s="20">
        <f>IF(E1012="","",E1012+IF(F1012="",IFERROR(VLOOKUP(C1012,Parametros!$E:$F,2,0),0),F1012))</f>
        <v/>
      </c>
      <c r="M1012" s="21">
        <f>IF(E1012="","",IF(G1012="",IF(TODAY()&gt;L1012,"Atrasada","Em aberto"),IF(G1012&lt;=L1012,"No prazo","Com atraso")))</f>
        <v/>
      </c>
      <c r="N1012" s="18">
        <f>IF(E1012="","",MAX(0,IF(G1012="",TODAY(),G1012)-L1012))</f>
        <v/>
      </c>
    </row>
    <row r="1013">
      <c r="E1013" s="22" t="n"/>
      <c r="G1013" s="22" t="n"/>
      <c r="I1013" s="22" t="n"/>
      <c r="L1013" s="20">
        <f>IF(E1013="","",E1013+IF(F1013="",IFERROR(VLOOKUP(C1013,Parametros!$E:$F,2,0),0),F1013))</f>
        <v/>
      </c>
      <c r="M1013" s="21">
        <f>IF(E1013="","",IF(G1013="",IF(TODAY()&gt;L1013,"Atrasada","Em aberto"),IF(G1013&lt;=L1013,"No prazo","Com atraso")))</f>
        <v/>
      </c>
      <c r="N1013" s="18">
        <f>IF(E1013="","",MAX(0,IF(G1013="",TODAY(),G1013)-L1013))</f>
        <v/>
      </c>
    </row>
    <row r="1014">
      <c r="E1014" s="22" t="n"/>
      <c r="G1014" s="22" t="n"/>
      <c r="I1014" s="22" t="n"/>
      <c r="L1014" s="20">
        <f>IF(E1014="","",E1014+IF(F1014="",IFERROR(VLOOKUP(C1014,Parametros!$E:$F,2,0),0),F1014))</f>
        <v/>
      </c>
      <c r="M1014" s="21">
        <f>IF(E1014="","",IF(G1014="",IF(TODAY()&gt;L1014,"Atrasada","Em aberto"),IF(G1014&lt;=L1014,"No prazo","Com atraso")))</f>
        <v/>
      </c>
      <c r="N1014" s="18">
        <f>IF(E1014="","",MAX(0,IF(G1014="",TODAY(),G1014)-L1014))</f>
        <v/>
      </c>
    </row>
    <row r="1015">
      <c r="E1015" s="22" t="n"/>
      <c r="G1015" s="22" t="n"/>
      <c r="I1015" s="22" t="n"/>
      <c r="L1015" s="20">
        <f>IF(E1015="","",E1015+IF(F1015="",IFERROR(VLOOKUP(C1015,Parametros!$E:$F,2,0),0),F1015))</f>
        <v/>
      </c>
      <c r="M1015" s="21">
        <f>IF(E1015="","",IF(G1015="",IF(TODAY()&gt;L1015,"Atrasada","Em aberto"),IF(G1015&lt;=L1015,"No prazo","Com atraso")))</f>
        <v/>
      </c>
      <c r="N1015" s="18">
        <f>IF(E1015="","",MAX(0,IF(G1015="",TODAY(),G1015)-L1015))</f>
        <v/>
      </c>
    </row>
    <row r="1016">
      <c r="E1016" s="22" t="n"/>
      <c r="G1016" s="22" t="n"/>
      <c r="I1016" s="22" t="n"/>
      <c r="L1016" s="20">
        <f>IF(E1016="","",E1016+IF(F1016="",IFERROR(VLOOKUP(C1016,Parametros!$E:$F,2,0),0),F1016))</f>
        <v/>
      </c>
      <c r="M1016" s="21">
        <f>IF(E1016="","",IF(G1016="",IF(TODAY()&gt;L1016,"Atrasada","Em aberto"),IF(G1016&lt;=L1016,"No prazo","Com atraso")))</f>
        <v/>
      </c>
      <c r="N1016" s="18">
        <f>IF(E1016="","",MAX(0,IF(G1016="",TODAY(),G1016)-L1016))</f>
        <v/>
      </c>
    </row>
    <row r="1017">
      <c r="E1017" s="22" t="n"/>
      <c r="G1017" s="22" t="n"/>
      <c r="I1017" s="22" t="n"/>
      <c r="L1017" s="20">
        <f>IF(E1017="","",E1017+IF(F1017="",IFERROR(VLOOKUP(C1017,Parametros!$E:$F,2,0),0),F1017))</f>
        <v/>
      </c>
      <c r="M1017" s="21">
        <f>IF(E1017="","",IF(G1017="",IF(TODAY()&gt;L1017,"Atrasada","Em aberto"),IF(G1017&lt;=L1017,"No prazo","Com atraso")))</f>
        <v/>
      </c>
      <c r="N1017" s="18">
        <f>IF(E1017="","",MAX(0,IF(G1017="",TODAY(),G1017)-L1017))</f>
        <v/>
      </c>
    </row>
    <row r="1018">
      <c r="E1018" s="22" t="n"/>
      <c r="G1018" s="22" t="n"/>
      <c r="I1018" s="22" t="n"/>
      <c r="L1018" s="20">
        <f>IF(E1018="","",E1018+IF(F1018="",IFERROR(VLOOKUP(C1018,Parametros!$E:$F,2,0),0),F1018))</f>
        <v/>
      </c>
      <c r="M1018" s="21">
        <f>IF(E1018="","",IF(G1018="",IF(TODAY()&gt;L1018,"Atrasada","Em aberto"),IF(G1018&lt;=L1018,"No prazo","Com atraso")))</f>
        <v/>
      </c>
      <c r="N1018" s="18">
        <f>IF(E1018="","",MAX(0,IF(G1018="",TODAY(),G1018)-L1018))</f>
        <v/>
      </c>
    </row>
    <row r="1019">
      <c r="E1019" s="22" t="n"/>
      <c r="G1019" s="22" t="n"/>
      <c r="I1019" s="22" t="n"/>
      <c r="L1019" s="20">
        <f>IF(E1019="","",E1019+IF(F1019="",IFERROR(VLOOKUP(C1019,Parametros!$E:$F,2,0),0),F1019))</f>
        <v/>
      </c>
      <c r="M1019" s="21">
        <f>IF(E1019="","",IF(G1019="",IF(TODAY()&gt;L1019,"Atrasada","Em aberto"),IF(G1019&lt;=L1019,"No prazo","Com atraso")))</f>
        <v/>
      </c>
      <c r="N1019" s="18">
        <f>IF(E1019="","",MAX(0,IF(G1019="",TODAY(),G1019)-L1019))</f>
        <v/>
      </c>
    </row>
    <row r="1020">
      <c r="E1020" s="22" t="n"/>
      <c r="G1020" s="22" t="n"/>
      <c r="I1020" s="22" t="n"/>
      <c r="L1020" s="20">
        <f>IF(E1020="","",E1020+IF(F1020="",IFERROR(VLOOKUP(C1020,Parametros!$E:$F,2,0),0),F1020))</f>
        <v/>
      </c>
      <c r="M1020" s="21">
        <f>IF(E1020="","",IF(G1020="",IF(TODAY()&gt;L1020,"Atrasada","Em aberto"),IF(G1020&lt;=L1020,"No prazo","Com atraso")))</f>
        <v/>
      </c>
      <c r="N1020" s="18">
        <f>IF(E1020="","",MAX(0,IF(G1020="",TODAY(),G1020)-L1020))</f>
        <v/>
      </c>
    </row>
    <row r="1021">
      <c r="E1021" s="22" t="n"/>
      <c r="G1021" s="22" t="n"/>
      <c r="I1021" s="22" t="n"/>
      <c r="L1021" s="20">
        <f>IF(E1021="","",E1021+IF(F1021="",IFERROR(VLOOKUP(C1021,Parametros!$E:$F,2,0),0),F1021))</f>
        <v/>
      </c>
      <c r="M1021" s="21">
        <f>IF(E1021="","",IF(G1021="",IF(TODAY()&gt;L1021,"Atrasada","Em aberto"),IF(G1021&lt;=L1021,"No prazo","Com atraso")))</f>
        <v/>
      </c>
      <c r="N1021" s="18">
        <f>IF(E1021="","",MAX(0,IF(G1021="",TODAY(),G1021)-L1021))</f>
        <v/>
      </c>
    </row>
    <row r="1022">
      <c r="E1022" s="22" t="n"/>
      <c r="G1022" s="22" t="n"/>
      <c r="I1022" s="22" t="n"/>
      <c r="L1022" s="20">
        <f>IF(E1022="","",E1022+IF(F1022="",IFERROR(VLOOKUP(C1022,Parametros!$E:$F,2,0),0),F1022))</f>
        <v/>
      </c>
      <c r="M1022" s="21">
        <f>IF(E1022="","",IF(G1022="",IF(TODAY()&gt;L1022,"Atrasada","Em aberto"),IF(G1022&lt;=L1022,"No prazo","Com atraso")))</f>
        <v/>
      </c>
      <c r="N1022" s="18">
        <f>IF(E1022="","",MAX(0,IF(G1022="",TODAY(),G1022)-L1022))</f>
        <v/>
      </c>
    </row>
    <row r="1023">
      <c r="E1023" s="22" t="n"/>
      <c r="G1023" s="22" t="n"/>
      <c r="I1023" s="22" t="n"/>
      <c r="L1023" s="20">
        <f>IF(E1023="","",E1023+IF(F1023="",IFERROR(VLOOKUP(C1023,Parametros!$E:$F,2,0),0),F1023))</f>
        <v/>
      </c>
      <c r="M1023" s="21">
        <f>IF(E1023="","",IF(G1023="",IF(TODAY()&gt;L1023,"Atrasada","Em aberto"),IF(G1023&lt;=L1023,"No prazo","Com atraso")))</f>
        <v/>
      </c>
      <c r="N1023" s="18">
        <f>IF(E1023="","",MAX(0,IF(G1023="",TODAY(),G1023)-L1023))</f>
        <v/>
      </c>
    </row>
    <row r="1024">
      <c r="E1024" s="22" t="n"/>
      <c r="G1024" s="22" t="n"/>
      <c r="I1024" s="22" t="n"/>
      <c r="L1024" s="20">
        <f>IF(E1024="","",E1024+IF(F1024="",IFERROR(VLOOKUP(C1024,Parametros!$E:$F,2,0),0),F1024))</f>
        <v/>
      </c>
      <c r="M1024" s="21">
        <f>IF(E1024="","",IF(G1024="",IF(TODAY()&gt;L1024,"Atrasada","Em aberto"),IF(G1024&lt;=L1024,"No prazo","Com atraso")))</f>
        <v/>
      </c>
      <c r="N1024" s="18">
        <f>IF(E1024="","",MAX(0,IF(G1024="",TODAY(),G1024)-L1024))</f>
        <v/>
      </c>
    </row>
    <row r="1025">
      <c r="E1025" s="22" t="n"/>
      <c r="G1025" s="22" t="n"/>
      <c r="I1025" s="22" t="n"/>
      <c r="L1025" s="20">
        <f>IF(E1025="","",E1025+IF(F1025="",IFERROR(VLOOKUP(C1025,Parametros!$E:$F,2,0),0),F1025))</f>
        <v/>
      </c>
      <c r="M1025" s="21">
        <f>IF(E1025="","",IF(G1025="",IF(TODAY()&gt;L1025,"Atrasada","Em aberto"),IF(G1025&lt;=L1025,"No prazo","Com atraso")))</f>
        <v/>
      </c>
      <c r="N1025" s="18">
        <f>IF(E1025="","",MAX(0,IF(G1025="",TODAY(),G1025)-L1025))</f>
        <v/>
      </c>
    </row>
    <row r="1026">
      <c r="E1026" s="22" t="n"/>
      <c r="G1026" s="22" t="n"/>
      <c r="I1026" s="22" t="n"/>
      <c r="L1026" s="20">
        <f>IF(E1026="","",E1026+IF(F1026="",IFERROR(VLOOKUP(C1026,Parametros!$E:$F,2,0),0),F1026))</f>
        <v/>
      </c>
      <c r="M1026" s="21">
        <f>IF(E1026="","",IF(G1026="",IF(TODAY()&gt;L1026,"Atrasada","Em aberto"),IF(G1026&lt;=L1026,"No prazo","Com atraso")))</f>
        <v/>
      </c>
      <c r="N1026" s="18">
        <f>IF(E1026="","",MAX(0,IF(G1026="",TODAY(),G1026)-L1026))</f>
        <v/>
      </c>
    </row>
    <row r="1027">
      <c r="E1027" s="22" t="n"/>
      <c r="G1027" s="22" t="n"/>
      <c r="I1027" s="22" t="n"/>
      <c r="L1027" s="20">
        <f>IF(E1027="","",E1027+IF(F1027="",IFERROR(VLOOKUP(C1027,Parametros!$E:$F,2,0),0),F1027))</f>
        <v/>
      </c>
      <c r="M1027" s="21">
        <f>IF(E1027="","",IF(G1027="",IF(TODAY()&gt;L1027,"Atrasada","Em aberto"),IF(G1027&lt;=L1027,"No prazo","Com atraso")))</f>
        <v/>
      </c>
      <c r="N1027" s="18">
        <f>IF(E1027="","",MAX(0,IF(G1027="",TODAY(),G1027)-L1027))</f>
        <v/>
      </c>
    </row>
    <row r="1028">
      <c r="E1028" s="22" t="n"/>
      <c r="G1028" s="22" t="n"/>
      <c r="I1028" s="22" t="n"/>
      <c r="L1028" s="20">
        <f>IF(E1028="","",E1028+IF(F1028="",IFERROR(VLOOKUP(C1028,Parametros!$E:$F,2,0),0),F1028))</f>
        <v/>
      </c>
      <c r="M1028" s="21">
        <f>IF(E1028="","",IF(G1028="",IF(TODAY()&gt;L1028,"Atrasada","Em aberto"),IF(G1028&lt;=L1028,"No prazo","Com atraso")))</f>
        <v/>
      </c>
      <c r="N1028" s="18">
        <f>IF(E1028="","",MAX(0,IF(G1028="",TODAY(),G1028)-L1028))</f>
        <v/>
      </c>
    </row>
    <row r="1029">
      <c r="E1029" s="22" t="n"/>
      <c r="G1029" s="22" t="n"/>
      <c r="I1029" s="22" t="n"/>
      <c r="L1029" s="20">
        <f>IF(E1029="","",E1029+IF(F1029="",IFERROR(VLOOKUP(C1029,Parametros!$E:$F,2,0),0),F1029))</f>
        <v/>
      </c>
      <c r="M1029" s="21">
        <f>IF(E1029="","",IF(G1029="",IF(TODAY()&gt;L1029,"Atrasada","Em aberto"),IF(G1029&lt;=L1029,"No prazo","Com atraso")))</f>
        <v/>
      </c>
      <c r="N1029" s="18">
        <f>IF(E1029="","",MAX(0,IF(G1029="",TODAY(),G1029)-L1029))</f>
        <v/>
      </c>
    </row>
    <row r="1030">
      <c r="E1030" s="22" t="n"/>
      <c r="G1030" s="22" t="n"/>
      <c r="I1030" s="22" t="n"/>
      <c r="L1030" s="20">
        <f>IF(E1030="","",E1030+IF(F1030="",IFERROR(VLOOKUP(C1030,Parametros!$E:$F,2,0),0),F1030))</f>
        <v/>
      </c>
      <c r="M1030" s="21">
        <f>IF(E1030="","",IF(G1030="",IF(TODAY()&gt;L1030,"Atrasada","Em aberto"),IF(G1030&lt;=L1030,"No prazo","Com atraso")))</f>
        <v/>
      </c>
      <c r="N1030" s="18">
        <f>IF(E1030="","",MAX(0,IF(G1030="",TODAY(),G1030)-L1030))</f>
        <v/>
      </c>
    </row>
    <row r="1031">
      <c r="E1031" s="22" t="n"/>
      <c r="G1031" s="22" t="n"/>
      <c r="I1031" s="22" t="n"/>
      <c r="L1031" s="20">
        <f>IF(E1031="","",E1031+IF(F1031="",IFERROR(VLOOKUP(C1031,Parametros!$E:$F,2,0),0),F1031))</f>
        <v/>
      </c>
      <c r="M1031" s="21">
        <f>IF(E1031="","",IF(G1031="",IF(TODAY()&gt;L1031,"Atrasada","Em aberto"),IF(G1031&lt;=L1031,"No prazo","Com atraso")))</f>
        <v/>
      </c>
      <c r="N1031" s="18">
        <f>IF(E1031="","",MAX(0,IF(G1031="",TODAY(),G1031)-L1031))</f>
        <v/>
      </c>
    </row>
    <row r="1032">
      <c r="E1032" s="22" t="n"/>
      <c r="G1032" s="22" t="n"/>
      <c r="I1032" s="22" t="n"/>
      <c r="L1032" s="20">
        <f>IF(E1032="","",E1032+IF(F1032="",IFERROR(VLOOKUP(C1032,Parametros!$E:$F,2,0),0),F1032))</f>
        <v/>
      </c>
      <c r="M1032" s="21">
        <f>IF(E1032="","",IF(G1032="",IF(TODAY()&gt;L1032,"Atrasada","Em aberto"),IF(G1032&lt;=L1032,"No prazo","Com atraso")))</f>
        <v/>
      </c>
      <c r="N1032" s="18">
        <f>IF(E1032="","",MAX(0,IF(G1032="",TODAY(),G1032)-L1032))</f>
        <v/>
      </c>
    </row>
    <row r="1033">
      <c r="E1033" s="22" t="n"/>
      <c r="G1033" s="22" t="n"/>
      <c r="I1033" s="22" t="n"/>
      <c r="L1033" s="20">
        <f>IF(E1033="","",E1033+IF(F1033="",IFERROR(VLOOKUP(C1033,Parametros!$E:$F,2,0),0),F1033))</f>
        <v/>
      </c>
      <c r="M1033" s="21">
        <f>IF(E1033="","",IF(G1033="",IF(TODAY()&gt;L1033,"Atrasada","Em aberto"),IF(G1033&lt;=L1033,"No prazo","Com atraso")))</f>
        <v/>
      </c>
      <c r="N1033" s="18">
        <f>IF(E1033="","",MAX(0,IF(G1033="",TODAY(),G1033)-L1033))</f>
        <v/>
      </c>
    </row>
    <row r="1034">
      <c r="E1034" s="22" t="n"/>
      <c r="G1034" s="22" t="n"/>
      <c r="I1034" s="22" t="n"/>
      <c r="L1034" s="20">
        <f>IF(E1034="","",E1034+IF(F1034="",IFERROR(VLOOKUP(C1034,Parametros!$E:$F,2,0),0),F1034))</f>
        <v/>
      </c>
      <c r="M1034" s="21">
        <f>IF(E1034="","",IF(G1034="",IF(TODAY()&gt;L1034,"Atrasada","Em aberto"),IF(G1034&lt;=L1034,"No prazo","Com atraso")))</f>
        <v/>
      </c>
      <c r="N1034" s="18">
        <f>IF(E1034="","",MAX(0,IF(G1034="",TODAY(),G1034)-L1034))</f>
        <v/>
      </c>
    </row>
    <row r="1035">
      <c r="E1035" s="22" t="n"/>
      <c r="G1035" s="22" t="n"/>
      <c r="I1035" s="22" t="n"/>
      <c r="L1035" s="20">
        <f>IF(E1035="","",E1035+IF(F1035="",IFERROR(VLOOKUP(C1035,Parametros!$E:$F,2,0),0),F1035))</f>
        <v/>
      </c>
      <c r="M1035" s="21">
        <f>IF(E1035="","",IF(G1035="",IF(TODAY()&gt;L1035,"Atrasada","Em aberto"),IF(G1035&lt;=L1035,"No prazo","Com atraso")))</f>
        <v/>
      </c>
      <c r="N1035" s="18">
        <f>IF(E1035="","",MAX(0,IF(G1035="",TODAY(),G1035)-L1035))</f>
        <v/>
      </c>
    </row>
    <row r="1036">
      <c r="E1036" s="22" t="n"/>
      <c r="G1036" s="22" t="n"/>
      <c r="I1036" s="22" t="n"/>
      <c r="L1036" s="20">
        <f>IF(E1036="","",E1036+IF(F1036="",IFERROR(VLOOKUP(C1036,Parametros!$E:$F,2,0),0),F1036))</f>
        <v/>
      </c>
      <c r="M1036" s="21">
        <f>IF(E1036="","",IF(G1036="",IF(TODAY()&gt;L1036,"Atrasada","Em aberto"),IF(G1036&lt;=L1036,"No prazo","Com atraso")))</f>
        <v/>
      </c>
      <c r="N1036" s="18">
        <f>IF(E1036="","",MAX(0,IF(G1036="",TODAY(),G1036)-L1036))</f>
        <v/>
      </c>
    </row>
    <row r="1037">
      <c r="E1037" s="22" t="n"/>
      <c r="G1037" s="22" t="n"/>
      <c r="I1037" s="22" t="n"/>
      <c r="L1037" s="20">
        <f>IF(E1037="","",E1037+IF(F1037="",IFERROR(VLOOKUP(C1037,Parametros!$E:$F,2,0),0),F1037))</f>
        <v/>
      </c>
      <c r="M1037" s="21">
        <f>IF(E1037="","",IF(G1037="",IF(TODAY()&gt;L1037,"Atrasada","Em aberto"),IF(G1037&lt;=L1037,"No prazo","Com atraso")))</f>
        <v/>
      </c>
      <c r="N1037" s="18">
        <f>IF(E1037="","",MAX(0,IF(G1037="",TODAY(),G1037)-L1037))</f>
        <v/>
      </c>
    </row>
    <row r="1038">
      <c r="E1038" s="22" t="n"/>
      <c r="G1038" s="22" t="n"/>
      <c r="I1038" s="22" t="n"/>
      <c r="L1038" s="20">
        <f>IF(E1038="","",E1038+IF(F1038="",IFERROR(VLOOKUP(C1038,Parametros!$E:$F,2,0),0),F1038))</f>
        <v/>
      </c>
      <c r="M1038" s="21">
        <f>IF(E1038="","",IF(G1038="",IF(TODAY()&gt;L1038,"Atrasada","Em aberto"),IF(G1038&lt;=L1038,"No prazo","Com atraso")))</f>
        <v/>
      </c>
      <c r="N1038" s="18">
        <f>IF(E1038="","",MAX(0,IF(G1038="",TODAY(),G1038)-L1038))</f>
        <v/>
      </c>
    </row>
    <row r="1039">
      <c r="E1039" s="22" t="n"/>
      <c r="G1039" s="22" t="n"/>
      <c r="I1039" s="22" t="n"/>
      <c r="L1039" s="20">
        <f>IF(E1039="","",E1039+IF(F1039="",IFERROR(VLOOKUP(C1039,Parametros!$E:$F,2,0),0),F1039))</f>
        <v/>
      </c>
      <c r="M1039" s="21">
        <f>IF(E1039="","",IF(G1039="",IF(TODAY()&gt;L1039,"Atrasada","Em aberto"),IF(G1039&lt;=L1039,"No prazo","Com atraso")))</f>
        <v/>
      </c>
      <c r="N1039" s="18">
        <f>IF(E1039="","",MAX(0,IF(G1039="",TODAY(),G1039)-L1039))</f>
        <v/>
      </c>
    </row>
    <row r="1040">
      <c r="E1040" s="22" t="n"/>
      <c r="G1040" s="22" t="n"/>
      <c r="I1040" s="22" t="n"/>
      <c r="L1040" s="20">
        <f>IF(E1040="","",E1040+IF(F1040="",IFERROR(VLOOKUP(C1040,Parametros!$E:$F,2,0),0),F1040))</f>
        <v/>
      </c>
      <c r="M1040" s="21">
        <f>IF(E1040="","",IF(G1040="",IF(TODAY()&gt;L1040,"Atrasada","Em aberto"),IF(G1040&lt;=L1040,"No prazo","Com atraso")))</f>
        <v/>
      </c>
      <c r="N1040" s="18">
        <f>IF(E1040="","",MAX(0,IF(G1040="",TODAY(),G1040)-L1040))</f>
        <v/>
      </c>
    </row>
    <row r="1041">
      <c r="E1041" s="22" t="n"/>
      <c r="G1041" s="22" t="n"/>
      <c r="I1041" s="22" t="n"/>
      <c r="L1041" s="20">
        <f>IF(E1041="","",E1041+IF(F1041="",IFERROR(VLOOKUP(C1041,Parametros!$E:$F,2,0),0),F1041))</f>
        <v/>
      </c>
      <c r="M1041" s="21">
        <f>IF(E1041="","",IF(G1041="",IF(TODAY()&gt;L1041,"Atrasada","Em aberto"),IF(G1041&lt;=L1041,"No prazo","Com atraso")))</f>
        <v/>
      </c>
      <c r="N1041" s="18">
        <f>IF(E1041="","",MAX(0,IF(G1041="",TODAY(),G1041)-L1041))</f>
        <v/>
      </c>
    </row>
    <row r="1042">
      <c r="E1042" s="22" t="n"/>
      <c r="G1042" s="22" t="n"/>
      <c r="I1042" s="22" t="n"/>
      <c r="L1042" s="20">
        <f>IF(E1042="","",E1042+IF(F1042="",IFERROR(VLOOKUP(C1042,Parametros!$E:$F,2,0),0),F1042))</f>
        <v/>
      </c>
      <c r="M1042" s="21">
        <f>IF(E1042="","",IF(G1042="",IF(TODAY()&gt;L1042,"Atrasada","Em aberto"),IF(G1042&lt;=L1042,"No prazo","Com atraso")))</f>
        <v/>
      </c>
      <c r="N1042" s="18">
        <f>IF(E1042="","",MAX(0,IF(G1042="",TODAY(),G1042)-L1042))</f>
        <v/>
      </c>
    </row>
    <row r="1043">
      <c r="E1043" s="22" t="n"/>
      <c r="G1043" s="22" t="n"/>
      <c r="I1043" s="22" t="n"/>
      <c r="L1043" s="20">
        <f>IF(E1043="","",E1043+IF(F1043="",IFERROR(VLOOKUP(C1043,Parametros!$E:$F,2,0),0),F1043))</f>
        <v/>
      </c>
      <c r="M1043" s="21">
        <f>IF(E1043="","",IF(G1043="",IF(TODAY()&gt;L1043,"Atrasada","Em aberto"),IF(G1043&lt;=L1043,"No prazo","Com atraso")))</f>
        <v/>
      </c>
      <c r="N1043" s="18">
        <f>IF(E1043="","",MAX(0,IF(G1043="",TODAY(),G1043)-L1043))</f>
        <v/>
      </c>
    </row>
    <row r="1044">
      <c r="E1044" s="22" t="n"/>
      <c r="G1044" s="22" t="n"/>
      <c r="I1044" s="22" t="n"/>
      <c r="L1044" s="20">
        <f>IF(E1044="","",E1044+IF(F1044="",IFERROR(VLOOKUP(C1044,Parametros!$E:$F,2,0),0),F1044))</f>
        <v/>
      </c>
      <c r="M1044" s="21">
        <f>IF(E1044="","",IF(G1044="",IF(TODAY()&gt;L1044,"Atrasada","Em aberto"),IF(G1044&lt;=L1044,"No prazo","Com atraso")))</f>
        <v/>
      </c>
      <c r="N1044" s="18">
        <f>IF(E1044="","",MAX(0,IF(G1044="",TODAY(),G1044)-L1044))</f>
        <v/>
      </c>
    </row>
    <row r="1045">
      <c r="E1045" s="22" t="n"/>
      <c r="G1045" s="22" t="n"/>
      <c r="I1045" s="22" t="n"/>
      <c r="L1045" s="20">
        <f>IF(E1045="","",E1045+IF(F1045="",IFERROR(VLOOKUP(C1045,Parametros!$E:$F,2,0),0),F1045))</f>
        <v/>
      </c>
      <c r="M1045" s="21">
        <f>IF(E1045="","",IF(G1045="",IF(TODAY()&gt;L1045,"Atrasada","Em aberto"),IF(G1045&lt;=L1045,"No prazo","Com atraso")))</f>
        <v/>
      </c>
      <c r="N1045" s="18">
        <f>IF(E1045="","",MAX(0,IF(G1045="",TODAY(),G1045)-L1045))</f>
        <v/>
      </c>
    </row>
    <row r="1046">
      <c r="E1046" s="22" t="n"/>
      <c r="G1046" s="22" t="n"/>
      <c r="I1046" s="22" t="n"/>
      <c r="L1046" s="20">
        <f>IF(E1046="","",E1046+IF(F1046="",IFERROR(VLOOKUP(C1046,Parametros!$E:$F,2,0),0),F1046))</f>
        <v/>
      </c>
      <c r="M1046" s="21">
        <f>IF(E1046="","",IF(G1046="",IF(TODAY()&gt;L1046,"Atrasada","Em aberto"),IF(G1046&lt;=L1046,"No prazo","Com atraso")))</f>
        <v/>
      </c>
      <c r="N1046" s="18">
        <f>IF(E1046="","",MAX(0,IF(G1046="",TODAY(),G1046)-L1046))</f>
        <v/>
      </c>
    </row>
    <row r="1047">
      <c r="E1047" s="22" t="n"/>
      <c r="G1047" s="22" t="n"/>
      <c r="I1047" s="22" t="n"/>
      <c r="L1047" s="20">
        <f>IF(E1047="","",E1047+IF(F1047="",IFERROR(VLOOKUP(C1047,Parametros!$E:$F,2,0),0),F1047))</f>
        <v/>
      </c>
      <c r="M1047" s="21">
        <f>IF(E1047="","",IF(G1047="",IF(TODAY()&gt;L1047,"Atrasada","Em aberto"),IF(G1047&lt;=L1047,"No prazo","Com atraso")))</f>
        <v/>
      </c>
      <c r="N1047" s="18">
        <f>IF(E1047="","",MAX(0,IF(G1047="",TODAY(),G1047)-L1047))</f>
        <v/>
      </c>
    </row>
    <row r="1048">
      <c r="E1048" s="22" t="n"/>
      <c r="G1048" s="22" t="n"/>
      <c r="I1048" s="22" t="n"/>
      <c r="L1048" s="20">
        <f>IF(E1048="","",E1048+IF(F1048="",IFERROR(VLOOKUP(C1048,Parametros!$E:$F,2,0),0),F1048))</f>
        <v/>
      </c>
      <c r="M1048" s="21">
        <f>IF(E1048="","",IF(G1048="",IF(TODAY()&gt;L1048,"Atrasada","Em aberto"),IF(G1048&lt;=L1048,"No prazo","Com atraso")))</f>
        <v/>
      </c>
      <c r="N1048" s="18">
        <f>IF(E1048="","",MAX(0,IF(G1048="",TODAY(),G1048)-L1048))</f>
        <v/>
      </c>
    </row>
    <row r="1049">
      <c r="E1049" s="22" t="n"/>
      <c r="G1049" s="22" t="n"/>
      <c r="I1049" s="22" t="n"/>
      <c r="L1049" s="20">
        <f>IF(E1049="","",E1049+IF(F1049="",IFERROR(VLOOKUP(C1049,Parametros!$E:$F,2,0),0),F1049))</f>
        <v/>
      </c>
      <c r="M1049" s="21">
        <f>IF(E1049="","",IF(G1049="",IF(TODAY()&gt;L1049,"Atrasada","Em aberto"),IF(G1049&lt;=L1049,"No prazo","Com atraso")))</f>
        <v/>
      </c>
      <c r="N1049" s="18">
        <f>IF(E1049="","",MAX(0,IF(G1049="",TODAY(),G1049)-L1049))</f>
        <v/>
      </c>
    </row>
    <row r="1050">
      <c r="E1050" s="22" t="n"/>
      <c r="G1050" s="22" t="n"/>
      <c r="I1050" s="22" t="n"/>
      <c r="L1050" s="20">
        <f>IF(E1050="","",E1050+IF(F1050="",IFERROR(VLOOKUP(C1050,Parametros!$E:$F,2,0),0),F1050))</f>
        <v/>
      </c>
      <c r="M1050" s="21">
        <f>IF(E1050="","",IF(G1050="",IF(TODAY()&gt;L1050,"Atrasada","Em aberto"),IF(G1050&lt;=L1050,"No prazo","Com atraso")))</f>
        <v/>
      </c>
      <c r="N1050" s="18">
        <f>IF(E1050="","",MAX(0,IF(G1050="",TODAY(),G1050)-L1050))</f>
        <v/>
      </c>
    </row>
    <row r="1051">
      <c r="E1051" s="22" t="n"/>
      <c r="G1051" s="22" t="n"/>
      <c r="I1051" s="22" t="n"/>
      <c r="L1051" s="20">
        <f>IF(E1051="","",E1051+IF(F1051="",IFERROR(VLOOKUP(C1051,Parametros!$E:$F,2,0),0),F1051))</f>
        <v/>
      </c>
      <c r="M1051" s="21">
        <f>IF(E1051="","",IF(G1051="",IF(TODAY()&gt;L1051,"Atrasada","Em aberto"),IF(G1051&lt;=L1051,"No prazo","Com atraso")))</f>
        <v/>
      </c>
      <c r="N1051" s="18">
        <f>IF(E1051="","",MAX(0,IF(G1051="",TODAY(),G1051)-L1051))</f>
        <v/>
      </c>
    </row>
    <row r="1052">
      <c r="E1052" s="22" t="n"/>
      <c r="G1052" s="22" t="n"/>
      <c r="I1052" s="22" t="n"/>
      <c r="L1052" s="20">
        <f>IF(E1052="","",E1052+IF(F1052="",IFERROR(VLOOKUP(C1052,Parametros!$E:$F,2,0),0),F1052))</f>
        <v/>
      </c>
      <c r="M1052" s="21">
        <f>IF(E1052="","",IF(G1052="",IF(TODAY()&gt;L1052,"Atrasada","Em aberto"),IF(G1052&lt;=L1052,"No prazo","Com atraso")))</f>
        <v/>
      </c>
      <c r="N1052" s="18">
        <f>IF(E1052="","",MAX(0,IF(G1052="",TODAY(),G1052)-L1052))</f>
        <v/>
      </c>
    </row>
    <row r="1053">
      <c r="E1053" s="22" t="n"/>
      <c r="G1053" s="22" t="n"/>
      <c r="I1053" s="22" t="n"/>
      <c r="L1053" s="20">
        <f>IF(E1053="","",E1053+IF(F1053="",IFERROR(VLOOKUP(C1053,Parametros!$E:$F,2,0),0),F1053))</f>
        <v/>
      </c>
      <c r="M1053" s="21">
        <f>IF(E1053="","",IF(G1053="",IF(TODAY()&gt;L1053,"Atrasada","Em aberto"),IF(G1053&lt;=L1053,"No prazo","Com atraso")))</f>
        <v/>
      </c>
      <c r="N1053" s="18">
        <f>IF(E1053="","",MAX(0,IF(G1053="",TODAY(),G1053)-L1053))</f>
        <v/>
      </c>
    </row>
    <row r="1054">
      <c r="E1054" s="22" t="n"/>
      <c r="G1054" s="22" t="n"/>
      <c r="I1054" s="22" t="n"/>
      <c r="L1054" s="20">
        <f>IF(E1054="","",E1054+IF(F1054="",IFERROR(VLOOKUP(C1054,Parametros!$E:$F,2,0),0),F1054))</f>
        <v/>
      </c>
      <c r="M1054" s="21">
        <f>IF(E1054="","",IF(G1054="",IF(TODAY()&gt;L1054,"Atrasada","Em aberto"),IF(G1054&lt;=L1054,"No prazo","Com atraso")))</f>
        <v/>
      </c>
      <c r="N1054" s="18">
        <f>IF(E1054="","",MAX(0,IF(G1054="",TODAY(),G1054)-L1054))</f>
        <v/>
      </c>
    </row>
    <row r="1055">
      <c r="E1055" s="22" t="n"/>
      <c r="G1055" s="22" t="n"/>
      <c r="I1055" s="22" t="n"/>
      <c r="L1055" s="20">
        <f>IF(E1055="","",E1055+IF(F1055="",IFERROR(VLOOKUP(C1055,Parametros!$E:$F,2,0),0),F1055))</f>
        <v/>
      </c>
      <c r="M1055" s="21">
        <f>IF(E1055="","",IF(G1055="",IF(TODAY()&gt;L1055,"Atrasada","Em aberto"),IF(G1055&lt;=L1055,"No prazo","Com atraso")))</f>
        <v/>
      </c>
      <c r="N1055" s="18">
        <f>IF(E1055="","",MAX(0,IF(G1055="",TODAY(),G1055)-L1055))</f>
        <v/>
      </c>
    </row>
    <row r="1056">
      <c r="E1056" s="22" t="n"/>
      <c r="G1056" s="22" t="n"/>
      <c r="I1056" s="22" t="n"/>
      <c r="L1056" s="20">
        <f>IF(E1056="","",E1056+IF(F1056="",IFERROR(VLOOKUP(C1056,Parametros!$E:$F,2,0),0),F1056))</f>
        <v/>
      </c>
      <c r="M1056" s="21">
        <f>IF(E1056="","",IF(G1056="",IF(TODAY()&gt;L1056,"Atrasada","Em aberto"),IF(G1056&lt;=L1056,"No prazo","Com atraso")))</f>
        <v/>
      </c>
      <c r="N1056" s="18">
        <f>IF(E1056="","",MAX(0,IF(G1056="",TODAY(),G1056)-L1056))</f>
        <v/>
      </c>
    </row>
    <row r="1057">
      <c r="E1057" s="22" t="n"/>
      <c r="G1057" s="22" t="n"/>
      <c r="I1057" s="22" t="n"/>
      <c r="L1057" s="20">
        <f>IF(E1057="","",E1057+IF(F1057="",IFERROR(VLOOKUP(C1057,Parametros!$E:$F,2,0),0),F1057))</f>
        <v/>
      </c>
      <c r="M1057" s="21">
        <f>IF(E1057="","",IF(G1057="",IF(TODAY()&gt;L1057,"Atrasada","Em aberto"),IF(G1057&lt;=L1057,"No prazo","Com atraso")))</f>
        <v/>
      </c>
      <c r="N1057" s="18">
        <f>IF(E1057="","",MAX(0,IF(G1057="",TODAY(),G1057)-L1057))</f>
        <v/>
      </c>
    </row>
    <row r="1058">
      <c r="E1058" s="22" t="n"/>
      <c r="G1058" s="22" t="n"/>
      <c r="I1058" s="22" t="n"/>
      <c r="L1058" s="20">
        <f>IF(E1058="","",E1058+IF(F1058="",IFERROR(VLOOKUP(C1058,Parametros!$E:$F,2,0),0),F1058))</f>
        <v/>
      </c>
      <c r="M1058" s="21">
        <f>IF(E1058="","",IF(G1058="",IF(TODAY()&gt;L1058,"Atrasada","Em aberto"),IF(G1058&lt;=L1058,"No prazo","Com atraso")))</f>
        <v/>
      </c>
      <c r="N1058" s="18">
        <f>IF(E1058="","",MAX(0,IF(G1058="",TODAY(),G1058)-L1058))</f>
        <v/>
      </c>
    </row>
    <row r="1059">
      <c r="E1059" s="22" t="n"/>
      <c r="G1059" s="22" t="n"/>
      <c r="I1059" s="22" t="n"/>
      <c r="L1059" s="20">
        <f>IF(E1059="","",E1059+IF(F1059="",IFERROR(VLOOKUP(C1059,Parametros!$E:$F,2,0),0),F1059))</f>
        <v/>
      </c>
      <c r="M1059" s="21">
        <f>IF(E1059="","",IF(G1059="",IF(TODAY()&gt;L1059,"Atrasada","Em aberto"),IF(G1059&lt;=L1059,"No prazo","Com atraso")))</f>
        <v/>
      </c>
      <c r="N1059" s="18">
        <f>IF(E1059="","",MAX(0,IF(G1059="",TODAY(),G1059)-L1059))</f>
        <v/>
      </c>
    </row>
    <row r="1060">
      <c r="E1060" s="22" t="n"/>
      <c r="G1060" s="22" t="n"/>
      <c r="I1060" s="22" t="n"/>
      <c r="L1060" s="20">
        <f>IF(E1060="","",E1060+IF(F1060="",IFERROR(VLOOKUP(C1060,Parametros!$E:$F,2,0),0),F1060))</f>
        <v/>
      </c>
      <c r="M1060" s="21">
        <f>IF(E1060="","",IF(G1060="",IF(TODAY()&gt;L1060,"Atrasada","Em aberto"),IF(G1060&lt;=L1060,"No prazo","Com atraso")))</f>
        <v/>
      </c>
      <c r="N1060" s="18">
        <f>IF(E1060="","",MAX(0,IF(G1060="",TODAY(),G1060)-L1060))</f>
        <v/>
      </c>
    </row>
    <row r="1061">
      <c r="E1061" s="22" t="n"/>
      <c r="G1061" s="22" t="n"/>
      <c r="I1061" s="22" t="n"/>
      <c r="L1061" s="20">
        <f>IF(E1061="","",E1061+IF(F1061="",IFERROR(VLOOKUP(C1061,Parametros!$E:$F,2,0),0),F1061))</f>
        <v/>
      </c>
      <c r="M1061" s="21">
        <f>IF(E1061="","",IF(G1061="",IF(TODAY()&gt;L1061,"Atrasada","Em aberto"),IF(G1061&lt;=L1061,"No prazo","Com atraso")))</f>
        <v/>
      </c>
      <c r="N1061" s="18">
        <f>IF(E1061="","",MAX(0,IF(G1061="",TODAY(),G1061)-L1061))</f>
        <v/>
      </c>
    </row>
    <row r="1062">
      <c r="E1062" s="22" t="n"/>
      <c r="G1062" s="22" t="n"/>
      <c r="I1062" s="22" t="n"/>
      <c r="L1062" s="20">
        <f>IF(E1062="","",E1062+IF(F1062="",IFERROR(VLOOKUP(C1062,Parametros!$E:$F,2,0),0),F1062))</f>
        <v/>
      </c>
      <c r="M1062" s="21">
        <f>IF(E1062="","",IF(G1062="",IF(TODAY()&gt;L1062,"Atrasada","Em aberto"),IF(G1062&lt;=L1062,"No prazo","Com atraso")))</f>
        <v/>
      </c>
      <c r="N1062" s="18">
        <f>IF(E1062="","",MAX(0,IF(G1062="",TODAY(),G1062)-L1062))</f>
        <v/>
      </c>
    </row>
    <row r="1063">
      <c r="E1063" s="22" t="n"/>
      <c r="G1063" s="22" t="n"/>
      <c r="I1063" s="22" t="n"/>
      <c r="L1063" s="20">
        <f>IF(E1063="","",E1063+IF(F1063="",IFERROR(VLOOKUP(C1063,Parametros!$E:$F,2,0),0),F1063))</f>
        <v/>
      </c>
      <c r="M1063" s="21">
        <f>IF(E1063="","",IF(G1063="",IF(TODAY()&gt;L1063,"Atrasada","Em aberto"),IF(G1063&lt;=L1063,"No prazo","Com atraso")))</f>
        <v/>
      </c>
      <c r="N1063" s="18">
        <f>IF(E1063="","",MAX(0,IF(G1063="",TODAY(),G1063)-L1063))</f>
        <v/>
      </c>
    </row>
    <row r="1064">
      <c r="E1064" s="22" t="n"/>
      <c r="G1064" s="22" t="n"/>
      <c r="I1064" s="22" t="n"/>
      <c r="L1064" s="20">
        <f>IF(E1064="","",E1064+IF(F1064="",IFERROR(VLOOKUP(C1064,Parametros!$E:$F,2,0),0),F1064))</f>
        <v/>
      </c>
      <c r="M1064" s="21">
        <f>IF(E1064="","",IF(G1064="",IF(TODAY()&gt;L1064,"Atrasada","Em aberto"),IF(G1064&lt;=L1064,"No prazo","Com atraso")))</f>
        <v/>
      </c>
      <c r="N1064" s="18">
        <f>IF(E1064="","",MAX(0,IF(G1064="",TODAY(),G1064)-L1064))</f>
        <v/>
      </c>
    </row>
    <row r="1065">
      <c r="E1065" s="22" t="n"/>
      <c r="G1065" s="22" t="n"/>
      <c r="I1065" s="22" t="n"/>
      <c r="L1065" s="20">
        <f>IF(E1065="","",E1065+IF(F1065="",IFERROR(VLOOKUP(C1065,Parametros!$E:$F,2,0),0),F1065))</f>
        <v/>
      </c>
      <c r="M1065" s="21">
        <f>IF(E1065="","",IF(G1065="",IF(TODAY()&gt;L1065,"Atrasada","Em aberto"),IF(G1065&lt;=L1065,"No prazo","Com atraso")))</f>
        <v/>
      </c>
      <c r="N1065" s="18">
        <f>IF(E1065="","",MAX(0,IF(G1065="",TODAY(),G1065)-L1065))</f>
        <v/>
      </c>
    </row>
    <row r="1066">
      <c r="E1066" s="22" t="n"/>
      <c r="G1066" s="22" t="n"/>
      <c r="I1066" s="22" t="n"/>
      <c r="L1066" s="20">
        <f>IF(E1066="","",E1066+IF(F1066="",IFERROR(VLOOKUP(C1066,Parametros!$E:$F,2,0),0),F1066))</f>
        <v/>
      </c>
      <c r="M1066" s="21">
        <f>IF(E1066="","",IF(G1066="",IF(TODAY()&gt;L1066,"Atrasada","Em aberto"),IF(G1066&lt;=L1066,"No prazo","Com atraso")))</f>
        <v/>
      </c>
      <c r="N1066" s="18">
        <f>IF(E1066="","",MAX(0,IF(G1066="",TODAY(),G1066)-L1066))</f>
        <v/>
      </c>
    </row>
    <row r="1067">
      <c r="E1067" s="22" t="n"/>
      <c r="G1067" s="22" t="n"/>
      <c r="I1067" s="22" t="n"/>
      <c r="L1067" s="20">
        <f>IF(E1067="","",E1067+IF(F1067="",IFERROR(VLOOKUP(C1067,Parametros!$E:$F,2,0),0),F1067))</f>
        <v/>
      </c>
      <c r="M1067" s="21">
        <f>IF(E1067="","",IF(G1067="",IF(TODAY()&gt;L1067,"Atrasada","Em aberto"),IF(G1067&lt;=L1067,"No prazo","Com atraso")))</f>
        <v/>
      </c>
      <c r="N1067" s="18">
        <f>IF(E1067="","",MAX(0,IF(G1067="",TODAY(),G1067)-L1067))</f>
        <v/>
      </c>
    </row>
    <row r="1068">
      <c r="E1068" s="22" t="n"/>
      <c r="G1068" s="22" t="n"/>
      <c r="I1068" s="22" t="n"/>
      <c r="L1068" s="20">
        <f>IF(E1068="","",E1068+IF(F1068="",IFERROR(VLOOKUP(C1068,Parametros!$E:$F,2,0),0),F1068))</f>
        <v/>
      </c>
      <c r="M1068" s="21">
        <f>IF(E1068="","",IF(G1068="",IF(TODAY()&gt;L1068,"Atrasada","Em aberto"),IF(G1068&lt;=L1068,"No prazo","Com atraso")))</f>
        <v/>
      </c>
      <c r="N1068" s="18">
        <f>IF(E1068="","",MAX(0,IF(G1068="",TODAY(),G1068)-L1068))</f>
        <v/>
      </c>
    </row>
    <row r="1069">
      <c r="E1069" s="22" t="n"/>
      <c r="G1069" s="22" t="n"/>
      <c r="I1069" s="22" t="n"/>
      <c r="L1069" s="20">
        <f>IF(E1069="","",E1069+IF(F1069="",IFERROR(VLOOKUP(C1069,Parametros!$E:$F,2,0),0),F1069))</f>
        <v/>
      </c>
      <c r="M1069" s="21">
        <f>IF(E1069="","",IF(G1069="",IF(TODAY()&gt;L1069,"Atrasada","Em aberto"),IF(G1069&lt;=L1069,"No prazo","Com atraso")))</f>
        <v/>
      </c>
      <c r="N1069" s="18">
        <f>IF(E1069="","",MAX(0,IF(G1069="",TODAY(),G1069)-L1069))</f>
        <v/>
      </c>
    </row>
    <row r="1070">
      <c r="E1070" s="22" t="n"/>
      <c r="G1070" s="22" t="n"/>
      <c r="I1070" s="22" t="n"/>
      <c r="L1070" s="20">
        <f>IF(E1070="","",E1070+IF(F1070="",IFERROR(VLOOKUP(C1070,Parametros!$E:$F,2,0),0),F1070))</f>
        <v/>
      </c>
      <c r="M1070" s="21">
        <f>IF(E1070="","",IF(G1070="",IF(TODAY()&gt;L1070,"Atrasada","Em aberto"),IF(G1070&lt;=L1070,"No prazo","Com atraso")))</f>
        <v/>
      </c>
      <c r="N1070" s="18">
        <f>IF(E1070="","",MAX(0,IF(G1070="",TODAY(),G1070)-L1070))</f>
        <v/>
      </c>
    </row>
    <row r="1071">
      <c r="E1071" s="22" t="n"/>
      <c r="G1071" s="22" t="n"/>
      <c r="I1071" s="22" t="n"/>
      <c r="L1071" s="20">
        <f>IF(E1071="","",E1071+IF(F1071="",IFERROR(VLOOKUP(C1071,Parametros!$E:$F,2,0),0),F1071))</f>
        <v/>
      </c>
      <c r="M1071" s="21">
        <f>IF(E1071="","",IF(G1071="",IF(TODAY()&gt;L1071,"Atrasada","Em aberto"),IF(G1071&lt;=L1071,"No prazo","Com atraso")))</f>
        <v/>
      </c>
      <c r="N1071" s="18">
        <f>IF(E1071="","",MAX(0,IF(G1071="",TODAY(),G1071)-L1071))</f>
        <v/>
      </c>
    </row>
    <row r="1072">
      <c r="E1072" s="22" t="n"/>
      <c r="G1072" s="22" t="n"/>
      <c r="I1072" s="22" t="n"/>
      <c r="L1072" s="20">
        <f>IF(E1072="","",E1072+IF(F1072="",IFERROR(VLOOKUP(C1072,Parametros!$E:$F,2,0),0),F1072))</f>
        <v/>
      </c>
      <c r="M1072" s="21">
        <f>IF(E1072="","",IF(G1072="",IF(TODAY()&gt;L1072,"Atrasada","Em aberto"),IF(G1072&lt;=L1072,"No prazo","Com atraso")))</f>
        <v/>
      </c>
      <c r="N1072" s="18">
        <f>IF(E1072="","",MAX(0,IF(G1072="",TODAY(),G1072)-L1072))</f>
        <v/>
      </c>
    </row>
    <row r="1073">
      <c r="E1073" s="22" t="n"/>
      <c r="G1073" s="22" t="n"/>
      <c r="I1073" s="22" t="n"/>
      <c r="L1073" s="20">
        <f>IF(E1073="","",E1073+IF(F1073="",IFERROR(VLOOKUP(C1073,Parametros!$E:$F,2,0),0),F1073))</f>
        <v/>
      </c>
      <c r="M1073" s="21">
        <f>IF(E1073="","",IF(G1073="",IF(TODAY()&gt;L1073,"Atrasada","Em aberto"),IF(G1073&lt;=L1073,"No prazo","Com atraso")))</f>
        <v/>
      </c>
      <c r="N1073" s="18">
        <f>IF(E1073="","",MAX(0,IF(G1073="",TODAY(),G1073)-L1073))</f>
        <v/>
      </c>
    </row>
    <row r="1074">
      <c r="E1074" s="22" t="n"/>
      <c r="G1074" s="22" t="n"/>
      <c r="I1074" s="22" t="n"/>
      <c r="L1074" s="20">
        <f>IF(E1074="","",E1074+IF(F1074="",IFERROR(VLOOKUP(C1074,Parametros!$E:$F,2,0),0),F1074))</f>
        <v/>
      </c>
      <c r="M1074" s="21">
        <f>IF(E1074="","",IF(G1074="",IF(TODAY()&gt;L1074,"Atrasada","Em aberto"),IF(G1074&lt;=L1074,"No prazo","Com atraso")))</f>
        <v/>
      </c>
      <c r="N1074" s="18">
        <f>IF(E1074="","",MAX(0,IF(G1074="",TODAY(),G1074)-L1074))</f>
        <v/>
      </c>
    </row>
    <row r="1075">
      <c r="E1075" s="22" t="n"/>
      <c r="G1075" s="22" t="n"/>
      <c r="I1075" s="22" t="n"/>
      <c r="L1075" s="20">
        <f>IF(E1075="","",E1075+IF(F1075="",IFERROR(VLOOKUP(C1075,Parametros!$E:$F,2,0),0),F1075))</f>
        <v/>
      </c>
      <c r="M1075" s="21">
        <f>IF(E1075="","",IF(G1075="",IF(TODAY()&gt;L1075,"Atrasada","Em aberto"),IF(G1075&lt;=L1075,"No prazo","Com atraso")))</f>
        <v/>
      </c>
      <c r="N1075" s="18">
        <f>IF(E1075="","",MAX(0,IF(G1075="",TODAY(),G1075)-L1075))</f>
        <v/>
      </c>
    </row>
    <row r="1076">
      <c r="E1076" s="22" t="n"/>
      <c r="G1076" s="22" t="n"/>
      <c r="I1076" s="22" t="n"/>
      <c r="L1076" s="20">
        <f>IF(E1076="","",E1076+IF(F1076="",IFERROR(VLOOKUP(C1076,Parametros!$E:$F,2,0),0),F1076))</f>
        <v/>
      </c>
      <c r="M1076" s="21">
        <f>IF(E1076="","",IF(G1076="",IF(TODAY()&gt;L1076,"Atrasada","Em aberto"),IF(G1076&lt;=L1076,"No prazo","Com atraso")))</f>
        <v/>
      </c>
      <c r="N1076" s="18">
        <f>IF(E1076="","",MAX(0,IF(G1076="",TODAY(),G1076)-L1076))</f>
        <v/>
      </c>
    </row>
    <row r="1077">
      <c r="E1077" s="22" t="n"/>
      <c r="G1077" s="22" t="n"/>
      <c r="I1077" s="22" t="n"/>
      <c r="L1077" s="20">
        <f>IF(E1077="","",E1077+IF(F1077="",IFERROR(VLOOKUP(C1077,Parametros!$E:$F,2,0),0),F1077))</f>
        <v/>
      </c>
      <c r="M1077" s="21">
        <f>IF(E1077="","",IF(G1077="",IF(TODAY()&gt;L1077,"Atrasada","Em aberto"),IF(G1077&lt;=L1077,"No prazo","Com atraso")))</f>
        <v/>
      </c>
      <c r="N1077" s="18">
        <f>IF(E1077="","",MAX(0,IF(G1077="",TODAY(),G1077)-L1077))</f>
        <v/>
      </c>
    </row>
    <row r="1078">
      <c r="E1078" s="22" t="n"/>
      <c r="G1078" s="22" t="n"/>
      <c r="I1078" s="22" t="n"/>
      <c r="L1078" s="20">
        <f>IF(E1078="","",E1078+IF(F1078="",IFERROR(VLOOKUP(C1078,Parametros!$E:$F,2,0),0),F1078))</f>
        <v/>
      </c>
      <c r="M1078" s="21">
        <f>IF(E1078="","",IF(G1078="",IF(TODAY()&gt;L1078,"Atrasada","Em aberto"),IF(G1078&lt;=L1078,"No prazo","Com atraso")))</f>
        <v/>
      </c>
      <c r="N1078" s="18">
        <f>IF(E1078="","",MAX(0,IF(G1078="",TODAY(),G1078)-L1078))</f>
        <v/>
      </c>
    </row>
    <row r="1079">
      <c r="E1079" s="22" t="n"/>
      <c r="G1079" s="22" t="n"/>
      <c r="I1079" s="22" t="n"/>
      <c r="L1079" s="20">
        <f>IF(E1079="","",E1079+IF(F1079="",IFERROR(VLOOKUP(C1079,Parametros!$E:$F,2,0),0),F1079))</f>
        <v/>
      </c>
      <c r="M1079" s="21">
        <f>IF(E1079="","",IF(G1079="",IF(TODAY()&gt;L1079,"Atrasada","Em aberto"),IF(G1079&lt;=L1079,"No prazo","Com atraso")))</f>
        <v/>
      </c>
      <c r="N1079" s="18">
        <f>IF(E1079="","",MAX(0,IF(G1079="",TODAY(),G1079)-L1079))</f>
        <v/>
      </c>
    </row>
    <row r="1080">
      <c r="E1080" s="22" t="n"/>
      <c r="G1080" s="22" t="n"/>
      <c r="I1080" s="22" t="n"/>
      <c r="L1080" s="20">
        <f>IF(E1080="","",E1080+IF(F1080="",IFERROR(VLOOKUP(C1080,Parametros!$E:$F,2,0),0),F1080))</f>
        <v/>
      </c>
      <c r="M1080" s="21">
        <f>IF(E1080="","",IF(G1080="",IF(TODAY()&gt;L1080,"Atrasada","Em aberto"),IF(G1080&lt;=L1080,"No prazo","Com atraso")))</f>
        <v/>
      </c>
      <c r="N1080" s="18">
        <f>IF(E1080="","",MAX(0,IF(G1080="",TODAY(),G1080)-L1080))</f>
        <v/>
      </c>
    </row>
    <row r="1081">
      <c r="E1081" s="22" t="n"/>
      <c r="G1081" s="22" t="n"/>
      <c r="I1081" s="22" t="n"/>
      <c r="L1081" s="20">
        <f>IF(E1081="","",E1081+IF(F1081="",IFERROR(VLOOKUP(C1081,Parametros!$E:$F,2,0),0),F1081))</f>
        <v/>
      </c>
      <c r="M1081" s="21">
        <f>IF(E1081="","",IF(G1081="",IF(TODAY()&gt;L1081,"Atrasada","Em aberto"),IF(G1081&lt;=L1081,"No prazo","Com atraso")))</f>
        <v/>
      </c>
      <c r="N1081" s="18">
        <f>IF(E1081="","",MAX(0,IF(G1081="",TODAY(),G1081)-L1081))</f>
        <v/>
      </c>
    </row>
    <row r="1082">
      <c r="E1082" s="22" t="n"/>
      <c r="G1082" s="22" t="n"/>
      <c r="I1082" s="22" t="n"/>
      <c r="L1082" s="20">
        <f>IF(E1082="","",E1082+IF(F1082="",IFERROR(VLOOKUP(C1082,Parametros!$E:$F,2,0),0),F1082))</f>
        <v/>
      </c>
      <c r="M1082" s="21">
        <f>IF(E1082="","",IF(G1082="",IF(TODAY()&gt;L1082,"Atrasada","Em aberto"),IF(G1082&lt;=L1082,"No prazo","Com atraso")))</f>
        <v/>
      </c>
      <c r="N1082" s="18">
        <f>IF(E1082="","",MAX(0,IF(G1082="",TODAY(),G1082)-L1082))</f>
        <v/>
      </c>
    </row>
    <row r="1083">
      <c r="E1083" s="22" t="n"/>
      <c r="G1083" s="22" t="n"/>
      <c r="I1083" s="22" t="n"/>
      <c r="L1083" s="20">
        <f>IF(E1083="","",E1083+IF(F1083="",IFERROR(VLOOKUP(C1083,Parametros!$E:$F,2,0),0),F1083))</f>
        <v/>
      </c>
      <c r="M1083" s="21">
        <f>IF(E1083="","",IF(G1083="",IF(TODAY()&gt;L1083,"Atrasada","Em aberto"),IF(G1083&lt;=L1083,"No prazo","Com atraso")))</f>
        <v/>
      </c>
      <c r="N1083" s="18">
        <f>IF(E1083="","",MAX(0,IF(G1083="",TODAY(),G1083)-L1083))</f>
        <v/>
      </c>
    </row>
    <row r="1084">
      <c r="E1084" s="22" t="n"/>
      <c r="G1084" s="22" t="n"/>
      <c r="I1084" s="22" t="n"/>
      <c r="L1084" s="20">
        <f>IF(E1084="","",E1084+IF(F1084="",IFERROR(VLOOKUP(C1084,Parametros!$E:$F,2,0),0),F1084))</f>
        <v/>
      </c>
      <c r="M1084" s="21">
        <f>IF(E1084="","",IF(G1084="",IF(TODAY()&gt;L1084,"Atrasada","Em aberto"),IF(G1084&lt;=L1084,"No prazo","Com atraso")))</f>
        <v/>
      </c>
      <c r="N1084" s="18">
        <f>IF(E1084="","",MAX(0,IF(G1084="",TODAY(),G1084)-L1084))</f>
        <v/>
      </c>
    </row>
    <row r="1085">
      <c r="E1085" s="22" t="n"/>
      <c r="G1085" s="22" t="n"/>
      <c r="I1085" s="22" t="n"/>
      <c r="L1085" s="20">
        <f>IF(E1085="","",E1085+IF(F1085="",IFERROR(VLOOKUP(C1085,Parametros!$E:$F,2,0),0),F1085))</f>
        <v/>
      </c>
      <c r="M1085" s="21">
        <f>IF(E1085="","",IF(G1085="",IF(TODAY()&gt;L1085,"Atrasada","Em aberto"),IF(G1085&lt;=L1085,"No prazo","Com atraso")))</f>
        <v/>
      </c>
      <c r="N1085" s="18">
        <f>IF(E1085="","",MAX(0,IF(G1085="",TODAY(),G1085)-L1085))</f>
        <v/>
      </c>
    </row>
    <row r="1086">
      <c r="E1086" s="22" t="n"/>
      <c r="G1086" s="22" t="n"/>
      <c r="I1086" s="22" t="n"/>
      <c r="L1086" s="20">
        <f>IF(E1086="","",E1086+IF(F1086="",IFERROR(VLOOKUP(C1086,Parametros!$E:$F,2,0),0),F1086))</f>
        <v/>
      </c>
      <c r="M1086" s="21">
        <f>IF(E1086="","",IF(G1086="",IF(TODAY()&gt;L1086,"Atrasada","Em aberto"),IF(G1086&lt;=L1086,"No prazo","Com atraso")))</f>
        <v/>
      </c>
      <c r="N1086" s="18">
        <f>IF(E1086="","",MAX(0,IF(G1086="",TODAY(),G1086)-L1086))</f>
        <v/>
      </c>
    </row>
    <row r="1087">
      <c r="E1087" s="22" t="n"/>
      <c r="G1087" s="22" t="n"/>
      <c r="I1087" s="22" t="n"/>
      <c r="L1087" s="20">
        <f>IF(E1087="","",E1087+IF(F1087="",IFERROR(VLOOKUP(C1087,Parametros!$E:$F,2,0),0),F1087))</f>
        <v/>
      </c>
      <c r="M1087" s="21">
        <f>IF(E1087="","",IF(G1087="",IF(TODAY()&gt;L1087,"Atrasada","Em aberto"),IF(G1087&lt;=L1087,"No prazo","Com atraso")))</f>
        <v/>
      </c>
      <c r="N1087" s="18">
        <f>IF(E1087="","",MAX(0,IF(G1087="",TODAY(),G1087)-L1087))</f>
        <v/>
      </c>
    </row>
    <row r="1088">
      <c r="E1088" s="22" t="n"/>
      <c r="G1088" s="22" t="n"/>
      <c r="I1088" s="22" t="n"/>
      <c r="L1088" s="20">
        <f>IF(E1088="","",E1088+IF(F1088="",IFERROR(VLOOKUP(C1088,Parametros!$E:$F,2,0),0),F1088))</f>
        <v/>
      </c>
      <c r="M1088" s="21">
        <f>IF(E1088="","",IF(G1088="",IF(TODAY()&gt;L1088,"Atrasada","Em aberto"),IF(G1088&lt;=L1088,"No prazo","Com atraso")))</f>
        <v/>
      </c>
      <c r="N1088" s="18">
        <f>IF(E1088="","",MAX(0,IF(G1088="",TODAY(),G1088)-L1088))</f>
        <v/>
      </c>
    </row>
    <row r="1089">
      <c r="E1089" s="22" t="n"/>
      <c r="G1089" s="22" t="n"/>
      <c r="I1089" s="22" t="n"/>
      <c r="L1089" s="20">
        <f>IF(E1089="","",E1089+IF(F1089="",IFERROR(VLOOKUP(C1089,Parametros!$E:$F,2,0),0),F1089))</f>
        <v/>
      </c>
      <c r="M1089" s="21">
        <f>IF(E1089="","",IF(G1089="",IF(TODAY()&gt;L1089,"Atrasada","Em aberto"),IF(G1089&lt;=L1089,"No prazo","Com atraso")))</f>
        <v/>
      </c>
      <c r="N1089" s="18">
        <f>IF(E1089="","",MAX(0,IF(G1089="",TODAY(),G1089)-L1089))</f>
        <v/>
      </c>
    </row>
    <row r="1090">
      <c r="E1090" s="22" t="n"/>
      <c r="G1090" s="22" t="n"/>
      <c r="I1090" s="22" t="n"/>
      <c r="L1090" s="20">
        <f>IF(E1090="","",E1090+IF(F1090="",IFERROR(VLOOKUP(C1090,Parametros!$E:$F,2,0),0),F1090))</f>
        <v/>
      </c>
      <c r="M1090" s="21">
        <f>IF(E1090="","",IF(G1090="",IF(TODAY()&gt;L1090,"Atrasada","Em aberto"),IF(G1090&lt;=L1090,"No prazo","Com atraso")))</f>
        <v/>
      </c>
      <c r="N1090" s="18">
        <f>IF(E1090="","",MAX(0,IF(G1090="",TODAY(),G1090)-L1090))</f>
        <v/>
      </c>
    </row>
    <row r="1091">
      <c r="E1091" s="22" t="n"/>
      <c r="G1091" s="22" t="n"/>
      <c r="I1091" s="22" t="n"/>
      <c r="L1091" s="20">
        <f>IF(E1091="","",E1091+IF(F1091="",IFERROR(VLOOKUP(C1091,Parametros!$E:$F,2,0),0),F1091))</f>
        <v/>
      </c>
      <c r="M1091" s="21">
        <f>IF(E1091="","",IF(G1091="",IF(TODAY()&gt;L1091,"Atrasada","Em aberto"),IF(G1091&lt;=L1091,"No prazo","Com atraso")))</f>
        <v/>
      </c>
      <c r="N1091" s="18">
        <f>IF(E1091="","",MAX(0,IF(G1091="",TODAY(),G1091)-L1091))</f>
        <v/>
      </c>
    </row>
    <row r="1092">
      <c r="E1092" s="22" t="n"/>
      <c r="G1092" s="22" t="n"/>
      <c r="I1092" s="22" t="n"/>
      <c r="L1092" s="20">
        <f>IF(E1092="","",E1092+IF(F1092="",IFERROR(VLOOKUP(C1092,Parametros!$E:$F,2,0),0),F1092))</f>
        <v/>
      </c>
      <c r="M1092" s="21">
        <f>IF(E1092="","",IF(G1092="",IF(TODAY()&gt;L1092,"Atrasada","Em aberto"),IF(G1092&lt;=L1092,"No prazo","Com atraso")))</f>
        <v/>
      </c>
      <c r="N1092" s="18">
        <f>IF(E1092="","",MAX(0,IF(G1092="",TODAY(),G1092)-L1092))</f>
        <v/>
      </c>
    </row>
    <row r="1093">
      <c r="E1093" s="22" t="n"/>
      <c r="G1093" s="22" t="n"/>
      <c r="I1093" s="22" t="n"/>
      <c r="L1093" s="20">
        <f>IF(E1093="","",E1093+IF(F1093="",IFERROR(VLOOKUP(C1093,Parametros!$E:$F,2,0),0),F1093))</f>
        <v/>
      </c>
      <c r="M1093" s="21">
        <f>IF(E1093="","",IF(G1093="",IF(TODAY()&gt;L1093,"Atrasada","Em aberto"),IF(G1093&lt;=L1093,"No prazo","Com atraso")))</f>
        <v/>
      </c>
      <c r="N1093" s="18">
        <f>IF(E1093="","",MAX(0,IF(G1093="",TODAY(),G1093)-L1093))</f>
        <v/>
      </c>
    </row>
    <row r="1094">
      <c r="E1094" s="22" t="n"/>
      <c r="G1094" s="22" t="n"/>
      <c r="I1094" s="22" t="n"/>
      <c r="L1094" s="20">
        <f>IF(E1094="","",E1094+IF(F1094="",IFERROR(VLOOKUP(C1094,Parametros!$E:$F,2,0),0),F1094))</f>
        <v/>
      </c>
      <c r="M1094" s="21">
        <f>IF(E1094="","",IF(G1094="",IF(TODAY()&gt;L1094,"Atrasada","Em aberto"),IF(G1094&lt;=L1094,"No prazo","Com atraso")))</f>
        <v/>
      </c>
      <c r="N1094" s="18">
        <f>IF(E1094="","",MAX(0,IF(G1094="",TODAY(),G1094)-L1094))</f>
        <v/>
      </c>
    </row>
    <row r="1095">
      <c r="E1095" s="22" t="n"/>
      <c r="G1095" s="22" t="n"/>
      <c r="I1095" s="22" t="n"/>
      <c r="L1095" s="20">
        <f>IF(E1095="","",E1095+IF(F1095="",IFERROR(VLOOKUP(C1095,Parametros!$E:$F,2,0),0),F1095))</f>
        <v/>
      </c>
      <c r="M1095" s="21">
        <f>IF(E1095="","",IF(G1095="",IF(TODAY()&gt;L1095,"Atrasada","Em aberto"),IF(G1095&lt;=L1095,"No prazo","Com atraso")))</f>
        <v/>
      </c>
      <c r="N1095" s="18">
        <f>IF(E1095="","",MAX(0,IF(G1095="",TODAY(),G1095)-L1095))</f>
        <v/>
      </c>
    </row>
    <row r="1096">
      <c r="E1096" s="22" t="n"/>
      <c r="G1096" s="22" t="n"/>
      <c r="I1096" s="22" t="n"/>
      <c r="L1096" s="20">
        <f>IF(E1096="","",E1096+IF(F1096="",IFERROR(VLOOKUP(C1096,Parametros!$E:$F,2,0),0),F1096))</f>
        <v/>
      </c>
      <c r="M1096" s="21">
        <f>IF(E1096="","",IF(G1096="",IF(TODAY()&gt;L1096,"Atrasada","Em aberto"),IF(G1096&lt;=L1096,"No prazo","Com atraso")))</f>
        <v/>
      </c>
      <c r="N1096" s="18">
        <f>IF(E1096="","",MAX(0,IF(G1096="",TODAY(),G1096)-L1096))</f>
        <v/>
      </c>
    </row>
    <row r="1097">
      <c r="E1097" s="22" t="n"/>
      <c r="G1097" s="22" t="n"/>
      <c r="I1097" s="22" t="n"/>
      <c r="L1097" s="20">
        <f>IF(E1097="","",E1097+IF(F1097="",IFERROR(VLOOKUP(C1097,Parametros!$E:$F,2,0),0),F1097))</f>
        <v/>
      </c>
      <c r="M1097" s="21">
        <f>IF(E1097="","",IF(G1097="",IF(TODAY()&gt;L1097,"Atrasada","Em aberto"),IF(G1097&lt;=L1097,"No prazo","Com atraso")))</f>
        <v/>
      </c>
      <c r="N1097" s="18">
        <f>IF(E1097="","",MAX(0,IF(G1097="",TODAY(),G1097)-L1097))</f>
        <v/>
      </c>
    </row>
    <row r="1098">
      <c r="E1098" s="22" t="n"/>
      <c r="G1098" s="22" t="n"/>
      <c r="I1098" s="22" t="n"/>
      <c r="L1098" s="20">
        <f>IF(E1098="","",E1098+IF(F1098="",IFERROR(VLOOKUP(C1098,Parametros!$E:$F,2,0),0),F1098))</f>
        <v/>
      </c>
      <c r="M1098" s="21">
        <f>IF(E1098="","",IF(G1098="",IF(TODAY()&gt;L1098,"Atrasada","Em aberto"),IF(G1098&lt;=L1098,"No prazo","Com atraso")))</f>
        <v/>
      </c>
      <c r="N1098" s="18">
        <f>IF(E1098="","",MAX(0,IF(G1098="",TODAY(),G1098)-L1098))</f>
        <v/>
      </c>
    </row>
    <row r="1099">
      <c r="E1099" s="22" t="n"/>
      <c r="G1099" s="22" t="n"/>
      <c r="I1099" s="22" t="n"/>
      <c r="L1099" s="20">
        <f>IF(E1099="","",E1099+IF(F1099="",IFERROR(VLOOKUP(C1099,Parametros!$E:$F,2,0),0),F1099))</f>
        <v/>
      </c>
      <c r="M1099" s="21">
        <f>IF(E1099="","",IF(G1099="",IF(TODAY()&gt;L1099,"Atrasada","Em aberto"),IF(G1099&lt;=L1099,"No prazo","Com atraso")))</f>
        <v/>
      </c>
      <c r="N1099" s="18">
        <f>IF(E1099="","",MAX(0,IF(G1099="",TODAY(),G1099)-L1099))</f>
        <v/>
      </c>
    </row>
    <row r="1100">
      <c r="E1100" s="22" t="n"/>
      <c r="G1100" s="22" t="n"/>
      <c r="I1100" s="22" t="n"/>
      <c r="L1100" s="20">
        <f>IF(E1100="","",E1100+IF(F1100="",IFERROR(VLOOKUP(C1100,Parametros!$E:$F,2,0),0),F1100))</f>
        <v/>
      </c>
      <c r="M1100" s="21">
        <f>IF(E1100="","",IF(G1100="",IF(TODAY()&gt;L1100,"Atrasada","Em aberto"),IF(G1100&lt;=L1100,"No prazo","Com atraso")))</f>
        <v/>
      </c>
      <c r="N1100" s="18">
        <f>IF(E1100="","",MAX(0,IF(G1100="",TODAY(),G1100)-L1100))</f>
        <v/>
      </c>
    </row>
    <row r="1101">
      <c r="E1101" s="22" t="n"/>
      <c r="G1101" s="22" t="n"/>
      <c r="I1101" s="22" t="n"/>
      <c r="L1101" s="20">
        <f>IF(E1101="","",E1101+IF(F1101="",IFERROR(VLOOKUP(C1101,Parametros!$E:$F,2,0),0),F1101))</f>
        <v/>
      </c>
      <c r="M1101" s="21">
        <f>IF(E1101="","",IF(G1101="",IF(TODAY()&gt;L1101,"Atrasada","Em aberto"),IF(G1101&lt;=L1101,"No prazo","Com atraso")))</f>
        <v/>
      </c>
      <c r="N1101" s="18">
        <f>IF(E1101="","",MAX(0,IF(G1101="",TODAY(),G1101)-L1101))</f>
        <v/>
      </c>
    </row>
    <row r="1102">
      <c r="E1102" s="22" t="n"/>
      <c r="G1102" s="22" t="n"/>
      <c r="I1102" s="22" t="n"/>
      <c r="L1102" s="20">
        <f>IF(E1102="","",E1102+IF(F1102="",IFERROR(VLOOKUP(C1102,Parametros!$E:$F,2,0),0),F1102))</f>
        <v/>
      </c>
      <c r="M1102" s="21">
        <f>IF(E1102="","",IF(G1102="",IF(TODAY()&gt;L1102,"Atrasada","Em aberto"),IF(G1102&lt;=L1102,"No prazo","Com atraso")))</f>
        <v/>
      </c>
      <c r="N1102" s="18">
        <f>IF(E1102="","",MAX(0,IF(G1102="",TODAY(),G1102)-L1102))</f>
        <v/>
      </c>
    </row>
    <row r="1103">
      <c r="E1103" s="22" t="n"/>
      <c r="G1103" s="22" t="n"/>
      <c r="I1103" s="22" t="n"/>
      <c r="L1103" s="20">
        <f>IF(E1103="","",E1103+IF(F1103="",IFERROR(VLOOKUP(C1103,Parametros!$E:$F,2,0),0),F1103))</f>
        <v/>
      </c>
      <c r="M1103" s="21">
        <f>IF(E1103="","",IF(G1103="",IF(TODAY()&gt;L1103,"Atrasada","Em aberto"),IF(G1103&lt;=L1103,"No prazo","Com atraso")))</f>
        <v/>
      </c>
      <c r="N1103" s="18">
        <f>IF(E1103="","",MAX(0,IF(G1103="",TODAY(),G1103)-L1103))</f>
        <v/>
      </c>
    </row>
    <row r="1104">
      <c r="E1104" s="22" t="n"/>
      <c r="G1104" s="22" t="n"/>
      <c r="I1104" s="22" t="n"/>
      <c r="L1104" s="20">
        <f>IF(E1104="","",E1104+IF(F1104="",IFERROR(VLOOKUP(C1104,Parametros!$E:$F,2,0),0),F1104))</f>
        <v/>
      </c>
      <c r="M1104" s="21">
        <f>IF(E1104="","",IF(G1104="",IF(TODAY()&gt;L1104,"Atrasada","Em aberto"),IF(G1104&lt;=L1104,"No prazo","Com atraso")))</f>
        <v/>
      </c>
      <c r="N1104" s="18">
        <f>IF(E1104="","",MAX(0,IF(G1104="",TODAY(),G1104)-L1104))</f>
        <v/>
      </c>
    </row>
    <row r="1105">
      <c r="E1105" s="22" t="n"/>
      <c r="G1105" s="22" t="n"/>
      <c r="I1105" s="22" t="n"/>
      <c r="L1105" s="20">
        <f>IF(E1105="","",E1105+IF(F1105="",IFERROR(VLOOKUP(C1105,Parametros!$E:$F,2,0),0),F1105))</f>
        <v/>
      </c>
      <c r="M1105" s="21">
        <f>IF(E1105="","",IF(G1105="",IF(TODAY()&gt;L1105,"Atrasada","Em aberto"),IF(G1105&lt;=L1105,"No prazo","Com atraso")))</f>
        <v/>
      </c>
      <c r="N1105" s="18">
        <f>IF(E1105="","",MAX(0,IF(G1105="",TODAY(),G1105)-L1105))</f>
        <v/>
      </c>
    </row>
    <row r="1106">
      <c r="E1106" s="22" t="n"/>
      <c r="G1106" s="22" t="n"/>
      <c r="I1106" s="22" t="n"/>
      <c r="L1106" s="20">
        <f>IF(E1106="","",E1106+IF(F1106="",IFERROR(VLOOKUP(C1106,Parametros!$E:$F,2,0),0),F1106))</f>
        <v/>
      </c>
      <c r="M1106" s="21">
        <f>IF(E1106="","",IF(G1106="",IF(TODAY()&gt;L1106,"Atrasada","Em aberto"),IF(G1106&lt;=L1106,"No prazo","Com atraso")))</f>
        <v/>
      </c>
      <c r="N1106" s="18">
        <f>IF(E1106="","",MAX(0,IF(G1106="",TODAY(),G1106)-L1106))</f>
        <v/>
      </c>
    </row>
    <row r="1107">
      <c r="E1107" s="22" t="n"/>
      <c r="G1107" s="22" t="n"/>
      <c r="I1107" s="22" t="n"/>
      <c r="L1107" s="20">
        <f>IF(E1107="","",E1107+IF(F1107="",IFERROR(VLOOKUP(C1107,Parametros!$E:$F,2,0),0),F1107))</f>
        <v/>
      </c>
      <c r="M1107" s="21">
        <f>IF(E1107="","",IF(G1107="",IF(TODAY()&gt;L1107,"Atrasada","Em aberto"),IF(G1107&lt;=L1107,"No prazo","Com atraso")))</f>
        <v/>
      </c>
      <c r="N1107" s="18">
        <f>IF(E1107="","",MAX(0,IF(G1107="",TODAY(),G1107)-L1107))</f>
        <v/>
      </c>
    </row>
    <row r="1108">
      <c r="E1108" s="22" t="n"/>
      <c r="G1108" s="22" t="n"/>
      <c r="I1108" s="22" t="n"/>
      <c r="L1108" s="20">
        <f>IF(E1108="","",E1108+IF(F1108="",IFERROR(VLOOKUP(C1108,Parametros!$E:$F,2,0),0),F1108))</f>
        <v/>
      </c>
      <c r="M1108" s="21">
        <f>IF(E1108="","",IF(G1108="",IF(TODAY()&gt;L1108,"Atrasada","Em aberto"),IF(G1108&lt;=L1108,"No prazo","Com atraso")))</f>
        <v/>
      </c>
      <c r="N1108" s="18">
        <f>IF(E1108="","",MAX(0,IF(G1108="",TODAY(),G1108)-L1108))</f>
        <v/>
      </c>
    </row>
    <row r="1109">
      <c r="E1109" s="22" t="n"/>
      <c r="G1109" s="22" t="n"/>
      <c r="I1109" s="22" t="n"/>
      <c r="L1109" s="20">
        <f>IF(E1109="","",E1109+IF(F1109="",IFERROR(VLOOKUP(C1109,Parametros!$E:$F,2,0),0),F1109))</f>
        <v/>
      </c>
      <c r="M1109" s="21">
        <f>IF(E1109="","",IF(G1109="",IF(TODAY()&gt;L1109,"Atrasada","Em aberto"),IF(G1109&lt;=L1109,"No prazo","Com atraso")))</f>
        <v/>
      </c>
      <c r="N1109" s="18">
        <f>IF(E1109="","",MAX(0,IF(G1109="",TODAY(),G1109)-L1109))</f>
        <v/>
      </c>
    </row>
    <row r="1110">
      <c r="E1110" s="22" t="n"/>
      <c r="G1110" s="22" t="n"/>
      <c r="I1110" s="22" t="n"/>
      <c r="L1110" s="20">
        <f>IF(E1110="","",E1110+IF(F1110="",IFERROR(VLOOKUP(C1110,Parametros!$E:$F,2,0),0),F1110))</f>
        <v/>
      </c>
      <c r="M1110" s="21">
        <f>IF(E1110="","",IF(G1110="",IF(TODAY()&gt;L1110,"Atrasada","Em aberto"),IF(G1110&lt;=L1110,"No prazo","Com atraso")))</f>
        <v/>
      </c>
      <c r="N1110" s="18">
        <f>IF(E1110="","",MAX(0,IF(G1110="",TODAY(),G1110)-L1110))</f>
        <v/>
      </c>
    </row>
    <row r="1111">
      <c r="E1111" s="22" t="n"/>
      <c r="G1111" s="22" t="n"/>
      <c r="I1111" s="22" t="n"/>
      <c r="L1111" s="20">
        <f>IF(E1111="","",E1111+IF(F1111="",IFERROR(VLOOKUP(C1111,Parametros!$E:$F,2,0),0),F1111))</f>
        <v/>
      </c>
      <c r="M1111" s="21">
        <f>IF(E1111="","",IF(G1111="",IF(TODAY()&gt;L1111,"Atrasada","Em aberto"),IF(G1111&lt;=L1111,"No prazo","Com atraso")))</f>
        <v/>
      </c>
      <c r="N1111" s="18">
        <f>IF(E1111="","",MAX(0,IF(G1111="",TODAY(),G1111)-L1111))</f>
        <v/>
      </c>
    </row>
    <row r="1112">
      <c r="E1112" s="22" t="n"/>
      <c r="G1112" s="22" t="n"/>
      <c r="I1112" s="22" t="n"/>
      <c r="L1112" s="20">
        <f>IF(E1112="","",E1112+IF(F1112="",IFERROR(VLOOKUP(C1112,Parametros!$E:$F,2,0),0),F1112))</f>
        <v/>
      </c>
      <c r="M1112" s="21">
        <f>IF(E1112="","",IF(G1112="",IF(TODAY()&gt;L1112,"Atrasada","Em aberto"),IF(G1112&lt;=L1112,"No prazo","Com atraso")))</f>
        <v/>
      </c>
      <c r="N1112" s="18">
        <f>IF(E1112="","",MAX(0,IF(G1112="",TODAY(),G1112)-L1112))</f>
        <v/>
      </c>
    </row>
    <row r="1113">
      <c r="E1113" s="22" t="n"/>
      <c r="G1113" s="22" t="n"/>
      <c r="I1113" s="22" t="n"/>
      <c r="L1113" s="20">
        <f>IF(E1113="","",E1113+IF(F1113="",IFERROR(VLOOKUP(C1113,Parametros!$E:$F,2,0),0),F1113))</f>
        <v/>
      </c>
      <c r="M1113" s="21">
        <f>IF(E1113="","",IF(G1113="",IF(TODAY()&gt;L1113,"Atrasada","Em aberto"),IF(G1113&lt;=L1113,"No prazo","Com atraso")))</f>
        <v/>
      </c>
      <c r="N1113" s="18">
        <f>IF(E1113="","",MAX(0,IF(G1113="",TODAY(),G1113)-L1113))</f>
        <v/>
      </c>
    </row>
    <row r="1114">
      <c r="E1114" s="22" t="n"/>
      <c r="G1114" s="22" t="n"/>
      <c r="I1114" s="22" t="n"/>
      <c r="L1114" s="20">
        <f>IF(E1114="","",E1114+IF(F1114="",IFERROR(VLOOKUP(C1114,Parametros!$E:$F,2,0),0),F1114))</f>
        <v/>
      </c>
      <c r="M1114" s="21">
        <f>IF(E1114="","",IF(G1114="",IF(TODAY()&gt;L1114,"Atrasada","Em aberto"),IF(G1114&lt;=L1114,"No prazo","Com atraso")))</f>
        <v/>
      </c>
      <c r="N1114" s="18">
        <f>IF(E1114="","",MAX(0,IF(G1114="",TODAY(),G1114)-L1114))</f>
        <v/>
      </c>
    </row>
    <row r="1115">
      <c r="E1115" s="22" t="n"/>
      <c r="G1115" s="22" t="n"/>
      <c r="I1115" s="22" t="n"/>
      <c r="L1115" s="20">
        <f>IF(E1115="","",E1115+IF(F1115="",IFERROR(VLOOKUP(C1115,Parametros!$E:$F,2,0),0),F1115))</f>
        <v/>
      </c>
      <c r="M1115" s="21">
        <f>IF(E1115="","",IF(G1115="",IF(TODAY()&gt;L1115,"Atrasada","Em aberto"),IF(G1115&lt;=L1115,"No prazo","Com atraso")))</f>
        <v/>
      </c>
      <c r="N1115" s="18">
        <f>IF(E1115="","",MAX(0,IF(G1115="",TODAY(),G1115)-L1115))</f>
        <v/>
      </c>
    </row>
    <row r="1116">
      <c r="E1116" s="22" t="n"/>
      <c r="G1116" s="22" t="n"/>
      <c r="I1116" s="22" t="n"/>
      <c r="L1116" s="20">
        <f>IF(E1116="","",E1116+IF(F1116="",IFERROR(VLOOKUP(C1116,Parametros!$E:$F,2,0),0),F1116))</f>
        <v/>
      </c>
      <c r="M1116" s="21">
        <f>IF(E1116="","",IF(G1116="",IF(TODAY()&gt;L1116,"Atrasada","Em aberto"),IF(G1116&lt;=L1116,"No prazo","Com atraso")))</f>
        <v/>
      </c>
      <c r="N1116" s="18">
        <f>IF(E1116="","",MAX(0,IF(G1116="",TODAY(),G1116)-L1116))</f>
        <v/>
      </c>
    </row>
    <row r="1117">
      <c r="E1117" s="22" t="n"/>
      <c r="G1117" s="22" t="n"/>
      <c r="I1117" s="22" t="n"/>
      <c r="L1117" s="20">
        <f>IF(E1117="","",E1117+IF(F1117="",IFERROR(VLOOKUP(C1117,Parametros!$E:$F,2,0),0),F1117))</f>
        <v/>
      </c>
      <c r="M1117" s="21">
        <f>IF(E1117="","",IF(G1117="",IF(TODAY()&gt;L1117,"Atrasada","Em aberto"),IF(G1117&lt;=L1117,"No prazo","Com atraso")))</f>
        <v/>
      </c>
      <c r="N1117" s="18">
        <f>IF(E1117="","",MAX(0,IF(G1117="",TODAY(),G1117)-L1117))</f>
        <v/>
      </c>
    </row>
    <row r="1118">
      <c r="E1118" s="22" t="n"/>
      <c r="G1118" s="22" t="n"/>
      <c r="I1118" s="22" t="n"/>
      <c r="L1118" s="20">
        <f>IF(E1118="","",E1118+IF(F1118="",IFERROR(VLOOKUP(C1118,Parametros!$E:$F,2,0),0),F1118))</f>
        <v/>
      </c>
      <c r="M1118" s="21">
        <f>IF(E1118="","",IF(G1118="",IF(TODAY()&gt;L1118,"Atrasada","Em aberto"),IF(G1118&lt;=L1118,"No prazo","Com atraso")))</f>
        <v/>
      </c>
      <c r="N1118" s="18">
        <f>IF(E1118="","",MAX(0,IF(G1118="",TODAY(),G1118)-L1118))</f>
        <v/>
      </c>
    </row>
    <row r="1119">
      <c r="E1119" s="22" t="n"/>
      <c r="G1119" s="22" t="n"/>
      <c r="I1119" s="22" t="n"/>
      <c r="L1119" s="20">
        <f>IF(E1119="","",E1119+IF(F1119="",IFERROR(VLOOKUP(C1119,Parametros!$E:$F,2,0),0),F1119))</f>
        <v/>
      </c>
      <c r="M1119" s="21">
        <f>IF(E1119="","",IF(G1119="",IF(TODAY()&gt;L1119,"Atrasada","Em aberto"),IF(G1119&lt;=L1119,"No prazo","Com atraso")))</f>
        <v/>
      </c>
      <c r="N1119" s="18">
        <f>IF(E1119="","",MAX(0,IF(G1119="",TODAY(),G1119)-L1119))</f>
        <v/>
      </c>
    </row>
    <row r="1120">
      <c r="E1120" s="22" t="n"/>
      <c r="G1120" s="22" t="n"/>
      <c r="I1120" s="22" t="n"/>
      <c r="L1120" s="20">
        <f>IF(E1120="","",E1120+IF(F1120="",IFERROR(VLOOKUP(C1120,Parametros!$E:$F,2,0),0),F1120))</f>
        <v/>
      </c>
      <c r="M1120" s="21">
        <f>IF(E1120="","",IF(G1120="",IF(TODAY()&gt;L1120,"Atrasada","Em aberto"),IF(G1120&lt;=L1120,"No prazo","Com atraso")))</f>
        <v/>
      </c>
      <c r="N1120" s="18">
        <f>IF(E1120="","",MAX(0,IF(G1120="",TODAY(),G1120)-L1120))</f>
        <v/>
      </c>
    </row>
    <row r="1121">
      <c r="E1121" s="22" t="n"/>
      <c r="G1121" s="22" t="n"/>
      <c r="I1121" s="22" t="n"/>
      <c r="L1121" s="20">
        <f>IF(E1121="","",E1121+IF(F1121="",IFERROR(VLOOKUP(C1121,Parametros!$E:$F,2,0),0),F1121))</f>
        <v/>
      </c>
      <c r="M1121" s="21">
        <f>IF(E1121="","",IF(G1121="",IF(TODAY()&gt;L1121,"Atrasada","Em aberto"),IF(G1121&lt;=L1121,"No prazo","Com atraso")))</f>
        <v/>
      </c>
      <c r="N1121" s="18">
        <f>IF(E1121="","",MAX(0,IF(G1121="",TODAY(),G1121)-L1121))</f>
        <v/>
      </c>
    </row>
    <row r="1122">
      <c r="E1122" s="22" t="n"/>
      <c r="G1122" s="22" t="n"/>
      <c r="I1122" s="22" t="n"/>
      <c r="L1122" s="20">
        <f>IF(E1122="","",E1122+IF(F1122="",IFERROR(VLOOKUP(C1122,Parametros!$E:$F,2,0),0),F1122))</f>
        <v/>
      </c>
      <c r="M1122" s="21">
        <f>IF(E1122="","",IF(G1122="",IF(TODAY()&gt;L1122,"Atrasada","Em aberto"),IF(G1122&lt;=L1122,"No prazo","Com atraso")))</f>
        <v/>
      </c>
      <c r="N1122" s="18">
        <f>IF(E1122="","",MAX(0,IF(G1122="",TODAY(),G1122)-L1122))</f>
        <v/>
      </c>
    </row>
    <row r="1123">
      <c r="E1123" s="22" t="n"/>
      <c r="G1123" s="22" t="n"/>
      <c r="I1123" s="22" t="n"/>
      <c r="L1123" s="20">
        <f>IF(E1123="","",E1123+IF(F1123="",IFERROR(VLOOKUP(C1123,Parametros!$E:$F,2,0),0),F1123))</f>
        <v/>
      </c>
      <c r="M1123" s="21">
        <f>IF(E1123="","",IF(G1123="",IF(TODAY()&gt;L1123,"Atrasada","Em aberto"),IF(G1123&lt;=L1123,"No prazo","Com atraso")))</f>
        <v/>
      </c>
      <c r="N1123" s="18">
        <f>IF(E1123="","",MAX(0,IF(G1123="",TODAY(),G1123)-L1123))</f>
        <v/>
      </c>
    </row>
    <row r="1124">
      <c r="E1124" s="22" t="n"/>
      <c r="G1124" s="22" t="n"/>
      <c r="I1124" s="22" t="n"/>
      <c r="L1124" s="20">
        <f>IF(E1124="","",E1124+IF(F1124="",IFERROR(VLOOKUP(C1124,Parametros!$E:$F,2,0),0),F1124))</f>
        <v/>
      </c>
      <c r="M1124" s="21">
        <f>IF(E1124="","",IF(G1124="",IF(TODAY()&gt;L1124,"Atrasada","Em aberto"),IF(G1124&lt;=L1124,"No prazo","Com atraso")))</f>
        <v/>
      </c>
      <c r="N1124" s="18">
        <f>IF(E1124="","",MAX(0,IF(G1124="",TODAY(),G1124)-L1124))</f>
        <v/>
      </c>
    </row>
    <row r="1125">
      <c r="E1125" s="22" t="n"/>
      <c r="G1125" s="22" t="n"/>
      <c r="I1125" s="22" t="n"/>
      <c r="L1125" s="20">
        <f>IF(E1125="","",E1125+IF(F1125="",IFERROR(VLOOKUP(C1125,Parametros!$E:$F,2,0),0),F1125))</f>
        <v/>
      </c>
      <c r="M1125" s="21">
        <f>IF(E1125="","",IF(G1125="",IF(TODAY()&gt;L1125,"Atrasada","Em aberto"),IF(G1125&lt;=L1125,"No prazo","Com atraso")))</f>
        <v/>
      </c>
      <c r="N1125" s="18">
        <f>IF(E1125="","",MAX(0,IF(G1125="",TODAY(),G1125)-L1125))</f>
        <v/>
      </c>
    </row>
    <row r="1126">
      <c r="E1126" s="22" t="n"/>
      <c r="G1126" s="22" t="n"/>
      <c r="I1126" s="22" t="n"/>
      <c r="L1126" s="20">
        <f>IF(E1126="","",E1126+IF(F1126="",IFERROR(VLOOKUP(C1126,Parametros!$E:$F,2,0),0),F1126))</f>
        <v/>
      </c>
      <c r="M1126" s="21">
        <f>IF(E1126="","",IF(G1126="",IF(TODAY()&gt;L1126,"Atrasada","Em aberto"),IF(G1126&lt;=L1126,"No prazo","Com atraso")))</f>
        <v/>
      </c>
      <c r="N1126" s="18">
        <f>IF(E1126="","",MAX(0,IF(G1126="",TODAY(),G1126)-L1126))</f>
        <v/>
      </c>
    </row>
    <row r="1127">
      <c r="E1127" s="22" t="n"/>
      <c r="G1127" s="22" t="n"/>
      <c r="I1127" s="22" t="n"/>
      <c r="L1127" s="20">
        <f>IF(E1127="","",E1127+IF(F1127="",IFERROR(VLOOKUP(C1127,Parametros!$E:$F,2,0),0),F1127))</f>
        <v/>
      </c>
      <c r="M1127" s="21">
        <f>IF(E1127="","",IF(G1127="",IF(TODAY()&gt;L1127,"Atrasada","Em aberto"),IF(G1127&lt;=L1127,"No prazo","Com atraso")))</f>
        <v/>
      </c>
      <c r="N1127" s="18">
        <f>IF(E1127="","",MAX(0,IF(G1127="",TODAY(),G1127)-L1127))</f>
        <v/>
      </c>
    </row>
    <row r="1128">
      <c r="E1128" s="22" t="n"/>
      <c r="G1128" s="22" t="n"/>
      <c r="I1128" s="22" t="n"/>
      <c r="L1128" s="20">
        <f>IF(E1128="","",E1128+IF(F1128="",IFERROR(VLOOKUP(C1128,Parametros!$E:$F,2,0),0),F1128))</f>
        <v/>
      </c>
      <c r="M1128" s="21">
        <f>IF(E1128="","",IF(G1128="",IF(TODAY()&gt;L1128,"Atrasada","Em aberto"),IF(G1128&lt;=L1128,"No prazo","Com atraso")))</f>
        <v/>
      </c>
      <c r="N1128" s="18">
        <f>IF(E1128="","",MAX(0,IF(G1128="",TODAY(),G1128)-L1128))</f>
        <v/>
      </c>
    </row>
    <row r="1129">
      <c r="E1129" s="22" t="n"/>
      <c r="G1129" s="22" t="n"/>
      <c r="I1129" s="22" t="n"/>
      <c r="L1129" s="20">
        <f>IF(E1129="","",E1129+IF(F1129="",IFERROR(VLOOKUP(C1129,Parametros!$E:$F,2,0),0),F1129))</f>
        <v/>
      </c>
      <c r="M1129" s="21">
        <f>IF(E1129="","",IF(G1129="",IF(TODAY()&gt;L1129,"Atrasada","Em aberto"),IF(G1129&lt;=L1129,"No prazo","Com atraso")))</f>
        <v/>
      </c>
      <c r="N1129" s="18">
        <f>IF(E1129="","",MAX(0,IF(G1129="",TODAY(),G1129)-L1129))</f>
        <v/>
      </c>
    </row>
    <row r="1130">
      <c r="E1130" s="22" t="n"/>
      <c r="G1130" s="22" t="n"/>
      <c r="I1130" s="22" t="n"/>
      <c r="L1130" s="20">
        <f>IF(E1130="","",E1130+IF(F1130="",IFERROR(VLOOKUP(C1130,Parametros!$E:$F,2,0),0),F1130))</f>
        <v/>
      </c>
      <c r="M1130" s="21">
        <f>IF(E1130="","",IF(G1130="",IF(TODAY()&gt;L1130,"Atrasada","Em aberto"),IF(G1130&lt;=L1130,"No prazo","Com atraso")))</f>
        <v/>
      </c>
      <c r="N1130" s="18">
        <f>IF(E1130="","",MAX(0,IF(G1130="",TODAY(),G1130)-L1130))</f>
        <v/>
      </c>
    </row>
    <row r="1131">
      <c r="E1131" s="22" t="n"/>
      <c r="G1131" s="22" t="n"/>
      <c r="I1131" s="22" t="n"/>
      <c r="L1131" s="20">
        <f>IF(E1131="","",E1131+IF(F1131="",IFERROR(VLOOKUP(C1131,Parametros!$E:$F,2,0),0),F1131))</f>
        <v/>
      </c>
      <c r="M1131" s="21">
        <f>IF(E1131="","",IF(G1131="",IF(TODAY()&gt;L1131,"Atrasada","Em aberto"),IF(G1131&lt;=L1131,"No prazo","Com atraso")))</f>
        <v/>
      </c>
      <c r="N1131" s="18">
        <f>IF(E1131="","",MAX(0,IF(G1131="",TODAY(),G1131)-L1131))</f>
        <v/>
      </c>
    </row>
    <row r="1132">
      <c r="E1132" s="22" t="n"/>
      <c r="G1132" s="22" t="n"/>
      <c r="I1132" s="22" t="n"/>
      <c r="L1132" s="20">
        <f>IF(E1132="","",E1132+IF(F1132="",IFERROR(VLOOKUP(C1132,Parametros!$E:$F,2,0),0),F1132))</f>
        <v/>
      </c>
      <c r="M1132" s="21">
        <f>IF(E1132="","",IF(G1132="",IF(TODAY()&gt;L1132,"Atrasada","Em aberto"),IF(G1132&lt;=L1132,"No prazo","Com atraso")))</f>
        <v/>
      </c>
      <c r="N1132" s="18">
        <f>IF(E1132="","",MAX(0,IF(G1132="",TODAY(),G1132)-L1132))</f>
        <v/>
      </c>
    </row>
    <row r="1133">
      <c r="E1133" s="22" t="n"/>
      <c r="G1133" s="22" t="n"/>
      <c r="I1133" s="22" t="n"/>
      <c r="L1133" s="20">
        <f>IF(E1133="","",E1133+IF(F1133="",IFERROR(VLOOKUP(C1133,Parametros!$E:$F,2,0),0),F1133))</f>
        <v/>
      </c>
      <c r="M1133" s="21">
        <f>IF(E1133="","",IF(G1133="",IF(TODAY()&gt;L1133,"Atrasada","Em aberto"),IF(G1133&lt;=L1133,"No prazo","Com atraso")))</f>
        <v/>
      </c>
      <c r="N1133" s="18">
        <f>IF(E1133="","",MAX(0,IF(G1133="",TODAY(),G1133)-L1133))</f>
        <v/>
      </c>
    </row>
    <row r="1134">
      <c r="E1134" s="22" t="n"/>
      <c r="G1134" s="22" t="n"/>
      <c r="I1134" s="22" t="n"/>
      <c r="L1134" s="20">
        <f>IF(E1134="","",E1134+IF(F1134="",IFERROR(VLOOKUP(C1134,Parametros!$E:$F,2,0),0),F1134))</f>
        <v/>
      </c>
      <c r="M1134" s="21">
        <f>IF(E1134="","",IF(G1134="",IF(TODAY()&gt;L1134,"Atrasada","Em aberto"),IF(G1134&lt;=L1134,"No prazo","Com atraso")))</f>
        <v/>
      </c>
      <c r="N1134" s="18">
        <f>IF(E1134="","",MAX(0,IF(G1134="",TODAY(),G1134)-L1134))</f>
        <v/>
      </c>
    </row>
    <row r="1135">
      <c r="E1135" s="22" t="n"/>
      <c r="G1135" s="22" t="n"/>
      <c r="I1135" s="22" t="n"/>
      <c r="L1135" s="20">
        <f>IF(E1135="","",E1135+IF(F1135="",IFERROR(VLOOKUP(C1135,Parametros!$E:$F,2,0),0),F1135))</f>
        <v/>
      </c>
      <c r="M1135" s="21">
        <f>IF(E1135="","",IF(G1135="",IF(TODAY()&gt;L1135,"Atrasada","Em aberto"),IF(G1135&lt;=L1135,"No prazo","Com atraso")))</f>
        <v/>
      </c>
      <c r="N1135" s="18">
        <f>IF(E1135="","",MAX(0,IF(G1135="",TODAY(),G1135)-L1135))</f>
        <v/>
      </c>
    </row>
    <row r="1136">
      <c r="E1136" s="22" t="n"/>
      <c r="G1136" s="22" t="n"/>
      <c r="I1136" s="22" t="n"/>
      <c r="L1136" s="20">
        <f>IF(E1136="","",E1136+IF(F1136="",IFERROR(VLOOKUP(C1136,Parametros!$E:$F,2,0),0),F1136))</f>
        <v/>
      </c>
      <c r="M1136" s="21">
        <f>IF(E1136="","",IF(G1136="",IF(TODAY()&gt;L1136,"Atrasada","Em aberto"),IF(G1136&lt;=L1136,"No prazo","Com atraso")))</f>
        <v/>
      </c>
      <c r="N1136" s="18">
        <f>IF(E1136="","",MAX(0,IF(G1136="",TODAY(),G1136)-L1136))</f>
        <v/>
      </c>
    </row>
    <row r="1137">
      <c r="E1137" s="22" t="n"/>
      <c r="G1137" s="22" t="n"/>
      <c r="I1137" s="22" t="n"/>
      <c r="L1137" s="20">
        <f>IF(E1137="","",E1137+IF(F1137="",IFERROR(VLOOKUP(C1137,Parametros!$E:$F,2,0),0),F1137))</f>
        <v/>
      </c>
      <c r="M1137" s="21">
        <f>IF(E1137="","",IF(G1137="",IF(TODAY()&gt;L1137,"Atrasada","Em aberto"),IF(G1137&lt;=L1137,"No prazo","Com atraso")))</f>
        <v/>
      </c>
      <c r="N1137" s="18">
        <f>IF(E1137="","",MAX(0,IF(G1137="",TODAY(),G1137)-L1137))</f>
        <v/>
      </c>
    </row>
    <row r="1138">
      <c r="E1138" s="22" t="n"/>
      <c r="G1138" s="22" t="n"/>
      <c r="I1138" s="22" t="n"/>
      <c r="L1138" s="20">
        <f>IF(E1138="","",E1138+IF(F1138="",IFERROR(VLOOKUP(C1138,Parametros!$E:$F,2,0),0),F1138))</f>
        <v/>
      </c>
      <c r="M1138" s="21">
        <f>IF(E1138="","",IF(G1138="",IF(TODAY()&gt;L1138,"Atrasada","Em aberto"),IF(G1138&lt;=L1138,"No prazo","Com atraso")))</f>
        <v/>
      </c>
      <c r="N1138" s="18">
        <f>IF(E1138="","",MAX(0,IF(G1138="",TODAY(),G1138)-L1138))</f>
        <v/>
      </c>
    </row>
    <row r="1139">
      <c r="E1139" s="22" t="n"/>
      <c r="G1139" s="22" t="n"/>
      <c r="I1139" s="22" t="n"/>
      <c r="L1139" s="20">
        <f>IF(E1139="","",E1139+IF(F1139="",IFERROR(VLOOKUP(C1139,Parametros!$E:$F,2,0),0),F1139))</f>
        <v/>
      </c>
      <c r="M1139" s="21">
        <f>IF(E1139="","",IF(G1139="",IF(TODAY()&gt;L1139,"Atrasada","Em aberto"),IF(G1139&lt;=L1139,"No prazo","Com atraso")))</f>
        <v/>
      </c>
      <c r="N1139" s="18">
        <f>IF(E1139="","",MAX(0,IF(G1139="",TODAY(),G1139)-L1139))</f>
        <v/>
      </c>
    </row>
    <row r="1140">
      <c r="E1140" s="22" t="n"/>
      <c r="G1140" s="22" t="n"/>
      <c r="I1140" s="22" t="n"/>
      <c r="L1140" s="20">
        <f>IF(E1140="","",E1140+IF(F1140="",IFERROR(VLOOKUP(C1140,Parametros!$E:$F,2,0),0),F1140))</f>
        <v/>
      </c>
      <c r="M1140" s="21">
        <f>IF(E1140="","",IF(G1140="",IF(TODAY()&gt;L1140,"Atrasada","Em aberto"),IF(G1140&lt;=L1140,"No prazo","Com atraso")))</f>
        <v/>
      </c>
      <c r="N1140" s="18">
        <f>IF(E1140="","",MAX(0,IF(G1140="",TODAY(),G1140)-L1140))</f>
        <v/>
      </c>
    </row>
    <row r="1141">
      <c r="E1141" s="22" t="n"/>
      <c r="G1141" s="22" t="n"/>
      <c r="I1141" s="22" t="n"/>
      <c r="L1141" s="20">
        <f>IF(E1141="","",E1141+IF(F1141="",IFERROR(VLOOKUP(C1141,Parametros!$E:$F,2,0),0),F1141))</f>
        <v/>
      </c>
      <c r="M1141" s="21">
        <f>IF(E1141="","",IF(G1141="",IF(TODAY()&gt;L1141,"Atrasada","Em aberto"),IF(G1141&lt;=L1141,"No prazo","Com atraso")))</f>
        <v/>
      </c>
      <c r="N1141" s="18">
        <f>IF(E1141="","",MAX(0,IF(G1141="",TODAY(),G1141)-L1141))</f>
        <v/>
      </c>
    </row>
    <row r="1142">
      <c r="E1142" s="22" t="n"/>
      <c r="G1142" s="22" t="n"/>
      <c r="I1142" s="22" t="n"/>
      <c r="L1142" s="20">
        <f>IF(E1142="","",E1142+IF(F1142="",IFERROR(VLOOKUP(C1142,Parametros!$E:$F,2,0),0),F1142))</f>
        <v/>
      </c>
      <c r="M1142" s="21">
        <f>IF(E1142="","",IF(G1142="",IF(TODAY()&gt;L1142,"Atrasada","Em aberto"),IF(G1142&lt;=L1142,"No prazo","Com atraso")))</f>
        <v/>
      </c>
      <c r="N1142" s="18">
        <f>IF(E1142="","",MAX(0,IF(G1142="",TODAY(),G1142)-L1142))</f>
        <v/>
      </c>
    </row>
    <row r="1143">
      <c r="E1143" s="22" t="n"/>
      <c r="G1143" s="22" t="n"/>
      <c r="I1143" s="22" t="n"/>
      <c r="L1143" s="20">
        <f>IF(E1143="","",E1143+IF(F1143="",IFERROR(VLOOKUP(C1143,Parametros!$E:$F,2,0),0),F1143))</f>
        <v/>
      </c>
      <c r="M1143" s="21">
        <f>IF(E1143="","",IF(G1143="",IF(TODAY()&gt;L1143,"Atrasada","Em aberto"),IF(G1143&lt;=L1143,"No prazo","Com atraso")))</f>
        <v/>
      </c>
      <c r="N1143" s="18">
        <f>IF(E1143="","",MAX(0,IF(G1143="",TODAY(),G1143)-L1143))</f>
        <v/>
      </c>
    </row>
    <row r="1144">
      <c r="E1144" s="22" t="n"/>
      <c r="G1144" s="22" t="n"/>
      <c r="I1144" s="22" t="n"/>
      <c r="L1144" s="20">
        <f>IF(E1144="","",E1144+IF(F1144="",IFERROR(VLOOKUP(C1144,Parametros!$E:$F,2,0),0),F1144))</f>
        <v/>
      </c>
      <c r="M1144" s="21">
        <f>IF(E1144="","",IF(G1144="",IF(TODAY()&gt;L1144,"Atrasada","Em aberto"),IF(G1144&lt;=L1144,"No prazo","Com atraso")))</f>
        <v/>
      </c>
      <c r="N1144" s="18">
        <f>IF(E1144="","",MAX(0,IF(G1144="",TODAY(),G1144)-L1144))</f>
        <v/>
      </c>
    </row>
    <row r="1145">
      <c r="E1145" s="22" t="n"/>
      <c r="G1145" s="22" t="n"/>
      <c r="I1145" s="22" t="n"/>
      <c r="L1145" s="20">
        <f>IF(E1145="","",E1145+IF(F1145="",IFERROR(VLOOKUP(C1145,Parametros!$E:$F,2,0),0),F1145))</f>
        <v/>
      </c>
      <c r="M1145" s="21">
        <f>IF(E1145="","",IF(G1145="",IF(TODAY()&gt;L1145,"Atrasada","Em aberto"),IF(G1145&lt;=L1145,"No prazo","Com atraso")))</f>
        <v/>
      </c>
      <c r="N1145" s="18">
        <f>IF(E1145="","",MAX(0,IF(G1145="",TODAY(),G1145)-L1145))</f>
        <v/>
      </c>
    </row>
    <row r="1146">
      <c r="E1146" s="22" t="n"/>
      <c r="G1146" s="22" t="n"/>
      <c r="I1146" s="22" t="n"/>
      <c r="L1146" s="20">
        <f>IF(E1146="","",E1146+IF(F1146="",IFERROR(VLOOKUP(C1146,Parametros!$E:$F,2,0),0),F1146))</f>
        <v/>
      </c>
      <c r="M1146" s="21">
        <f>IF(E1146="","",IF(G1146="",IF(TODAY()&gt;L1146,"Atrasada","Em aberto"),IF(G1146&lt;=L1146,"No prazo","Com atraso")))</f>
        <v/>
      </c>
      <c r="N1146" s="18">
        <f>IF(E1146="","",MAX(0,IF(G1146="",TODAY(),G1146)-L1146))</f>
        <v/>
      </c>
    </row>
    <row r="1147">
      <c r="E1147" s="22" t="n"/>
      <c r="G1147" s="22" t="n"/>
      <c r="I1147" s="22" t="n"/>
      <c r="L1147" s="20">
        <f>IF(E1147="","",E1147+IF(F1147="",IFERROR(VLOOKUP(C1147,Parametros!$E:$F,2,0),0),F1147))</f>
        <v/>
      </c>
      <c r="M1147" s="21">
        <f>IF(E1147="","",IF(G1147="",IF(TODAY()&gt;L1147,"Atrasada","Em aberto"),IF(G1147&lt;=L1147,"No prazo","Com atraso")))</f>
        <v/>
      </c>
      <c r="N1147" s="18">
        <f>IF(E1147="","",MAX(0,IF(G1147="",TODAY(),G1147)-L1147))</f>
        <v/>
      </c>
    </row>
    <row r="1148">
      <c r="E1148" s="22" t="n"/>
      <c r="G1148" s="22" t="n"/>
      <c r="I1148" s="22" t="n"/>
      <c r="L1148" s="20">
        <f>IF(E1148="","",E1148+IF(F1148="",IFERROR(VLOOKUP(C1148,Parametros!$E:$F,2,0),0),F1148))</f>
        <v/>
      </c>
      <c r="M1148" s="21">
        <f>IF(E1148="","",IF(G1148="",IF(TODAY()&gt;L1148,"Atrasada","Em aberto"),IF(G1148&lt;=L1148,"No prazo","Com atraso")))</f>
        <v/>
      </c>
      <c r="N1148" s="18">
        <f>IF(E1148="","",MAX(0,IF(G1148="",TODAY(),G1148)-L1148))</f>
        <v/>
      </c>
    </row>
    <row r="1149">
      <c r="E1149" s="22" t="n"/>
      <c r="G1149" s="22" t="n"/>
      <c r="I1149" s="22" t="n"/>
      <c r="L1149" s="20">
        <f>IF(E1149="","",E1149+IF(F1149="",IFERROR(VLOOKUP(C1149,Parametros!$E:$F,2,0),0),F1149))</f>
        <v/>
      </c>
      <c r="M1149" s="21">
        <f>IF(E1149="","",IF(G1149="",IF(TODAY()&gt;L1149,"Atrasada","Em aberto"),IF(G1149&lt;=L1149,"No prazo","Com atraso")))</f>
        <v/>
      </c>
      <c r="N1149" s="18">
        <f>IF(E1149="","",MAX(0,IF(G1149="",TODAY(),G1149)-L1149))</f>
        <v/>
      </c>
    </row>
    <row r="1150">
      <c r="E1150" s="22" t="n"/>
      <c r="G1150" s="22" t="n"/>
      <c r="I1150" s="22" t="n"/>
      <c r="L1150" s="20">
        <f>IF(E1150="","",E1150+IF(F1150="",IFERROR(VLOOKUP(C1150,Parametros!$E:$F,2,0),0),F1150))</f>
        <v/>
      </c>
      <c r="M1150" s="21">
        <f>IF(E1150="","",IF(G1150="",IF(TODAY()&gt;L1150,"Atrasada","Em aberto"),IF(G1150&lt;=L1150,"No prazo","Com atraso")))</f>
        <v/>
      </c>
      <c r="N1150" s="18">
        <f>IF(E1150="","",MAX(0,IF(G1150="",TODAY(),G1150)-L1150))</f>
        <v/>
      </c>
    </row>
    <row r="1151">
      <c r="E1151" s="22" t="n"/>
      <c r="G1151" s="22" t="n"/>
      <c r="I1151" s="22" t="n"/>
      <c r="L1151" s="20">
        <f>IF(E1151="","",E1151+IF(F1151="",IFERROR(VLOOKUP(C1151,Parametros!$E:$F,2,0),0),F1151))</f>
        <v/>
      </c>
      <c r="M1151" s="21">
        <f>IF(E1151="","",IF(G1151="",IF(TODAY()&gt;L1151,"Atrasada","Em aberto"),IF(G1151&lt;=L1151,"No prazo","Com atraso")))</f>
        <v/>
      </c>
      <c r="N1151" s="18">
        <f>IF(E1151="","",MAX(0,IF(G1151="",TODAY(),G1151)-L1151))</f>
        <v/>
      </c>
    </row>
    <row r="1152">
      <c r="E1152" s="22" t="n"/>
      <c r="G1152" s="22" t="n"/>
      <c r="I1152" s="22" t="n"/>
      <c r="L1152" s="20">
        <f>IF(E1152="","",E1152+IF(F1152="",IFERROR(VLOOKUP(C1152,Parametros!$E:$F,2,0),0),F1152))</f>
        <v/>
      </c>
      <c r="M1152" s="21">
        <f>IF(E1152="","",IF(G1152="",IF(TODAY()&gt;L1152,"Atrasada","Em aberto"),IF(G1152&lt;=L1152,"No prazo","Com atraso")))</f>
        <v/>
      </c>
      <c r="N1152" s="18">
        <f>IF(E1152="","",MAX(0,IF(G1152="",TODAY(),G1152)-L1152))</f>
        <v/>
      </c>
    </row>
    <row r="1153">
      <c r="E1153" s="22" t="n"/>
      <c r="G1153" s="22" t="n"/>
      <c r="I1153" s="22" t="n"/>
      <c r="L1153" s="20">
        <f>IF(E1153="","",E1153+IF(F1153="",IFERROR(VLOOKUP(C1153,Parametros!$E:$F,2,0),0),F1153))</f>
        <v/>
      </c>
      <c r="M1153" s="21">
        <f>IF(E1153="","",IF(G1153="",IF(TODAY()&gt;L1153,"Atrasada","Em aberto"),IF(G1153&lt;=L1153,"No prazo","Com atraso")))</f>
        <v/>
      </c>
      <c r="N1153" s="18">
        <f>IF(E1153="","",MAX(0,IF(G1153="",TODAY(),G1153)-L1153))</f>
        <v/>
      </c>
    </row>
    <row r="1154">
      <c r="E1154" s="22" t="n"/>
      <c r="G1154" s="22" t="n"/>
      <c r="I1154" s="22" t="n"/>
      <c r="L1154" s="20">
        <f>IF(E1154="","",E1154+IF(F1154="",IFERROR(VLOOKUP(C1154,Parametros!$E:$F,2,0),0),F1154))</f>
        <v/>
      </c>
      <c r="M1154" s="21">
        <f>IF(E1154="","",IF(G1154="",IF(TODAY()&gt;L1154,"Atrasada","Em aberto"),IF(G1154&lt;=L1154,"No prazo","Com atraso")))</f>
        <v/>
      </c>
      <c r="N1154" s="18">
        <f>IF(E1154="","",MAX(0,IF(G1154="",TODAY(),G1154)-L1154))</f>
        <v/>
      </c>
    </row>
    <row r="1155">
      <c r="E1155" s="22" t="n"/>
      <c r="G1155" s="22" t="n"/>
      <c r="I1155" s="22" t="n"/>
      <c r="L1155" s="20">
        <f>IF(E1155="","",E1155+IF(F1155="",IFERROR(VLOOKUP(C1155,Parametros!$E:$F,2,0),0),F1155))</f>
        <v/>
      </c>
      <c r="M1155" s="21">
        <f>IF(E1155="","",IF(G1155="",IF(TODAY()&gt;L1155,"Atrasada","Em aberto"),IF(G1155&lt;=L1155,"No prazo","Com atraso")))</f>
        <v/>
      </c>
      <c r="N1155" s="18">
        <f>IF(E1155="","",MAX(0,IF(G1155="",TODAY(),G1155)-L1155))</f>
        <v/>
      </c>
    </row>
    <row r="1156">
      <c r="E1156" s="22" t="n"/>
      <c r="G1156" s="22" t="n"/>
      <c r="I1156" s="22" t="n"/>
      <c r="L1156" s="20">
        <f>IF(E1156="","",E1156+IF(F1156="",IFERROR(VLOOKUP(C1156,Parametros!$E:$F,2,0),0),F1156))</f>
        <v/>
      </c>
      <c r="M1156" s="21">
        <f>IF(E1156="","",IF(G1156="",IF(TODAY()&gt;L1156,"Atrasada","Em aberto"),IF(G1156&lt;=L1156,"No prazo","Com atraso")))</f>
        <v/>
      </c>
      <c r="N1156" s="18">
        <f>IF(E1156="","",MAX(0,IF(G1156="",TODAY(),G1156)-L1156))</f>
        <v/>
      </c>
    </row>
    <row r="1157">
      <c r="E1157" s="22" t="n"/>
      <c r="G1157" s="22" t="n"/>
      <c r="I1157" s="22" t="n"/>
      <c r="L1157" s="20">
        <f>IF(E1157="","",E1157+IF(F1157="",IFERROR(VLOOKUP(C1157,Parametros!$E:$F,2,0),0),F1157))</f>
        <v/>
      </c>
      <c r="M1157" s="21">
        <f>IF(E1157="","",IF(G1157="",IF(TODAY()&gt;L1157,"Atrasada","Em aberto"),IF(G1157&lt;=L1157,"No prazo","Com atraso")))</f>
        <v/>
      </c>
      <c r="N1157" s="18">
        <f>IF(E1157="","",MAX(0,IF(G1157="",TODAY(),G1157)-L1157))</f>
        <v/>
      </c>
    </row>
    <row r="1158">
      <c r="E1158" s="22" t="n"/>
      <c r="G1158" s="22" t="n"/>
      <c r="I1158" s="22" t="n"/>
      <c r="L1158" s="20">
        <f>IF(E1158="","",E1158+IF(F1158="",IFERROR(VLOOKUP(C1158,Parametros!$E:$F,2,0),0),F1158))</f>
        <v/>
      </c>
      <c r="M1158" s="21">
        <f>IF(E1158="","",IF(G1158="",IF(TODAY()&gt;L1158,"Atrasada","Em aberto"),IF(G1158&lt;=L1158,"No prazo","Com atraso")))</f>
        <v/>
      </c>
      <c r="N1158" s="18">
        <f>IF(E1158="","",MAX(0,IF(G1158="",TODAY(),G1158)-L1158))</f>
        <v/>
      </c>
    </row>
    <row r="1159">
      <c r="E1159" s="22" t="n"/>
      <c r="G1159" s="22" t="n"/>
      <c r="I1159" s="22" t="n"/>
      <c r="L1159" s="20">
        <f>IF(E1159="","",E1159+IF(F1159="",IFERROR(VLOOKUP(C1159,Parametros!$E:$F,2,0),0),F1159))</f>
        <v/>
      </c>
      <c r="M1159" s="21">
        <f>IF(E1159="","",IF(G1159="",IF(TODAY()&gt;L1159,"Atrasada","Em aberto"),IF(G1159&lt;=L1159,"No prazo","Com atraso")))</f>
        <v/>
      </c>
      <c r="N1159" s="18">
        <f>IF(E1159="","",MAX(0,IF(G1159="",TODAY(),G1159)-L1159))</f>
        <v/>
      </c>
    </row>
    <row r="1160">
      <c r="E1160" s="22" t="n"/>
      <c r="G1160" s="22" t="n"/>
      <c r="I1160" s="22" t="n"/>
      <c r="L1160" s="20">
        <f>IF(E1160="","",E1160+IF(F1160="",IFERROR(VLOOKUP(C1160,Parametros!$E:$F,2,0),0),F1160))</f>
        <v/>
      </c>
      <c r="M1160" s="21">
        <f>IF(E1160="","",IF(G1160="",IF(TODAY()&gt;L1160,"Atrasada","Em aberto"),IF(G1160&lt;=L1160,"No prazo","Com atraso")))</f>
        <v/>
      </c>
      <c r="N1160" s="18">
        <f>IF(E1160="","",MAX(0,IF(G1160="",TODAY(),G1160)-L1160))</f>
        <v/>
      </c>
    </row>
    <row r="1161">
      <c r="E1161" s="22" t="n"/>
      <c r="G1161" s="22" t="n"/>
      <c r="I1161" s="22" t="n"/>
      <c r="L1161" s="20">
        <f>IF(E1161="","",E1161+IF(F1161="",IFERROR(VLOOKUP(C1161,Parametros!$E:$F,2,0),0),F1161))</f>
        <v/>
      </c>
      <c r="M1161" s="21">
        <f>IF(E1161="","",IF(G1161="",IF(TODAY()&gt;L1161,"Atrasada","Em aberto"),IF(G1161&lt;=L1161,"No prazo","Com atraso")))</f>
        <v/>
      </c>
      <c r="N1161" s="18">
        <f>IF(E1161="","",MAX(0,IF(G1161="",TODAY(),G1161)-L1161))</f>
        <v/>
      </c>
    </row>
    <row r="1162">
      <c r="E1162" s="22" t="n"/>
      <c r="G1162" s="22" t="n"/>
      <c r="I1162" s="22" t="n"/>
      <c r="L1162" s="20">
        <f>IF(E1162="","",E1162+IF(F1162="",IFERROR(VLOOKUP(C1162,Parametros!$E:$F,2,0),0),F1162))</f>
        <v/>
      </c>
      <c r="M1162" s="21">
        <f>IF(E1162="","",IF(G1162="",IF(TODAY()&gt;L1162,"Atrasada","Em aberto"),IF(G1162&lt;=L1162,"No prazo","Com atraso")))</f>
        <v/>
      </c>
      <c r="N1162" s="18">
        <f>IF(E1162="","",MAX(0,IF(G1162="",TODAY(),G1162)-L1162))</f>
        <v/>
      </c>
    </row>
    <row r="1163">
      <c r="E1163" s="22" t="n"/>
      <c r="G1163" s="22" t="n"/>
      <c r="I1163" s="22" t="n"/>
      <c r="L1163" s="20">
        <f>IF(E1163="","",E1163+IF(F1163="",IFERROR(VLOOKUP(C1163,Parametros!$E:$F,2,0),0),F1163))</f>
        <v/>
      </c>
      <c r="M1163" s="21">
        <f>IF(E1163="","",IF(G1163="",IF(TODAY()&gt;L1163,"Atrasada","Em aberto"),IF(G1163&lt;=L1163,"No prazo","Com atraso")))</f>
        <v/>
      </c>
      <c r="N1163" s="18">
        <f>IF(E1163="","",MAX(0,IF(G1163="",TODAY(),G1163)-L1163))</f>
        <v/>
      </c>
    </row>
    <row r="1164">
      <c r="E1164" s="22" t="n"/>
      <c r="G1164" s="22" t="n"/>
      <c r="I1164" s="22" t="n"/>
      <c r="L1164" s="20">
        <f>IF(E1164="","",E1164+IF(F1164="",IFERROR(VLOOKUP(C1164,Parametros!$E:$F,2,0),0),F1164))</f>
        <v/>
      </c>
      <c r="M1164" s="21">
        <f>IF(E1164="","",IF(G1164="",IF(TODAY()&gt;L1164,"Atrasada","Em aberto"),IF(G1164&lt;=L1164,"No prazo","Com atraso")))</f>
        <v/>
      </c>
      <c r="N1164" s="18">
        <f>IF(E1164="","",MAX(0,IF(G1164="",TODAY(),G1164)-L1164))</f>
        <v/>
      </c>
    </row>
    <row r="1165">
      <c r="E1165" s="22" t="n"/>
      <c r="G1165" s="22" t="n"/>
      <c r="I1165" s="22" t="n"/>
      <c r="L1165" s="20">
        <f>IF(E1165="","",E1165+IF(F1165="",IFERROR(VLOOKUP(C1165,Parametros!$E:$F,2,0),0),F1165))</f>
        <v/>
      </c>
      <c r="M1165" s="21">
        <f>IF(E1165="","",IF(G1165="",IF(TODAY()&gt;L1165,"Atrasada","Em aberto"),IF(G1165&lt;=L1165,"No prazo","Com atraso")))</f>
        <v/>
      </c>
      <c r="N1165" s="18">
        <f>IF(E1165="","",MAX(0,IF(G1165="",TODAY(),G1165)-L1165))</f>
        <v/>
      </c>
    </row>
    <row r="1166">
      <c r="E1166" s="22" t="n"/>
      <c r="G1166" s="22" t="n"/>
      <c r="I1166" s="22" t="n"/>
      <c r="L1166" s="20">
        <f>IF(E1166="","",E1166+IF(F1166="",IFERROR(VLOOKUP(C1166,Parametros!$E:$F,2,0),0),F1166))</f>
        <v/>
      </c>
      <c r="M1166" s="21">
        <f>IF(E1166="","",IF(G1166="",IF(TODAY()&gt;L1166,"Atrasada","Em aberto"),IF(G1166&lt;=L1166,"No prazo","Com atraso")))</f>
        <v/>
      </c>
      <c r="N1166" s="18">
        <f>IF(E1166="","",MAX(0,IF(G1166="",TODAY(),G1166)-L1166))</f>
        <v/>
      </c>
    </row>
    <row r="1167">
      <c r="E1167" s="22" t="n"/>
      <c r="G1167" s="22" t="n"/>
      <c r="I1167" s="22" t="n"/>
      <c r="L1167" s="20">
        <f>IF(E1167="","",E1167+IF(F1167="",IFERROR(VLOOKUP(C1167,Parametros!$E:$F,2,0),0),F1167))</f>
        <v/>
      </c>
      <c r="M1167" s="21">
        <f>IF(E1167="","",IF(G1167="",IF(TODAY()&gt;L1167,"Atrasada","Em aberto"),IF(G1167&lt;=L1167,"No prazo","Com atraso")))</f>
        <v/>
      </c>
      <c r="N1167" s="18">
        <f>IF(E1167="","",MAX(0,IF(G1167="",TODAY(),G1167)-L1167))</f>
        <v/>
      </c>
    </row>
    <row r="1168">
      <c r="E1168" s="22" t="n"/>
      <c r="G1168" s="22" t="n"/>
      <c r="I1168" s="22" t="n"/>
      <c r="L1168" s="20">
        <f>IF(E1168="","",E1168+IF(F1168="",IFERROR(VLOOKUP(C1168,Parametros!$E:$F,2,0),0),F1168))</f>
        <v/>
      </c>
      <c r="M1168" s="21">
        <f>IF(E1168="","",IF(G1168="",IF(TODAY()&gt;L1168,"Atrasada","Em aberto"),IF(G1168&lt;=L1168,"No prazo","Com atraso")))</f>
        <v/>
      </c>
      <c r="N1168" s="18">
        <f>IF(E1168="","",MAX(0,IF(G1168="",TODAY(),G1168)-L1168))</f>
        <v/>
      </c>
    </row>
    <row r="1169">
      <c r="E1169" s="22" t="n"/>
      <c r="G1169" s="22" t="n"/>
      <c r="I1169" s="22" t="n"/>
      <c r="L1169" s="20">
        <f>IF(E1169="","",E1169+IF(F1169="",IFERROR(VLOOKUP(C1169,Parametros!$E:$F,2,0),0),F1169))</f>
        <v/>
      </c>
      <c r="M1169" s="21">
        <f>IF(E1169="","",IF(G1169="",IF(TODAY()&gt;L1169,"Atrasada","Em aberto"),IF(G1169&lt;=L1169,"No prazo","Com atraso")))</f>
        <v/>
      </c>
      <c r="N1169" s="18">
        <f>IF(E1169="","",MAX(0,IF(G1169="",TODAY(),G1169)-L1169))</f>
        <v/>
      </c>
    </row>
    <row r="1170">
      <c r="E1170" s="22" t="n"/>
      <c r="G1170" s="22" t="n"/>
      <c r="I1170" s="22" t="n"/>
      <c r="L1170" s="20">
        <f>IF(E1170="","",E1170+IF(F1170="",IFERROR(VLOOKUP(C1170,Parametros!$E:$F,2,0),0),F1170))</f>
        <v/>
      </c>
      <c r="M1170" s="21">
        <f>IF(E1170="","",IF(G1170="",IF(TODAY()&gt;L1170,"Atrasada","Em aberto"),IF(G1170&lt;=L1170,"No prazo","Com atraso")))</f>
        <v/>
      </c>
      <c r="N1170" s="18">
        <f>IF(E1170="","",MAX(0,IF(G1170="",TODAY(),G1170)-L1170))</f>
        <v/>
      </c>
    </row>
    <row r="1171">
      <c r="E1171" s="22" t="n"/>
      <c r="G1171" s="22" t="n"/>
      <c r="I1171" s="22" t="n"/>
      <c r="L1171" s="20">
        <f>IF(E1171="","",E1171+IF(F1171="",IFERROR(VLOOKUP(C1171,Parametros!$E:$F,2,0),0),F1171))</f>
        <v/>
      </c>
      <c r="M1171" s="21">
        <f>IF(E1171="","",IF(G1171="",IF(TODAY()&gt;L1171,"Atrasada","Em aberto"),IF(G1171&lt;=L1171,"No prazo","Com atraso")))</f>
        <v/>
      </c>
      <c r="N1171" s="18">
        <f>IF(E1171="","",MAX(0,IF(G1171="",TODAY(),G1171)-L1171))</f>
        <v/>
      </c>
    </row>
    <row r="1172">
      <c r="E1172" s="22" t="n"/>
      <c r="G1172" s="22" t="n"/>
      <c r="I1172" s="22" t="n"/>
      <c r="L1172" s="20">
        <f>IF(E1172="","",E1172+IF(F1172="",IFERROR(VLOOKUP(C1172,Parametros!$E:$F,2,0),0),F1172))</f>
        <v/>
      </c>
      <c r="M1172" s="21">
        <f>IF(E1172="","",IF(G1172="",IF(TODAY()&gt;L1172,"Atrasada","Em aberto"),IF(G1172&lt;=L1172,"No prazo","Com atraso")))</f>
        <v/>
      </c>
      <c r="N1172" s="18">
        <f>IF(E1172="","",MAX(0,IF(G1172="",TODAY(),G1172)-L1172))</f>
        <v/>
      </c>
    </row>
    <row r="1173">
      <c r="E1173" s="22" t="n"/>
      <c r="G1173" s="22" t="n"/>
      <c r="I1173" s="22" t="n"/>
      <c r="L1173" s="20">
        <f>IF(E1173="","",E1173+IF(F1173="",IFERROR(VLOOKUP(C1173,Parametros!$E:$F,2,0),0),F1173))</f>
        <v/>
      </c>
      <c r="M1173" s="21">
        <f>IF(E1173="","",IF(G1173="",IF(TODAY()&gt;L1173,"Atrasada","Em aberto"),IF(G1173&lt;=L1173,"No prazo","Com atraso")))</f>
        <v/>
      </c>
      <c r="N1173" s="18">
        <f>IF(E1173="","",MAX(0,IF(G1173="",TODAY(),G1173)-L1173))</f>
        <v/>
      </c>
    </row>
    <row r="1174">
      <c r="E1174" s="22" t="n"/>
      <c r="G1174" s="22" t="n"/>
      <c r="I1174" s="22" t="n"/>
      <c r="L1174" s="20">
        <f>IF(E1174="","",E1174+IF(F1174="",IFERROR(VLOOKUP(C1174,Parametros!$E:$F,2,0),0),F1174))</f>
        <v/>
      </c>
      <c r="M1174" s="21">
        <f>IF(E1174="","",IF(G1174="",IF(TODAY()&gt;L1174,"Atrasada","Em aberto"),IF(G1174&lt;=L1174,"No prazo","Com atraso")))</f>
        <v/>
      </c>
      <c r="N1174" s="18">
        <f>IF(E1174="","",MAX(0,IF(G1174="",TODAY(),G1174)-L1174))</f>
        <v/>
      </c>
    </row>
    <row r="1175">
      <c r="E1175" s="22" t="n"/>
      <c r="G1175" s="22" t="n"/>
      <c r="I1175" s="22" t="n"/>
      <c r="L1175" s="20">
        <f>IF(E1175="","",E1175+IF(F1175="",IFERROR(VLOOKUP(C1175,Parametros!$E:$F,2,0),0),F1175))</f>
        <v/>
      </c>
      <c r="M1175" s="21">
        <f>IF(E1175="","",IF(G1175="",IF(TODAY()&gt;L1175,"Atrasada","Em aberto"),IF(G1175&lt;=L1175,"No prazo","Com atraso")))</f>
        <v/>
      </c>
      <c r="N1175" s="18">
        <f>IF(E1175="","",MAX(0,IF(G1175="",TODAY(),G1175)-L1175))</f>
        <v/>
      </c>
    </row>
    <row r="1176">
      <c r="E1176" s="22" t="n"/>
      <c r="G1176" s="22" t="n"/>
      <c r="I1176" s="22" t="n"/>
      <c r="L1176" s="20">
        <f>IF(E1176="","",E1176+IF(F1176="",IFERROR(VLOOKUP(C1176,Parametros!$E:$F,2,0),0),F1176))</f>
        <v/>
      </c>
      <c r="M1176" s="21">
        <f>IF(E1176="","",IF(G1176="",IF(TODAY()&gt;L1176,"Atrasada","Em aberto"),IF(G1176&lt;=L1176,"No prazo","Com atraso")))</f>
        <v/>
      </c>
      <c r="N1176" s="18">
        <f>IF(E1176="","",MAX(0,IF(G1176="",TODAY(),G1176)-L1176))</f>
        <v/>
      </c>
    </row>
    <row r="1177">
      <c r="E1177" s="22" t="n"/>
      <c r="G1177" s="22" t="n"/>
      <c r="I1177" s="22" t="n"/>
      <c r="L1177" s="20">
        <f>IF(E1177="","",E1177+IF(F1177="",IFERROR(VLOOKUP(C1177,Parametros!$E:$F,2,0),0),F1177))</f>
        <v/>
      </c>
      <c r="M1177" s="21">
        <f>IF(E1177="","",IF(G1177="",IF(TODAY()&gt;L1177,"Atrasada","Em aberto"),IF(G1177&lt;=L1177,"No prazo","Com atraso")))</f>
        <v/>
      </c>
      <c r="N1177" s="18">
        <f>IF(E1177="","",MAX(0,IF(G1177="",TODAY(),G1177)-L1177))</f>
        <v/>
      </c>
    </row>
    <row r="1178">
      <c r="E1178" s="22" t="n"/>
      <c r="G1178" s="22" t="n"/>
      <c r="I1178" s="22" t="n"/>
      <c r="L1178" s="20">
        <f>IF(E1178="","",E1178+IF(F1178="",IFERROR(VLOOKUP(C1178,Parametros!$E:$F,2,0),0),F1178))</f>
        <v/>
      </c>
      <c r="M1178" s="21">
        <f>IF(E1178="","",IF(G1178="",IF(TODAY()&gt;L1178,"Atrasada","Em aberto"),IF(G1178&lt;=L1178,"No prazo","Com atraso")))</f>
        <v/>
      </c>
      <c r="N1178" s="18">
        <f>IF(E1178="","",MAX(0,IF(G1178="",TODAY(),G1178)-L1178))</f>
        <v/>
      </c>
    </row>
    <row r="1179">
      <c r="E1179" s="22" t="n"/>
      <c r="G1179" s="22" t="n"/>
      <c r="I1179" s="22" t="n"/>
      <c r="L1179" s="20">
        <f>IF(E1179="","",E1179+IF(F1179="",IFERROR(VLOOKUP(C1179,Parametros!$E:$F,2,0),0),F1179))</f>
        <v/>
      </c>
      <c r="M1179" s="21">
        <f>IF(E1179="","",IF(G1179="",IF(TODAY()&gt;L1179,"Atrasada","Em aberto"),IF(G1179&lt;=L1179,"No prazo","Com atraso")))</f>
        <v/>
      </c>
      <c r="N1179" s="18">
        <f>IF(E1179="","",MAX(0,IF(G1179="",TODAY(),G1179)-L1179))</f>
        <v/>
      </c>
    </row>
    <row r="1180">
      <c r="E1180" s="22" t="n"/>
      <c r="G1180" s="22" t="n"/>
      <c r="I1180" s="22" t="n"/>
      <c r="L1180" s="20">
        <f>IF(E1180="","",E1180+IF(F1180="",IFERROR(VLOOKUP(C1180,Parametros!$E:$F,2,0),0),F1180))</f>
        <v/>
      </c>
      <c r="M1180" s="21">
        <f>IF(E1180="","",IF(G1180="",IF(TODAY()&gt;L1180,"Atrasada","Em aberto"),IF(G1180&lt;=L1180,"No prazo","Com atraso")))</f>
        <v/>
      </c>
      <c r="N1180" s="18">
        <f>IF(E1180="","",MAX(0,IF(G1180="",TODAY(),G1180)-L1180))</f>
        <v/>
      </c>
    </row>
    <row r="1181">
      <c r="E1181" s="22" t="n"/>
      <c r="G1181" s="22" t="n"/>
      <c r="I1181" s="22" t="n"/>
      <c r="L1181" s="20">
        <f>IF(E1181="","",E1181+IF(F1181="",IFERROR(VLOOKUP(C1181,Parametros!$E:$F,2,0),0),F1181))</f>
        <v/>
      </c>
      <c r="M1181" s="21">
        <f>IF(E1181="","",IF(G1181="",IF(TODAY()&gt;L1181,"Atrasada","Em aberto"),IF(G1181&lt;=L1181,"No prazo","Com atraso")))</f>
        <v/>
      </c>
      <c r="N1181" s="18">
        <f>IF(E1181="","",MAX(0,IF(G1181="",TODAY(),G1181)-L1181))</f>
        <v/>
      </c>
    </row>
    <row r="1182">
      <c r="E1182" s="22" t="n"/>
      <c r="G1182" s="22" t="n"/>
      <c r="I1182" s="22" t="n"/>
      <c r="L1182" s="20">
        <f>IF(E1182="","",E1182+IF(F1182="",IFERROR(VLOOKUP(C1182,Parametros!$E:$F,2,0),0),F1182))</f>
        <v/>
      </c>
      <c r="M1182" s="21">
        <f>IF(E1182="","",IF(G1182="",IF(TODAY()&gt;L1182,"Atrasada","Em aberto"),IF(G1182&lt;=L1182,"No prazo","Com atraso")))</f>
        <v/>
      </c>
      <c r="N1182" s="18">
        <f>IF(E1182="","",MAX(0,IF(G1182="",TODAY(),G1182)-L1182))</f>
        <v/>
      </c>
    </row>
    <row r="1183">
      <c r="E1183" s="22" t="n"/>
      <c r="G1183" s="22" t="n"/>
      <c r="I1183" s="22" t="n"/>
      <c r="L1183" s="20">
        <f>IF(E1183="","",E1183+IF(F1183="",IFERROR(VLOOKUP(C1183,Parametros!$E:$F,2,0),0),F1183))</f>
        <v/>
      </c>
      <c r="M1183" s="21">
        <f>IF(E1183="","",IF(G1183="",IF(TODAY()&gt;L1183,"Atrasada","Em aberto"),IF(G1183&lt;=L1183,"No prazo","Com atraso")))</f>
        <v/>
      </c>
      <c r="N1183" s="18">
        <f>IF(E1183="","",MAX(0,IF(G1183="",TODAY(),G1183)-L1183))</f>
        <v/>
      </c>
    </row>
    <row r="1184">
      <c r="E1184" s="22" t="n"/>
      <c r="G1184" s="22" t="n"/>
      <c r="I1184" s="22" t="n"/>
      <c r="L1184" s="20">
        <f>IF(E1184="","",E1184+IF(F1184="",IFERROR(VLOOKUP(C1184,Parametros!$E:$F,2,0),0),F1184))</f>
        <v/>
      </c>
      <c r="M1184" s="21">
        <f>IF(E1184="","",IF(G1184="",IF(TODAY()&gt;L1184,"Atrasada","Em aberto"),IF(G1184&lt;=L1184,"No prazo","Com atraso")))</f>
        <v/>
      </c>
      <c r="N1184" s="18">
        <f>IF(E1184="","",MAX(0,IF(G1184="",TODAY(),G1184)-L1184))</f>
        <v/>
      </c>
    </row>
    <row r="1185">
      <c r="E1185" s="22" t="n"/>
      <c r="G1185" s="22" t="n"/>
      <c r="I1185" s="22" t="n"/>
      <c r="L1185" s="20">
        <f>IF(E1185="","",E1185+IF(F1185="",IFERROR(VLOOKUP(C1185,Parametros!$E:$F,2,0),0),F1185))</f>
        <v/>
      </c>
      <c r="M1185" s="21">
        <f>IF(E1185="","",IF(G1185="",IF(TODAY()&gt;L1185,"Atrasada","Em aberto"),IF(G1185&lt;=L1185,"No prazo","Com atraso")))</f>
        <v/>
      </c>
      <c r="N1185" s="18">
        <f>IF(E1185="","",MAX(0,IF(G1185="",TODAY(),G1185)-L1185))</f>
        <v/>
      </c>
    </row>
    <row r="1186">
      <c r="E1186" s="22" t="n"/>
      <c r="G1186" s="22" t="n"/>
      <c r="I1186" s="22" t="n"/>
      <c r="L1186" s="20">
        <f>IF(E1186="","",E1186+IF(F1186="",IFERROR(VLOOKUP(C1186,Parametros!$E:$F,2,0),0),F1186))</f>
        <v/>
      </c>
      <c r="M1186" s="21">
        <f>IF(E1186="","",IF(G1186="",IF(TODAY()&gt;L1186,"Atrasada","Em aberto"),IF(G1186&lt;=L1186,"No prazo","Com atraso")))</f>
        <v/>
      </c>
      <c r="N1186" s="18">
        <f>IF(E1186="","",MAX(0,IF(G1186="",TODAY(),G1186)-L1186))</f>
        <v/>
      </c>
    </row>
    <row r="1187">
      <c r="E1187" s="22" t="n"/>
      <c r="G1187" s="22" t="n"/>
      <c r="I1187" s="22" t="n"/>
      <c r="L1187" s="20">
        <f>IF(E1187="","",E1187+IF(F1187="",IFERROR(VLOOKUP(C1187,Parametros!$E:$F,2,0),0),F1187))</f>
        <v/>
      </c>
      <c r="M1187" s="21">
        <f>IF(E1187="","",IF(G1187="",IF(TODAY()&gt;L1187,"Atrasada","Em aberto"),IF(G1187&lt;=L1187,"No prazo","Com atraso")))</f>
        <v/>
      </c>
      <c r="N1187" s="18">
        <f>IF(E1187="","",MAX(0,IF(G1187="",TODAY(),G1187)-L1187))</f>
        <v/>
      </c>
    </row>
    <row r="1188">
      <c r="E1188" s="22" t="n"/>
      <c r="G1188" s="22" t="n"/>
      <c r="I1188" s="22" t="n"/>
      <c r="L1188" s="20">
        <f>IF(E1188="","",E1188+IF(F1188="",IFERROR(VLOOKUP(C1188,Parametros!$E:$F,2,0),0),F1188))</f>
        <v/>
      </c>
      <c r="M1188" s="21">
        <f>IF(E1188="","",IF(G1188="",IF(TODAY()&gt;L1188,"Atrasada","Em aberto"),IF(G1188&lt;=L1188,"No prazo","Com atraso")))</f>
        <v/>
      </c>
      <c r="N1188" s="18">
        <f>IF(E1188="","",MAX(0,IF(G1188="",TODAY(),G1188)-L1188))</f>
        <v/>
      </c>
    </row>
    <row r="1189">
      <c r="E1189" s="22" t="n"/>
      <c r="G1189" s="22" t="n"/>
      <c r="I1189" s="22" t="n"/>
      <c r="L1189" s="20">
        <f>IF(E1189="","",E1189+IF(F1189="",IFERROR(VLOOKUP(C1189,Parametros!$E:$F,2,0),0),F1189))</f>
        <v/>
      </c>
      <c r="M1189" s="21">
        <f>IF(E1189="","",IF(G1189="",IF(TODAY()&gt;L1189,"Atrasada","Em aberto"),IF(G1189&lt;=L1189,"No prazo","Com atraso")))</f>
        <v/>
      </c>
      <c r="N1189" s="18">
        <f>IF(E1189="","",MAX(0,IF(G1189="",TODAY(),G1189)-L1189))</f>
        <v/>
      </c>
    </row>
    <row r="1190">
      <c r="E1190" s="22" t="n"/>
      <c r="G1190" s="22" t="n"/>
      <c r="I1190" s="22" t="n"/>
      <c r="L1190" s="20">
        <f>IF(E1190="","",E1190+IF(F1190="",IFERROR(VLOOKUP(C1190,Parametros!$E:$F,2,0),0),F1190))</f>
        <v/>
      </c>
      <c r="M1190" s="21">
        <f>IF(E1190="","",IF(G1190="",IF(TODAY()&gt;L1190,"Atrasada","Em aberto"),IF(G1190&lt;=L1190,"No prazo","Com atraso")))</f>
        <v/>
      </c>
      <c r="N1190" s="18">
        <f>IF(E1190="","",MAX(0,IF(G1190="",TODAY(),G1190)-L1190))</f>
        <v/>
      </c>
    </row>
    <row r="1191">
      <c r="E1191" s="22" t="n"/>
      <c r="G1191" s="22" t="n"/>
      <c r="I1191" s="22" t="n"/>
      <c r="L1191" s="20">
        <f>IF(E1191="","",E1191+IF(F1191="",IFERROR(VLOOKUP(C1191,Parametros!$E:$F,2,0),0),F1191))</f>
        <v/>
      </c>
      <c r="M1191" s="21">
        <f>IF(E1191="","",IF(G1191="",IF(TODAY()&gt;L1191,"Atrasada","Em aberto"),IF(G1191&lt;=L1191,"No prazo","Com atraso")))</f>
        <v/>
      </c>
      <c r="N1191" s="18">
        <f>IF(E1191="","",MAX(0,IF(G1191="",TODAY(),G1191)-L1191))</f>
        <v/>
      </c>
    </row>
    <row r="1192">
      <c r="E1192" s="22" t="n"/>
      <c r="G1192" s="22" t="n"/>
      <c r="I1192" s="22" t="n"/>
      <c r="L1192" s="20">
        <f>IF(E1192="","",E1192+IF(F1192="",IFERROR(VLOOKUP(C1192,Parametros!$E:$F,2,0),0),F1192))</f>
        <v/>
      </c>
      <c r="M1192" s="21">
        <f>IF(E1192="","",IF(G1192="",IF(TODAY()&gt;L1192,"Atrasada","Em aberto"),IF(G1192&lt;=L1192,"No prazo","Com atraso")))</f>
        <v/>
      </c>
      <c r="N1192" s="18">
        <f>IF(E1192="","",MAX(0,IF(G1192="",TODAY(),G1192)-L1192))</f>
        <v/>
      </c>
    </row>
    <row r="1193">
      <c r="E1193" s="22" t="n"/>
      <c r="G1193" s="22" t="n"/>
      <c r="I1193" s="22" t="n"/>
      <c r="L1193" s="20">
        <f>IF(E1193="","",E1193+IF(F1193="",IFERROR(VLOOKUP(C1193,Parametros!$E:$F,2,0),0),F1193))</f>
        <v/>
      </c>
      <c r="M1193" s="21">
        <f>IF(E1193="","",IF(G1193="",IF(TODAY()&gt;L1193,"Atrasada","Em aberto"),IF(G1193&lt;=L1193,"No prazo","Com atraso")))</f>
        <v/>
      </c>
      <c r="N1193" s="18">
        <f>IF(E1193="","",MAX(0,IF(G1193="",TODAY(),G1193)-L1193))</f>
        <v/>
      </c>
    </row>
    <row r="1194">
      <c r="E1194" s="22" t="n"/>
      <c r="G1194" s="22" t="n"/>
      <c r="I1194" s="22" t="n"/>
      <c r="L1194" s="20">
        <f>IF(E1194="","",E1194+IF(F1194="",IFERROR(VLOOKUP(C1194,Parametros!$E:$F,2,0),0),F1194))</f>
        <v/>
      </c>
      <c r="M1194" s="21">
        <f>IF(E1194="","",IF(G1194="",IF(TODAY()&gt;L1194,"Atrasada","Em aberto"),IF(G1194&lt;=L1194,"No prazo","Com atraso")))</f>
        <v/>
      </c>
      <c r="N1194" s="18">
        <f>IF(E1194="","",MAX(0,IF(G1194="",TODAY(),G1194)-L1194))</f>
        <v/>
      </c>
    </row>
    <row r="1195">
      <c r="E1195" s="22" t="n"/>
      <c r="G1195" s="22" t="n"/>
      <c r="I1195" s="22" t="n"/>
      <c r="L1195" s="20">
        <f>IF(E1195="","",E1195+IF(F1195="",IFERROR(VLOOKUP(C1195,Parametros!$E:$F,2,0),0),F1195))</f>
        <v/>
      </c>
      <c r="M1195" s="21">
        <f>IF(E1195="","",IF(G1195="",IF(TODAY()&gt;L1195,"Atrasada","Em aberto"),IF(G1195&lt;=L1195,"No prazo","Com atraso")))</f>
        <v/>
      </c>
      <c r="N1195" s="18">
        <f>IF(E1195="","",MAX(0,IF(G1195="",TODAY(),G1195)-L1195))</f>
        <v/>
      </c>
    </row>
    <row r="1196">
      <c r="E1196" s="22" t="n"/>
      <c r="G1196" s="22" t="n"/>
      <c r="I1196" s="22" t="n"/>
      <c r="L1196" s="20">
        <f>IF(E1196="","",E1196+IF(F1196="",IFERROR(VLOOKUP(C1196,Parametros!$E:$F,2,0),0),F1196))</f>
        <v/>
      </c>
      <c r="M1196" s="21">
        <f>IF(E1196="","",IF(G1196="",IF(TODAY()&gt;L1196,"Atrasada","Em aberto"),IF(G1196&lt;=L1196,"No prazo","Com atraso")))</f>
        <v/>
      </c>
      <c r="N1196" s="18">
        <f>IF(E1196="","",MAX(0,IF(G1196="",TODAY(),G1196)-L1196))</f>
        <v/>
      </c>
    </row>
    <row r="1197">
      <c r="E1197" s="22" t="n"/>
      <c r="G1197" s="22" t="n"/>
      <c r="I1197" s="22" t="n"/>
      <c r="L1197" s="20">
        <f>IF(E1197="","",E1197+IF(F1197="",IFERROR(VLOOKUP(C1197,Parametros!$E:$F,2,0),0),F1197))</f>
        <v/>
      </c>
      <c r="M1197" s="21">
        <f>IF(E1197="","",IF(G1197="",IF(TODAY()&gt;L1197,"Atrasada","Em aberto"),IF(G1197&lt;=L1197,"No prazo","Com atraso")))</f>
        <v/>
      </c>
      <c r="N1197" s="18">
        <f>IF(E1197="","",MAX(0,IF(G1197="",TODAY(),G1197)-L1197))</f>
        <v/>
      </c>
    </row>
    <row r="1198">
      <c r="E1198" s="22" t="n"/>
      <c r="G1198" s="22" t="n"/>
      <c r="I1198" s="22" t="n"/>
      <c r="L1198" s="20">
        <f>IF(E1198="","",E1198+IF(F1198="",IFERROR(VLOOKUP(C1198,Parametros!$E:$F,2,0),0),F1198))</f>
        <v/>
      </c>
      <c r="M1198" s="21">
        <f>IF(E1198="","",IF(G1198="",IF(TODAY()&gt;L1198,"Atrasada","Em aberto"),IF(G1198&lt;=L1198,"No prazo","Com atraso")))</f>
        <v/>
      </c>
      <c r="N1198" s="18">
        <f>IF(E1198="","",MAX(0,IF(G1198="",TODAY(),G1198)-L1198))</f>
        <v/>
      </c>
    </row>
    <row r="1199">
      <c r="E1199" s="22" t="n"/>
      <c r="G1199" s="22" t="n"/>
      <c r="I1199" s="22" t="n"/>
      <c r="L1199" s="20">
        <f>IF(E1199="","",E1199+IF(F1199="",IFERROR(VLOOKUP(C1199,Parametros!$E:$F,2,0),0),F1199))</f>
        <v/>
      </c>
      <c r="M1199" s="21">
        <f>IF(E1199="","",IF(G1199="",IF(TODAY()&gt;L1199,"Atrasada","Em aberto"),IF(G1199&lt;=L1199,"No prazo","Com atraso")))</f>
        <v/>
      </c>
      <c r="N1199" s="18">
        <f>IF(E1199="","",MAX(0,IF(G1199="",TODAY(),G1199)-L1199))</f>
        <v/>
      </c>
    </row>
    <row r="1200">
      <c r="E1200" s="22" t="n"/>
      <c r="G1200" s="22" t="n"/>
      <c r="I1200" s="22" t="n"/>
      <c r="L1200" s="20">
        <f>IF(E1200="","",E1200+IF(F1200="",IFERROR(VLOOKUP(C1200,Parametros!$E:$F,2,0),0),F1200))</f>
        <v/>
      </c>
      <c r="M1200" s="21">
        <f>IF(E1200="","",IF(G1200="",IF(TODAY()&gt;L1200,"Atrasada","Em aberto"),IF(G1200&lt;=L1200,"No prazo","Com atraso")))</f>
        <v/>
      </c>
      <c r="N1200" s="18">
        <f>IF(E1200="","",MAX(0,IF(G1200="",TODAY(),G1200)-L1200))</f>
        <v/>
      </c>
    </row>
    <row r="1201">
      <c r="E1201" s="22" t="n"/>
      <c r="G1201" s="22" t="n"/>
      <c r="I1201" s="22" t="n"/>
      <c r="L1201" s="20">
        <f>IF(E1201="","",E1201+IF(F1201="",IFERROR(VLOOKUP(C1201,Parametros!$E:$F,2,0),0),F1201))</f>
        <v/>
      </c>
      <c r="M1201" s="21">
        <f>IF(E1201="","",IF(G1201="",IF(TODAY()&gt;L1201,"Atrasada","Em aberto"),IF(G1201&lt;=L1201,"No prazo","Com atraso")))</f>
        <v/>
      </c>
      <c r="N1201" s="18">
        <f>IF(E1201="","",MAX(0,IF(G1201="",TODAY(),G1201)-L1201))</f>
        <v/>
      </c>
    </row>
    <row r="1202">
      <c r="E1202" s="22" t="n"/>
      <c r="G1202" s="22" t="n"/>
      <c r="I1202" s="22" t="n"/>
      <c r="L1202" s="20">
        <f>IF(E1202="","",E1202+IF(F1202="",IFERROR(VLOOKUP(C1202,Parametros!$E:$F,2,0),0),F1202))</f>
        <v/>
      </c>
      <c r="M1202" s="21">
        <f>IF(E1202="","",IF(G1202="",IF(TODAY()&gt;L1202,"Atrasada","Em aberto"),IF(G1202&lt;=L1202,"No prazo","Com atraso")))</f>
        <v/>
      </c>
      <c r="N1202" s="18">
        <f>IF(E1202="","",MAX(0,IF(G1202="",TODAY(),G1202)-L1202))</f>
        <v/>
      </c>
    </row>
    <row r="1203">
      <c r="E1203" s="22" t="n"/>
      <c r="G1203" s="22" t="n"/>
      <c r="I1203" s="22" t="n"/>
      <c r="L1203" s="20">
        <f>IF(E1203="","",E1203+IF(F1203="",IFERROR(VLOOKUP(C1203,Parametros!$E:$F,2,0),0),F1203))</f>
        <v/>
      </c>
      <c r="M1203" s="21">
        <f>IF(E1203="","",IF(G1203="",IF(TODAY()&gt;L1203,"Atrasada","Em aberto"),IF(G1203&lt;=L1203,"No prazo","Com atraso")))</f>
        <v/>
      </c>
      <c r="N1203" s="18">
        <f>IF(E1203="","",MAX(0,IF(G1203="",TODAY(),G1203)-L1203))</f>
        <v/>
      </c>
    </row>
    <row r="1204">
      <c r="E1204" s="22" t="n"/>
      <c r="G1204" s="22" t="n"/>
      <c r="I1204" s="22" t="n"/>
      <c r="L1204" s="20">
        <f>IF(E1204="","",E1204+IF(F1204="",IFERROR(VLOOKUP(C1204,Parametros!$E:$F,2,0),0),F1204))</f>
        <v/>
      </c>
      <c r="M1204" s="21">
        <f>IF(E1204="","",IF(G1204="",IF(TODAY()&gt;L1204,"Atrasada","Em aberto"),IF(G1204&lt;=L1204,"No prazo","Com atraso")))</f>
        <v/>
      </c>
      <c r="N1204" s="18">
        <f>IF(E1204="","",MAX(0,IF(G1204="",TODAY(),G1204)-L1204))</f>
        <v/>
      </c>
    </row>
    <row r="1205">
      <c r="E1205" s="22" t="n"/>
      <c r="G1205" s="22" t="n"/>
      <c r="I1205" s="22" t="n"/>
      <c r="L1205" s="20">
        <f>IF(E1205="","",E1205+IF(F1205="",IFERROR(VLOOKUP(C1205,Parametros!$E:$F,2,0),0),F1205))</f>
        <v/>
      </c>
      <c r="M1205" s="21">
        <f>IF(E1205="","",IF(G1205="",IF(TODAY()&gt;L1205,"Atrasada","Em aberto"),IF(G1205&lt;=L1205,"No prazo","Com atraso")))</f>
        <v/>
      </c>
      <c r="N1205" s="18">
        <f>IF(E1205="","",MAX(0,IF(G1205="",TODAY(),G1205)-L1205))</f>
        <v/>
      </c>
    </row>
    <row r="1206">
      <c r="E1206" s="22" t="n"/>
      <c r="G1206" s="22" t="n"/>
      <c r="I1206" s="22" t="n"/>
      <c r="L1206" s="20">
        <f>IF(E1206="","",E1206+IF(F1206="",IFERROR(VLOOKUP(C1206,Parametros!$E:$F,2,0),0),F1206))</f>
        <v/>
      </c>
      <c r="M1206" s="21">
        <f>IF(E1206="","",IF(G1206="",IF(TODAY()&gt;L1206,"Atrasada","Em aberto"),IF(G1206&lt;=L1206,"No prazo","Com atraso")))</f>
        <v/>
      </c>
      <c r="N1206" s="18">
        <f>IF(E1206="","",MAX(0,IF(G1206="",TODAY(),G1206)-L1206))</f>
        <v/>
      </c>
    </row>
    <row r="1207">
      <c r="E1207" s="22" t="n"/>
      <c r="G1207" s="22" t="n"/>
      <c r="I1207" s="22" t="n"/>
      <c r="L1207" s="20">
        <f>IF(E1207="","",E1207+IF(F1207="",IFERROR(VLOOKUP(C1207,Parametros!$E:$F,2,0),0),F1207))</f>
        <v/>
      </c>
      <c r="M1207" s="21">
        <f>IF(E1207="","",IF(G1207="",IF(TODAY()&gt;L1207,"Atrasada","Em aberto"),IF(G1207&lt;=L1207,"No prazo","Com atraso")))</f>
        <v/>
      </c>
      <c r="N1207" s="18">
        <f>IF(E1207="","",MAX(0,IF(G1207="",TODAY(),G1207)-L1207))</f>
        <v/>
      </c>
    </row>
    <row r="1208">
      <c r="E1208" s="22" t="n"/>
      <c r="G1208" s="22" t="n"/>
      <c r="I1208" s="22" t="n"/>
      <c r="L1208" s="20">
        <f>IF(E1208="","",E1208+IF(F1208="",IFERROR(VLOOKUP(C1208,Parametros!$E:$F,2,0),0),F1208))</f>
        <v/>
      </c>
      <c r="M1208" s="21">
        <f>IF(E1208="","",IF(G1208="",IF(TODAY()&gt;L1208,"Atrasada","Em aberto"),IF(G1208&lt;=L1208,"No prazo","Com atraso")))</f>
        <v/>
      </c>
      <c r="N1208" s="18">
        <f>IF(E1208="","",MAX(0,IF(G1208="",TODAY(),G1208)-L1208))</f>
        <v/>
      </c>
    </row>
    <row r="1209">
      <c r="E1209" s="22" t="n"/>
      <c r="G1209" s="22" t="n"/>
      <c r="I1209" s="22" t="n"/>
      <c r="L1209" s="20">
        <f>IF(E1209="","",E1209+IF(F1209="",IFERROR(VLOOKUP(C1209,Parametros!$E:$F,2,0),0),F1209))</f>
        <v/>
      </c>
      <c r="M1209" s="21">
        <f>IF(E1209="","",IF(G1209="",IF(TODAY()&gt;L1209,"Atrasada","Em aberto"),IF(G1209&lt;=L1209,"No prazo","Com atraso")))</f>
        <v/>
      </c>
      <c r="N1209" s="18">
        <f>IF(E1209="","",MAX(0,IF(G1209="",TODAY(),G1209)-L1209))</f>
        <v/>
      </c>
    </row>
    <row r="1210">
      <c r="E1210" s="22" t="n"/>
      <c r="G1210" s="22" t="n"/>
      <c r="I1210" s="22" t="n"/>
      <c r="L1210" s="20">
        <f>IF(E1210="","",E1210+IF(F1210="",IFERROR(VLOOKUP(C1210,Parametros!$E:$F,2,0),0),F1210))</f>
        <v/>
      </c>
      <c r="M1210" s="21">
        <f>IF(E1210="","",IF(G1210="",IF(TODAY()&gt;L1210,"Atrasada","Em aberto"),IF(G1210&lt;=L1210,"No prazo","Com atraso")))</f>
        <v/>
      </c>
      <c r="N1210" s="18">
        <f>IF(E1210="","",MAX(0,IF(G1210="",TODAY(),G1210)-L1210))</f>
        <v/>
      </c>
    </row>
    <row r="1211">
      <c r="E1211" s="22" t="n"/>
      <c r="G1211" s="22" t="n"/>
      <c r="I1211" s="22" t="n"/>
      <c r="L1211" s="20">
        <f>IF(E1211="","",E1211+IF(F1211="",IFERROR(VLOOKUP(C1211,Parametros!$E:$F,2,0),0),F1211))</f>
        <v/>
      </c>
      <c r="M1211" s="21">
        <f>IF(E1211="","",IF(G1211="",IF(TODAY()&gt;L1211,"Atrasada","Em aberto"),IF(G1211&lt;=L1211,"No prazo","Com atraso")))</f>
        <v/>
      </c>
      <c r="N1211" s="18">
        <f>IF(E1211="","",MAX(0,IF(G1211="",TODAY(),G1211)-L1211))</f>
        <v/>
      </c>
    </row>
    <row r="1212">
      <c r="E1212" s="22" t="n"/>
      <c r="G1212" s="22" t="n"/>
      <c r="I1212" s="22" t="n"/>
      <c r="L1212" s="20">
        <f>IF(E1212="","",E1212+IF(F1212="",IFERROR(VLOOKUP(C1212,Parametros!$E:$F,2,0),0),F1212))</f>
        <v/>
      </c>
      <c r="M1212" s="21">
        <f>IF(E1212="","",IF(G1212="",IF(TODAY()&gt;L1212,"Atrasada","Em aberto"),IF(G1212&lt;=L1212,"No prazo","Com atraso")))</f>
        <v/>
      </c>
      <c r="N1212" s="18">
        <f>IF(E1212="","",MAX(0,IF(G1212="",TODAY(),G1212)-L1212))</f>
        <v/>
      </c>
    </row>
    <row r="1213">
      <c r="E1213" s="22" t="n"/>
      <c r="G1213" s="22" t="n"/>
      <c r="I1213" s="22" t="n"/>
      <c r="L1213" s="20">
        <f>IF(E1213="","",E1213+IF(F1213="",IFERROR(VLOOKUP(C1213,Parametros!$E:$F,2,0),0),F1213))</f>
        <v/>
      </c>
      <c r="M1213" s="21">
        <f>IF(E1213="","",IF(G1213="",IF(TODAY()&gt;L1213,"Atrasada","Em aberto"),IF(G1213&lt;=L1213,"No prazo","Com atraso")))</f>
        <v/>
      </c>
      <c r="N1213" s="18">
        <f>IF(E1213="","",MAX(0,IF(G1213="",TODAY(),G1213)-L1213))</f>
        <v/>
      </c>
    </row>
    <row r="1214">
      <c r="E1214" s="22" t="n"/>
      <c r="G1214" s="22" t="n"/>
      <c r="I1214" s="22" t="n"/>
      <c r="L1214" s="20">
        <f>IF(E1214="","",E1214+IF(F1214="",IFERROR(VLOOKUP(C1214,Parametros!$E:$F,2,0),0),F1214))</f>
        <v/>
      </c>
      <c r="M1214" s="21">
        <f>IF(E1214="","",IF(G1214="",IF(TODAY()&gt;L1214,"Atrasada","Em aberto"),IF(G1214&lt;=L1214,"No prazo","Com atraso")))</f>
        <v/>
      </c>
      <c r="N1214" s="18">
        <f>IF(E1214="","",MAX(0,IF(G1214="",TODAY(),G1214)-L1214))</f>
        <v/>
      </c>
    </row>
    <row r="1215">
      <c r="E1215" s="22" t="n"/>
      <c r="G1215" s="22" t="n"/>
      <c r="I1215" s="22" t="n"/>
      <c r="L1215" s="20">
        <f>IF(E1215="","",E1215+IF(F1215="",IFERROR(VLOOKUP(C1215,Parametros!$E:$F,2,0),0),F1215))</f>
        <v/>
      </c>
      <c r="M1215" s="21">
        <f>IF(E1215="","",IF(G1215="",IF(TODAY()&gt;L1215,"Atrasada","Em aberto"),IF(G1215&lt;=L1215,"No prazo","Com atraso")))</f>
        <v/>
      </c>
      <c r="N1215" s="18">
        <f>IF(E1215="","",MAX(0,IF(G1215="",TODAY(),G1215)-L1215))</f>
        <v/>
      </c>
    </row>
    <row r="1216">
      <c r="E1216" s="22" t="n"/>
      <c r="G1216" s="22" t="n"/>
      <c r="I1216" s="22" t="n"/>
      <c r="L1216" s="20">
        <f>IF(E1216="","",E1216+IF(F1216="",IFERROR(VLOOKUP(C1216,Parametros!$E:$F,2,0),0),F1216))</f>
        <v/>
      </c>
      <c r="M1216" s="21">
        <f>IF(E1216="","",IF(G1216="",IF(TODAY()&gt;L1216,"Atrasada","Em aberto"),IF(G1216&lt;=L1216,"No prazo","Com atraso")))</f>
        <v/>
      </c>
      <c r="N1216" s="18">
        <f>IF(E1216="","",MAX(0,IF(G1216="",TODAY(),G1216)-L1216))</f>
        <v/>
      </c>
    </row>
    <row r="1217">
      <c r="E1217" s="22" t="n"/>
      <c r="G1217" s="22" t="n"/>
      <c r="I1217" s="22" t="n"/>
      <c r="L1217" s="20">
        <f>IF(E1217="","",E1217+IF(F1217="",IFERROR(VLOOKUP(C1217,Parametros!$E:$F,2,0),0),F1217))</f>
        <v/>
      </c>
      <c r="M1217" s="21">
        <f>IF(E1217="","",IF(G1217="",IF(TODAY()&gt;L1217,"Atrasada","Em aberto"),IF(G1217&lt;=L1217,"No prazo","Com atraso")))</f>
        <v/>
      </c>
      <c r="N1217" s="18">
        <f>IF(E1217="","",MAX(0,IF(G1217="",TODAY(),G1217)-L1217))</f>
        <v/>
      </c>
    </row>
    <row r="1218">
      <c r="E1218" s="22" t="n"/>
      <c r="G1218" s="22" t="n"/>
      <c r="I1218" s="22" t="n"/>
      <c r="L1218" s="20">
        <f>IF(E1218="","",E1218+IF(F1218="",IFERROR(VLOOKUP(C1218,Parametros!$E:$F,2,0),0),F1218))</f>
        <v/>
      </c>
      <c r="M1218" s="21">
        <f>IF(E1218="","",IF(G1218="",IF(TODAY()&gt;L1218,"Atrasada","Em aberto"),IF(G1218&lt;=L1218,"No prazo","Com atraso")))</f>
        <v/>
      </c>
      <c r="N1218" s="18">
        <f>IF(E1218="","",MAX(0,IF(G1218="",TODAY(),G1218)-L1218))</f>
        <v/>
      </c>
    </row>
    <row r="1219">
      <c r="E1219" s="22" t="n"/>
      <c r="G1219" s="22" t="n"/>
      <c r="I1219" s="22" t="n"/>
      <c r="L1219" s="20">
        <f>IF(E1219="","",E1219+IF(F1219="",IFERROR(VLOOKUP(C1219,Parametros!$E:$F,2,0),0),F1219))</f>
        <v/>
      </c>
      <c r="M1219" s="21">
        <f>IF(E1219="","",IF(G1219="",IF(TODAY()&gt;L1219,"Atrasada","Em aberto"),IF(G1219&lt;=L1219,"No prazo","Com atraso")))</f>
        <v/>
      </c>
      <c r="N1219" s="18">
        <f>IF(E1219="","",MAX(0,IF(G1219="",TODAY(),G1219)-L1219))</f>
        <v/>
      </c>
    </row>
    <row r="1220">
      <c r="E1220" s="22" t="n"/>
      <c r="G1220" s="22" t="n"/>
      <c r="I1220" s="22" t="n"/>
      <c r="L1220" s="20">
        <f>IF(E1220="","",E1220+IF(F1220="",IFERROR(VLOOKUP(C1220,Parametros!$E:$F,2,0),0),F1220))</f>
        <v/>
      </c>
      <c r="M1220" s="21">
        <f>IF(E1220="","",IF(G1220="",IF(TODAY()&gt;L1220,"Atrasada","Em aberto"),IF(G1220&lt;=L1220,"No prazo","Com atraso")))</f>
        <v/>
      </c>
      <c r="N1220" s="18">
        <f>IF(E1220="","",MAX(0,IF(G1220="",TODAY(),G1220)-L1220))</f>
        <v/>
      </c>
    </row>
    <row r="1221">
      <c r="E1221" s="22" t="n"/>
      <c r="G1221" s="22" t="n"/>
      <c r="I1221" s="22" t="n"/>
      <c r="L1221" s="20">
        <f>IF(E1221="","",E1221+IF(F1221="",IFERROR(VLOOKUP(C1221,Parametros!$E:$F,2,0),0),F1221))</f>
        <v/>
      </c>
      <c r="M1221" s="21">
        <f>IF(E1221="","",IF(G1221="",IF(TODAY()&gt;L1221,"Atrasada","Em aberto"),IF(G1221&lt;=L1221,"No prazo","Com atraso")))</f>
        <v/>
      </c>
      <c r="N1221" s="18">
        <f>IF(E1221="","",MAX(0,IF(G1221="",TODAY(),G1221)-L1221))</f>
        <v/>
      </c>
    </row>
    <row r="1222">
      <c r="E1222" s="22" t="n"/>
      <c r="G1222" s="22" t="n"/>
      <c r="I1222" s="22" t="n"/>
      <c r="L1222" s="20">
        <f>IF(E1222="","",E1222+IF(F1222="",IFERROR(VLOOKUP(C1222,Parametros!$E:$F,2,0),0),F1222))</f>
        <v/>
      </c>
      <c r="M1222" s="21">
        <f>IF(E1222="","",IF(G1222="",IF(TODAY()&gt;L1222,"Atrasada","Em aberto"),IF(G1222&lt;=L1222,"No prazo","Com atraso")))</f>
        <v/>
      </c>
      <c r="N1222" s="18">
        <f>IF(E1222="","",MAX(0,IF(G1222="",TODAY(),G1222)-L1222))</f>
        <v/>
      </c>
    </row>
    <row r="1223">
      <c r="E1223" s="22" t="n"/>
      <c r="G1223" s="22" t="n"/>
      <c r="I1223" s="22" t="n"/>
      <c r="L1223" s="20">
        <f>IF(E1223="","",E1223+IF(F1223="",IFERROR(VLOOKUP(C1223,Parametros!$E:$F,2,0),0),F1223))</f>
        <v/>
      </c>
      <c r="M1223" s="21">
        <f>IF(E1223="","",IF(G1223="",IF(TODAY()&gt;L1223,"Atrasada","Em aberto"),IF(G1223&lt;=L1223,"No prazo","Com atraso")))</f>
        <v/>
      </c>
      <c r="N1223" s="18">
        <f>IF(E1223="","",MAX(0,IF(G1223="",TODAY(),G1223)-L1223))</f>
        <v/>
      </c>
    </row>
    <row r="1224">
      <c r="E1224" s="22" t="n"/>
      <c r="G1224" s="22" t="n"/>
      <c r="I1224" s="22" t="n"/>
      <c r="L1224" s="20">
        <f>IF(E1224="","",E1224+IF(F1224="",IFERROR(VLOOKUP(C1224,Parametros!$E:$F,2,0),0),F1224))</f>
        <v/>
      </c>
      <c r="M1224" s="21">
        <f>IF(E1224="","",IF(G1224="",IF(TODAY()&gt;L1224,"Atrasada","Em aberto"),IF(G1224&lt;=L1224,"No prazo","Com atraso")))</f>
        <v/>
      </c>
      <c r="N1224" s="18">
        <f>IF(E1224="","",MAX(0,IF(G1224="",TODAY(),G1224)-L1224))</f>
        <v/>
      </c>
    </row>
    <row r="1225">
      <c r="E1225" s="22" t="n"/>
      <c r="G1225" s="22" t="n"/>
      <c r="I1225" s="22" t="n"/>
      <c r="L1225" s="20">
        <f>IF(E1225="","",E1225+IF(F1225="",IFERROR(VLOOKUP(C1225,Parametros!$E:$F,2,0),0),F1225))</f>
        <v/>
      </c>
      <c r="M1225" s="21">
        <f>IF(E1225="","",IF(G1225="",IF(TODAY()&gt;L1225,"Atrasada","Em aberto"),IF(G1225&lt;=L1225,"No prazo","Com atraso")))</f>
        <v/>
      </c>
      <c r="N1225" s="18">
        <f>IF(E1225="","",MAX(0,IF(G1225="",TODAY(),G1225)-L1225))</f>
        <v/>
      </c>
    </row>
    <row r="1226">
      <c r="E1226" s="22" t="n"/>
      <c r="G1226" s="22" t="n"/>
      <c r="I1226" s="22" t="n"/>
      <c r="L1226" s="20">
        <f>IF(E1226="","",E1226+IF(F1226="",IFERROR(VLOOKUP(C1226,Parametros!$E:$F,2,0),0),F1226))</f>
        <v/>
      </c>
      <c r="M1226" s="21">
        <f>IF(E1226="","",IF(G1226="",IF(TODAY()&gt;L1226,"Atrasada","Em aberto"),IF(G1226&lt;=L1226,"No prazo","Com atraso")))</f>
        <v/>
      </c>
      <c r="N1226" s="18">
        <f>IF(E1226="","",MAX(0,IF(G1226="",TODAY(),G1226)-L1226))</f>
        <v/>
      </c>
    </row>
    <row r="1227">
      <c r="E1227" s="22" t="n"/>
      <c r="G1227" s="22" t="n"/>
      <c r="I1227" s="22" t="n"/>
      <c r="L1227" s="20">
        <f>IF(E1227="","",E1227+IF(F1227="",IFERROR(VLOOKUP(C1227,Parametros!$E:$F,2,0),0),F1227))</f>
        <v/>
      </c>
      <c r="M1227" s="21">
        <f>IF(E1227="","",IF(G1227="",IF(TODAY()&gt;L1227,"Atrasada","Em aberto"),IF(G1227&lt;=L1227,"No prazo","Com atraso")))</f>
        <v/>
      </c>
      <c r="N1227" s="18">
        <f>IF(E1227="","",MAX(0,IF(G1227="",TODAY(),G1227)-L1227))</f>
        <v/>
      </c>
    </row>
    <row r="1228">
      <c r="E1228" s="22" t="n"/>
      <c r="G1228" s="22" t="n"/>
      <c r="I1228" s="22" t="n"/>
      <c r="L1228" s="20">
        <f>IF(E1228="","",E1228+IF(F1228="",IFERROR(VLOOKUP(C1228,Parametros!$E:$F,2,0),0),F1228))</f>
        <v/>
      </c>
      <c r="M1228" s="21">
        <f>IF(E1228="","",IF(G1228="",IF(TODAY()&gt;L1228,"Atrasada","Em aberto"),IF(G1228&lt;=L1228,"No prazo","Com atraso")))</f>
        <v/>
      </c>
      <c r="N1228" s="18">
        <f>IF(E1228="","",MAX(0,IF(G1228="",TODAY(),G1228)-L1228))</f>
        <v/>
      </c>
    </row>
    <row r="1229">
      <c r="E1229" s="22" t="n"/>
      <c r="G1229" s="22" t="n"/>
      <c r="I1229" s="22" t="n"/>
      <c r="L1229" s="20">
        <f>IF(E1229="","",E1229+IF(F1229="",IFERROR(VLOOKUP(C1229,Parametros!$E:$F,2,0),0),F1229))</f>
        <v/>
      </c>
      <c r="M1229" s="21">
        <f>IF(E1229="","",IF(G1229="",IF(TODAY()&gt;L1229,"Atrasada","Em aberto"),IF(G1229&lt;=L1229,"No prazo","Com atraso")))</f>
        <v/>
      </c>
      <c r="N1229" s="18">
        <f>IF(E1229="","",MAX(0,IF(G1229="",TODAY(),G1229)-L1229))</f>
        <v/>
      </c>
    </row>
    <row r="1230">
      <c r="E1230" s="22" t="n"/>
      <c r="G1230" s="22" t="n"/>
      <c r="I1230" s="22" t="n"/>
      <c r="L1230" s="20">
        <f>IF(E1230="","",E1230+IF(F1230="",IFERROR(VLOOKUP(C1230,Parametros!$E:$F,2,0),0),F1230))</f>
        <v/>
      </c>
      <c r="M1230" s="21">
        <f>IF(E1230="","",IF(G1230="",IF(TODAY()&gt;L1230,"Atrasada","Em aberto"),IF(G1230&lt;=L1230,"No prazo","Com atraso")))</f>
        <v/>
      </c>
      <c r="N1230" s="18">
        <f>IF(E1230="","",MAX(0,IF(G1230="",TODAY(),G1230)-L1230))</f>
        <v/>
      </c>
    </row>
    <row r="1231">
      <c r="E1231" s="22" t="n"/>
      <c r="G1231" s="22" t="n"/>
      <c r="I1231" s="22" t="n"/>
      <c r="L1231" s="20">
        <f>IF(E1231="","",E1231+IF(F1231="",IFERROR(VLOOKUP(C1231,Parametros!$E:$F,2,0),0),F1231))</f>
        <v/>
      </c>
      <c r="M1231" s="21">
        <f>IF(E1231="","",IF(G1231="",IF(TODAY()&gt;L1231,"Atrasada","Em aberto"),IF(G1231&lt;=L1231,"No prazo","Com atraso")))</f>
        <v/>
      </c>
      <c r="N1231" s="18">
        <f>IF(E1231="","",MAX(0,IF(G1231="",TODAY(),G1231)-L1231))</f>
        <v/>
      </c>
    </row>
    <row r="1232">
      <c r="E1232" s="22" t="n"/>
      <c r="G1232" s="22" t="n"/>
      <c r="I1232" s="22" t="n"/>
      <c r="L1232" s="20">
        <f>IF(E1232="","",E1232+IF(F1232="",IFERROR(VLOOKUP(C1232,Parametros!$E:$F,2,0),0),F1232))</f>
        <v/>
      </c>
      <c r="M1232" s="21">
        <f>IF(E1232="","",IF(G1232="",IF(TODAY()&gt;L1232,"Atrasada","Em aberto"),IF(G1232&lt;=L1232,"No prazo","Com atraso")))</f>
        <v/>
      </c>
      <c r="N1232" s="18">
        <f>IF(E1232="","",MAX(0,IF(G1232="",TODAY(),G1232)-L1232))</f>
        <v/>
      </c>
    </row>
    <row r="1233">
      <c r="E1233" s="22" t="n"/>
      <c r="G1233" s="22" t="n"/>
      <c r="I1233" s="22" t="n"/>
      <c r="L1233" s="20">
        <f>IF(E1233="","",E1233+IF(F1233="",IFERROR(VLOOKUP(C1233,Parametros!$E:$F,2,0),0),F1233))</f>
        <v/>
      </c>
      <c r="M1233" s="21">
        <f>IF(E1233="","",IF(G1233="",IF(TODAY()&gt;L1233,"Atrasada","Em aberto"),IF(G1233&lt;=L1233,"No prazo","Com atraso")))</f>
        <v/>
      </c>
      <c r="N1233" s="18">
        <f>IF(E1233="","",MAX(0,IF(G1233="",TODAY(),G1233)-L1233))</f>
        <v/>
      </c>
    </row>
    <row r="1234">
      <c r="E1234" s="22" t="n"/>
      <c r="G1234" s="22" t="n"/>
      <c r="I1234" s="22" t="n"/>
      <c r="L1234" s="20">
        <f>IF(E1234="","",E1234+IF(F1234="",IFERROR(VLOOKUP(C1234,Parametros!$E:$F,2,0),0),F1234))</f>
        <v/>
      </c>
      <c r="M1234" s="21">
        <f>IF(E1234="","",IF(G1234="",IF(TODAY()&gt;L1234,"Atrasada","Em aberto"),IF(G1234&lt;=L1234,"No prazo","Com atraso")))</f>
        <v/>
      </c>
      <c r="N1234" s="18">
        <f>IF(E1234="","",MAX(0,IF(G1234="",TODAY(),G1234)-L1234))</f>
        <v/>
      </c>
    </row>
    <row r="1235">
      <c r="E1235" s="22" t="n"/>
      <c r="G1235" s="22" t="n"/>
      <c r="I1235" s="22" t="n"/>
      <c r="L1235" s="20">
        <f>IF(E1235="","",E1235+IF(F1235="",IFERROR(VLOOKUP(C1235,Parametros!$E:$F,2,0),0),F1235))</f>
        <v/>
      </c>
      <c r="M1235" s="21">
        <f>IF(E1235="","",IF(G1235="",IF(TODAY()&gt;L1235,"Atrasada","Em aberto"),IF(G1235&lt;=L1235,"No prazo","Com atraso")))</f>
        <v/>
      </c>
      <c r="N1235" s="18">
        <f>IF(E1235="","",MAX(0,IF(G1235="",TODAY(),G1235)-L1235))</f>
        <v/>
      </c>
    </row>
    <row r="1236">
      <c r="E1236" s="22" t="n"/>
      <c r="G1236" s="22" t="n"/>
      <c r="I1236" s="22" t="n"/>
      <c r="L1236" s="20">
        <f>IF(E1236="","",E1236+IF(F1236="",IFERROR(VLOOKUP(C1236,Parametros!$E:$F,2,0),0),F1236))</f>
        <v/>
      </c>
      <c r="M1236" s="21">
        <f>IF(E1236="","",IF(G1236="",IF(TODAY()&gt;L1236,"Atrasada","Em aberto"),IF(G1236&lt;=L1236,"No prazo","Com atraso")))</f>
        <v/>
      </c>
      <c r="N1236" s="18">
        <f>IF(E1236="","",MAX(0,IF(G1236="",TODAY(),G1236)-L1236))</f>
        <v/>
      </c>
    </row>
    <row r="1237">
      <c r="E1237" s="22" t="n"/>
      <c r="G1237" s="22" t="n"/>
      <c r="I1237" s="22" t="n"/>
      <c r="L1237" s="20">
        <f>IF(E1237="","",E1237+IF(F1237="",IFERROR(VLOOKUP(C1237,Parametros!$E:$F,2,0),0),F1237))</f>
        <v/>
      </c>
      <c r="M1237" s="21">
        <f>IF(E1237="","",IF(G1237="",IF(TODAY()&gt;L1237,"Atrasada","Em aberto"),IF(G1237&lt;=L1237,"No prazo","Com atraso")))</f>
        <v/>
      </c>
      <c r="N1237" s="18">
        <f>IF(E1237="","",MAX(0,IF(G1237="",TODAY(),G1237)-L1237))</f>
        <v/>
      </c>
    </row>
    <row r="1238">
      <c r="E1238" s="22" t="n"/>
      <c r="G1238" s="22" t="n"/>
      <c r="I1238" s="22" t="n"/>
      <c r="L1238" s="20">
        <f>IF(E1238="","",E1238+IF(F1238="",IFERROR(VLOOKUP(C1238,Parametros!$E:$F,2,0),0),F1238))</f>
        <v/>
      </c>
      <c r="M1238" s="21">
        <f>IF(E1238="","",IF(G1238="",IF(TODAY()&gt;L1238,"Atrasada","Em aberto"),IF(G1238&lt;=L1238,"No prazo","Com atraso")))</f>
        <v/>
      </c>
      <c r="N1238" s="18">
        <f>IF(E1238="","",MAX(0,IF(G1238="",TODAY(),G1238)-L1238))</f>
        <v/>
      </c>
    </row>
    <row r="1239">
      <c r="E1239" s="22" t="n"/>
      <c r="G1239" s="22" t="n"/>
      <c r="I1239" s="22" t="n"/>
      <c r="L1239" s="20">
        <f>IF(E1239="","",E1239+IF(F1239="",IFERROR(VLOOKUP(C1239,Parametros!$E:$F,2,0),0),F1239))</f>
        <v/>
      </c>
      <c r="M1239" s="21">
        <f>IF(E1239="","",IF(G1239="",IF(TODAY()&gt;L1239,"Atrasada","Em aberto"),IF(G1239&lt;=L1239,"No prazo","Com atraso")))</f>
        <v/>
      </c>
      <c r="N1239" s="18">
        <f>IF(E1239="","",MAX(0,IF(G1239="",TODAY(),G1239)-L1239))</f>
        <v/>
      </c>
    </row>
    <row r="1240">
      <c r="E1240" s="22" t="n"/>
      <c r="G1240" s="22" t="n"/>
      <c r="I1240" s="22" t="n"/>
      <c r="L1240" s="20">
        <f>IF(E1240="","",E1240+IF(F1240="",IFERROR(VLOOKUP(C1240,Parametros!$E:$F,2,0),0),F1240))</f>
        <v/>
      </c>
      <c r="M1240" s="21">
        <f>IF(E1240="","",IF(G1240="",IF(TODAY()&gt;L1240,"Atrasada","Em aberto"),IF(G1240&lt;=L1240,"No prazo","Com atraso")))</f>
        <v/>
      </c>
      <c r="N1240" s="18">
        <f>IF(E1240="","",MAX(0,IF(G1240="",TODAY(),G1240)-L1240))</f>
        <v/>
      </c>
    </row>
    <row r="1241">
      <c r="E1241" s="22" t="n"/>
      <c r="G1241" s="22" t="n"/>
      <c r="I1241" s="22" t="n"/>
      <c r="L1241" s="20">
        <f>IF(E1241="","",E1241+IF(F1241="",IFERROR(VLOOKUP(C1241,Parametros!$E:$F,2,0),0),F1241))</f>
        <v/>
      </c>
      <c r="M1241" s="21">
        <f>IF(E1241="","",IF(G1241="",IF(TODAY()&gt;L1241,"Atrasada","Em aberto"),IF(G1241&lt;=L1241,"No prazo","Com atraso")))</f>
        <v/>
      </c>
      <c r="N1241" s="18">
        <f>IF(E1241="","",MAX(0,IF(G1241="",TODAY(),G1241)-L1241))</f>
        <v/>
      </c>
    </row>
    <row r="1242">
      <c r="E1242" s="22" t="n"/>
      <c r="G1242" s="22" t="n"/>
      <c r="I1242" s="22" t="n"/>
      <c r="L1242" s="20">
        <f>IF(E1242="","",E1242+IF(F1242="",IFERROR(VLOOKUP(C1242,Parametros!$E:$F,2,0),0),F1242))</f>
        <v/>
      </c>
      <c r="M1242" s="21">
        <f>IF(E1242="","",IF(G1242="",IF(TODAY()&gt;L1242,"Atrasada","Em aberto"),IF(G1242&lt;=L1242,"No prazo","Com atraso")))</f>
        <v/>
      </c>
      <c r="N1242" s="18">
        <f>IF(E1242="","",MAX(0,IF(G1242="",TODAY(),G1242)-L1242))</f>
        <v/>
      </c>
    </row>
    <row r="1243">
      <c r="E1243" s="22" t="n"/>
      <c r="G1243" s="22" t="n"/>
      <c r="I1243" s="22" t="n"/>
      <c r="L1243" s="20">
        <f>IF(E1243="","",E1243+IF(F1243="",IFERROR(VLOOKUP(C1243,Parametros!$E:$F,2,0),0),F1243))</f>
        <v/>
      </c>
      <c r="M1243" s="21">
        <f>IF(E1243="","",IF(G1243="",IF(TODAY()&gt;L1243,"Atrasada","Em aberto"),IF(G1243&lt;=L1243,"No prazo","Com atraso")))</f>
        <v/>
      </c>
      <c r="N1243" s="18">
        <f>IF(E1243="","",MAX(0,IF(G1243="",TODAY(),G1243)-L1243))</f>
        <v/>
      </c>
    </row>
    <row r="1244">
      <c r="E1244" s="22" t="n"/>
      <c r="G1244" s="22" t="n"/>
      <c r="I1244" s="22" t="n"/>
      <c r="L1244" s="20">
        <f>IF(E1244="","",E1244+IF(F1244="",IFERROR(VLOOKUP(C1244,Parametros!$E:$F,2,0),0),F1244))</f>
        <v/>
      </c>
      <c r="M1244" s="21">
        <f>IF(E1244="","",IF(G1244="",IF(TODAY()&gt;L1244,"Atrasada","Em aberto"),IF(G1244&lt;=L1244,"No prazo","Com atraso")))</f>
        <v/>
      </c>
      <c r="N1244" s="18">
        <f>IF(E1244="","",MAX(0,IF(G1244="",TODAY(),G1244)-L1244))</f>
        <v/>
      </c>
    </row>
    <row r="1245">
      <c r="E1245" s="22" t="n"/>
      <c r="G1245" s="22" t="n"/>
      <c r="I1245" s="22" t="n"/>
      <c r="L1245" s="20">
        <f>IF(E1245="","",E1245+IF(F1245="",IFERROR(VLOOKUP(C1245,Parametros!$E:$F,2,0),0),F1245))</f>
        <v/>
      </c>
      <c r="M1245" s="21">
        <f>IF(E1245="","",IF(G1245="",IF(TODAY()&gt;L1245,"Atrasada","Em aberto"),IF(G1245&lt;=L1245,"No prazo","Com atraso")))</f>
        <v/>
      </c>
      <c r="N1245" s="18">
        <f>IF(E1245="","",MAX(0,IF(G1245="",TODAY(),G1245)-L1245))</f>
        <v/>
      </c>
    </row>
    <row r="1246">
      <c r="E1246" s="22" t="n"/>
      <c r="G1246" s="22" t="n"/>
      <c r="I1246" s="22" t="n"/>
      <c r="L1246" s="20">
        <f>IF(E1246="","",E1246+IF(F1246="",IFERROR(VLOOKUP(C1246,Parametros!$E:$F,2,0),0),F1246))</f>
        <v/>
      </c>
      <c r="M1246" s="21">
        <f>IF(E1246="","",IF(G1246="",IF(TODAY()&gt;L1246,"Atrasada","Em aberto"),IF(G1246&lt;=L1246,"No prazo","Com atraso")))</f>
        <v/>
      </c>
      <c r="N1246" s="18">
        <f>IF(E1246="","",MAX(0,IF(G1246="",TODAY(),G1246)-L1246))</f>
        <v/>
      </c>
    </row>
    <row r="1247">
      <c r="E1247" s="22" t="n"/>
      <c r="G1247" s="22" t="n"/>
      <c r="I1247" s="22" t="n"/>
      <c r="L1247" s="20">
        <f>IF(E1247="","",E1247+IF(F1247="",IFERROR(VLOOKUP(C1247,Parametros!$E:$F,2,0),0),F1247))</f>
        <v/>
      </c>
      <c r="M1247" s="21">
        <f>IF(E1247="","",IF(G1247="",IF(TODAY()&gt;L1247,"Atrasada","Em aberto"),IF(G1247&lt;=L1247,"No prazo","Com atraso")))</f>
        <v/>
      </c>
      <c r="N1247" s="18">
        <f>IF(E1247="","",MAX(0,IF(G1247="",TODAY(),G1247)-L1247))</f>
        <v/>
      </c>
    </row>
    <row r="1248">
      <c r="E1248" s="22" t="n"/>
      <c r="G1248" s="22" t="n"/>
      <c r="I1248" s="22" t="n"/>
      <c r="L1248" s="20">
        <f>IF(E1248="","",E1248+IF(F1248="",IFERROR(VLOOKUP(C1248,Parametros!$E:$F,2,0),0),F1248))</f>
        <v/>
      </c>
      <c r="M1248" s="21">
        <f>IF(E1248="","",IF(G1248="",IF(TODAY()&gt;L1248,"Atrasada","Em aberto"),IF(G1248&lt;=L1248,"No prazo","Com atraso")))</f>
        <v/>
      </c>
      <c r="N1248" s="18">
        <f>IF(E1248="","",MAX(0,IF(G1248="",TODAY(),G1248)-L1248))</f>
        <v/>
      </c>
    </row>
    <row r="1249">
      <c r="E1249" s="22" t="n"/>
      <c r="G1249" s="22" t="n"/>
      <c r="I1249" s="22" t="n"/>
      <c r="L1249" s="20">
        <f>IF(E1249="","",E1249+IF(F1249="",IFERROR(VLOOKUP(C1249,Parametros!$E:$F,2,0),0),F1249))</f>
        <v/>
      </c>
      <c r="M1249" s="21">
        <f>IF(E1249="","",IF(G1249="",IF(TODAY()&gt;L1249,"Atrasada","Em aberto"),IF(G1249&lt;=L1249,"No prazo","Com atraso")))</f>
        <v/>
      </c>
      <c r="N1249" s="18">
        <f>IF(E1249="","",MAX(0,IF(G1249="",TODAY(),G1249)-L1249))</f>
        <v/>
      </c>
    </row>
    <row r="1250">
      <c r="E1250" s="22" t="n"/>
      <c r="G1250" s="22" t="n"/>
      <c r="I1250" s="22" t="n"/>
      <c r="L1250" s="20">
        <f>IF(E1250="","",E1250+IF(F1250="",IFERROR(VLOOKUP(C1250,Parametros!$E:$F,2,0),0),F1250))</f>
        <v/>
      </c>
      <c r="M1250" s="21">
        <f>IF(E1250="","",IF(G1250="",IF(TODAY()&gt;L1250,"Atrasada","Em aberto"),IF(G1250&lt;=L1250,"No prazo","Com atraso")))</f>
        <v/>
      </c>
      <c r="N1250" s="18">
        <f>IF(E1250="","",MAX(0,IF(G1250="",TODAY(),G1250)-L1250))</f>
        <v/>
      </c>
    </row>
    <row r="1251">
      <c r="E1251" s="22" t="n"/>
      <c r="G1251" s="22" t="n"/>
      <c r="I1251" s="22" t="n"/>
      <c r="L1251" s="20">
        <f>IF(E1251="","",E1251+IF(F1251="",IFERROR(VLOOKUP(C1251,Parametros!$E:$F,2,0),0),F1251))</f>
        <v/>
      </c>
      <c r="M1251" s="21">
        <f>IF(E1251="","",IF(G1251="",IF(TODAY()&gt;L1251,"Atrasada","Em aberto"),IF(G1251&lt;=L1251,"No prazo","Com atraso")))</f>
        <v/>
      </c>
      <c r="N1251" s="18">
        <f>IF(E1251="","",MAX(0,IF(G1251="",TODAY(),G1251)-L1251))</f>
        <v/>
      </c>
    </row>
    <row r="1252">
      <c r="E1252" s="22" t="n"/>
      <c r="G1252" s="22" t="n"/>
      <c r="I1252" s="22" t="n"/>
      <c r="L1252" s="20">
        <f>IF(E1252="","",E1252+IF(F1252="",IFERROR(VLOOKUP(C1252,Parametros!$E:$F,2,0),0),F1252))</f>
        <v/>
      </c>
      <c r="M1252" s="21">
        <f>IF(E1252="","",IF(G1252="",IF(TODAY()&gt;L1252,"Atrasada","Em aberto"),IF(G1252&lt;=L1252,"No prazo","Com atraso")))</f>
        <v/>
      </c>
      <c r="N1252" s="18">
        <f>IF(E1252="","",MAX(0,IF(G1252="",TODAY(),G1252)-L1252))</f>
        <v/>
      </c>
    </row>
    <row r="1253">
      <c r="E1253" s="22" t="n"/>
      <c r="G1253" s="22" t="n"/>
      <c r="I1253" s="22" t="n"/>
      <c r="L1253" s="20">
        <f>IF(E1253="","",E1253+IF(F1253="",IFERROR(VLOOKUP(C1253,Parametros!$E:$F,2,0),0),F1253))</f>
        <v/>
      </c>
      <c r="M1253" s="21">
        <f>IF(E1253="","",IF(G1253="",IF(TODAY()&gt;L1253,"Atrasada","Em aberto"),IF(G1253&lt;=L1253,"No prazo","Com atraso")))</f>
        <v/>
      </c>
      <c r="N1253" s="18">
        <f>IF(E1253="","",MAX(0,IF(G1253="",TODAY(),G1253)-L1253))</f>
        <v/>
      </c>
    </row>
    <row r="1254">
      <c r="E1254" s="22" t="n"/>
      <c r="G1254" s="22" t="n"/>
      <c r="I1254" s="22" t="n"/>
      <c r="L1254" s="20">
        <f>IF(E1254="","",E1254+IF(F1254="",IFERROR(VLOOKUP(C1254,Parametros!$E:$F,2,0),0),F1254))</f>
        <v/>
      </c>
      <c r="M1254" s="21">
        <f>IF(E1254="","",IF(G1254="",IF(TODAY()&gt;L1254,"Atrasada","Em aberto"),IF(G1254&lt;=L1254,"No prazo","Com atraso")))</f>
        <v/>
      </c>
      <c r="N1254" s="18">
        <f>IF(E1254="","",MAX(0,IF(G1254="",TODAY(),G1254)-L1254))</f>
        <v/>
      </c>
    </row>
    <row r="1255">
      <c r="E1255" s="22" t="n"/>
      <c r="G1255" s="22" t="n"/>
      <c r="I1255" s="22" t="n"/>
      <c r="L1255" s="20">
        <f>IF(E1255="","",E1255+IF(F1255="",IFERROR(VLOOKUP(C1255,Parametros!$E:$F,2,0),0),F1255))</f>
        <v/>
      </c>
      <c r="M1255" s="21">
        <f>IF(E1255="","",IF(G1255="",IF(TODAY()&gt;L1255,"Atrasada","Em aberto"),IF(G1255&lt;=L1255,"No prazo","Com atraso")))</f>
        <v/>
      </c>
      <c r="N1255" s="18">
        <f>IF(E1255="","",MAX(0,IF(G1255="",TODAY(),G1255)-L1255))</f>
        <v/>
      </c>
    </row>
    <row r="1256">
      <c r="E1256" s="22" t="n"/>
      <c r="G1256" s="22" t="n"/>
      <c r="I1256" s="22" t="n"/>
      <c r="L1256" s="20">
        <f>IF(E1256="","",E1256+IF(F1256="",IFERROR(VLOOKUP(C1256,Parametros!$E:$F,2,0),0),F1256))</f>
        <v/>
      </c>
      <c r="M1256" s="21">
        <f>IF(E1256="","",IF(G1256="",IF(TODAY()&gt;L1256,"Atrasada","Em aberto"),IF(G1256&lt;=L1256,"No prazo","Com atraso")))</f>
        <v/>
      </c>
      <c r="N1256" s="18">
        <f>IF(E1256="","",MAX(0,IF(G1256="",TODAY(),G1256)-L1256))</f>
        <v/>
      </c>
    </row>
    <row r="1257">
      <c r="E1257" s="22" t="n"/>
      <c r="G1257" s="22" t="n"/>
      <c r="I1257" s="22" t="n"/>
      <c r="L1257" s="20">
        <f>IF(E1257="","",E1257+IF(F1257="",IFERROR(VLOOKUP(C1257,Parametros!$E:$F,2,0),0),F1257))</f>
        <v/>
      </c>
      <c r="M1257" s="21">
        <f>IF(E1257="","",IF(G1257="",IF(TODAY()&gt;L1257,"Atrasada","Em aberto"),IF(G1257&lt;=L1257,"No prazo","Com atraso")))</f>
        <v/>
      </c>
      <c r="N1257" s="18">
        <f>IF(E1257="","",MAX(0,IF(G1257="",TODAY(),G1257)-L1257))</f>
        <v/>
      </c>
    </row>
    <row r="1258">
      <c r="E1258" s="22" t="n"/>
      <c r="G1258" s="22" t="n"/>
      <c r="I1258" s="22" t="n"/>
      <c r="L1258" s="20">
        <f>IF(E1258="","",E1258+IF(F1258="",IFERROR(VLOOKUP(C1258,Parametros!$E:$F,2,0),0),F1258))</f>
        <v/>
      </c>
      <c r="M1258" s="21">
        <f>IF(E1258="","",IF(G1258="",IF(TODAY()&gt;L1258,"Atrasada","Em aberto"),IF(G1258&lt;=L1258,"No prazo","Com atraso")))</f>
        <v/>
      </c>
      <c r="N1258" s="18">
        <f>IF(E1258="","",MAX(0,IF(G1258="",TODAY(),G1258)-L1258))</f>
        <v/>
      </c>
    </row>
    <row r="1259">
      <c r="E1259" s="22" t="n"/>
      <c r="G1259" s="22" t="n"/>
      <c r="I1259" s="22" t="n"/>
      <c r="L1259" s="20">
        <f>IF(E1259="","",E1259+IF(F1259="",IFERROR(VLOOKUP(C1259,Parametros!$E:$F,2,0),0),F1259))</f>
        <v/>
      </c>
      <c r="M1259" s="21">
        <f>IF(E1259="","",IF(G1259="",IF(TODAY()&gt;L1259,"Atrasada","Em aberto"),IF(G1259&lt;=L1259,"No prazo","Com atraso")))</f>
        <v/>
      </c>
      <c r="N1259" s="18">
        <f>IF(E1259="","",MAX(0,IF(G1259="",TODAY(),G1259)-L1259))</f>
        <v/>
      </c>
    </row>
    <row r="1260">
      <c r="E1260" s="22" t="n"/>
      <c r="G1260" s="22" t="n"/>
      <c r="I1260" s="22" t="n"/>
      <c r="L1260" s="20">
        <f>IF(E1260="","",E1260+IF(F1260="",IFERROR(VLOOKUP(C1260,Parametros!$E:$F,2,0),0),F1260))</f>
        <v/>
      </c>
      <c r="M1260" s="21">
        <f>IF(E1260="","",IF(G1260="",IF(TODAY()&gt;L1260,"Atrasada","Em aberto"),IF(G1260&lt;=L1260,"No prazo","Com atraso")))</f>
        <v/>
      </c>
      <c r="N1260" s="18">
        <f>IF(E1260="","",MAX(0,IF(G1260="",TODAY(),G1260)-L1260))</f>
        <v/>
      </c>
    </row>
    <row r="1261">
      <c r="E1261" s="22" t="n"/>
      <c r="G1261" s="22" t="n"/>
      <c r="I1261" s="22" t="n"/>
      <c r="L1261" s="20">
        <f>IF(E1261="","",E1261+IF(F1261="",IFERROR(VLOOKUP(C1261,Parametros!$E:$F,2,0),0),F1261))</f>
        <v/>
      </c>
      <c r="M1261" s="21">
        <f>IF(E1261="","",IF(G1261="",IF(TODAY()&gt;L1261,"Atrasada","Em aberto"),IF(G1261&lt;=L1261,"No prazo","Com atraso")))</f>
        <v/>
      </c>
      <c r="N1261" s="18">
        <f>IF(E1261="","",MAX(0,IF(G1261="",TODAY(),G1261)-L1261))</f>
        <v/>
      </c>
    </row>
    <row r="1262">
      <c r="E1262" s="22" t="n"/>
      <c r="G1262" s="22" t="n"/>
      <c r="I1262" s="22" t="n"/>
      <c r="L1262" s="20">
        <f>IF(E1262="","",E1262+IF(F1262="",IFERROR(VLOOKUP(C1262,Parametros!$E:$F,2,0),0),F1262))</f>
        <v/>
      </c>
      <c r="M1262" s="21">
        <f>IF(E1262="","",IF(G1262="",IF(TODAY()&gt;L1262,"Atrasada","Em aberto"),IF(G1262&lt;=L1262,"No prazo","Com atraso")))</f>
        <v/>
      </c>
      <c r="N1262" s="18">
        <f>IF(E1262="","",MAX(0,IF(G1262="",TODAY(),G1262)-L1262))</f>
        <v/>
      </c>
    </row>
    <row r="1263">
      <c r="E1263" s="22" t="n"/>
      <c r="G1263" s="22" t="n"/>
      <c r="I1263" s="22" t="n"/>
      <c r="L1263" s="20">
        <f>IF(E1263="","",E1263+IF(F1263="",IFERROR(VLOOKUP(C1263,Parametros!$E:$F,2,0),0),F1263))</f>
        <v/>
      </c>
      <c r="M1263" s="21">
        <f>IF(E1263="","",IF(G1263="",IF(TODAY()&gt;L1263,"Atrasada","Em aberto"),IF(G1263&lt;=L1263,"No prazo","Com atraso")))</f>
        <v/>
      </c>
      <c r="N1263" s="18">
        <f>IF(E1263="","",MAX(0,IF(G1263="",TODAY(),G1263)-L1263))</f>
        <v/>
      </c>
    </row>
    <row r="1264">
      <c r="E1264" s="22" t="n"/>
      <c r="G1264" s="22" t="n"/>
      <c r="I1264" s="22" t="n"/>
      <c r="L1264" s="20">
        <f>IF(E1264="","",E1264+IF(F1264="",IFERROR(VLOOKUP(C1264,Parametros!$E:$F,2,0),0),F1264))</f>
        <v/>
      </c>
      <c r="M1264" s="21">
        <f>IF(E1264="","",IF(G1264="",IF(TODAY()&gt;L1264,"Atrasada","Em aberto"),IF(G1264&lt;=L1264,"No prazo","Com atraso")))</f>
        <v/>
      </c>
      <c r="N1264" s="18">
        <f>IF(E1264="","",MAX(0,IF(G1264="",TODAY(),G1264)-L1264))</f>
        <v/>
      </c>
    </row>
    <row r="1265">
      <c r="E1265" s="22" t="n"/>
      <c r="G1265" s="22" t="n"/>
      <c r="I1265" s="22" t="n"/>
      <c r="L1265" s="20">
        <f>IF(E1265="","",E1265+IF(F1265="",IFERROR(VLOOKUP(C1265,Parametros!$E:$F,2,0),0),F1265))</f>
        <v/>
      </c>
      <c r="M1265" s="21">
        <f>IF(E1265="","",IF(G1265="",IF(TODAY()&gt;L1265,"Atrasada","Em aberto"),IF(G1265&lt;=L1265,"No prazo","Com atraso")))</f>
        <v/>
      </c>
      <c r="N1265" s="18">
        <f>IF(E1265="","",MAX(0,IF(G1265="",TODAY(),G1265)-L1265))</f>
        <v/>
      </c>
    </row>
    <row r="1266">
      <c r="E1266" s="22" t="n"/>
      <c r="G1266" s="22" t="n"/>
      <c r="I1266" s="22" t="n"/>
      <c r="L1266" s="20">
        <f>IF(E1266="","",E1266+IF(F1266="",IFERROR(VLOOKUP(C1266,Parametros!$E:$F,2,0),0),F1266))</f>
        <v/>
      </c>
      <c r="M1266" s="21">
        <f>IF(E1266="","",IF(G1266="",IF(TODAY()&gt;L1266,"Atrasada","Em aberto"),IF(G1266&lt;=L1266,"No prazo","Com atraso")))</f>
        <v/>
      </c>
      <c r="N1266" s="18">
        <f>IF(E1266="","",MAX(0,IF(G1266="",TODAY(),G1266)-L1266))</f>
        <v/>
      </c>
    </row>
    <row r="1267">
      <c r="E1267" s="22" t="n"/>
      <c r="G1267" s="22" t="n"/>
      <c r="I1267" s="22" t="n"/>
      <c r="L1267" s="20">
        <f>IF(E1267="","",E1267+IF(F1267="",IFERROR(VLOOKUP(C1267,Parametros!$E:$F,2,0),0),F1267))</f>
        <v/>
      </c>
      <c r="M1267" s="21">
        <f>IF(E1267="","",IF(G1267="",IF(TODAY()&gt;L1267,"Atrasada","Em aberto"),IF(G1267&lt;=L1267,"No prazo","Com atraso")))</f>
        <v/>
      </c>
      <c r="N1267" s="18">
        <f>IF(E1267="","",MAX(0,IF(G1267="",TODAY(),G1267)-L1267))</f>
        <v/>
      </c>
    </row>
    <row r="1268">
      <c r="E1268" s="22" t="n"/>
      <c r="G1268" s="22" t="n"/>
      <c r="I1268" s="22" t="n"/>
      <c r="L1268" s="20">
        <f>IF(E1268="","",E1268+IF(F1268="",IFERROR(VLOOKUP(C1268,Parametros!$E:$F,2,0),0),F1268))</f>
        <v/>
      </c>
      <c r="M1268" s="21">
        <f>IF(E1268="","",IF(G1268="",IF(TODAY()&gt;L1268,"Atrasada","Em aberto"),IF(G1268&lt;=L1268,"No prazo","Com atraso")))</f>
        <v/>
      </c>
      <c r="N1268" s="18">
        <f>IF(E1268="","",MAX(0,IF(G1268="",TODAY(),G1268)-L1268))</f>
        <v/>
      </c>
    </row>
    <row r="1269">
      <c r="E1269" s="22" t="n"/>
      <c r="G1269" s="22" t="n"/>
      <c r="I1269" s="22" t="n"/>
      <c r="L1269" s="20">
        <f>IF(E1269="","",E1269+IF(F1269="",IFERROR(VLOOKUP(C1269,Parametros!$E:$F,2,0),0),F1269))</f>
        <v/>
      </c>
      <c r="M1269" s="21">
        <f>IF(E1269="","",IF(G1269="",IF(TODAY()&gt;L1269,"Atrasada","Em aberto"),IF(G1269&lt;=L1269,"No prazo","Com atraso")))</f>
        <v/>
      </c>
      <c r="N1269" s="18">
        <f>IF(E1269="","",MAX(0,IF(G1269="",TODAY(),G1269)-L1269))</f>
        <v/>
      </c>
    </row>
    <row r="1270">
      <c r="E1270" s="22" t="n"/>
      <c r="G1270" s="22" t="n"/>
      <c r="I1270" s="22" t="n"/>
      <c r="L1270" s="20">
        <f>IF(E1270="","",E1270+IF(F1270="",IFERROR(VLOOKUP(C1270,Parametros!$E:$F,2,0),0),F1270))</f>
        <v/>
      </c>
      <c r="M1270" s="21">
        <f>IF(E1270="","",IF(G1270="",IF(TODAY()&gt;L1270,"Atrasada","Em aberto"),IF(G1270&lt;=L1270,"No prazo","Com atraso")))</f>
        <v/>
      </c>
      <c r="N1270" s="18">
        <f>IF(E1270="","",MAX(0,IF(G1270="",TODAY(),G1270)-L1270))</f>
        <v/>
      </c>
    </row>
    <row r="1271">
      <c r="E1271" s="22" t="n"/>
      <c r="G1271" s="22" t="n"/>
      <c r="I1271" s="22" t="n"/>
      <c r="L1271" s="20">
        <f>IF(E1271="","",E1271+IF(F1271="",IFERROR(VLOOKUP(C1271,Parametros!$E:$F,2,0),0),F1271))</f>
        <v/>
      </c>
      <c r="M1271" s="21">
        <f>IF(E1271="","",IF(G1271="",IF(TODAY()&gt;L1271,"Atrasada","Em aberto"),IF(G1271&lt;=L1271,"No prazo","Com atraso")))</f>
        <v/>
      </c>
      <c r="N1271" s="18">
        <f>IF(E1271="","",MAX(0,IF(G1271="",TODAY(),G1271)-L1271))</f>
        <v/>
      </c>
    </row>
    <row r="1272">
      <c r="E1272" s="22" t="n"/>
      <c r="G1272" s="22" t="n"/>
      <c r="I1272" s="22" t="n"/>
      <c r="L1272" s="20">
        <f>IF(E1272="","",E1272+IF(F1272="",IFERROR(VLOOKUP(C1272,Parametros!$E:$F,2,0),0),F1272))</f>
        <v/>
      </c>
      <c r="M1272" s="21">
        <f>IF(E1272="","",IF(G1272="",IF(TODAY()&gt;L1272,"Atrasada","Em aberto"),IF(G1272&lt;=L1272,"No prazo","Com atraso")))</f>
        <v/>
      </c>
      <c r="N1272" s="18">
        <f>IF(E1272="","",MAX(0,IF(G1272="",TODAY(),G1272)-L1272))</f>
        <v/>
      </c>
    </row>
    <row r="1273">
      <c r="E1273" s="22" t="n"/>
      <c r="G1273" s="22" t="n"/>
      <c r="I1273" s="22" t="n"/>
      <c r="L1273" s="20">
        <f>IF(E1273="","",E1273+IF(F1273="",IFERROR(VLOOKUP(C1273,Parametros!$E:$F,2,0),0),F1273))</f>
        <v/>
      </c>
      <c r="M1273" s="21">
        <f>IF(E1273="","",IF(G1273="",IF(TODAY()&gt;L1273,"Atrasada","Em aberto"),IF(G1273&lt;=L1273,"No prazo","Com atraso")))</f>
        <v/>
      </c>
      <c r="N1273" s="18">
        <f>IF(E1273="","",MAX(0,IF(G1273="",TODAY(),G1273)-L1273))</f>
        <v/>
      </c>
    </row>
    <row r="1274">
      <c r="E1274" s="22" t="n"/>
      <c r="G1274" s="22" t="n"/>
      <c r="I1274" s="22" t="n"/>
      <c r="L1274" s="20">
        <f>IF(E1274="","",E1274+IF(F1274="",IFERROR(VLOOKUP(C1274,Parametros!$E:$F,2,0),0),F1274))</f>
        <v/>
      </c>
      <c r="M1274" s="21">
        <f>IF(E1274="","",IF(G1274="",IF(TODAY()&gt;L1274,"Atrasada","Em aberto"),IF(G1274&lt;=L1274,"No prazo","Com atraso")))</f>
        <v/>
      </c>
      <c r="N1274" s="18">
        <f>IF(E1274="","",MAX(0,IF(G1274="",TODAY(),G1274)-L1274))</f>
        <v/>
      </c>
    </row>
    <row r="1275">
      <c r="E1275" s="22" t="n"/>
      <c r="G1275" s="22" t="n"/>
      <c r="I1275" s="22" t="n"/>
      <c r="L1275" s="20">
        <f>IF(E1275="","",E1275+IF(F1275="",IFERROR(VLOOKUP(C1275,Parametros!$E:$F,2,0),0),F1275))</f>
        <v/>
      </c>
      <c r="M1275" s="21">
        <f>IF(E1275="","",IF(G1275="",IF(TODAY()&gt;L1275,"Atrasada","Em aberto"),IF(G1275&lt;=L1275,"No prazo","Com atraso")))</f>
        <v/>
      </c>
      <c r="N1275" s="18">
        <f>IF(E1275="","",MAX(0,IF(G1275="",TODAY(),G1275)-L1275))</f>
        <v/>
      </c>
    </row>
    <row r="1276">
      <c r="E1276" s="22" t="n"/>
      <c r="G1276" s="22" t="n"/>
      <c r="I1276" s="22" t="n"/>
      <c r="L1276" s="20">
        <f>IF(E1276="","",E1276+IF(F1276="",IFERROR(VLOOKUP(C1276,Parametros!$E:$F,2,0),0),F1276))</f>
        <v/>
      </c>
      <c r="M1276" s="21">
        <f>IF(E1276="","",IF(G1276="",IF(TODAY()&gt;L1276,"Atrasada","Em aberto"),IF(G1276&lt;=L1276,"No prazo","Com atraso")))</f>
        <v/>
      </c>
      <c r="N1276" s="18">
        <f>IF(E1276="","",MAX(0,IF(G1276="",TODAY(),G1276)-L1276))</f>
        <v/>
      </c>
    </row>
    <row r="1277">
      <c r="E1277" s="22" t="n"/>
      <c r="G1277" s="22" t="n"/>
      <c r="I1277" s="22" t="n"/>
      <c r="L1277" s="20">
        <f>IF(E1277="","",E1277+IF(F1277="",IFERROR(VLOOKUP(C1277,Parametros!$E:$F,2,0),0),F1277))</f>
        <v/>
      </c>
      <c r="M1277" s="21">
        <f>IF(E1277="","",IF(G1277="",IF(TODAY()&gt;L1277,"Atrasada","Em aberto"),IF(G1277&lt;=L1277,"No prazo","Com atraso")))</f>
        <v/>
      </c>
      <c r="N1277" s="18">
        <f>IF(E1277="","",MAX(0,IF(G1277="",TODAY(),G1277)-L1277))</f>
        <v/>
      </c>
    </row>
    <row r="1278">
      <c r="E1278" s="22" t="n"/>
      <c r="G1278" s="22" t="n"/>
      <c r="I1278" s="22" t="n"/>
      <c r="L1278" s="20">
        <f>IF(E1278="","",E1278+IF(F1278="",IFERROR(VLOOKUP(C1278,Parametros!$E:$F,2,0),0),F1278))</f>
        <v/>
      </c>
      <c r="M1278" s="21">
        <f>IF(E1278="","",IF(G1278="",IF(TODAY()&gt;L1278,"Atrasada","Em aberto"),IF(G1278&lt;=L1278,"No prazo","Com atraso")))</f>
        <v/>
      </c>
      <c r="N1278" s="18">
        <f>IF(E1278="","",MAX(0,IF(G1278="",TODAY(),G1278)-L1278))</f>
        <v/>
      </c>
    </row>
    <row r="1279">
      <c r="E1279" s="22" t="n"/>
      <c r="G1279" s="22" t="n"/>
      <c r="I1279" s="22" t="n"/>
      <c r="L1279" s="20">
        <f>IF(E1279="","",E1279+IF(F1279="",IFERROR(VLOOKUP(C1279,Parametros!$E:$F,2,0),0),F1279))</f>
        <v/>
      </c>
      <c r="M1279" s="21">
        <f>IF(E1279="","",IF(G1279="",IF(TODAY()&gt;L1279,"Atrasada","Em aberto"),IF(G1279&lt;=L1279,"No prazo","Com atraso")))</f>
        <v/>
      </c>
      <c r="N1279" s="18">
        <f>IF(E1279="","",MAX(0,IF(G1279="",TODAY(),G1279)-L1279))</f>
        <v/>
      </c>
    </row>
    <row r="1280">
      <c r="E1280" s="22" t="n"/>
      <c r="G1280" s="22" t="n"/>
      <c r="I1280" s="22" t="n"/>
      <c r="L1280" s="20">
        <f>IF(E1280="","",E1280+IF(F1280="",IFERROR(VLOOKUP(C1280,Parametros!$E:$F,2,0),0),F1280))</f>
        <v/>
      </c>
      <c r="M1280" s="21">
        <f>IF(E1280="","",IF(G1280="",IF(TODAY()&gt;L1280,"Atrasada","Em aberto"),IF(G1280&lt;=L1280,"No prazo","Com atraso")))</f>
        <v/>
      </c>
      <c r="N1280" s="18">
        <f>IF(E1280="","",MAX(0,IF(G1280="",TODAY(),G1280)-L1280))</f>
        <v/>
      </c>
    </row>
    <row r="1281">
      <c r="E1281" s="22" t="n"/>
      <c r="G1281" s="22" t="n"/>
      <c r="I1281" s="22" t="n"/>
      <c r="L1281" s="20">
        <f>IF(E1281="","",E1281+IF(F1281="",IFERROR(VLOOKUP(C1281,Parametros!$E:$F,2,0),0),F1281))</f>
        <v/>
      </c>
      <c r="M1281" s="21">
        <f>IF(E1281="","",IF(G1281="",IF(TODAY()&gt;L1281,"Atrasada","Em aberto"),IF(G1281&lt;=L1281,"No prazo","Com atraso")))</f>
        <v/>
      </c>
      <c r="N1281" s="18">
        <f>IF(E1281="","",MAX(0,IF(G1281="",TODAY(),G1281)-L1281))</f>
        <v/>
      </c>
    </row>
    <row r="1282">
      <c r="E1282" s="22" t="n"/>
      <c r="G1282" s="22" t="n"/>
      <c r="I1282" s="22" t="n"/>
      <c r="L1282" s="20">
        <f>IF(E1282="","",E1282+IF(F1282="",IFERROR(VLOOKUP(C1282,Parametros!$E:$F,2,0),0),F1282))</f>
        <v/>
      </c>
      <c r="M1282" s="21">
        <f>IF(E1282="","",IF(G1282="",IF(TODAY()&gt;L1282,"Atrasada","Em aberto"),IF(G1282&lt;=L1282,"No prazo","Com atraso")))</f>
        <v/>
      </c>
      <c r="N1282" s="18">
        <f>IF(E1282="","",MAX(0,IF(G1282="",TODAY(),G1282)-L1282))</f>
        <v/>
      </c>
    </row>
    <row r="1283">
      <c r="E1283" s="22" t="n"/>
      <c r="G1283" s="22" t="n"/>
      <c r="I1283" s="22" t="n"/>
      <c r="L1283" s="20">
        <f>IF(E1283="","",E1283+IF(F1283="",IFERROR(VLOOKUP(C1283,Parametros!$E:$F,2,0),0),F1283))</f>
        <v/>
      </c>
      <c r="M1283" s="21">
        <f>IF(E1283="","",IF(G1283="",IF(TODAY()&gt;L1283,"Atrasada","Em aberto"),IF(G1283&lt;=L1283,"No prazo","Com atraso")))</f>
        <v/>
      </c>
      <c r="N1283" s="18">
        <f>IF(E1283="","",MAX(0,IF(G1283="",TODAY(),G1283)-L1283))</f>
        <v/>
      </c>
    </row>
    <row r="1284">
      <c r="E1284" s="22" t="n"/>
      <c r="G1284" s="22" t="n"/>
      <c r="I1284" s="22" t="n"/>
      <c r="L1284" s="20">
        <f>IF(E1284="","",E1284+IF(F1284="",IFERROR(VLOOKUP(C1284,Parametros!$E:$F,2,0),0),F1284))</f>
        <v/>
      </c>
      <c r="M1284" s="21">
        <f>IF(E1284="","",IF(G1284="",IF(TODAY()&gt;L1284,"Atrasada","Em aberto"),IF(G1284&lt;=L1284,"No prazo","Com atraso")))</f>
        <v/>
      </c>
      <c r="N1284" s="18">
        <f>IF(E1284="","",MAX(0,IF(G1284="",TODAY(),G1284)-L1284))</f>
        <v/>
      </c>
    </row>
    <row r="1285">
      <c r="E1285" s="22" t="n"/>
      <c r="G1285" s="22" t="n"/>
      <c r="I1285" s="22" t="n"/>
      <c r="L1285" s="20">
        <f>IF(E1285="","",E1285+IF(F1285="",IFERROR(VLOOKUP(C1285,Parametros!$E:$F,2,0),0),F1285))</f>
        <v/>
      </c>
      <c r="M1285" s="21">
        <f>IF(E1285="","",IF(G1285="",IF(TODAY()&gt;L1285,"Atrasada","Em aberto"),IF(G1285&lt;=L1285,"No prazo","Com atraso")))</f>
        <v/>
      </c>
      <c r="N1285" s="18">
        <f>IF(E1285="","",MAX(0,IF(G1285="",TODAY(),G1285)-L1285))</f>
        <v/>
      </c>
    </row>
    <row r="1286">
      <c r="E1286" s="22" t="n"/>
      <c r="G1286" s="22" t="n"/>
      <c r="I1286" s="22" t="n"/>
      <c r="L1286" s="20">
        <f>IF(E1286="","",E1286+IF(F1286="",IFERROR(VLOOKUP(C1286,Parametros!$E:$F,2,0),0),F1286))</f>
        <v/>
      </c>
      <c r="M1286" s="21">
        <f>IF(E1286="","",IF(G1286="",IF(TODAY()&gt;L1286,"Atrasada","Em aberto"),IF(G1286&lt;=L1286,"No prazo","Com atraso")))</f>
        <v/>
      </c>
      <c r="N1286" s="18">
        <f>IF(E1286="","",MAX(0,IF(G1286="",TODAY(),G1286)-L1286))</f>
        <v/>
      </c>
    </row>
    <row r="1287">
      <c r="E1287" s="22" t="n"/>
      <c r="G1287" s="22" t="n"/>
      <c r="I1287" s="22" t="n"/>
      <c r="L1287" s="20">
        <f>IF(E1287="","",E1287+IF(F1287="",IFERROR(VLOOKUP(C1287,Parametros!$E:$F,2,0),0),F1287))</f>
        <v/>
      </c>
      <c r="M1287" s="21">
        <f>IF(E1287="","",IF(G1287="",IF(TODAY()&gt;L1287,"Atrasada","Em aberto"),IF(G1287&lt;=L1287,"No prazo","Com atraso")))</f>
        <v/>
      </c>
      <c r="N1287" s="18">
        <f>IF(E1287="","",MAX(0,IF(G1287="",TODAY(),G1287)-L1287))</f>
        <v/>
      </c>
    </row>
    <row r="1288">
      <c r="E1288" s="22" t="n"/>
      <c r="G1288" s="22" t="n"/>
      <c r="I1288" s="22" t="n"/>
      <c r="L1288" s="20">
        <f>IF(E1288="","",E1288+IF(F1288="",IFERROR(VLOOKUP(C1288,Parametros!$E:$F,2,0),0),F1288))</f>
        <v/>
      </c>
      <c r="M1288" s="21">
        <f>IF(E1288="","",IF(G1288="",IF(TODAY()&gt;L1288,"Atrasada","Em aberto"),IF(G1288&lt;=L1288,"No prazo","Com atraso")))</f>
        <v/>
      </c>
      <c r="N1288" s="18">
        <f>IF(E1288="","",MAX(0,IF(G1288="",TODAY(),G1288)-L1288))</f>
        <v/>
      </c>
    </row>
    <row r="1289">
      <c r="E1289" s="22" t="n"/>
      <c r="G1289" s="22" t="n"/>
      <c r="I1289" s="22" t="n"/>
      <c r="L1289" s="20">
        <f>IF(E1289="","",E1289+IF(F1289="",IFERROR(VLOOKUP(C1289,Parametros!$E:$F,2,0),0),F1289))</f>
        <v/>
      </c>
      <c r="M1289" s="21">
        <f>IF(E1289="","",IF(G1289="",IF(TODAY()&gt;L1289,"Atrasada","Em aberto"),IF(G1289&lt;=L1289,"No prazo","Com atraso")))</f>
        <v/>
      </c>
      <c r="N1289" s="18">
        <f>IF(E1289="","",MAX(0,IF(G1289="",TODAY(),G1289)-L1289))</f>
        <v/>
      </c>
    </row>
    <row r="1290">
      <c r="E1290" s="22" t="n"/>
      <c r="G1290" s="22" t="n"/>
      <c r="I1290" s="22" t="n"/>
      <c r="L1290" s="20">
        <f>IF(E1290="","",E1290+IF(F1290="",IFERROR(VLOOKUP(C1290,Parametros!$E:$F,2,0),0),F1290))</f>
        <v/>
      </c>
      <c r="M1290" s="21">
        <f>IF(E1290="","",IF(G1290="",IF(TODAY()&gt;L1290,"Atrasada","Em aberto"),IF(G1290&lt;=L1290,"No prazo","Com atraso")))</f>
        <v/>
      </c>
      <c r="N1290" s="18">
        <f>IF(E1290="","",MAX(0,IF(G1290="",TODAY(),G1290)-L1290))</f>
        <v/>
      </c>
    </row>
    <row r="1291">
      <c r="E1291" s="22" t="n"/>
      <c r="G1291" s="22" t="n"/>
      <c r="I1291" s="22" t="n"/>
      <c r="L1291" s="20">
        <f>IF(E1291="","",E1291+IF(F1291="",IFERROR(VLOOKUP(C1291,Parametros!$E:$F,2,0),0),F1291))</f>
        <v/>
      </c>
      <c r="M1291" s="21">
        <f>IF(E1291="","",IF(G1291="",IF(TODAY()&gt;L1291,"Atrasada","Em aberto"),IF(G1291&lt;=L1291,"No prazo","Com atraso")))</f>
        <v/>
      </c>
      <c r="N1291" s="18">
        <f>IF(E1291="","",MAX(0,IF(G1291="",TODAY(),G1291)-L1291))</f>
        <v/>
      </c>
    </row>
    <row r="1292">
      <c r="E1292" s="22" t="n"/>
      <c r="G1292" s="22" t="n"/>
      <c r="I1292" s="22" t="n"/>
      <c r="L1292" s="20">
        <f>IF(E1292="","",E1292+IF(F1292="",IFERROR(VLOOKUP(C1292,Parametros!$E:$F,2,0),0),F1292))</f>
        <v/>
      </c>
      <c r="M1292" s="21">
        <f>IF(E1292="","",IF(G1292="",IF(TODAY()&gt;L1292,"Atrasada","Em aberto"),IF(G1292&lt;=L1292,"No prazo","Com atraso")))</f>
        <v/>
      </c>
      <c r="N1292" s="18">
        <f>IF(E1292="","",MAX(0,IF(G1292="",TODAY(),G1292)-L1292))</f>
        <v/>
      </c>
    </row>
    <row r="1293">
      <c r="E1293" s="22" t="n"/>
      <c r="G1293" s="22" t="n"/>
      <c r="I1293" s="22" t="n"/>
      <c r="L1293" s="20">
        <f>IF(E1293="","",E1293+IF(F1293="",IFERROR(VLOOKUP(C1293,Parametros!$E:$F,2,0),0),F1293))</f>
        <v/>
      </c>
      <c r="M1293" s="21">
        <f>IF(E1293="","",IF(G1293="",IF(TODAY()&gt;L1293,"Atrasada","Em aberto"),IF(G1293&lt;=L1293,"No prazo","Com atraso")))</f>
        <v/>
      </c>
      <c r="N1293" s="18">
        <f>IF(E1293="","",MAX(0,IF(G1293="",TODAY(),G1293)-L1293))</f>
        <v/>
      </c>
    </row>
    <row r="1294">
      <c r="E1294" s="22" t="n"/>
      <c r="G1294" s="22" t="n"/>
      <c r="I1294" s="22" t="n"/>
      <c r="L1294" s="20">
        <f>IF(E1294="","",E1294+IF(F1294="",IFERROR(VLOOKUP(C1294,Parametros!$E:$F,2,0),0),F1294))</f>
        <v/>
      </c>
      <c r="M1294" s="21">
        <f>IF(E1294="","",IF(G1294="",IF(TODAY()&gt;L1294,"Atrasada","Em aberto"),IF(G1294&lt;=L1294,"No prazo","Com atraso")))</f>
        <v/>
      </c>
      <c r="N1294" s="18">
        <f>IF(E1294="","",MAX(0,IF(G1294="",TODAY(),G1294)-L1294))</f>
        <v/>
      </c>
    </row>
    <row r="1295">
      <c r="E1295" s="22" t="n"/>
      <c r="G1295" s="22" t="n"/>
      <c r="I1295" s="22" t="n"/>
      <c r="L1295" s="20">
        <f>IF(E1295="","",E1295+IF(F1295="",IFERROR(VLOOKUP(C1295,Parametros!$E:$F,2,0),0),F1295))</f>
        <v/>
      </c>
      <c r="M1295" s="21">
        <f>IF(E1295="","",IF(G1295="",IF(TODAY()&gt;L1295,"Atrasada","Em aberto"),IF(G1295&lt;=L1295,"No prazo","Com atraso")))</f>
        <v/>
      </c>
      <c r="N1295" s="18">
        <f>IF(E1295="","",MAX(0,IF(G1295="",TODAY(),G1295)-L1295))</f>
        <v/>
      </c>
    </row>
    <row r="1296">
      <c r="E1296" s="22" t="n"/>
      <c r="G1296" s="22" t="n"/>
      <c r="I1296" s="22" t="n"/>
      <c r="L1296" s="20">
        <f>IF(E1296="","",E1296+IF(F1296="",IFERROR(VLOOKUP(C1296,Parametros!$E:$F,2,0),0),F1296))</f>
        <v/>
      </c>
      <c r="M1296" s="21">
        <f>IF(E1296="","",IF(G1296="",IF(TODAY()&gt;L1296,"Atrasada","Em aberto"),IF(G1296&lt;=L1296,"No prazo","Com atraso")))</f>
        <v/>
      </c>
      <c r="N1296" s="18">
        <f>IF(E1296="","",MAX(0,IF(G1296="",TODAY(),G1296)-L1296))</f>
        <v/>
      </c>
    </row>
    <row r="1297">
      <c r="E1297" s="22" t="n"/>
      <c r="G1297" s="22" t="n"/>
      <c r="I1297" s="22" t="n"/>
      <c r="L1297" s="20">
        <f>IF(E1297="","",E1297+IF(F1297="",IFERROR(VLOOKUP(C1297,Parametros!$E:$F,2,0),0),F1297))</f>
        <v/>
      </c>
      <c r="M1297" s="21">
        <f>IF(E1297="","",IF(G1297="",IF(TODAY()&gt;L1297,"Atrasada","Em aberto"),IF(G1297&lt;=L1297,"No prazo","Com atraso")))</f>
        <v/>
      </c>
      <c r="N1297" s="18">
        <f>IF(E1297="","",MAX(0,IF(G1297="",TODAY(),G1297)-L1297))</f>
        <v/>
      </c>
    </row>
    <row r="1298">
      <c r="E1298" s="22" t="n"/>
      <c r="G1298" s="22" t="n"/>
      <c r="I1298" s="22" t="n"/>
      <c r="L1298" s="20">
        <f>IF(E1298="","",E1298+IF(F1298="",IFERROR(VLOOKUP(C1298,Parametros!$E:$F,2,0),0),F1298))</f>
        <v/>
      </c>
      <c r="M1298" s="21">
        <f>IF(E1298="","",IF(G1298="",IF(TODAY()&gt;L1298,"Atrasada","Em aberto"),IF(G1298&lt;=L1298,"No prazo","Com atraso")))</f>
        <v/>
      </c>
      <c r="N1298" s="18">
        <f>IF(E1298="","",MAX(0,IF(G1298="",TODAY(),G1298)-L1298))</f>
        <v/>
      </c>
    </row>
    <row r="1299">
      <c r="E1299" s="22" t="n"/>
      <c r="G1299" s="22" t="n"/>
      <c r="I1299" s="22" t="n"/>
      <c r="L1299" s="20">
        <f>IF(E1299="","",E1299+IF(F1299="",IFERROR(VLOOKUP(C1299,Parametros!$E:$F,2,0),0),F1299))</f>
        <v/>
      </c>
      <c r="M1299" s="21">
        <f>IF(E1299="","",IF(G1299="",IF(TODAY()&gt;L1299,"Atrasada","Em aberto"),IF(G1299&lt;=L1299,"No prazo","Com atraso")))</f>
        <v/>
      </c>
      <c r="N1299" s="18">
        <f>IF(E1299="","",MAX(0,IF(G1299="",TODAY(),G1299)-L1299))</f>
        <v/>
      </c>
    </row>
    <row r="1300">
      <c r="E1300" s="22" t="n"/>
      <c r="G1300" s="22" t="n"/>
      <c r="I1300" s="22" t="n"/>
      <c r="L1300" s="20">
        <f>IF(E1300="","",E1300+IF(F1300="",IFERROR(VLOOKUP(C1300,Parametros!$E:$F,2,0),0),F1300))</f>
        <v/>
      </c>
      <c r="M1300" s="21">
        <f>IF(E1300="","",IF(G1300="",IF(TODAY()&gt;L1300,"Atrasada","Em aberto"),IF(G1300&lt;=L1300,"No prazo","Com atraso")))</f>
        <v/>
      </c>
      <c r="N1300" s="18">
        <f>IF(E1300="","",MAX(0,IF(G1300="",TODAY(),G1300)-L1300))</f>
        <v/>
      </c>
    </row>
    <row r="1301">
      <c r="E1301" s="22" t="n"/>
      <c r="G1301" s="22" t="n"/>
      <c r="I1301" s="22" t="n"/>
      <c r="L1301" s="20">
        <f>IF(E1301="","",E1301+IF(F1301="",IFERROR(VLOOKUP(C1301,Parametros!$E:$F,2,0),0),F1301))</f>
        <v/>
      </c>
      <c r="M1301" s="21">
        <f>IF(E1301="","",IF(G1301="",IF(TODAY()&gt;L1301,"Atrasada","Em aberto"),IF(G1301&lt;=L1301,"No prazo","Com atraso")))</f>
        <v/>
      </c>
      <c r="N1301" s="18">
        <f>IF(E1301="","",MAX(0,IF(G1301="",TODAY(),G1301)-L1301))</f>
        <v/>
      </c>
    </row>
    <row r="1302">
      <c r="E1302" s="22" t="n"/>
      <c r="G1302" s="22" t="n"/>
      <c r="I1302" s="22" t="n"/>
      <c r="L1302" s="20">
        <f>IF(E1302="","",E1302+IF(F1302="",IFERROR(VLOOKUP(C1302,Parametros!$E:$F,2,0),0),F1302))</f>
        <v/>
      </c>
      <c r="M1302" s="21">
        <f>IF(E1302="","",IF(G1302="",IF(TODAY()&gt;L1302,"Atrasada","Em aberto"),IF(G1302&lt;=L1302,"No prazo","Com atraso")))</f>
        <v/>
      </c>
      <c r="N1302" s="18">
        <f>IF(E1302="","",MAX(0,IF(G1302="",TODAY(),G1302)-L1302))</f>
        <v/>
      </c>
    </row>
    <row r="1303">
      <c r="E1303" s="22" t="n"/>
      <c r="G1303" s="22" t="n"/>
      <c r="I1303" s="22" t="n"/>
      <c r="L1303" s="20">
        <f>IF(E1303="","",E1303+IF(F1303="",IFERROR(VLOOKUP(C1303,Parametros!$E:$F,2,0),0),F1303))</f>
        <v/>
      </c>
      <c r="M1303" s="21">
        <f>IF(E1303="","",IF(G1303="",IF(TODAY()&gt;L1303,"Atrasada","Em aberto"),IF(G1303&lt;=L1303,"No prazo","Com atraso")))</f>
        <v/>
      </c>
      <c r="N1303" s="18">
        <f>IF(E1303="","",MAX(0,IF(G1303="",TODAY(),G1303)-L1303))</f>
        <v/>
      </c>
    </row>
    <row r="1304">
      <c r="E1304" s="22" t="n"/>
      <c r="G1304" s="22" t="n"/>
      <c r="I1304" s="22" t="n"/>
      <c r="L1304" s="20">
        <f>IF(E1304="","",E1304+IF(F1304="",IFERROR(VLOOKUP(C1304,Parametros!$E:$F,2,0),0),F1304))</f>
        <v/>
      </c>
      <c r="M1304" s="21">
        <f>IF(E1304="","",IF(G1304="",IF(TODAY()&gt;L1304,"Atrasada","Em aberto"),IF(G1304&lt;=L1304,"No prazo","Com atraso")))</f>
        <v/>
      </c>
      <c r="N1304" s="18">
        <f>IF(E1304="","",MAX(0,IF(G1304="",TODAY(),G1304)-L1304))</f>
        <v/>
      </c>
    </row>
    <row r="1305">
      <c r="E1305" s="22" t="n"/>
      <c r="G1305" s="22" t="n"/>
      <c r="I1305" s="22" t="n"/>
      <c r="L1305" s="20">
        <f>IF(E1305="","",E1305+IF(F1305="",IFERROR(VLOOKUP(C1305,Parametros!$E:$F,2,0),0),F1305))</f>
        <v/>
      </c>
      <c r="M1305" s="21">
        <f>IF(E1305="","",IF(G1305="",IF(TODAY()&gt;L1305,"Atrasada","Em aberto"),IF(G1305&lt;=L1305,"No prazo","Com atraso")))</f>
        <v/>
      </c>
      <c r="N1305" s="18">
        <f>IF(E1305="","",MAX(0,IF(G1305="",TODAY(),G1305)-L1305))</f>
        <v/>
      </c>
    </row>
    <row r="1306">
      <c r="E1306" s="22" t="n"/>
      <c r="G1306" s="22" t="n"/>
      <c r="I1306" s="22" t="n"/>
      <c r="L1306" s="20">
        <f>IF(E1306="","",E1306+IF(F1306="",IFERROR(VLOOKUP(C1306,Parametros!$E:$F,2,0),0),F1306))</f>
        <v/>
      </c>
      <c r="M1306" s="21">
        <f>IF(E1306="","",IF(G1306="",IF(TODAY()&gt;L1306,"Atrasada","Em aberto"),IF(G1306&lt;=L1306,"No prazo","Com atraso")))</f>
        <v/>
      </c>
      <c r="N1306" s="18">
        <f>IF(E1306="","",MAX(0,IF(G1306="",TODAY(),G1306)-L1306))</f>
        <v/>
      </c>
    </row>
    <row r="1307">
      <c r="E1307" s="22" t="n"/>
      <c r="G1307" s="22" t="n"/>
      <c r="I1307" s="22" t="n"/>
      <c r="L1307" s="20">
        <f>IF(E1307="","",E1307+IF(F1307="",IFERROR(VLOOKUP(C1307,Parametros!$E:$F,2,0),0),F1307))</f>
        <v/>
      </c>
      <c r="M1307" s="21">
        <f>IF(E1307="","",IF(G1307="",IF(TODAY()&gt;L1307,"Atrasada","Em aberto"),IF(G1307&lt;=L1307,"No prazo","Com atraso")))</f>
        <v/>
      </c>
      <c r="N1307" s="18">
        <f>IF(E1307="","",MAX(0,IF(G1307="",TODAY(),G1307)-L1307))</f>
        <v/>
      </c>
    </row>
    <row r="1308">
      <c r="E1308" s="22" t="n"/>
      <c r="G1308" s="22" t="n"/>
      <c r="I1308" s="22" t="n"/>
      <c r="L1308" s="20">
        <f>IF(E1308="","",E1308+IF(F1308="",IFERROR(VLOOKUP(C1308,Parametros!$E:$F,2,0),0),F1308))</f>
        <v/>
      </c>
      <c r="M1308" s="21">
        <f>IF(E1308="","",IF(G1308="",IF(TODAY()&gt;L1308,"Atrasada","Em aberto"),IF(G1308&lt;=L1308,"No prazo","Com atraso")))</f>
        <v/>
      </c>
      <c r="N1308" s="18">
        <f>IF(E1308="","",MAX(0,IF(G1308="",TODAY(),G1308)-L1308))</f>
        <v/>
      </c>
    </row>
    <row r="1309">
      <c r="E1309" s="22" t="n"/>
      <c r="G1309" s="22" t="n"/>
      <c r="I1309" s="22" t="n"/>
      <c r="L1309" s="20">
        <f>IF(E1309="","",E1309+IF(F1309="",IFERROR(VLOOKUP(C1309,Parametros!$E:$F,2,0),0),F1309))</f>
        <v/>
      </c>
      <c r="M1309" s="21">
        <f>IF(E1309="","",IF(G1309="",IF(TODAY()&gt;L1309,"Atrasada","Em aberto"),IF(G1309&lt;=L1309,"No prazo","Com atraso")))</f>
        <v/>
      </c>
      <c r="N1309" s="18">
        <f>IF(E1309="","",MAX(0,IF(G1309="",TODAY(),G1309)-L1309))</f>
        <v/>
      </c>
    </row>
    <row r="1310">
      <c r="E1310" s="22" t="n"/>
      <c r="G1310" s="22" t="n"/>
      <c r="I1310" s="22" t="n"/>
      <c r="L1310" s="20">
        <f>IF(E1310="","",E1310+IF(F1310="",IFERROR(VLOOKUP(C1310,Parametros!$E:$F,2,0),0),F1310))</f>
        <v/>
      </c>
      <c r="M1310" s="21">
        <f>IF(E1310="","",IF(G1310="",IF(TODAY()&gt;L1310,"Atrasada","Em aberto"),IF(G1310&lt;=L1310,"No prazo","Com atraso")))</f>
        <v/>
      </c>
      <c r="N1310" s="18">
        <f>IF(E1310="","",MAX(0,IF(G1310="",TODAY(),G1310)-L1310))</f>
        <v/>
      </c>
    </row>
    <row r="1311">
      <c r="E1311" s="22" t="n"/>
      <c r="G1311" s="22" t="n"/>
      <c r="I1311" s="22" t="n"/>
      <c r="L1311" s="20">
        <f>IF(E1311="","",E1311+IF(F1311="",IFERROR(VLOOKUP(C1311,Parametros!$E:$F,2,0),0),F1311))</f>
        <v/>
      </c>
      <c r="M1311" s="21">
        <f>IF(E1311="","",IF(G1311="",IF(TODAY()&gt;L1311,"Atrasada","Em aberto"),IF(G1311&lt;=L1311,"No prazo","Com atraso")))</f>
        <v/>
      </c>
      <c r="N1311" s="18">
        <f>IF(E1311="","",MAX(0,IF(G1311="",TODAY(),G1311)-L1311))</f>
        <v/>
      </c>
    </row>
    <row r="1312">
      <c r="E1312" s="22" t="n"/>
      <c r="G1312" s="22" t="n"/>
      <c r="I1312" s="22" t="n"/>
      <c r="L1312" s="20">
        <f>IF(E1312="","",E1312+IF(F1312="",IFERROR(VLOOKUP(C1312,Parametros!$E:$F,2,0),0),F1312))</f>
        <v/>
      </c>
      <c r="M1312" s="21">
        <f>IF(E1312="","",IF(G1312="",IF(TODAY()&gt;L1312,"Atrasada","Em aberto"),IF(G1312&lt;=L1312,"No prazo","Com atraso")))</f>
        <v/>
      </c>
      <c r="N1312" s="18">
        <f>IF(E1312="","",MAX(0,IF(G1312="",TODAY(),G1312)-L1312))</f>
        <v/>
      </c>
    </row>
    <row r="1313">
      <c r="E1313" s="22" t="n"/>
      <c r="G1313" s="22" t="n"/>
      <c r="I1313" s="22" t="n"/>
      <c r="L1313" s="20">
        <f>IF(E1313="","",E1313+IF(F1313="",IFERROR(VLOOKUP(C1313,Parametros!$E:$F,2,0),0),F1313))</f>
        <v/>
      </c>
      <c r="M1313" s="21">
        <f>IF(E1313="","",IF(G1313="",IF(TODAY()&gt;L1313,"Atrasada","Em aberto"),IF(G1313&lt;=L1313,"No prazo","Com atraso")))</f>
        <v/>
      </c>
      <c r="N1313" s="18">
        <f>IF(E1313="","",MAX(0,IF(G1313="",TODAY(),G1313)-L1313))</f>
        <v/>
      </c>
    </row>
    <row r="1314">
      <c r="E1314" s="22" t="n"/>
      <c r="G1314" s="22" t="n"/>
      <c r="I1314" s="22" t="n"/>
      <c r="L1314" s="20">
        <f>IF(E1314="","",E1314+IF(F1314="",IFERROR(VLOOKUP(C1314,Parametros!$E:$F,2,0),0),F1314))</f>
        <v/>
      </c>
      <c r="M1314" s="21">
        <f>IF(E1314="","",IF(G1314="",IF(TODAY()&gt;L1314,"Atrasada","Em aberto"),IF(G1314&lt;=L1314,"No prazo","Com atraso")))</f>
        <v/>
      </c>
      <c r="N1314" s="18">
        <f>IF(E1314="","",MAX(0,IF(G1314="",TODAY(),G1314)-L1314))</f>
        <v/>
      </c>
    </row>
    <row r="1315">
      <c r="E1315" s="22" t="n"/>
      <c r="G1315" s="22" t="n"/>
      <c r="I1315" s="22" t="n"/>
      <c r="L1315" s="20">
        <f>IF(E1315="","",E1315+IF(F1315="",IFERROR(VLOOKUP(C1315,Parametros!$E:$F,2,0),0),F1315))</f>
        <v/>
      </c>
      <c r="M1315" s="21">
        <f>IF(E1315="","",IF(G1315="",IF(TODAY()&gt;L1315,"Atrasada","Em aberto"),IF(G1315&lt;=L1315,"No prazo","Com atraso")))</f>
        <v/>
      </c>
      <c r="N1315" s="18">
        <f>IF(E1315="","",MAX(0,IF(G1315="",TODAY(),G1315)-L1315))</f>
        <v/>
      </c>
    </row>
    <row r="1316">
      <c r="E1316" s="22" t="n"/>
      <c r="G1316" s="22" t="n"/>
      <c r="I1316" s="22" t="n"/>
      <c r="L1316" s="20">
        <f>IF(E1316="","",E1316+IF(F1316="",IFERROR(VLOOKUP(C1316,Parametros!$E:$F,2,0),0),F1316))</f>
        <v/>
      </c>
      <c r="M1316" s="21">
        <f>IF(E1316="","",IF(G1316="",IF(TODAY()&gt;L1316,"Atrasada","Em aberto"),IF(G1316&lt;=L1316,"No prazo","Com atraso")))</f>
        <v/>
      </c>
      <c r="N1316" s="18">
        <f>IF(E1316="","",MAX(0,IF(G1316="",TODAY(),G1316)-L1316))</f>
        <v/>
      </c>
    </row>
    <row r="1317">
      <c r="E1317" s="22" t="n"/>
      <c r="G1317" s="22" t="n"/>
      <c r="I1317" s="22" t="n"/>
      <c r="L1317" s="20">
        <f>IF(E1317="","",E1317+IF(F1317="",IFERROR(VLOOKUP(C1317,Parametros!$E:$F,2,0),0),F1317))</f>
        <v/>
      </c>
      <c r="M1317" s="21">
        <f>IF(E1317="","",IF(G1317="",IF(TODAY()&gt;L1317,"Atrasada","Em aberto"),IF(G1317&lt;=L1317,"No prazo","Com atraso")))</f>
        <v/>
      </c>
      <c r="N1317" s="18">
        <f>IF(E1317="","",MAX(0,IF(G1317="",TODAY(),G1317)-L1317))</f>
        <v/>
      </c>
    </row>
    <row r="1318">
      <c r="E1318" s="22" t="n"/>
      <c r="G1318" s="22" t="n"/>
      <c r="I1318" s="22" t="n"/>
      <c r="L1318" s="20">
        <f>IF(E1318="","",E1318+IF(F1318="",IFERROR(VLOOKUP(C1318,Parametros!$E:$F,2,0),0),F1318))</f>
        <v/>
      </c>
      <c r="M1318" s="21">
        <f>IF(E1318="","",IF(G1318="",IF(TODAY()&gt;L1318,"Atrasada","Em aberto"),IF(G1318&lt;=L1318,"No prazo","Com atraso")))</f>
        <v/>
      </c>
      <c r="N1318" s="18">
        <f>IF(E1318="","",MAX(0,IF(G1318="",TODAY(),G1318)-L1318))</f>
        <v/>
      </c>
    </row>
    <row r="1319">
      <c r="E1319" s="22" t="n"/>
      <c r="G1319" s="22" t="n"/>
      <c r="I1319" s="22" t="n"/>
      <c r="L1319" s="20">
        <f>IF(E1319="","",E1319+IF(F1319="",IFERROR(VLOOKUP(C1319,Parametros!$E:$F,2,0),0),F1319))</f>
        <v/>
      </c>
      <c r="M1319" s="21">
        <f>IF(E1319="","",IF(G1319="",IF(TODAY()&gt;L1319,"Atrasada","Em aberto"),IF(G1319&lt;=L1319,"No prazo","Com atraso")))</f>
        <v/>
      </c>
      <c r="N1319" s="18">
        <f>IF(E1319="","",MAX(0,IF(G1319="",TODAY(),G1319)-L1319))</f>
        <v/>
      </c>
    </row>
    <row r="1320">
      <c r="E1320" s="22" t="n"/>
      <c r="G1320" s="22" t="n"/>
      <c r="I1320" s="22" t="n"/>
      <c r="L1320" s="20">
        <f>IF(E1320="","",E1320+IF(F1320="",IFERROR(VLOOKUP(C1320,Parametros!$E:$F,2,0),0),F1320))</f>
        <v/>
      </c>
      <c r="M1320" s="21">
        <f>IF(E1320="","",IF(G1320="",IF(TODAY()&gt;L1320,"Atrasada","Em aberto"),IF(G1320&lt;=L1320,"No prazo","Com atraso")))</f>
        <v/>
      </c>
      <c r="N1320" s="18">
        <f>IF(E1320="","",MAX(0,IF(G1320="",TODAY(),G1320)-L1320))</f>
        <v/>
      </c>
    </row>
    <row r="1321">
      <c r="E1321" s="22" t="n"/>
      <c r="G1321" s="22" t="n"/>
      <c r="I1321" s="22" t="n"/>
      <c r="L1321" s="20">
        <f>IF(E1321="","",E1321+IF(F1321="",IFERROR(VLOOKUP(C1321,Parametros!$E:$F,2,0),0),F1321))</f>
        <v/>
      </c>
      <c r="M1321" s="21">
        <f>IF(E1321="","",IF(G1321="",IF(TODAY()&gt;L1321,"Atrasada","Em aberto"),IF(G1321&lt;=L1321,"No prazo","Com atraso")))</f>
        <v/>
      </c>
      <c r="N1321" s="18">
        <f>IF(E1321="","",MAX(0,IF(G1321="",TODAY(),G1321)-L1321))</f>
        <v/>
      </c>
    </row>
    <row r="1322">
      <c r="E1322" s="22" t="n"/>
      <c r="G1322" s="22" t="n"/>
      <c r="I1322" s="22" t="n"/>
      <c r="L1322" s="20">
        <f>IF(E1322="","",E1322+IF(F1322="",IFERROR(VLOOKUP(C1322,Parametros!$E:$F,2,0),0),F1322))</f>
        <v/>
      </c>
      <c r="M1322" s="21">
        <f>IF(E1322="","",IF(G1322="",IF(TODAY()&gt;L1322,"Atrasada","Em aberto"),IF(G1322&lt;=L1322,"No prazo","Com atraso")))</f>
        <v/>
      </c>
      <c r="N1322" s="18">
        <f>IF(E1322="","",MAX(0,IF(G1322="",TODAY(),G1322)-L1322))</f>
        <v/>
      </c>
    </row>
    <row r="1323">
      <c r="E1323" s="22" t="n"/>
      <c r="G1323" s="22" t="n"/>
      <c r="I1323" s="22" t="n"/>
      <c r="L1323" s="20">
        <f>IF(E1323="","",E1323+IF(F1323="",IFERROR(VLOOKUP(C1323,Parametros!$E:$F,2,0),0),F1323))</f>
        <v/>
      </c>
      <c r="M1323" s="21">
        <f>IF(E1323="","",IF(G1323="",IF(TODAY()&gt;L1323,"Atrasada","Em aberto"),IF(G1323&lt;=L1323,"No prazo","Com atraso")))</f>
        <v/>
      </c>
      <c r="N1323" s="18">
        <f>IF(E1323="","",MAX(0,IF(G1323="",TODAY(),G1323)-L1323))</f>
        <v/>
      </c>
    </row>
    <row r="1324">
      <c r="E1324" s="22" t="n"/>
      <c r="G1324" s="22" t="n"/>
      <c r="I1324" s="22" t="n"/>
      <c r="L1324" s="20">
        <f>IF(E1324="","",E1324+IF(F1324="",IFERROR(VLOOKUP(C1324,Parametros!$E:$F,2,0),0),F1324))</f>
        <v/>
      </c>
      <c r="M1324" s="21">
        <f>IF(E1324="","",IF(G1324="",IF(TODAY()&gt;L1324,"Atrasada","Em aberto"),IF(G1324&lt;=L1324,"No prazo","Com atraso")))</f>
        <v/>
      </c>
      <c r="N1324" s="18">
        <f>IF(E1324="","",MAX(0,IF(G1324="",TODAY(),G1324)-L1324))</f>
        <v/>
      </c>
    </row>
    <row r="1325">
      <c r="E1325" s="22" t="n"/>
      <c r="G1325" s="22" t="n"/>
      <c r="I1325" s="22" t="n"/>
      <c r="L1325" s="20">
        <f>IF(E1325="","",E1325+IF(F1325="",IFERROR(VLOOKUP(C1325,Parametros!$E:$F,2,0),0),F1325))</f>
        <v/>
      </c>
      <c r="M1325" s="21">
        <f>IF(E1325="","",IF(G1325="",IF(TODAY()&gt;L1325,"Atrasada","Em aberto"),IF(G1325&lt;=L1325,"No prazo","Com atraso")))</f>
        <v/>
      </c>
      <c r="N1325" s="18">
        <f>IF(E1325="","",MAX(0,IF(G1325="",TODAY(),G1325)-L1325))</f>
        <v/>
      </c>
    </row>
    <row r="1326">
      <c r="E1326" s="22" t="n"/>
      <c r="G1326" s="22" t="n"/>
      <c r="I1326" s="22" t="n"/>
      <c r="L1326" s="20">
        <f>IF(E1326="","",E1326+IF(F1326="",IFERROR(VLOOKUP(C1326,Parametros!$E:$F,2,0),0),F1326))</f>
        <v/>
      </c>
      <c r="M1326" s="21">
        <f>IF(E1326="","",IF(G1326="",IF(TODAY()&gt;L1326,"Atrasada","Em aberto"),IF(G1326&lt;=L1326,"No prazo","Com atraso")))</f>
        <v/>
      </c>
      <c r="N1326" s="18">
        <f>IF(E1326="","",MAX(0,IF(G1326="",TODAY(),G1326)-L1326))</f>
        <v/>
      </c>
    </row>
    <row r="1327">
      <c r="E1327" s="22" t="n"/>
      <c r="G1327" s="22" t="n"/>
      <c r="I1327" s="22" t="n"/>
      <c r="L1327" s="20">
        <f>IF(E1327="","",E1327+IF(F1327="",IFERROR(VLOOKUP(C1327,Parametros!$E:$F,2,0),0),F1327))</f>
        <v/>
      </c>
      <c r="M1327" s="21">
        <f>IF(E1327="","",IF(G1327="",IF(TODAY()&gt;L1327,"Atrasada","Em aberto"),IF(G1327&lt;=L1327,"No prazo","Com atraso")))</f>
        <v/>
      </c>
      <c r="N1327" s="18">
        <f>IF(E1327="","",MAX(0,IF(G1327="",TODAY(),G1327)-L1327))</f>
        <v/>
      </c>
    </row>
    <row r="1328">
      <c r="E1328" s="22" t="n"/>
      <c r="G1328" s="22" t="n"/>
      <c r="I1328" s="22" t="n"/>
      <c r="L1328" s="20">
        <f>IF(E1328="","",E1328+IF(F1328="",IFERROR(VLOOKUP(C1328,Parametros!$E:$F,2,0),0),F1328))</f>
        <v/>
      </c>
      <c r="M1328" s="21">
        <f>IF(E1328="","",IF(G1328="",IF(TODAY()&gt;L1328,"Atrasada","Em aberto"),IF(G1328&lt;=L1328,"No prazo","Com atraso")))</f>
        <v/>
      </c>
      <c r="N1328" s="18">
        <f>IF(E1328="","",MAX(0,IF(G1328="",TODAY(),G1328)-L1328))</f>
        <v/>
      </c>
    </row>
    <row r="1329">
      <c r="E1329" s="22" t="n"/>
      <c r="G1329" s="22" t="n"/>
      <c r="I1329" s="22" t="n"/>
      <c r="L1329" s="20">
        <f>IF(E1329="","",E1329+IF(F1329="",IFERROR(VLOOKUP(C1329,Parametros!$E:$F,2,0),0),F1329))</f>
        <v/>
      </c>
      <c r="M1329" s="21">
        <f>IF(E1329="","",IF(G1329="",IF(TODAY()&gt;L1329,"Atrasada","Em aberto"),IF(G1329&lt;=L1329,"No prazo","Com atraso")))</f>
        <v/>
      </c>
      <c r="N1329" s="18">
        <f>IF(E1329="","",MAX(0,IF(G1329="",TODAY(),G1329)-L1329))</f>
        <v/>
      </c>
    </row>
    <row r="1330">
      <c r="E1330" s="22" t="n"/>
      <c r="G1330" s="22" t="n"/>
      <c r="I1330" s="22" t="n"/>
      <c r="L1330" s="20">
        <f>IF(E1330="","",E1330+IF(F1330="",IFERROR(VLOOKUP(C1330,Parametros!$E:$F,2,0),0),F1330))</f>
        <v/>
      </c>
      <c r="M1330" s="21">
        <f>IF(E1330="","",IF(G1330="",IF(TODAY()&gt;L1330,"Atrasada","Em aberto"),IF(G1330&lt;=L1330,"No prazo","Com atraso")))</f>
        <v/>
      </c>
      <c r="N1330" s="18">
        <f>IF(E1330="","",MAX(0,IF(G1330="",TODAY(),G1330)-L1330))</f>
        <v/>
      </c>
    </row>
    <row r="1331">
      <c r="E1331" s="22" t="n"/>
      <c r="G1331" s="22" t="n"/>
      <c r="I1331" s="22" t="n"/>
      <c r="L1331" s="20">
        <f>IF(E1331="","",E1331+IF(F1331="",IFERROR(VLOOKUP(C1331,Parametros!$E:$F,2,0),0),F1331))</f>
        <v/>
      </c>
      <c r="M1331" s="21">
        <f>IF(E1331="","",IF(G1331="",IF(TODAY()&gt;L1331,"Atrasada","Em aberto"),IF(G1331&lt;=L1331,"No prazo","Com atraso")))</f>
        <v/>
      </c>
      <c r="N1331" s="18">
        <f>IF(E1331="","",MAX(0,IF(G1331="",TODAY(),G1331)-L1331))</f>
        <v/>
      </c>
    </row>
    <row r="1332">
      <c r="E1332" s="22" t="n"/>
      <c r="G1332" s="22" t="n"/>
      <c r="I1332" s="22" t="n"/>
      <c r="L1332" s="20">
        <f>IF(E1332="","",E1332+IF(F1332="",IFERROR(VLOOKUP(C1332,Parametros!$E:$F,2,0),0),F1332))</f>
        <v/>
      </c>
      <c r="M1332" s="21">
        <f>IF(E1332="","",IF(G1332="",IF(TODAY()&gt;L1332,"Atrasada","Em aberto"),IF(G1332&lt;=L1332,"No prazo","Com atraso")))</f>
        <v/>
      </c>
      <c r="N1332" s="18">
        <f>IF(E1332="","",MAX(0,IF(G1332="",TODAY(),G1332)-L1332))</f>
        <v/>
      </c>
    </row>
    <row r="1333">
      <c r="E1333" s="22" t="n"/>
      <c r="G1333" s="22" t="n"/>
      <c r="I1333" s="22" t="n"/>
      <c r="L1333" s="20">
        <f>IF(E1333="","",E1333+IF(F1333="",IFERROR(VLOOKUP(C1333,Parametros!$E:$F,2,0),0),F1333))</f>
        <v/>
      </c>
      <c r="M1333" s="21">
        <f>IF(E1333="","",IF(G1333="",IF(TODAY()&gt;L1333,"Atrasada","Em aberto"),IF(G1333&lt;=L1333,"No prazo","Com atraso")))</f>
        <v/>
      </c>
      <c r="N1333" s="18">
        <f>IF(E1333="","",MAX(0,IF(G1333="",TODAY(),G1333)-L1333))</f>
        <v/>
      </c>
    </row>
    <row r="1334">
      <c r="E1334" s="22" t="n"/>
      <c r="G1334" s="22" t="n"/>
      <c r="I1334" s="22" t="n"/>
      <c r="L1334" s="20">
        <f>IF(E1334="","",E1334+IF(F1334="",IFERROR(VLOOKUP(C1334,Parametros!$E:$F,2,0),0),F1334))</f>
        <v/>
      </c>
      <c r="M1334" s="21">
        <f>IF(E1334="","",IF(G1334="",IF(TODAY()&gt;L1334,"Atrasada","Em aberto"),IF(G1334&lt;=L1334,"No prazo","Com atraso")))</f>
        <v/>
      </c>
      <c r="N1334" s="18">
        <f>IF(E1334="","",MAX(0,IF(G1334="",TODAY(),G1334)-L1334))</f>
        <v/>
      </c>
    </row>
    <row r="1335">
      <c r="E1335" s="22" t="n"/>
      <c r="G1335" s="22" t="n"/>
      <c r="I1335" s="22" t="n"/>
      <c r="L1335" s="20">
        <f>IF(E1335="","",E1335+IF(F1335="",IFERROR(VLOOKUP(C1335,Parametros!$E:$F,2,0),0),F1335))</f>
        <v/>
      </c>
      <c r="M1335" s="21">
        <f>IF(E1335="","",IF(G1335="",IF(TODAY()&gt;L1335,"Atrasada","Em aberto"),IF(G1335&lt;=L1335,"No prazo","Com atraso")))</f>
        <v/>
      </c>
      <c r="N1335" s="18">
        <f>IF(E1335="","",MAX(0,IF(G1335="",TODAY(),G1335)-L1335))</f>
        <v/>
      </c>
    </row>
    <row r="1336">
      <c r="E1336" s="22" t="n"/>
      <c r="G1336" s="22" t="n"/>
      <c r="I1336" s="22" t="n"/>
      <c r="L1336" s="20">
        <f>IF(E1336="","",E1336+IF(F1336="",IFERROR(VLOOKUP(C1336,Parametros!$E:$F,2,0),0),F1336))</f>
        <v/>
      </c>
      <c r="M1336" s="21">
        <f>IF(E1336="","",IF(G1336="",IF(TODAY()&gt;L1336,"Atrasada","Em aberto"),IF(G1336&lt;=L1336,"No prazo","Com atraso")))</f>
        <v/>
      </c>
      <c r="N1336" s="18">
        <f>IF(E1336="","",MAX(0,IF(G1336="",TODAY(),G1336)-L1336))</f>
        <v/>
      </c>
    </row>
    <row r="1337">
      <c r="E1337" s="22" t="n"/>
      <c r="G1337" s="22" t="n"/>
      <c r="I1337" s="22" t="n"/>
      <c r="L1337" s="20">
        <f>IF(E1337="","",E1337+IF(F1337="",IFERROR(VLOOKUP(C1337,Parametros!$E:$F,2,0),0),F1337))</f>
        <v/>
      </c>
      <c r="M1337" s="21">
        <f>IF(E1337="","",IF(G1337="",IF(TODAY()&gt;L1337,"Atrasada","Em aberto"),IF(G1337&lt;=L1337,"No prazo","Com atraso")))</f>
        <v/>
      </c>
      <c r="N1337" s="18">
        <f>IF(E1337="","",MAX(0,IF(G1337="",TODAY(),G1337)-L1337))</f>
        <v/>
      </c>
    </row>
    <row r="1338">
      <c r="E1338" s="22" t="n"/>
      <c r="G1338" s="22" t="n"/>
      <c r="I1338" s="22" t="n"/>
      <c r="L1338" s="20">
        <f>IF(E1338="","",E1338+IF(F1338="",IFERROR(VLOOKUP(C1338,Parametros!$E:$F,2,0),0),F1338))</f>
        <v/>
      </c>
      <c r="M1338" s="21">
        <f>IF(E1338="","",IF(G1338="",IF(TODAY()&gt;L1338,"Atrasada","Em aberto"),IF(G1338&lt;=L1338,"No prazo","Com atraso")))</f>
        <v/>
      </c>
      <c r="N1338" s="18">
        <f>IF(E1338="","",MAX(0,IF(G1338="",TODAY(),G1338)-L1338))</f>
        <v/>
      </c>
    </row>
    <row r="1339">
      <c r="E1339" s="22" t="n"/>
      <c r="G1339" s="22" t="n"/>
      <c r="I1339" s="22" t="n"/>
      <c r="L1339" s="20">
        <f>IF(E1339="","",E1339+IF(F1339="",IFERROR(VLOOKUP(C1339,Parametros!$E:$F,2,0),0),F1339))</f>
        <v/>
      </c>
      <c r="M1339" s="21">
        <f>IF(E1339="","",IF(G1339="",IF(TODAY()&gt;L1339,"Atrasada","Em aberto"),IF(G1339&lt;=L1339,"No prazo","Com atraso")))</f>
        <v/>
      </c>
      <c r="N1339" s="18">
        <f>IF(E1339="","",MAX(0,IF(G1339="",TODAY(),G1339)-L1339))</f>
        <v/>
      </c>
    </row>
    <row r="1340">
      <c r="E1340" s="22" t="n"/>
      <c r="G1340" s="22" t="n"/>
      <c r="I1340" s="22" t="n"/>
      <c r="L1340" s="20">
        <f>IF(E1340="","",E1340+IF(F1340="",IFERROR(VLOOKUP(C1340,Parametros!$E:$F,2,0),0),F1340))</f>
        <v/>
      </c>
      <c r="M1340" s="21">
        <f>IF(E1340="","",IF(G1340="",IF(TODAY()&gt;L1340,"Atrasada","Em aberto"),IF(G1340&lt;=L1340,"No prazo","Com atraso")))</f>
        <v/>
      </c>
      <c r="N1340" s="18">
        <f>IF(E1340="","",MAX(0,IF(G1340="",TODAY(),G1340)-L1340))</f>
        <v/>
      </c>
    </row>
    <row r="1341">
      <c r="E1341" s="22" t="n"/>
      <c r="G1341" s="22" t="n"/>
      <c r="I1341" s="22" t="n"/>
      <c r="L1341" s="20">
        <f>IF(E1341="","",E1341+IF(F1341="",IFERROR(VLOOKUP(C1341,Parametros!$E:$F,2,0),0),F1341))</f>
        <v/>
      </c>
      <c r="M1341" s="21">
        <f>IF(E1341="","",IF(G1341="",IF(TODAY()&gt;L1341,"Atrasada","Em aberto"),IF(G1341&lt;=L1341,"No prazo","Com atraso")))</f>
        <v/>
      </c>
      <c r="N1341" s="18">
        <f>IF(E1341="","",MAX(0,IF(G1341="",TODAY(),G1341)-L1341))</f>
        <v/>
      </c>
    </row>
    <row r="1342">
      <c r="E1342" s="22" t="n"/>
      <c r="G1342" s="22" t="n"/>
      <c r="I1342" s="22" t="n"/>
      <c r="L1342" s="20">
        <f>IF(E1342="","",E1342+IF(F1342="",IFERROR(VLOOKUP(C1342,Parametros!$E:$F,2,0),0),F1342))</f>
        <v/>
      </c>
      <c r="M1342" s="21">
        <f>IF(E1342="","",IF(G1342="",IF(TODAY()&gt;L1342,"Atrasada","Em aberto"),IF(G1342&lt;=L1342,"No prazo","Com atraso")))</f>
        <v/>
      </c>
      <c r="N1342" s="18">
        <f>IF(E1342="","",MAX(0,IF(G1342="",TODAY(),G1342)-L1342))</f>
        <v/>
      </c>
    </row>
    <row r="1343">
      <c r="E1343" s="22" t="n"/>
      <c r="G1343" s="22" t="n"/>
      <c r="I1343" s="22" t="n"/>
      <c r="L1343" s="20">
        <f>IF(E1343="","",E1343+IF(F1343="",IFERROR(VLOOKUP(C1343,Parametros!$E:$F,2,0),0),F1343))</f>
        <v/>
      </c>
      <c r="M1343" s="21">
        <f>IF(E1343="","",IF(G1343="",IF(TODAY()&gt;L1343,"Atrasada","Em aberto"),IF(G1343&lt;=L1343,"No prazo","Com atraso")))</f>
        <v/>
      </c>
      <c r="N1343" s="18">
        <f>IF(E1343="","",MAX(0,IF(G1343="",TODAY(),G1343)-L1343))</f>
        <v/>
      </c>
    </row>
    <row r="1344">
      <c r="E1344" s="22" t="n"/>
      <c r="G1344" s="22" t="n"/>
      <c r="I1344" s="22" t="n"/>
      <c r="L1344" s="20">
        <f>IF(E1344="","",E1344+IF(F1344="",IFERROR(VLOOKUP(C1344,Parametros!$E:$F,2,0),0),F1344))</f>
        <v/>
      </c>
      <c r="M1344" s="21">
        <f>IF(E1344="","",IF(G1344="",IF(TODAY()&gt;L1344,"Atrasada","Em aberto"),IF(G1344&lt;=L1344,"No prazo","Com atraso")))</f>
        <v/>
      </c>
      <c r="N1344" s="18">
        <f>IF(E1344="","",MAX(0,IF(G1344="",TODAY(),G1344)-L1344))</f>
        <v/>
      </c>
    </row>
    <row r="1345">
      <c r="E1345" s="22" t="n"/>
      <c r="G1345" s="22" t="n"/>
      <c r="I1345" s="22" t="n"/>
      <c r="L1345" s="20">
        <f>IF(E1345="","",E1345+IF(F1345="",IFERROR(VLOOKUP(C1345,Parametros!$E:$F,2,0),0),F1345))</f>
        <v/>
      </c>
      <c r="M1345" s="21">
        <f>IF(E1345="","",IF(G1345="",IF(TODAY()&gt;L1345,"Atrasada","Em aberto"),IF(G1345&lt;=L1345,"No prazo","Com atraso")))</f>
        <v/>
      </c>
      <c r="N1345" s="18">
        <f>IF(E1345="","",MAX(0,IF(G1345="",TODAY(),G1345)-L1345))</f>
        <v/>
      </c>
    </row>
    <row r="1346">
      <c r="E1346" s="22" t="n"/>
      <c r="G1346" s="22" t="n"/>
      <c r="I1346" s="22" t="n"/>
      <c r="L1346" s="20">
        <f>IF(E1346="","",E1346+IF(F1346="",IFERROR(VLOOKUP(C1346,Parametros!$E:$F,2,0),0),F1346))</f>
        <v/>
      </c>
      <c r="M1346" s="21">
        <f>IF(E1346="","",IF(G1346="",IF(TODAY()&gt;L1346,"Atrasada","Em aberto"),IF(G1346&lt;=L1346,"No prazo","Com atraso")))</f>
        <v/>
      </c>
      <c r="N1346" s="18">
        <f>IF(E1346="","",MAX(0,IF(G1346="",TODAY(),G1346)-L1346))</f>
        <v/>
      </c>
    </row>
    <row r="1347">
      <c r="E1347" s="22" t="n"/>
      <c r="G1347" s="22" t="n"/>
      <c r="I1347" s="22" t="n"/>
      <c r="L1347" s="20">
        <f>IF(E1347="","",E1347+IF(F1347="",IFERROR(VLOOKUP(C1347,Parametros!$E:$F,2,0),0),F1347))</f>
        <v/>
      </c>
      <c r="M1347" s="21">
        <f>IF(E1347="","",IF(G1347="",IF(TODAY()&gt;L1347,"Atrasada","Em aberto"),IF(G1347&lt;=L1347,"No prazo","Com atraso")))</f>
        <v/>
      </c>
      <c r="N1347" s="18">
        <f>IF(E1347="","",MAX(0,IF(G1347="",TODAY(),G1347)-L1347))</f>
        <v/>
      </c>
    </row>
    <row r="1348">
      <c r="E1348" s="22" t="n"/>
      <c r="G1348" s="22" t="n"/>
      <c r="I1348" s="22" t="n"/>
      <c r="L1348" s="20">
        <f>IF(E1348="","",E1348+IF(F1348="",IFERROR(VLOOKUP(C1348,Parametros!$E:$F,2,0),0),F1348))</f>
        <v/>
      </c>
      <c r="M1348" s="21">
        <f>IF(E1348="","",IF(G1348="",IF(TODAY()&gt;L1348,"Atrasada","Em aberto"),IF(G1348&lt;=L1348,"No prazo","Com atraso")))</f>
        <v/>
      </c>
      <c r="N1348" s="18">
        <f>IF(E1348="","",MAX(0,IF(G1348="",TODAY(),G1348)-L1348))</f>
        <v/>
      </c>
    </row>
    <row r="1349">
      <c r="E1349" s="22" t="n"/>
      <c r="G1349" s="22" t="n"/>
      <c r="I1349" s="22" t="n"/>
      <c r="L1349" s="20">
        <f>IF(E1349="","",E1349+IF(F1349="",IFERROR(VLOOKUP(C1349,Parametros!$E:$F,2,0),0),F1349))</f>
        <v/>
      </c>
      <c r="M1349" s="21">
        <f>IF(E1349="","",IF(G1349="",IF(TODAY()&gt;L1349,"Atrasada","Em aberto"),IF(G1349&lt;=L1349,"No prazo","Com atraso")))</f>
        <v/>
      </c>
      <c r="N1349" s="18">
        <f>IF(E1349="","",MAX(0,IF(G1349="",TODAY(),G1349)-L1349))</f>
        <v/>
      </c>
    </row>
    <row r="1350">
      <c r="E1350" s="22" t="n"/>
      <c r="G1350" s="22" t="n"/>
      <c r="I1350" s="22" t="n"/>
      <c r="L1350" s="20">
        <f>IF(E1350="","",E1350+IF(F1350="",IFERROR(VLOOKUP(C1350,Parametros!$E:$F,2,0),0),F1350))</f>
        <v/>
      </c>
      <c r="M1350" s="21">
        <f>IF(E1350="","",IF(G1350="",IF(TODAY()&gt;L1350,"Atrasada","Em aberto"),IF(G1350&lt;=L1350,"No prazo","Com atraso")))</f>
        <v/>
      </c>
      <c r="N1350" s="18">
        <f>IF(E1350="","",MAX(0,IF(G1350="",TODAY(),G1350)-L1350))</f>
        <v/>
      </c>
    </row>
    <row r="1351">
      <c r="E1351" s="22" t="n"/>
      <c r="G1351" s="22" t="n"/>
      <c r="I1351" s="22" t="n"/>
      <c r="L1351" s="20">
        <f>IF(E1351="","",E1351+IF(F1351="",IFERROR(VLOOKUP(C1351,Parametros!$E:$F,2,0),0),F1351))</f>
        <v/>
      </c>
      <c r="M1351" s="21">
        <f>IF(E1351="","",IF(G1351="",IF(TODAY()&gt;L1351,"Atrasada","Em aberto"),IF(G1351&lt;=L1351,"No prazo","Com atraso")))</f>
        <v/>
      </c>
      <c r="N1351" s="18">
        <f>IF(E1351="","",MAX(0,IF(G1351="",TODAY(),G1351)-L1351))</f>
        <v/>
      </c>
    </row>
    <row r="1352">
      <c r="E1352" s="22" t="n"/>
      <c r="G1352" s="22" t="n"/>
      <c r="I1352" s="22" t="n"/>
      <c r="L1352" s="20">
        <f>IF(E1352="","",E1352+IF(F1352="",IFERROR(VLOOKUP(C1352,Parametros!$E:$F,2,0),0),F1352))</f>
        <v/>
      </c>
      <c r="M1352" s="21">
        <f>IF(E1352="","",IF(G1352="",IF(TODAY()&gt;L1352,"Atrasada","Em aberto"),IF(G1352&lt;=L1352,"No prazo","Com atraso")))</f>
        <v/>
      </c>
      <c r="N1352" s="18">
        <f>IF(E1352="","",MAX(0,IF(G1352="",TODAY(),G1352)-L1352))</f>
        <v/>
      </c>
    </row>
    <row r="1353">
      <c r="E1353" s="22" t="n"/>
      <c r="G1353" s="22" t="n"/>
      <c r="I1353" s="22" t="n"/>
      <c r="L1353" s="20">
        <f>IF(E1353="","",E1353+IF(F1353="",IFERROR(VLOOKUP(C1353,Parametros!$E:$F,2,0),0),F1353))</f>
        <v/>
      </c>
      <c r="M1353" s="21">
        <f>IF(E1353="","",IF(G1353="",IF(TODAY()&gt;L1353,"Atrasada","Em aberto"),IF(G1353&lt;=L1353,"No prazo","Com atraso")))</f>
        <v/>
      </c>
      <c r="N1353" s="18">
        <f>IF(E1353="","",MAX(0,IF(G1353="",TODAY(),G1353)-L1353))</f>
        <v/>
      </c>
    </row>
    <row r="1354">
      <c r="E1354" s="22" t="n"/>
      <c r="G1354" s="22" t="n"/>
      <c r="I1354" s="22" t="n"/>
      <c r="L1354" s="20">
        <f>IF(E1354="","",E1354+IF(F1354="",IFERROR(VLOOKUP(C1354,Parametros!$E:$F,2,0),0),F1354))</f>
        <v/>
      </c>
      <c r="M1354" s="21">
        <f>IF(E1354="","",IF(G1354="",IF(TODAY()&gt;L1354,"Atrasada","Em aberto"),IF(G1354&lt;=L1354,"No prazo","Com atraso")))</f>
        <v/>
      </c>
      <c r="N1354" s="18">
        <f>IF(E1354="","",MAX(0,IF(G1354="",TODAY(),G1354)-L1354))</f>
        <v/>
      </c>
    </row>
    <row r="1355">
      <c r="E1355" s="22" t="n"/>
      <c r="G1355" s="22" t="n"/>
      <c r="I1355" s="22" t="n"/>
      <c r="L1355" s="20">
        <f>IF(E1355="","",E1355+IF(F1355="",IFERROR(VLOOKUP(C1355,Parametros!$E:$F,2,0),0),F1355))</f>
        <v/>
      </c>
      <c r="M1355" s="21">
        <f>IF(E1355="","",IF(G1355="",IF(TODAY()&gt;L1355,"Atrasada","Em aberto"),IF(G1355&lt;=L1355,"No prazo","Com atraso")))</f>
        <v/>
      </c>
      <c r="N1355" s="18">
        <f>IF(E1355="","",MAX(0,IF(G1355="",TODAY(),G1355)-L1355))</f>
        <v/>
      </c>
    </row>
    <row r="1356">
      <c r="E1356" s="22" t="n"/>
      <c r="G1356" s="22" t="n"/>
      <c r="I1356" s="22" t="n"/>
      <c r="L1356" s="20">
        <f>IF(E1356="","",E1356+IF(F1356="",IFERROR(VLOOKUP(C1356,Parametros!$E:$F,2,0),0),F1356))</f>
        <v/>
      </c>
      <c r="M1356" s="21">
        <f>IF(E1356="","",IF(G1356="",IF(TODAY()&gt;L1356,"Atrasada","Em aberto"),IF(G1356&lt;=L1356,"No prazo","Com atraso")))</f>
        <v/>
      </c>
      <c r="N1356" s="18">
        <f>IF(E1356="","",MAX(0,IF(G1356="",TODAY(),G1356)-L1356))</f>
        <v/>
      </c>
    </row>
    <row r="1357">
      <c r="E1357" s="22" t="n"/>
      <c r="G1357" s="22" t="n"/>
      <c r="I1357" s="22" t="n"/>
      <c r="L1357" s="20">
        <f>IF(E1357="","",E1357+IF(F1357="",IFERROR(VLOOKUP(C1357,Parametros!$E:$F,2,0),0),F1357))</f>
        <v/>
      </c>
      <c r="M1357" s="21">
        <f>IF(E1357="","",IF(G1357="",IF(TODAY()&gt;L1357,"Atrasada","Em aberto"),IF(G1357&lt;=L1357,"No prazo","Com atraso")))</f>
        <v/>
      </c>
      <c r="N1357" s="18">
        <f>IF(E1357="","",MAX(0,IF(G1357="",TODAY(),G1357)-L1357))</f>
        <v/>
      </c>
    </row>
    <row r="1358">
      <c r="E1358" s="22" t="n"/>
      <c r="G1358" s="22" t="n"/>
      <c r="I1358" s="22" t="n"/>
      <c r="L1358" s="20">
        <f>IF(E1358="","",E1358+IF(F1358="",IFERROR(VLOOKUP(C1358,Parametros!$E:$F,2,0),0),F1358))</f>
        <v/>
      </c>
      <c r="M1358" s="21">
        <f>IF(E1358="","",IF(G1358="",IF(TODAY()&gt;L1358,"Atrasada","Em aberto"),IF(G1358&lt;=L1358,"No prazo","Com atraso")))</f>
        <v/>
      </c>
      <c r="N1358" s="18">
        <f>IF(E1358="","",MAX(0,IF(G1358="",TODAY(),G1358)-L1358))</f>
        <v/>
      </c>
    </row>
    <row r="1359">
      <c r="E1359" s="22" t="n"/>
      <c r="G1359" s="22" t="n"/>
      <c r="I1359" s="22" t="n"/>
      <c r="L1359" s="20">
        <f>IF(E1359="","",E1359+IF(F1359="",IFERROR(VLOOKUP(C1359,Parametros!$E:$F,2,0),0),F1359))</f>
        <v/>
      </c>
      <c r="M1359" s="21">
        <f>IF(E1359="","",IF(G1359="",IF(TODAY()&gt;L1359,"Atrasada","Em aberto"),IF(G1359&lt;=L1359,"No prazo","Com atraso")))</f>
        <v/>
      </c>
      <c r="N1359" s="18">
        <f>IF(E1359="","",MAX(0,IF(G1359="",TODAY(),G1359)-L1359))</f>
        <v/>
      </c>
    </row>
    <row r="1360">
      <c r="E1360" s="22" t="n"/>
      <c r="G1360" s="22" t="n"/>
      <c r="I1360" s="22" t="n"/>
      <c r="L1360" s="20">
        <f>IF(E1360="","",E1360+IF(F1360="",IFERROR(VLOOKUP(C1360,Parametros!$E:$F,2,0),0),F1360))</f>
        <v/>
      </c>
      <c r="M1360" s="21">
        <f>IF(E1360="","",IF(G1360="",IF(TODAY()&gt;L1360,"Atrasada","Em aberto"),IF(G1360&lt;=L1360,"No prazo","Com atraso")))</f>
        <v/>
      </c>
      <c r="N1360" s="18">
        <f>IF(E1360="","",MAX(0,IF(G1360="",TODAY(),G1360)-L1360))</f>
        <v/>
      </c>
    </row>
    <row r="1361">
      <c r="E1361" s="22" t="n"/>
      <c r="G1361" s="22" t="n"/>
      <c r="I1361" s="22" t="n"/>
      <c r="L1361" s="20">
        <f>IF(E1361="","",E1361+IF(F1361="",IFERROR(VLOOKUP(C1361,Parametros!$E:$F,2,0),0),F1361))</f>
        <v/>
      </c>
      <c r="M1361" s="21">
        <f>IF(E1361="","",IF(G1361="",IF(TODAY()&gt;L1361,"Atrasada","Em aberto"),IF(G1361&lt;=L1361,"No prazo","Com atraso")))</f>
        <v/>
      </c>
      <c r="N1361" s="18">
        <f>IF(E1361="","",MAX(0,IF(G1361="",TODAY(),G1361)-L1361))</f>
        <v/>
      </c>
    </row>
    <row r="1362">
      <c r="E1362" s="22" t="n"/>
      <c r="G1362" s="22" t="n"/>
      <c r="I1362" s="22" t="n"/>
      <c r="L1362" s="20">
        <f>IF(E1362="","",E1362+IF(F1362="",IFERROR(VLOOKUP(C1362,Parametros!$E:$F,2,0),0),F1362))</f>
        <v/>
      </c>
      <c r="M1362" s="21">
        <f>IF(E1362="","",IF(G1362="",IF(TODAY()&gt;L1362,"Atrasada","Em aberto"),IF(G1362&lt;=L1362,"No prazo","Com atraso")))</f>
        <v/>
      </c>
      <c r="N1362" s="18">
        <f>IF(E1362="","",MAX(0,IF(G1362="",TODAY(),G1362)-L1362))</f>
        <v/>
      </c>
    </row>
    <row r="1363">
      <c r="E1363" s="22" t="n"/>
      <c r="G1363" s="22" t="n"/>
      <c r="I1363" s="22" t="n"/>
      <c r="L1363" s="20">
        <f>IF(E1363="","",E1363+IF(F1363="",IFERROR(VLOOKUP(C1363,Parametros!$E:$F,2,0),0),F1363))</f>
        <v/>
      </c>
      <c r="M1363" s="21">
        <f>IF(E1363="","",IF(G1363="",IF(TODAY()&gt;L1363,"Atrasada","Em aberto"),IF(G1363&lt;=L1363,"No prazo","Com atraso")))</f>
        <v/>
      </c>
      <c r="N1363" s="18">
        <f>IF(E1363="","",MAX(0,IF(G1363="",TODAY(),G1363)-L1363))</f>
        <v/>
      </c>
    </row>
    <row r="1364">
      <c r="E1364" s="22" t="n"/>
      <c r="G1364" s="22" t="n"/>
      <c r="I1364" s="22" t="n"/>
      <c r="L1364" s="20">
        <f>IF(E1364="","",E1364+IF(F1364="",IFERROR(VLOOKUP(C1364,Parametros!$E:$F,2,0),0),F1364))</f>
        <v/>
      </c>
      <c r="M1364" s="21">
        <f>IF(E1364="","",IF(G1364="",IF(TODAY()&gt;L1364,"Atrasada","Em aberto"),IF(G1364&lt;=L1364,"No prazo","Com atraso")))</f>
        <v/>
      </c>
      <c r="N1364" s="18">
        <f>IF(E1364="","",MAX(0,IF(G1364="",TODAY(),G1364)-L1364))</f>
        <v/>
      </c>
    </row>
    <row r="1365">
      <c r="E1365" s="22" t="n"/>
      <c r="G1365" s="22" t="n"/>
      <c r="I1365" s="22" t="n"/>
      <c r="L1365" s="20">
        <f>IF(E1365="","",E1365+IF(F1365="",IFERROR(VLOOKUP(C1365,Parametros!$E:$F,2,0),0),F1365))</f>
        <v/>
      </c>
      <c r="M1365" s="21">
        <f>IF(E1365="","",IF(G1365="",IF(TODAY()&gt;L1365,"Atrasada","Em aberto"),IF(G1365&lt;=L1365,"No prazo","Com atraso")))</f>
        <v/>
      </c>
      <c r="N1365" s="18">
        <f>IF(E1365="","",MAX(0,IF(G1365="",TODAY(),G1365)-L1365))</f>
        <v/>
      </c>
    </row>
    <row r="1366">
      <c r="E1366" s="22" t="n"/>
      <c r="G1366" s="22" t="n"/>
      <c r="I1366" s="22" t="n"/>
      <c r="L1366" s="20">
        <f>IF(E1366="","",E1366+IF(F1366="",IFERROR(VLOOKUP(C1366,Parametros!$E:$F,2,0),0),F1366))</f>
        <v/>
      </c>
      <c r="M1366" s="21">
        <f>IF(E1366="","",IF(G1366="",IF(TODAY()&gt;L1366,"Atrasada","Em aberto"),IF(G1366&lt;=L1366,"No prazo","Com atraso")))</f>
        <v/>
      </c>
      <c r="N1366" s="18">
        <f>IF(E1366="","",MAX(0,IF(G1366="",TODAY(),G1366)-L1366))</f>
        <v/>
      </c>
    </row>
    <row r="1367">
      <c r="E1367" s="22" t="n"/>
      <c r="G1367" s="22" t="n"/>
      <c r="I1367" s="22" t="n"/>
      <c r="L1367" s="20">
        <f>IF(E1367="","",E1367+IF(F1367="",IFERROR(VLOOKUP(C1367,Parametros!$E:$F,2,0),0),F1367))</f>
        <v/>
      </c>
      <c r="M1367" s="21">
        <f>IF(E1367="","",IF(G1367="",IF(TODAY()&gt;L1367,"Atrasada","Em aberto"),IF(G1367&lt;=L1367,"No prazo","Com atraso")))</f>
        <v/>
      </c>
      <c r="N1367" s="18">
        <f>IF(E1367="","",MAX(0,IF(G1367="",TODAY(),G1367)-L1367))</f>
        <v/>
      </c>
    </row>
    <row r="1368">
      <c r="E1368" s="22" t="n"/>
      <c r="G1368" s="22" t="n"/>
      <c r="I1368" s="22" t="n"/>
      <c r="L1368" s="20">
        <f>IF(E1368="","",E1368+IF(F1368="",IFERROR(VLOOKUP(C1368,Parametros!$E:$F,2,0),0),F1368))</f>
        <v/>
      </c>
      <c r="M1368" s="21">
        <f>IF(E1368="","",IF(G1368="",IF(TODAY()&gt;L1368,"Atrasada","Em aberto"),IF(G1368&lt;=L1368,"No prazo","Com atraso")))</f>
        <v/>
      </c>
      <c r="N1368" s="18">
        <f>IF(E1368="","",MAX(0,IF(G1368="",TODAY(),G1368)-L1368))</f>
        <v/>
      </c>
    </row>
    <row r="1369">
      <c r="E1369" s="22" t="n"/>
      <c r="G1369" s="22" t="n"/>
      <c r="I1369" s="22" t="n"/>
      <c r="L1369" s="20">
        <f>IF(E1369="","",E1369+IF(F1369="",IFERROR(VLOOKUP(C1369,Parametros!$E:$F,2,0),0),F1369))</f>
        <v/>
      </c>
      <c r="M1369" s="21">
        <f>IF(E1369="","",IF(G1369="",IF(TODAY()&gt;L1369,"Atrasada","Em aberto"),IF(G1369&lt;=L1369,"No prazo","Com atraso")))</f>
        <v/>
      </c>
      <c r="N1369" s="18">
        <f>IF(E1369="","",MAX(0,IF(G1369="",TODAY(),G1369)-L1369))</f>
        <v/>
      </c>
    </row>
    <row r="1370">
      <c r="E1370" s="22" t="n"/>
      <c r="G1370" s="22" t="n"/>
      <c r="I1370" s="22" t="n"/>
      <c r="L1370" s="20">
        <f>IF(E1370="","",E1370+IF(F1370="",IFERROR(VLOOKUP(C1370,Parametros!$E:$F,2,0),0),F1370))</f>
        <v/>
      </c>
      <c r="M1370" s="21">
        <f>IF(E1370="","",IF(G1370="",IF(TODAY()&gt;L1370,"Atrasada","Em aberto"),IF(G1370&lt;=L1370,"No prazo","Com atraso")))</f>
        <v/>
      </c>
      <c r="N1370" s="18">
        <f>IF(E1370="","",MAX(0,IF(G1370="",TODAY(),G1370)-L1370))</f>
        <v/>
      </c>
    </row>
    <row r="1371">
      <c r="E1371" s="22" t="n"/>
      <c r="G1371" s="22" t="n"/>
      <c r="I1371" s="22" t="n"/>
      <c r="L1371" s="20">
        <f>IF(E1371="","",E1371+IF(F1371="",IFERROR(VLOOKUP(C1371,Parametros!$E:$F,2,0),0),F1371))</f>
        <v/>
      </c>
      <c r="M1371" s="21">
        <f>IF(E1371="","",IF(G1371="",IF(TODAY()&gt;L1371,"Atrasada","Em aberto"),IF(G1371&lt;=L1371,"No prazo","Com atraso")))</f>
        <v/>
      </c>
      <c r="N1371" s="18">
        <f>IF(E1371="","",MAX(0,IF(G1371="",TODAY(),G1371)-L1371))</f>
        <v/>
      </c>
    </row>
    <row r="1372">
      <c r="E1372" s="22" t="n"/>
      <c r="G1372" s="22" t="n"/>
      <c r="I1372" s="22" t="n"/>
      <c r="L1372" s="20">
        <f>IF(E1372="","",E1372+IF(F1372="",IFERROR(VLOOKUP(C1372,Parametros!$E:$F,2,0),0),F1372))</f>
        <v/>
      </c>
      <c r="M1372" s="21">
        <f>IF(E1372="","",IF(G1372="",IF(TODAY()&gt;L1372,"Atrasada","Em aberto"),IF(G1372&lt;=L1372,"No prazo","Com atraso")))</f>
        <v/>
      </c>
      <c r="N1372" s="18">
        <f>IF(E1372="","",MAX(0,IF(G1372="",TODAY(),G1372)-L1372))</f>
        <v/>
      </c>
    </row>
    <row r="1373">
      <c r="E1373" s="22" t="n"/>
      <c r="G1373" s="22" t="n"/>
      <c r="I1373" s="22" t="n"/>
      <c r="L1373" s="20">
        <f>IF(E1373="","",E1373+IF(F1373="",IFERROR(VLOOKUP(C1373,Parametros!$E:$F,2,0),0),F1373))</f>
        <v/>
      </c>
      <c r="M1373" s="21">
        <f>IF(E1373="","",IF(G1373="",IF(TODAY()&gt;L1373,"Atrasada","Em aberto"),IF(G1373&lt;=L1373,"No prazo","Com atraso")))</f>
        <v/>
      </c>
      <c r="N1373" s="18">
        <f>IF(E1373="","",MAX(0,IF(G1373="",TODAY(),G1373)-L1373))</f>
        <v/>
      </c>
    </row>
    <row r="1374">
      <c r="E1374" s="22" t="n"/>
      <c r="G1374" s="22" t="n"/>
      <c r="I1374" s="22" t="n"/>
      <c r="L1374" s="20">
        <f>IF(E1374="","",E1374+IF(F1374="",IFERROR(VLOOKUP(C1374,Parametros!$E:$F,2,0),0),F1374))</f>
        <v/>
      </c>
      <c r="M1374" s="21">
        <f>IF(E1374="","",IF(G1374="",IF(TODAY()&gt;L1374,"Atrasada","Em aberto"),IF(G1374&lt;=L1374,"No prazo","Com atraso")))</f>
        <v/>
      </c>
      <c r="N1374" s="18">
        <f>IF(E1374="","",MAX(0,IF(G1374="",TODAY(),G1374)-L1374))</f>
        <v/>
      </c>
    </row>
    <row r="1375">
      <c r="E1375" s="22" t="n"/>
      <c r="G1375" s="22" t="n"/>
      <c r="I1375" s="22" t="n"/>
      <c r="L1375" s="20">
        <f>IF(E1375="","",E1375+IF(F1375="",IFERROR(VLOOKUP(C1375,Parametros!$E:$F,2,0),0),F1375))</f>
        <v/>
      </c>
      <c r="M1375" s="21">
        <f>IF(E1375="","",IF(G1375="",IF(TODAY()&gt;L1375,"Atrasada","Em aberto"),IF(G1375&lt;=L1375,"No prazo","Com atraso")))</f>
        <v/>
      </c>
      <c r="N1375" s="18">
        <f>IF(E1375="","",MAX(0,IF(G1375="",TODAY(),G1375)-L1375))</f>
        <v/>
      </c>
    </row>
    <row r="1376">
      <c r="E1376" s="22" t="n"/>
      <c r="G1376" s="22" t="n"/>
      <c r="I1376" s="22" t="n"/>
      <c r="L1376" s="20">
        <f>IF(E1376="","",E1376+IF(F1376="",IFERROR(VLOOKUP(C1376,Parametros!$E:$F,2,0),0),F1376))</f>
        <v/>
      </c>
      <c r="M1376" s="21">
        <f>IF(E1376="","",IF(G1376="",IF(TODAY()&gt;L1376,"Atrasada","Em aberto"),IF(G1376&lt;=L1376,"No prazo","Com atraso")))</f>
        <v/>
      </c>
      <c r="N1376" s="18">
        <f>IF(E1376="","",MAX(0,IF(G1376="",TODAY(),G1376)-L1376))</f>
        <v/>
      </c>
    </row>
    <row r="1377">
      <c r="E1377" s="22" t="n"/>
      <c r="G1377" s="22" t="n"/>
      <c r="I1377" s="22" t="n"/>
      <c r="L1377" s="20">
        <f>IF(E1377="","",E1377+IF(F1377="",IFERROR(VLOOKUP(C1377,Parametros!$E:$F,2,0),0),F1377))</f>
        <v/>
      </c>
      <c r="M1377" s="21">
        <f>IF(E1377="","",IF(G1377="",IF(TODAY()&gt;L1377,"Atrasada","Em aberto"),IF(G1377&lt;=L1377,"No prazo","Com atraso")))</f>
        <v/>
      </c>
      <c r="N1377" s="18">
        <f>IF(E1377="","",MAX(0,IF(G1377="",TODAY(),G1377)-L1377))</f>
        <v/>
      </c>
    </row>
    <row r="1378">
      <c r="E1378" s="22" t="n"/>
      <c r="G1378" s="22" t="n"/>
      <c r="I1378" s="22" t="n"/>
      <c r="L1378" s="20">
        <f>IF(E1378="","",E1378+IF(F1378="",IFERROR(VLOOKUP(C1378,Parametros!$E:$F,2,0),0),F1378))</f>
        <v/>
      </c>
      <c r="M1378" s="21">
        <f>IF(E1378="","",IF(G1378="",IF(TODAY()&gt;L1378,"Atrasada","Em aberto"),IF(G1378&lt;=L1378,"No prazo","Com atraso")))</f>
        <v/>
      </c>
      <c r="N1378" s="18">
        <f>IF(E1378="","",MAX(0,IF(G1378="",TODAY(),G1378)-L1378))</f>
        <v/>
      </c>
    </row>
    <row r="1379">
      <c r="E1379" s="22" t="n"/>
      <c r="G1379" s="22" t="n"/>
      <c r="I1379" s="22" t="n"/>
      <c r="L1379" s="20">
        <f>IF(E1379="","",E1379+IF(F1379="",IFERROR(VLOOKUP(C1379,Parametros!$E:$F,2,0),0),F1379))</f>
        <v/>
      </c>
      <c r="M1379" s="21">
        <f>IF(E1379="","",IF(G1379="",IF(TODAY()&gt;L1379,"Atrasada","Em aberto"),IF(G1379&lt;=L1379,"No prazo","Com atraso")))</f>
        <v/>
      </c>
      <c r="N1379" s="18">
        <f>IF(E1379="","",MAX(0,IF(G1379="",TODAY(),G1379)-L1379))</f>
        <v/>
      </c>
    </row>
    <row r="1380">
      <c r="E1380" s="22" t="n"/>
      <c r="G1380" s="22" t="n"/>
      <c r="I1380" s="22" t="n"/>
      <c r="L1380" s="20">
        <f>IF(E1380="","",E1380+IF(F1380="",IFERROR(VLOOKUP(C1380,Parametros!$E:$F,2,0),0),F1380))</f>
        <v/>
      </c>
      <c r="M1380" s="21">
        <f>IF(E1380="","",IF(G1380="",IF(TODAY()&gt;L1380,"Atrasada","Em aberto"),IF(G1380&lt;=L1380,"No prazo","Com atraso")))</f>
        <v/>
      </c>
      <c r="N1380" s="18">
        <f>IF(E1380="","",MAX(0,IF(G1380="",TODAY(),G1380)-L1380))</f>
        <v/>
      </c>
    </row>
    <row r="1381">
      <c r="E1381" s="22" t="n"/>
      <c r="G1381" s="22" t="n"/>
      <c r="I1381" s="22" t="n"/>
      <c r="L1381" s="20">
        <f>IF(E1381="","",E1381+IF(F1381="",IFERROR(VLOOKUP(C1381,Parametros!$E:$F,2,0),0),F1381))</f>
        <v/>
      </c>
      <c r="M1381" s="21">
        <f>IF(E1381="","",IF(G1381="",IF(TODAY()&gt;L1381,"Atrasada","Em aberto"),IF(G1381&lt;=L1381,"No prazo","Com atraso")))</f>
        <v/>
      </c>
      <c r="N1381" s="18">
        <f>IF(E1381="","",MAX(0,IF(G1381="",TODAY(),G1381)-L1381))</f>
        <v/>
      </c>
    </row>
    <row r="1382">
      <c r="E1382" s="22" t="n"/>
      <c r="G1382" s="22" t="n"/>
      <c r="I1382" s="22" t="n"/>
      <c r="L1382" s="20">
        <f>IF(E1382="","",E1382+IF(F1382="",IFERROR(VLOOKUP(C1382,Parametros!$E:$F,2,0),0),F1382))</f>
        <v/>
      </c>
      <c r="M1382" s="21">
        <f>IF(E1382="","",IF(G1382="",IF(TODAY()&gt;L1382,"Atrasada","Em aberto"),IF(G1382&lt;=L1382,"No prazo","Com atraso")))</f>
        <v/>
      </c>
      <c r="N1382" s="18">
        <f>IF(E1382="","",MAX(0,IF(G1382="",TODAY(),G1382)-L1382))</f>
        <v/>
      </c>
    </row>
    <row r="1383">
      <c r="E1383" s="22" t="n"/>
      <c r="G1383" s="22" t="n"/>
      <c r="I1383" s="22" t="n"/>
      <c r="L1383" s="20">
        <f>IF(E1383="","",E1383+IF(F1383="",IFERROR(VLOOKUP(C1383,Parametros!$E:$F,2,0),0),F1383))</f>
        <v/>
      </c>
      <c r="M1383" s="21">
        <f>IF(E1383="","",IF(G1383="",IF(TODAY()&gt;L1383,"Atrasada","Em aberto"),IF(G1383&lt;=L1383,"No prazo","Com atraso")))</f>
        <v/>
      </c>
      <c r="N1383" s="18">
        <f>IF(E1383="","",MAX(0,IF(G1383="",TODAY(),G1383)-L1383))</f>
        <v/>
      </c>
    </row>
    <row r="1384">
      <c r="E1384" s="22" t="n"/>
      <c r="G1384" s="22" t="n"/>
      <c r="I1384" s="22" t="n"/>
      <c r="L1384" s="20">
        <f>IF(E1384="","",E1384+IF(F1384="",IFERROR(VLOOKUP(C1384,Parametros!$E:$F,2,0),0),F1384))</f>
        <v/>
      </c>
      <c r="M1384" s="21">
        <f>IF(E1384="","",IF(G1384="",IF(TODAY()&gt;L1384,"Atrasada","Em aberto"),IF(G1384&lt;=L1384,"No prazo","Com atraso")))</f>
        <v/>
      </c>
      <c r="N1384" s="18">
        <f>IF(E1384="","",MAX(0,IF(G1384="",TODAY(),G1384)-L1384))</f>
        <v/>
      </c>
    </row>
    <row r="1385">
      <c r="E1385" s="22" t="n"/>
      <c r="G1385" s="22" t="n"/>
      <c r="I1385" s="22" t="n"/>
      <c r="L1385" s="20">
        <f>IF(E1385="","",E1385+IF(F1385="",IFERROR(VLOOKUP(C1385,Parametros!$E:$F,2,0),0),F1385))</f>
        <v/>
      </c>
      <c r="M1385" s="21">
        <f>IF(E1385="","",IF(G1385="",IF(TODAY()&gt;L1385,"Atrasada","Em aberto"),IF(G1385&lt;=L1385,"No prazo","Com atraso")))</f>
        <v/>
      </c>
      <c r="N1385" s="18">
        <f>IF(E1385="","",MAX(0,IF(G1385="",TODAY(),G1385)-L1385))</f>
        <v/>
      </c>
    </row>
    <row r="1386">
      <c r="E1386" s="22" t="n"/>
      <c r="G1386" s="22" t="n"/>
      <c r="I1386" s="22" t="n"/>
      <c r="L1386" s="20">
        <f>IF(E1386="","",E1386+IF(F1386="",IFERROR(VLOOKUP(C1386,Parametros!$E:$F,2,0),0),F1386))</f>
        <v/>
      </c>
      <c r="M1386" s="21">
        <f>IF(E1386="","",IF(G1386="",IF(TODAY()&gt;L1386,"Atrasada","Em aberto"),IF(G1386&lt;=L1386,"No prazo","Com atraso")))</f>
        <v/>
      </c>
      <c r="N1386" s="18">
        <f>IF(E1386="","",MAX(0,IF(G1386="",TODAY(),G1386)-L1386))</f>
        <v/>
      </c>
    </row>
    <row r="1387">
      <c r="E1387" s="22" t="n"/>
      <c r="G1387" s="22" t="n"/>
      <c r="I1387" s="22" t="n"/>
      <c r="L1387" s="20">
        <f>IF(E1387="","",E1387+IF(F1387="",IFERROR(VLOOKUP(C1387,Parametros!$E:$F,2,0),0),F1387))</f>
        <v/>
      </c>
      <c r="M1387" s="21">
        <f>IF(E1387="","",IF(G1387="",IF(TODAY()&gt;L1387,"Atrasada","Em aberto"),IF(G1387&lt;=L1387,"No prazo","Com atraso")))</f>
        <v/>
      </c>
      <c r="N1387" s="18">
        <f>IF(E1387="","",MAX(0,IF(G1387="",TODAY(),G1387)-L1387))</f>
        <v/>
      </c>
    </row>
    <row r="1388">
      <c r="E1388" s="22" t="n"/>
      <c r="G1388" s="22" t="n"/>
      <c r="I1388" s="22" t="n"/>
      <c r="L1388" s="20">
        <f>IF(E1388="","",E1388+IF(F1388="",IFERROR(VLOOKUP(C1388,Parametros!$E:$F,2,0),0),F1388))</f>
        <v/>
      </c>
      <c r="M1388" s="21">
        <f>IF(E1388="","",IF(G1388="",IF(TODAY()&gt;L1388,"Atrasada","Em aberto"),IF(G1388&lt;=L1388,"No prazo","Com atraso")))</f>
        <v/>
      </c>
      <c r="N1388" s="18">
        <f>IF(E1388="","",MAX(0,IF(G1388="",TODAY(),G1388)-L1388))</f>
        <v/>
      </c>
    </row>
    <row r="1389">
      <c r="E1389" s="22" t="n"/>
      <c r="G1389" s="22" t="n"/>
      <c r="I1389" s="22" t="n"/>
      <c r="L1389" s="20">
        <f>IF(E1389="","",E1389+IF(F1389="",IFERROR(VLOOKUP(C1389,Parametros!$E:$F,2,0),0),F1389))</f>
        <v/>
      </c>
      <c r="M1389" s="21">
        <f>IF(E1389="","",IF(G1389="",IF(TODAY()&gt;L1389,"Atrasada","Em aberto"),IF(G1389&lt;=L1389,"No prazo","Com atraso")))</f>
        <v/>
      </c>
      <c r="N1389" s="18">
        <f>IF(E1389="","",MAX(0,IF(G1389="",TODAY(),G1389)-L1389))</f>
        <v/>
      </c>
    </row>
    <row r="1390">
      <c r="E1390" s="22" t="n"/>
      <c r="G1390" s="22" t="n"/>
      <c r="I1390" s="22" t="n"/>
      <c r="L1390" s="20">
        <f>IF(E1390="","",E1390+IF(F1390="",IFERROR(VLOOKUP(C1390,Parametros!$E:$F,2,0),0),F1390))</f>
        <v/>
      </c>
      <c r="M1390" s="21">
        <f>IF(E1390="","",IF(G1390="",IF(TODAY()&gt;L1390,"Atrasada","Em aberto"),IF(G1390&lt;=L1390,"No prazo","Com atraso")))</f>
        <v/>
      </c>
      <c r="N1390" s="18">
        <f>IF(E1390="","",MAX(0,IF(G1390="",TODAY(),G1390)-L1390))</f>
        <v/>
      </c>
    </row>
    <row r="1391">
      <c r="E1391" s="22" t="n"/>
      <c r="G1391" s="22" t="n"/>
      <c r="I1391" s="22" t="n"/>
      <c r="L1391" s="20">
        <f>IF(E1391="","",E1391+IF(F1391="",IFERROR(VLOOKUP(C1391,Parametros!$E:$F,2,0),0),F1391))</f>
        <v/>
      </c>
      <c r="M1391" s="21">
        <f>IF(E1391="","",IF(G1391="",IF(TODAY()&gt;L1391,"Atrasada","Em aberto"),IF(G1391&lt;=L1391,"No prazo","Com atraso")))</f>
        <v/>
      </c>
      <c r="N1391" s="18">
        <f>IF(E1391="","",MAX(0,IF(G1391="",TODAY(),G1391)-L1391))</f>
        <v/>
      </c>
    </row>
    <row r="1392">
      <c r="E1392" s="22" t="n"/>
      <c r="G1392" s="22" t="n"/>
      <c r="I1392" s="22" t="n"/>
      <c r="L1392" s="20">
        <f>IF(E1392="","",E1392+IF(F1392="",IFERROR(VLOOKUP(C1392,Parametros!$E:$F,2,0),0),F1392))</f>
        <v/>
      </c>
      <c r="M1392" s="21">
        <f>IF(E1392="","",IF(G1392="",IF(TODAY()&gt;L1392,"Atrasada","Em aberto"),IF(G1392&lt;=L1392,"No prazo","Com atraso")))</f>
        <v/>
      </c>
      <c r="N1392" s="18">
        <f>IF(E1392="","",MAX(0,IF(G1392="",TODAY(),G1392)-L1392))</f>
        <v/>
      </c>
    </row>
    <row r="1393">
      <c r="E1393" s="22" t="n"/>
      <c r="G1393" s="22" t="n"/>
      <c r="I1393" s="22" t="n"/>
      <c r="L1393" s="20">
        <f>IF(E1393="","",E1393+IF(F1393="",IFERROR(VLOOKUP(C1393,Parametros!$E:$F,2,0),0),F1393))</f>
        <v/>
      </c>
      <c r="M1393" s="21">
        <f>IF(E1393="","",IF(G1393="",IF(TODAY()&gt;L1393,"Atrasada","Em aberto"),IF(G1393&lt;=L1393,"No prazo","Com atraso")))</f>
        <v/>
      </c>
      <c r="N1393" s="18">
        <f>IF(E1393="","",MAX(0,IF(G1393="",TODAY(),G1393)-L1393))</f>
        <v/>
      </c>
    </row>
    <row r="1394">
      <c r="E1394" s="22" t="n"/>
      <c r="G1394" s="22" t="n"/>
      <c r="I1394" s="22" t="n"/>
      <c r="L1394" s="20">
        <f>IF(E1394="","",E1394+IF(F1394="",IFERROR(VLOOKUP(C1394,Parametros!$E:$F,2,0),0),F1394))</f>
        <v/>
      </c>
      <c r="M1394" s="21">
        <f>IF(E1394="","",IF(G1394="",IF(TODAY()&gt;L1394,"Atrasada","Em aberto"),IF(G1394&lt;=L1394,"No prazo","Com atraso")))</f>
        <v/>
      </c>
      <c r="N1394" s="18">
        <f>IF(E1394="","",MAX(0,IF(G1394="",TODAY(),G1394)-L1394))</f>
        <v/>
      </c>
    </row>
    <row r="1395">
      <c r="E1395" s="22" t="n"/>
      <c r="G1395" s="22" t="n"/>
      <c r="I1395" s="22" t="n"/>
      <c r="L1395" s="20">
        <f>IF(E1395="","",E1395+IF(F1395="",IFERROR(VLOOKUP(C1395,Parametros!$E:$F,2,0),0),F1395))</f>
        <v/>
      </c>
      <c r="M1395" s="21">
        <f>IF(E1395="","",IF(G1395="",IF(TODAY()&gt;L1395,"Atrasada","Em aberto"),IF(G1395&lt;=L1395,"No prazo","Com atraso")))</f>
        <v/>
      </c>
      <c r="N1395" s="18">
        <f>IF(E1395="","",MAX(0,IF(G1395="",TODAY(),G1395)-L1395))</f>
        <v/>
      </c>
    </row>
    <row r="1396">
      <c r="E1396" s="22" t="n"/>
      <c r="G1396" s="22" t="n"/>
      <c r="I1396" s="22" t="n"/>
      <c r="L1396" s="20">
        <f>IF(E1396="","",E1396+IF(F1396="",IFERROR(VLOOKUP(C1396,Parametros!$E:$F,2,0),0),F1396))</f>
        <v/>
      </c>
      <c r="M1396" s="21">
        <f>IF(E1396="","",IF(G1396="",IF(TODAY()&gt;L1396,"Atrasada","Em aberto"),IF(G1396&lt;=L1396,"No prazo","Com atraso")))</f>
        <v/>
      </c>
      <c r="N1396" s="18">
        <f>IF(E1396="","",MAX(0,IF(G1396="",TODAY(),G1396)-L1396))</f>
        <v/>
      </c>
    </row>
    <row r="1397">
      <c r="E1397" s="22" t="n"/>
      <c r="G1397" s="22" t="n"/>
      <c r="I1397" s="22" t="n"/>
      <c r="L1397" s="20">
        <f>IF(E1397="","",E1397+IF(F1397="",IFERROR(VLOOKUP(C1397,Parametros!$E:$F,2,0),0),F1397))</f>
        <v/>
      </c>
      <c r="M1397" s="21">
        <f>IF(E1397="","",IF(G1397="",IF(TODAY()&gt;L1397,"Atrasada","Em aberto"),IF(G1397&lt;=L1397,"No prazo","Com atraso")))</f>
        <v/>
      </c>
      <c r="N1397" s="18">
        <f>IF(E1397="","",MAX(0,IF(G1397="",TODAY(),G1397)-L1397))</f>
        <v/>
      </c>
    </row>
    <row r="1398">
      <c r="E1398" s="22" t="n"/>
      <c r="G1398" s="22" t="n"/>
      <c r="I1398" s="22" t="n"/>
      <c r="L1398" s="20">
        <f>IF(E1398="","",E1398+IF(F1398="",IFERROR(VLOOKUP(C1398,Parametros!$E:$F,2,0),0),F1398))</f>
        <v/>
      </c>
      <c r="M1398" s="21">
        <f>IF(E1398="","",IF(G1398="",IF(TODAY()&gt;L1398,"Atrasada","Em aberto"),IF(G1398&lt;=L1398,"No prazo","Com atraso")))</f>
        <v/>
      </c>
      <c r="N1398" s="18">
        <f>IF(E1398="","",MAX(0,IF(G1398="",TODAY(),G1398)-L1398))</f>
        <v/>
      </c>
    </row>
    <row r="1399">
      <c r="E1399" s="22" t="n"/>
      <c r="G1399" s="22" t="n"/>
      <c r="I1399" s="22" t="n"/>
      <c r="L1399" s="20">
        <f>IF(E1399="","",E1399+IF(F1399="",IFERROR(VLOOKUP(C1399,Parametros!$E:$F,2,0),0),F1399))</f>
        <v/>
      </c>
      <c r="M1399" s="21">
        <f>IF(E1399="","",IF(G1399="",IF(TODAY()&gt;L1399,"Atrasada","Em aberto"),IF(G1399&lt;=L1399,"No prazo","Com atraso")))</f>
        <v/>
      </c>
      <c r="N1399" s="18">
        <f>IF(E1399="","",MAX(0,IF(G1399="",TODAY(),G1399)-L1399))</f>
        <v/>
      </c>
    </row>
    <row r="1400">
      <c r="E1400" s="22" t="n"/>
      <c r="G1400" s="22" t="n"/>
      <c r="I1400" s="22" t="n"/>
      <c r="L1400" s="20">
        <f>IF(E1400="","",E1400+IF(F1400="",IFERROR(VLOOKUP(C1400,Parametros!$E:$F,2,0),0),F1400))</f>
        <v/>
      </c>
      <c r="M1400" s="21">
        <f>IF(E1400="","",IF(G1400="",IF(TODAY()&gt;L1400,"Atrasada","Em aberto"),IF(G1400&lt;=L1400,"No prazo","Com atraso")))</f>
        <v/>
      </c>
      <c r="N1400" s="18">
        <f>IF(E1400="","",MAX(0,IF(G1400="",TODAY(),G1400)-L1400))</f>
        <v/>
      </c>
    </row>
    <row r="1401">
      <c r="E1401" s="22" t="n"/>
      <c r="G1401" s="22" t="n"/>
      <c r="I1401" s="22" t="n"/>
      <c r="L1401" s="20">
        <f>IF(E1401="","",E1401+IF(F1401="",IFERROR(VLOOKUP(C1401,Parametros!$E:$F,2,0),0),F1401))</f>
        <v/>
      </c>
      <c r="M1401" s="21">
        <f>IF(E1401="","",IF(G1401="",IF(TODAY()&gt;L1401,"Atrasada","Em aberto"),IF(G1401&lt;=L1401,"No prazo","Com atraso")))</f>
        <v/>
      </c>
      <c r="N1401" s="18">
        <f>IF(E1401="","",MAX(0,IF(G1401="",TODAY(),G1401)-L1401))</f>
        <v/>
      </c>
    </row>
    <row r="1402">
      <c r="E1402" s="22" t="n"/>
      <c r="G1402" s="22" t="n"/>
      <c r="I1402" s="22" t="n"/>
      <c r="L1402" s="20">
        <f>IF(E1402="","",E1402+IF(F1402="",IFERROR(VLOOKUP(C1402,Parametros!$E:$F,2,0),0),F1402))</f>
        <v/>
      </c>
      <c r="M1402" s="21">
        <f>IF(E1402="","",IF(G1402="",IF(TODAY()&gt;L1402,"Atrasada","Em aberto"),IF(G1402&lt;=L1402,"No prazo","Com atraso")))</f>
        <v/>
      </c>
      <c r="N1402" s="18">
        <f>IF(E1402="","",MAX(0,IF(G1402="",TODAY(),G1402)-L1402))</f>
        <v/>
      </c>
    </row>
    <row r="1403">
      <c r="E1403" s="22" t="n"/>
      <c r="G1403" s="22" t="n"/>
      <c r="I1403" s="22" t="n"/>
      <c r="L1403" s="20">
        <f>IF(E1403="","",E1403+IF(F1403="",IFERROR(VLOOKUP(C1403,Parametros!$E:$F,2,0),0),F1403))</f>
        <v/>
      </c>
      <c r="M1403" s="21">
        <f>IF(E1403="","",IF(G1403="",IF(TODAY()&gt;L1403,"Atrasada","Em aberto"),IF(G1403&lt;=L1403,"No prazo","Com atraso")))</f>
        <v/>
      </c>
      <c r="N1403" s="18">
        <f>IF(E1403="","",MAX(0,IF(G1403="",TODAY(),G1403)-L1403))</f>
        <v/>
      </c>
    </row>
    <row r="1404">
      <c r="E1404" s="22" t="n"/>
      <c r="G1404" s="22" t="n"/>
      <c r="I1404" s="22" t="n"/>
      <c r="L1404" s="20">
        <f>IF(E1404="","",E1404+IF(F1404="",IFERROR(VLOOKUP(C1404,Parametros!$E:$F,2,0),0),F1404))</f>
        <v/>
      </c>
      <c r="M1404" s="21">
        <f>IF(E1404="","",IF(G1404="",IF(TODAY()&gt;L1404,"Atrasada","Em aberto"),IF(G1404&lt;=L1404,"No prazo","Com atraso")))</f>
        <v/>
      </c>
      <c r="N1404" s="18">
        <f>IF(E1404="","",MAX(0,IF(G1404="",TODAY(),G1404)-L1404))</f>
        <v/>
      </c>
    </row>
    <row r="1405">
      <c r="E1405" s="22" t="n"/>
      <c r="G1405" s="22" t="n"/>
      <c r="I1405" s="22" t="n"/>
      <c r="L1405" s="20">
        <f>IF(E1405="","",E1405+IF(F1405="",IFERROR(VLOOKUP(C1405,Parametros!$E:$F,2,0),0),F1405))</f>
        <v/>
      </c>
      <c r="M1405" s="21">
        <f>IF(E1405="","",IF(G1405="",IF(TODAY()&gt;L1405,"Atrasada","Em aberto"),IF(G1405&lt;=L1405,"No prazo","Com atraso")))</f>
        <v/>
      </c>
      <c r="N1405" s="18">
        <f>IF(E1405="","",MAX(0,IF(G1405="",TODAY(),G1405)-L1405))</f>
        <v/>
      </c>
    </row>
    <row r="1406">
      <c r="E1406" s="22" t="n"/>
      <c r="G1406" s="22" t="n"/>
      <c r="I1406" s="22" t="n"/>
      <c r="L1406" s="20">
        <f>IF(E1406="","",E1406+IF(F1406="",IFERROR(VLOOKUP(C1406,Parametros!$E:$F,2,0),0),F1406))</f>
        <v/>
      </c>
      <c r="M1406" s="21">
        <f>IF(E1406="","",IF(G1406="",IF(TODAY()&gt;L1406,"Atrasada","Em aberto"),IF(G1406&lt;=L1406,"No prazo","Com atraso")))</f>
        <v/>
      </c>
      <c r="N1406" s="18">
        <f>IF(E1406="","",MAX(0,IF(G1406="",TODAY(),G1406)-L1406))</f>
        <v/>
      </c>
    </row>
    <row r="1407">
      <c r="E1407" s="22" t="n"/>
      <c r="G1407" s="22" t="n"/>
      <c r="I1407" s="22" t="n"/>
      <c r="L1407" s="20">
        <f>IF(E1407="","",E1407+IF(F1407="",IFERROR(VLOOKUP(C1407,Parametros!$E:$F,2,0),0),F1407))</f>
        <v/>
      </c>
      <c r="M1407" s="21">
        <f>IF(E1407="","",IF(G1407="",IF(TODAY()&gt;L1407,"Atrasada","Em aberto"),IF(G1407&lt;=L1407,"No prazo","Com atraso")))</f>
        <v/>
      </c>
      <c r="N1407" s="18">
        <f>IF(E1407="","",MAX(0,IF(G1407="",TODAY(),G1407)-L1407))</f>
        <v/>
      </c>
    </row>
    <row r="1408">
      <c r="E1408" s="22" t="n"/>
      <c r="G1408" s="22" t="n"/>
      <c r="I1408" s="22" t="n"/>
      <c r="L1408" s="20">
        <f>IF(E1408="","",E1408+IF(F1408="",IFERROR(VLOOKUP(C1408,Parametros!$E:$F,2,0),0),F1408))</f>
        <v/>
      </c>
      <c r="M1408" s="21">
        <f>IF(E1408="","",IF(G1408="",IF(TODAY()&gt;L1408,"Atrasada","Em aberto"),IF(G1408&lt;=L1408,"No prazo","Com atraso")))</f>
        <v/>
      </c>
      <c r="N1408" s="18">
        <f>IF(E1408="","",MAX(0,IF(G1408="",TODAY(),G1408)-L1408))</f>
        <v/>
      </c>
    </row>
    <row r="1409">
      <c r="E1409" s="22" t="n"/>
      <c r="G1409" s="22" t="n"/>
      <c r="I1409" s="22" t="n"/>
      <c r="L1409" s="20">
        <f>IF(E1409="","",E1409+IF(F1409="",IFERROR(VLOOKUP(C1409,Parametros!$E:$F,2,0),0),F1409))</f>
        <v/>
      </c>
      <c r="M1409" s="21">
        <f>IF(E1409="","",IF(G1409="",IF(TODAY()&gt;L1409,"Atrasada","Em aberto"),IF(G1409&lt;=L1409,"No prazo","Com atraso")))</f>
        <v/>
      </c>
      <c r="N1409" s="18">
        <f>IF(E1409="","",MAX(0,IF(G1409="",TODAY(),G1409)-L1409))</f>
        <v/>
      </c>
    </row>
    <row r="1410">
      <c r="E1410" s="22" t="n"/>
      <c r="G1410" s="22" t="n"/>
      <c r="I1410" s="22" t="n"/>
      <c r="L1410" s="20">
        <f>IF(E1410="","",E1410+IF(F1410="",IFERROR(VLOOKUP(C1410,Parametros!$E:$F,2,0),0),F1410))</f>
        <v/>
      </c>
      <c r="M1410" s="21">
        <f>IF(E1410="","",IF(G1410="",IF(TODAY()&gt;L1410,"Atrasada","Em aberto"),IF(G1410&lt;=L1410,"No prazo","Com atraso")))</f>
        <v/>
      </c>
      <c r="N1410" s="18">
        <f>IF(E1410="","",MAX(0,IF(G1410="",TODAY(),G1410)-L1410))</f>
        <v/>
      </c>
    </row>
    <row r="1411">
      <c r="E1411" s="22" t="n"/>
      <c r="G1411" s="22" t="n"/>
      <c r="I1411" s="22" t="n"/>
      <c r="L1411" s="20">
        <f>IF(E1411="","",E1411+IF(F1411="",IFERROR(VLOOKUP(C1411,Parametros!$E:$F,2,0),0),F1411))</f>
        <v/>
      </c>
      <c r="M1411" s="21">
        <f>IF(E1411="","",IF(G1411="",IF(TODAY()&gt;L1411,"Atrasada","Em aberto"),IF(G1411&lt;=L1411,"No prazo","Com atraso")))</f>
        <v/>
      </c>
      <c r="N1411" s="18">
        <f>IF(E1411="","",MAX(0,IF(G1411="",TODAY(),G1411)-L1411))</f>
        <v/>
      </c>
    </row>
    <row r="1412">
      <c r="E1412" s="22" t="n"/>
      <c r="G1412" s="22" t="n"/>
      <c r="I1412" s="22" t="n"/>
      <c r="L1412" s="20">
        <f>IF(E1412="","",E1412+IF(F1412="",IFERROR(VLOOKUP(C1412,Parametros!$E:$F,2,0),0),F1412))</f>
        <v/>
      </c>
      <c r="M1412" s="21">
        <f>IF(E1412="","",IF(G1412="",IF(TODAY()&gt;L1412,"Atrasada","Em aberto"),IF(G1412&lt;=L1412,"No prazo","Com atraso")))</f>
        <v/>
      </c>
      <c r="N1412" s="18">
        <f>IF(E1412="","",MAX(0,IF(G1412="",TODAY(),G1412)-L1412))</f>
        <v/>
      </c>
    </row>
    <row r="1413">
      <c r="E1413" s="22" t="n"/>
      <c r="G1413" s="22" t="n"/>
      <c r="I1413" s="22" t="n"/>
      <c r="L1413" s="20">
        <f>IF(E1413="","",E1413+IF(F1413="",IFERROR(VLOOKUP(C1413,Parametros!$E:$F,2,0),0),F1413))</f>
        <v/>
      </c>
      <c r="M1413" s="21">
        <f>IF(E1413="","",IF(G1413="",IF(TODAY()&gt;L1413,"Atrasada","Em aberto"),IF(G1413&lt;=L1413,"No prazo","Com atraso")))</f>
        <v/>
      </c>
      <c r="N1413" s="18">
        <f>IF(E1413="","",MAX(0,IF(G1413="",TODAY(),G1413)-L1413))</f>
        <v/>
      </c>
    </row>
    <row r="1414">
      <c r="E1414" s="22" t="n"/>
      <c r="G1414" s="22" t="n"/>
      <c r="I1414" s="22" t="n"/>
      <c r="L1414" s="20">
        <f>IF(E1414="","",E1414+IF(F1414="",IFERROR(VLOOKUP(C1414,Parametros!$E:$F,2,0),0),F1414))</f>
        <v/>
      </c>
      <c r="M1414" s="21">
        <f>IF(E1414="","",IF(G1414="",IF(TODAY()&gt;L1414,"Atrasada","Em aberto"),IF(G1414&lt;=L1414,"No prazo","Com atraso")))</f>
        <v/>
      </c>
      <c r="N1414" s="18">
        <f>IF(E1414="","",MAX(0,IF(G1414="",TODAY(),G1414)-L1414))</f>
        <v/>
      </c>
    </row>
    <row r="1415">
      <c r="E1415" s="22" t="n"/>
      <c r="G1415" s="22" t="n"/>
      <c r="I1415" s="22" t="n"/>
      <c r="L1415" s="20">
        <f>IF(E1415="","",E1415+IF(F1415="",IFERROR(VLOOKUP(C1415,Parametros!$E:$F,2,0),0),F1415))</f>
        <v/>
      </c>
      <c r="M1415" s="21">
        <f>IF(E1415="","",IF(G1415="",IF(TODAY()&gt;L1415,"Atrasada","Em aberto"),IF(G1415&lt;=L1415,"No prazo","Com atraso")))</f>
        <v/>
      </c>
      <c r="N1415" s="18">
        <f>IF(E1415="","",MAX(0,IF(G1415="",TODAY(),G1415)-L1415))</f>
        <v/>
      </c>
    </row>
    <row r="1416">
      <c r="E1416" s="22" t="n"/>
      <c r="G1416" s="22" t="n"/>
      <c r="I1416" s="22" t="n"/>
      <c r="L1416" s="20">
        <f>IF(E1416="","",E1416+IF(F1416="",IFERROR(VLOOKUP(C1416,Parametros!$E:$F,2,0),0),F1416))</f>
        <v/>
      </c>
      <c r="M1416" s="21">
        <f>IF(E1416="","",IF(G1416="",IF(TODAY()&gt;L1416,"Atrasada","Em aberto"),IF(G1416&lt;=L1416,"No prazo","Com atraso")))</f>
        <v/>
      </c>
      <c r="N1416" s="18">
        <f>IF(E1416="","",MAX(0,IF(G1416="",TODAY(),G1416)-L1416))</f>
        <v/>
      </c>
    </row>
    <row r="1417">
      <c r="E1417" s="22" t="n"/>
      <c r="G1417" s="22" t="n"/>
      <c r="I1417" s="22" t="n"/>
      <c r="L1417" s="20">
        <f>IF(E1417="","",E1417+IF(F1417="",IFERROR(VLOOKUP(C1417,Parametros!$E:$F,2,0),0),F1417))</f>
        <v/>
      </c>
      <c r="M1417" s="21">
        <f>IF(E1417="","",IF(G1417="",IF(TODAY()&gt;L1417,"Atrasada","Em aberto"),IF(G1417&lt;=L1417,"No prazo","Com atraso")))</f>
        <v/>
      </c>
      <c r="N1417" s="18">
        <f>IF(E1417="","",MAX(0,IF(G1417="",TODAY(),G1417)-L1417))</f>
        <v/>
      </c>
    </row>
    <row r="1418">
      <c r="E1418" s="22" t="n"/>
      <c r="G1418" s="22" t="n"/>
      <c r="I1418" s="22" t="n"/>
      <c r="L1418" s="20">
        <f>IF(E1418="","",E1418+IF(F1418="",IFERROR(VLOOKUP(C1418,Parametros!$E:$F,2,0),0),F1418))</f>
        <v/>
      </c>
      <c r="M1418" s="21">
        <f>IF(E1418="","",IF(G1418="",IF(TODAY()&gt;L1418,"Atrasada","Em aberto"),IF(G1418&lt;=L1418,"No prazo","Com atraso")))</f>
        <v/>
      </c>
      <c r="N1418" s="18">
        <f>IF(E1418="","",MAX(0,IF(G1418="",TODAY(),G1418)-L1418))</f>
        <v/>
      </c>
    </row>
    <row r="1419">
      <c r="E1419" s="22" t="n"/>
      <c r="G1419" s="22" t="n"/>
      <c r="I1419" s="22" t="n"/>
      <c r="L1419" s="20">
        <f>IF(E1419="","",E1419+IF(F1419="",IFERROR(VLOOKUP(C1419,Parametros!$E:$F,2,0),0),F1419))</f>
        <v/>
      </c>
      <c r="M1419" s="21">
        <f>IF(E1419="","",IF(G1419="",IF(TODAY()&gt;L1419,"Atrasada","Em aberto"),IF(G1419&lt;=L1419,"No prazo","Com atraso")))</f>
        <v/>
      </c>
      <c r="N1419" s="18">
        <f>IF(E1419="","",MAX(0,IF(G1419="",TODAY(),G1419)-L1419))</f>
        <v/>
      </c>
    </row>
    <row r="1420">
      <c r="E1420" s="22" t="n"/>
      <c r="G1420" s="22" t="n"/>
      <c r="I1420" s="22" t="n"/>
      <c r="L1420" s="20">
        <f>IF(E1420="","",E1420+IF(F1420="",IFERROR(VLOOKUP(C1420,Parametros!$E:$F,2,0),0),F1420))</f>
        <v/>
      </c>
      <c r="M1420" s="21">
        <f>IF(E1420="","",IF(G1420="",IF(TODAY()&gt;L1420,"Atrasada","Em aberto"),IF(G1420&lt;=L1420,"No prazo","Com atraso")))</f>
        <v/>
      </c>
      <c r="N1420" s="18">
        <f>IF(E1420="","",MAX(0,IF(G1420="",TODAY(),G1420)-L1420))</f>
        <v/>
      </c>
    </row>
    <row r="1421">
      <c r="E1421" s="22" t="n"/>
      <c r="G1421" s="22" t="n"/>
      <c r="I1421" s="22" t="n"/>
      <c r="L1421" s="20">
        <f>IF(E1421="","",E1421+IF(F1421="",IFERROR(VLOOKUP(C1421,Parametros!$E:$F,2,0),0),F1421))</f>
        <v/>
      </c>
      <c r="M1421" s="21">
        <f>IF(E1421="","",IF(G1421="",IF(TODAY()&gt;L1421,"Atrasada","Em aberto"),IF(G1421&lt;=L1421,"No prazo","Com atraso")))</f>
        <v/>
      </c>
      <c r="N1421" s="18">
        <f>IF(E1421="","",MAX(0,IF(G1421="",TODAY(),G1421)-L1421))</f>
        <v/>
      </c>
    </row>
    <row r="1422">
      <c r="E1422" s="22" t="n"/>
      <c r="G1422" s="22" t="n"/>
      <c r="I1422" s="22" t="n"/>
      <c r="L1422" s="20">
        <f>IF(E1422="","",E1422+IF(F1422="",IFERROR(VLOOKUP(C1422,Parametros!$E:$F,2,0),0),F1422))</f>
        <v/>
      </c>
      <c r="M1422" s="21">
        <f>IF(E1422="","",IF(G1422="",IF(TODAY()&gt;L1422,"Atrasada","Em aberto"),IF(G1422&lt;=L1422,"No prazo","Com atraso")))</f>
        <v/>
      </c>
      <c r="N1422" s="18">
        <f>IF(E1422="","",MAX(0,IF(G1422="",TODAY(),G1422)-L1422))</f>
        <v/>
      </c>
    </row>
    <row r="1423">
      <c r="E1423" s="22" t="n"/>
      <c r="G1423" s="22" t="n"/>
      <c r="I1423" s="22" t="n"/>
      <c r="L1423" s="20">
        <f>IF(E1423="","",E1423+IF(F1423="",IFERROR(VLOOKUP(C1423,Parametros!$E:$F,2,0),0),F1423))</f>
        <v/>
      </c>
      <c r="M1423" s="21">
        <f>IF(E1423="","",IF(G1423="",IF(TODAY()&gt;L1423,"Atrasada","Em aberto"),IF(G1423&lt;=L1423,"No prazo","Com atraso")))</f>
        <v/>
      </c>
      <c r="N1423" s="18">
        <f>IF(E1423="","",MAX(0,IF(G1423="",TODAY(),G1423)-L1423))</f>
        <v/>
      </c>
    </row>
    <row r="1424">
      <c r="E1424" s="22" t="n"/>
      <c r="G1424" s="22" t="n"/>
      <c r="I1424" s="22" t="n"/>
      <c r="L1424" s="20">
        <f>IF(E1424="","",E1424+IF(F1424="",IFERROR(VLOOKUP(C1424,Parametros!$E:$F,2,0),0),F1424))</f>
        <v/>
      </c>
      <c r="M1424" s="21">
        <f>IF(E1424="","",IF(G1424="",IF(TODAY()&gt;L1424,"Atrasada","Em aberto"),IF(G1424&lt;=L1424,"No prazo","Com atraso")))</f>
        <v/>
      </c>
      <c r="N1424" s="18">
        <f>IF(E1424="","",MAX(0,IF(G1424="",TODAY(),G1424)-L1424))</f>
        <v/>
      </c>
    </row>
    <row r="1425">
      <c r="E1425" s="22" t="n"/>
      <c r="G1425" s="22" t="n"/>
      <c r="I1425" s="22" t="n"/>
      <c r="L1425" s="20">
        <f>IF(E1425="","",E1425+IF(F1425="",IFERROR(VLOOKUP(C1425,Parametros!$E:$F,2,0),0),F1425))</f>
        <v/>
      </c>
      <c r="M1425" s="21">
        <f>IF(E1425="","",IF(G1425="",IF(TODAY()&gt;L1425,"Atrasada","Em aberto"),IF(G1425&lt;=L1425,"No prazo","Com atraso")))</f>
        <v/>
      </c>
      <c r="N1425" s="18">
        <f>IF(E1425="","",MAX(0,IF(G1425="",TODAY(),G1425)-L1425))</f>
        <v/>
      </c>
    </row>
    <row r="1426">
      <c r="E1426" s="22" t="n"/>
      <c r="G1426" s="22" t="n"/>
      <c r="I1426" s="22" t="n"/>
      <c r="L1426" s="20">
        <f>IF(E1426="","",E1426+IF(F1426="",IFERROR(VLOOKUP(C1426,Parametros!$E:$F,2,0),0),F1426))</f>
        <v/>
      </c>
      <c r="M1426" s="21">
        <f>IF(E1426="","",IF(G1426="",IF(TODAY()&gt;L1426,"Atrasada","Em aberto"),IF(G1426&lt;=L1426,"No prazo","Com atraso")))</f>
        <v/>
      </c>
      <c r="N1426" s="18">
        <f>IF(E1426="","",MAX(0,IF(G1426="",TODAY(),G1426)-L1426))</f>
        <v/>
      </c>
    </row>
    <row r="1427">
      <c r="E1427" s="22" t="n"/>
      <c r="G1427" s="22" t="n"/>
      <c r="I1427" s="22" t="n"/>
      <c r="L1427" s="20">
        <f>IF(E1427="","",E1427+IF(F1427="",IFERROR(VLOOKUP(C1427,Parametros!$E:$F,2,0),0),F1427))</f>
        <v/>
      </c>
      <c r="M1427" s="21">
        <f>IF(E1427="","",IF(G1427="",IF(TODAY()&gt;L1427,"Atrasada","Em aberto"),IF(G1427&lt;=L1427,"No prazo","Com atraso")))</f>
        <v/>
      </c>
      <c r="N1427" s="18">
        <f>IF(E1427="","",MAX(0,IF(G1427="",TODAY(),G1427)-L1427))</f>
        <v/>
      </c>
    </row>
    <row r="1428">
      <c r="E1428" s="22" t="n"/>
      <c r="G1428" s="22" t="n"/>
      <c r="I1428" s="22" t="n"/>
      <c r="L1428" s="20">
        <f>IF(E1428="","",E1428+IF(F1428="",IFERROR(VLOOKUP(C1428,Parametros!$E:$F,2,0),0),F1428))</f>
        <v/>
      </c>
      <c r="M1428" s="21">
        <f>IF(E1428="","",IF(G1428="",IF(TODAY()&gt;L1428,"Atrasada","Em aberto"),IF(G1428&lt;=L1428,"No prazo","Com atraso")))</f>
        <v/>
      </c>
      <c r="N1428" s="18">
        <f>IF(E1428="","",MAX(0,IF(G1428="",TODAY(),G1428)-L1428))</f>
        <v/>
      </c>
    </row>
    <row r="1429">
      <c r="E1429" s="22" t="n"/>
      <c r="G1429" s="22" t="n"/>
      <c r="I1429" s="22" t="n"/>
      <c r="L1429" s="20">
        <f>IF(E1429="","",E1429+IF(F1429="",IFERROR(VLOOKUP(C1429,Parametros!$E:$F,2,0),0),F1429))</f>
        <v/>
      </c>
      <c r="M1429" s="21">
        <f>IF(E1429="","",IF(G1429="",IF(TODAY()&gt;L1429,"Atrasada","Em aberto"),IF(G1429&lt;=L1429,"No prazo","Com atraso")))</f>
        <v/>
      </c>
      <c r="N1429" s="18">
        <f>IF(E1429="","",MAX(0,IF(G1429="",TODAY(),G1429)-L1429))</f>
        <v/>
      </c>
    </row>
    <row r="1430">
      <c r="E1430" s="22" t="n"/>
      <c r="G1430" s="22" t="n"/>
      <c r="I1430" s="22" t="n"/>
      <c r="L1430" s="20">
        <f>IF(E1430="","",E1430+IF(F1430="",IFERROR(VLOOKUP(C1430,Parametros!$E:$F,2,0),0),F1430))</f>
        <v/>
      </c>
      <c r="M1430" s="21">
        <f>IF(E1430="","",IF(G1430="",IF(TODAY()&gt;L1430,"Atrasada","Em aberto"),IF(G1430&lt;=L1430,"No prazo","Com atraso")))</f>
        <v/>
      </c>
      <c r="N1430" s="18">
        <f>IF(E1430="","",MAX(0,IF(G1430="",TODAY(),G1430)-L1430))</f>
        <v/>
      </c>
    </row>
    <row r="1431">
      <c r="E1431" s="22" t="n"/>
      <c r="G1431" s="22" t="n"/>
      <c r="I1431" s="22" t="n"/>
      <c r="L1431" s="20">
        <f>IF(E1431="","",E1431+IF(F1431="",IFERROR(VLOOKUP(C1431,Parametros!$E:$F,2,0),0),F1431))</f>
        <v/>
      </c>
      <c r="M1431" s="21">
        <f>IF(E1431="","",IF(G1431="",IF(TODAY()&gt;L1431,"Atrasada","Em aberto"),IF(G1431&lt;=L1431,"No prazo","Com atraso")))</f>
        <v/>
      </c>
      <c r="N1431" s="18">
        <f>IF(E1431="","",MAX(0,IF(G1431="",TODAY(),G1431)-L1431))</f>
        <v/>
      </c>
    </row>
    <row r="1432">
      <c r="E1432" s="22" t="n"/>
      <c r="G1432" s="22" t="n"/>
      <c r="I1432" s="22" t="n"/>
      <c r="L1432" s="20">
        <f>IF(E1432="","",E1432+IF(F1432="",IFERROR(VLOOKUP(C1432,Parametros!$E:$F,2,0),0),F1432))</f>
        <v/>
      </c>
      <c r="M1432" s="21">
        <f>IF(E1432="","",IF(G1432="",IF(TODAY()&gt;L1432,"Atrasada","Em aberto"),IF(G1432&lt;=L1432,"No prazo","Com atraso")))</f>
        <v/>
      </c>
      <c r="N1432" s="18">
        <f>IF(E1432="","",MAX(0,IF(G1432="",TODAY(),G1432)-L1432))</f>
        <v/>
      </c>
    </row>
    <row r="1433">
      <c r="E1433" s="22" t="n"/>
      <c r="G1433" s="22" t="n"/>
      <c r="I1433" s="22" t="n"/>
      <c r="L1433" s="20">
        <f>IF(E1433="","",E1433+IF(F1433="",IFERROR(VLOOKUP(C1433,Parametros!$E:$F,2,0),0),F1433))</f>
        <v/>
      </c>
      <c r="M1433" s="21">
        <f>IF(E1433="","",IF(G1433="",IF(TODAY()&gt;L1433,"Atrasada","Em aberto"),IF(G1433&lt;=L1433,"No prazo","Com atraso")))</f>
        <v/>
      </c>
      <c r="N1433" s="18">
        <f>IF(E1433="","",MAX(0,IF(G1433="",TODAY(),G1433)-L1433))</f>
        <v/>
      </c>
    </row>
    <row r="1434">
      <c r="E1434" s="22" t="n"/>
      <c r="G1434" s="22" t="n"/>
      <c r="I1434" s="22" t="n"/>
      <c r="L1434" s="20">
        <f>IF(E1434="","",E1434+IF(F1434="",IFERROR(VLOOKUP(C1434,Parametros!$E:$F,2,0),0),F1434))</f>
        <v/>
      </c>
      <c r="M1434" s="21">
        <f>IF(E1434="","",IF(G1434="",IF(TODAY()&gt;L1434,"Atrasada","Em aberto"),IF(G1434&lt;=L1434,"No prazo","Com atraso")))</f>
        <v/>
      </c>
      <c r="N1434" s="18">
        <f>IF(E1434="","",MAX(0,IF(G1434="",TODAY(),G1434)-L1434))</f>
        <v/>
      </c>
    </row>
    <row r="1435">
      <c r="E1435" s="22" t="n"/>
      <c r="G1435" s="22" t="n"/>
      <c r="I1435" s="22" t="n"/>
      <c r="L1435" s="20">
        <f>IF(E1435="","",E1435+IF(F1435="",IFERROR(VLOOKUP(C1435,Parametros!$E:$F,2,0),0),F1435))</f>
        <v/>
      </c>
      <c r="M1435" s="21">
        <f>IF(E1435="","",IF(G1435="",IF(TODAY()&gt;L1435,"Atrasada","Em aberto"),IF(G1435&lt;=L1435,"No prazo","Com atraso")))</f>
        <v/>
      </c>
      <c r="N1435" s="18">
        <f>IF(E1435="","",MAX(0,IF(G1435="",TODAY(),G1435)-L1435))</f>
        <v/>
      </c>
    </row>
    <row r="1436">
      <c r="E1436" s="22" t="n"/>
      <c r="G1436" s="22" t="n"/>
      <c r="I1436" s="22" t="n"/>
      <c r="L1436" s="20">
        <f>IF(E1436="","",E1436+IF(F1436="",IFERROR(VLOOKUP(C1436,Parametros!$E:$F,2,0),0),F1436))</f>
        <v/>
      </c>
      <c r="M1436" s="21">
        <f>IF(E1436="","",IF(G1436="",IF(TODAY()&gt;L1436,"Atrasada","Em aberto"),IF(G1436&lt;=L1436,"No prazo","Com atraso")))</f>
        <v/>
      </c>
      <c r="N1436" s="18">
        <f>IF(E1436="","",MAX(0,IF(G1436="",TODAY(),G1436)-L1436))</f>
        <v/>
      </c>
    </row>
    <row r="1437">
      <c r="E1437" s="22" t="n"/>
      <c r="G1437" s="22" t="n"/>
      <c r="I1437" s="22" t="n"/>
      <c r="L1437" s="20">
        <f>IF(E1437="","",E1437+IF(F1437="",IFERROR(VLOOKUP(C1437,Parametros!$E:$F,2,0),0),F1437))</f>
        <v/>
      </c>
      <c r="M1437" s="21">
        <f>IF(E1437="","",IF(G1437="",IF(TODAY()&gt;L1437,"Atrasada","Em aberto"),IF(G1437&lt;=L1437,"No prazo","Com atraso")))</f>
        <v/>
      </c>
      <c r="N1437" s="18">
        <f>IF(E1437="","",MAX(0,IF(G1437="",TODAY(),G1437)-L1437))</f>
        <v/>
      </c>
    </row>
    <row r="1438">
      <c r="E1438" s="22" t="n"/>
      <c r="G1438" s="22" t="n"/>
      <c r="I1438" s="22" t="n"/>
      <c r="L1438" s="20">
        <f>IF(E1438="","",E1438+IF(F1438="",IFERROR(VLOOKUP(C1438,Parametros!$E:$F,2,0),0),F1438))</f>
        <v/>
      </c>
      <c r="M1438" s="21">
        <f>IF(E1438="","",IF(G1438="",IF(TODAY()&gt;L1438,"Atrasada","Em aberto"),IF(G1438&lt;=L1438,"No prazo","Com atraso")))</f>
        <v/>
      </c>
      <c r="N1438" s="18">
        <f>IF(E1438="","",MAX(0,IF(G1438="",TODAY(),G1438)-L1438))</f>
        <v/>
      </c>
    </row>
    <row r="1439">
      <c r="E1439" s="22" t="n"/>
      <c r="G1439" s="22" t="n"/>
      <c r="I1439" s="22" t="n"/>
      <c r="L1439" s="20">
        <f>IF(E1439="","",E1439+IF(F1439="",IFERROR(VLOOKUP(C1439,Parametros!$E:$F,2,0),0),F1439))</f>
        <v/>
      </c>
      <c r="M1439" s="21">
        <f>IF(E1439="","",IF(G1439="",IF(TODAY()&gt;L1439,"Atrasada","Em aberto"),IF(G1439&lt;=L1439,"No prazo","Com atraso")))</f>
        <v/>
      </c>
      <c r="N1439" s="18">
        <f>IF(E1439="","",MAX(0,IF(G1439="",TODAY(),G1439)-L1439))</f>
        <v/>
      </c>
    </row>
    <row r="1440">
      <c r="E1440" s="22" t="n"/>
      <c r="G1440" s="22" t="n"/>
      <c r="I1440" s="22" t="n"/>
      <c r="L1440" s="20">
        <f>IF(E1440="","",E1440+IF(F1440="",IFERROR(VLOOKUP(C1440,Parametros!$E:$F,2,0),0),F1440))</f>
        <v/>
      </c>
      <c r="M1440" s="21">
        <f>IF(E1440="","",IF(G1440="",IF(TODAY()&gt;L1440,"Atrasada","Em aberto"),IF(G1440&lt;=L1440,"No prazo","Com atraso")))</f>
        <v/>
      </c>
      <c r="N1440" s="18">
        <f>IF(E1440="","",MAX(0,IF(G1440="",TODAY(),G1440)-L1440))</f>
        <v/>
      </c>
    </row>
    <row r="1441">
      <c r="E1441" s="22" t="n"/>
      <c r="G1441" s="22" t="n"/>
      <c r="I1441" s="22" t="n"/>
      <c r="L1441" s="20">
        <f>IF(E1441="","",E1441+IF(F1441="",IFERROR(VLOOKUP(C1441,Parametros!$E:$F,2,0),0),F1441))</f>
        <v/>
      </c>
      <c r="M1441" s="21">
        <f>IF(E1441="","",IF(G1441="",IF(TODAY()&gt;L1441,"Atrasada","Em aberto"),IF(G1441&lt;=L1441,"No prazo","Com atraso")))</f>
        <v/>
      </c>
      <c r="N1441" s="18">
        <f>IF(E1441="","",MAX(0,IF(G1441="",TODAY(),G1441)-L1441))</f>
        <v/>
      </c>
    </row>
    <row r="1442">
      <c r="E1442" s="22" t="n"/>
      <c r="G1442" s="22" t="n"/>
      <c r="I1442" s="22" t="n"/>
      <c r="L1442" s="20">
        <f>IF(E1442="","",E1442+IF(F1442="",IFERROR(VLOOKUP(C1442,Parametros!$E:$F,2,0),0),F1442))</f>
        <v/>
      </c>
      <c r="M1442" s="21">
        <f>IF(E1442="","",IF(G1442="",IF(TODAY()&gt;L1442,"Atrasada","Em aberto"),IF(G1442&lt;=L1442,"No prazo","Com atraso")))</f>
        <v/>
      </c>
      <c r="N1442" s="18">
        <f>IF(E1442="","",MAX(0,IF(G1442="",TODAY(),G1442)-L1442))</f>
        <v/>
      </c>
    </row>
    <row r="1443">
      <c r="E1443" s="22" t="n"/>
      <c r="G1443" s="22" t="n"/>
      <c r="I1443" s="22" t="n"/>
      <c r="L1443" s="20">
        <f>IF(E1443="","",E1443+IF(F1443="",IFERROR(VLOOKUP(C1443,Parametros!$E:$F,2,0),0),F1443))</f>
        <v/>
      </c>
      <c r="M1443" s="21">
        <f>IF(E1443="","",IF(G1443="",IF(TODAY()&gt;L1443,"Atrasada","Em aberto"),IF(G1443&lt;=L1443,"No prazo","Com atraso")))</f>
        <v/>
      </c>
      <c r="N1443" s="18">
        <f>IF(E1443="","",MAX(0,IF(G1443="",TODAY(),G1443)-L1443))</f>
        <v/>
      </c>
    </row>
    <row r="1444">
      <c r="E1444" s="22" t="n"/>
      <c r="G1444" s="22" t="n"/>
      <c r="I1444" s="22" t="n"/>
      <c r="L1444" s="20">
        <f>IF(E1444="","",E1444+IF(F1444="",IFERROR(VLOOKUP(C1444,Parametros!$E:$F,2,0),0),F1444))</f>
        <v/>
      </c>
      <c r="M1444" s="21">
        <f>IF(E1444="","",IF(G1444="",IF(TODAY()&gt;L1444,"Atrasada","Em aberto"),IF(G1444&lt;=L1444,"No prazo","Com atraso")))</f>
        <v/>
      </c>
      <c r="N1444" s="18">
        <f>IF(E1444="","",MAX(0,IF(G1444="",TODAY(),G1444)-L1444))</f>
        <v/>
      </c>
    </row>
    <row r="1445">
      <c r="E1445" s="22" t="n"/>
      <c r="G1445" s="22" t="n"/>
      <c r="I1445" s="22" t="n"/>
      <c r="L1445" s="20">
        <f>IF(E1445="","",E1445+IF(F1445="",IFERROR(VLOOKUP(C1445,Parametros!$E:$F,2,0),0),F1445))</f>
        <v/>
      </c>
      <c r="M1445" s="21">
        <f>IF(E1445="","",IF(G1445="",IF(TODAY()&gt;L1445,"Atrasada","Em aberto"),IF(G1445&lt;=L1445,"No prazo","Com atraso")))</f>
        <v/>
      </c>
      <c r="N1445" s="18">
        <f>IF(E1445="","",MAX(0,IF(G1445="",TODAY(),G1445)-L1445))</f>
        <v/>
      </c>
    </row>
    <row r="1446">
      <c r="E1446" s="22" t="n"/>
      <c r="G1446" s="22" t="n"/>
      <c r="I1446" s="22" t="n"/>
      <c r="L1446" s="20">
        <f>IF(E1446="","",E1446+IF(F1446="",IFERROR(VLOOKUP(C1446,Parametros!$E:$F,2,0),0),F1446))</f>
        <v/>
      </c>
      <c r="M1446" s="21">
        <f>IF(E1446="","",IF(G1446="",IF(TODAY()&gt;L1446,"Atrasada","Em aberto"),IF(G1446&lt;=L1446,"No prazo","Com atraso")))</f>
        <v/>
      </c>
      <c r="N1446" s="18">
        <f>IF(E1446="","",MAX(0,IF(G1446="",TODAY(),G1446)-L1446))</f>
        <v/>
      </c>
    </row>
    <row r="1447">
      <c r="E1447" s="22" t="n"/>
      <c r="G1447" s="22" t="n"/>
      <c r="I1447" s="22" t="n"/>
      <c r="L1447" s="20">
        <f>IF(E1447="","",E1447+IF(F1447="",IFERROR(VLOOKUP(C1447,Parametros!$E:$F,2,0),0),F1447))</f>
        <v/>
      </c>
      <c r="M1447" s="21">
        <f>IF(E1447="","",IF(G1447="",IF(TODAY()&gt;L1447,"Atrasada","Em aberto"),IF(G1447&lt;=L1447,"No prazo","Com atraso")))</f>
        <v/>
      </c>
      <c r="N1447" s="18">
        <f>IF(E1447="","",MAX(0,IF(G1447="",TODAY(),G1447)-L1447))</f>
        <v/>
      </c>
    </row>
    <row r="1448">
      <c r="E1448" s="22" t="n"/>
      <c r="G1448" s="22" t="n"/>
      <c r="I1448" s="22" t="n"/>
      <c r="L1448" s="20">
        <f>IF(E1448="","",E1448+IF(F1448="",IFERROR(VLOOKUP(C1448,Parametros!$E:$F,2,0),0),F1448))</f>
        <v/>
      </c>
      <c r="M1448" s="21">
        <f>IF(E1448="","",IF(G1448="",IF(TODAY()&gt;L1448,"Atrasada","Em aberto"),IF(G1448&lt;=L1448,"No prazo","Com atraso")))</f>
        <v/>
      </c>
      <c r="N1448" s="18">
        <f>IF(E1448="","",MAX(0,IF(G1448="",TODAY(),G1448)-L1448))</f>
        <v/>
      </c>
    </row>
    <row r="1449">
      <c r="E1449" s="22" t="n"/>
      <c r="G1449" s="22" t="n"/>
      <c r="I1449" s="22" t="n"/>
      <c r="L1449" s="20">
        <f>IF(E1449="","",E1449+IF(F1449="",IFERROR(VLOOKUP(C1449,Parametros!$E:$F,2,0),0),F1449))</f>
        <v/>
      </c>
      <c r="M1449" s="21">
        <f>IF(E1449="","",IF(G1449="",IF(TODAY()&gt;L1449,"Atrasada","Em aberto"),IF(G1449&lt;=L1449,"No prazo","Com atraso")))</f>
        <v/>
      </c>
      <c r="N1449" s="18">
        <f>IF(E1449="","",MAX(0,IF(G1449="",TODAY(),G1449)-L1449))</f>
        <v/>
      </c>
    </row>
    <row r="1450">
      <c r="E1450" s="22" t="n"/>
      <c r="G1450" s="22" t="n"/>
      <c r="I1450" s="22" t="n"/>
      <c r="L1450" s="20">
        <f>IF(E1450="","",E1450+IF(F1450="",IFERROR(VLOOKUP(C1450,Parametros!$E:$F,2,0),0),F1450))</f>
        <v/>
      </c>
      <c r="M1450" s="21">
        <f>IF(E1450="","",IF(G1450="",IF(TODAY()&gt;L1450,"Atrasada","Em aberto"),IF(G1450&lt;=L1450,"No prazo","Com atraso")))</f>
        <v/>
      </c>
      <c r="N1450" s="18">
        <f>IF(E1450="","",MAX(0,IF(G1450="",TODAY(),G1450)-L1450))</f>
        <v/>
      </c>
    </row>
    <row r="1451">
      <c r="E1451" s="22" t="n"/>
      <c r="G1451" s="22" t="n"/>
      <c r="I1451" s="22" t="n"/>
      <c r="L1451" s="20">
        <f>IF(E1451="","",E1451+IF(F1451="",IFERROR(VLOOKUP(C1451,Parametros!$E:$F,2,0),0),F1451))</f>
        <v/>
      </c>
      <c r="M1451" s="21">
        <f>IF(E1451="","",IF(G1451="",IF(TODAY()&gt;L1451,"Atrasada","Em aberto"),IF(G1451&lt;=L1451,"No prazo","Com atraso")))</f>
        <v/>
      </c>
      <c r="N1451" s="18">
        <f>IF(E1451="","",MAX(0,IF(G1451="",TODAY(),G1451)-L1451))</f>
        <v/>
      </c>
    </row>
    <row r="1452">
      <c r="E1452" s="22" t="n"/>
      <c r="G1452" s="22" t="n"/>
      <c r="I1452" s="22" t="n"/>
      <c r="L1452" s="20">
        <f>IF(E1452="","",E1452+IF(F1452="",IFERROR(VLOOKUP(C1452,Parametros!$E:$F,2,0),0),F1452))</f>
        <v/>
      </c>
      <c r="M1452" s="21">
        <f>IF(E1452="","",IF(G1452="",IF(TODAY()&gt;L1452,"Atrasada","Em aberto"),IF(G1452&lt;=L1452,"No prazo","Com atraso")))</f>
        <v/>
      </c>
      <c r="N1452" s="18">
        <f>IF(E1452="","",MAX(0,IF(G1452="",TODAY(),G1452)-L1452))</f>
        <v/>
      </c>
    </row>
    <row r="1453">
      <c r="E1453" s="22" t="n"/>
      <c r="G1453" s="22" t="n"/>
      <c r="I1453" s="22" t="n"/>
      <c r="L1453" s="20">
        <f>IF(E1453="","",E1453+IF(F1453="",IFERROR(VLOOKUP(C1453,Parametros!$E:$F,2,0),0),F1453))</f>
        <v/>
      </c>
      <c r="M1453" s="21">
        <f>IF(E1453="","",IF(G1453="",IF(TODAY()&gt;L1453,"Atrasada","Em aberto"),IF(G1453&lt;=L1453,"No prazo","Com atraso")))</f>
        <v/>
      </c>
      <c r="N1453" s="18">
        <f>IF(E1453="","",MAX(0,IF(G1453="",TODAY(),G1453)-L1453))</f>
        <v/>
      </c>
    </row>
    <row r="1454">
      <c r="E1454" s="22" t="n"/>
      <c r="G1454" s="22" t="n"/>
      <c r="I1454" s="22" t="n"/>
      <c r="L1454" s="20">
        <f>IF(E1454="","",E1454+IF(F1454="",IFERROR(VLOOKUP(C1454,Parametros!$E:$F,2,0),0),F1454))</f>
        <v/>
      </c>
      <c r="M1454" s="21">
        <f>IF(E1454="","",IF(G1454="",IF(TODAY()&gt;L1454,"Atrasada","Em aberto"),IF(G1454&lt;=L1454,"No prazo","Com atraso")))</f>
        <v/>
      </c>
      <c r="N1454" s="18">
        <f>IF(E1454="","",MAX(0,IF(G1454="",TODAY(),G1454)-L1454))</f>
        <v/>
      </c>
    </row>
    <row r="1455">
      <c r="E1455" s="22" t="n"/>
      <c r="G1455" s="22" t="n"/>
      <c r="I1455" s="22" t="n"/>
      <c r="L1455" s="20">
        <f>IF(E1455="","",E1455+IF(F1455="",IFERROR(VLOOKUP(C1455,Parametros!$E:$F,2,0),0),F1455))</f>
        <v/>
      </c>
      <c r="M1455" s="21">
        <f>IF(E1455="","",IF(G1455="",IF(TODAY()&gt;L1455,"Atrasada","Em aberto"),IF(G1455&lt;=L1455,"No prazo","Com atraso")))</f>
        <v/>
      </c>
      <c r="N1455" s="18">
        <f>IF(E1455="","",MAX(0,IF(G1455="",TODAY(),G1455)-L1455))</f>
        <v/>
      </c>
    </row>
    <row r="1456">
      <c r="E1456" s="22" t="n"/>
      <c r="G1456" s="22" t="n"/>
      <c r="I1456" s="22" t="n"/>
      <c r="L1456" s="20">
        <f>IF(E1456="","",E1456+IF(F1456="",IFERROR(VLOOKUP(C1456,Parametros!$E:$F,2,0),0),F1456))</f>
        <v/>
      </c>
      <c r="M1456" s="21">
        <f>IF(E1456="","",IF(G1456="",IF(TODAY()&gt;L1456,"Atrasada","Em aberto"),IF(G1456&lt;=L1456,"No prazo","Com atraso")))</f>
        <v/>
      </c>
      <c r="N1456" s="18">
        <f>IF(E1456="","",MAX(0,IF(G1456="",TODAY(),G1456)-L1456))</f>
        <v/>
      </c>
    </row>
    <row r="1457">
      <c r="E1457" s="22" t="n"/>
      <c r="G1457" s="22" t="n"/>
      <c r="I1457" s="22" t="n"/>
      <c r="L1457" s="20">
        <f>IF(E1457="","",E1457+IF(F1457="",IFERROR(VLOOKUP(C1457,Parametros!$E:$F,2,0),0),F1457))</f>
        <v/>
      </c>
      <c r="M1457" s="21">
        <f>IF(E1457="","",IF(G1457="",IF(TODAY()&gt;L1457,"Atrasada","Em aberto"),IF(G1457&lt;=L1457,"No prazo","Com atraso")))</f>
        <v/>
      </c>
      <c r="N1457" s="18">
        <f>IF(E1457="","",MAX(0,IF(G1457="",TODAY(),G1457)-L1457))</f>
        <v/>
      </c>
    </row>
    <row r="1458">
      <c r="E1458" s="22" t="n"/>
      <c r="G1458" s="22" t="n"/>
      <c r="I1458" s="22" t="n"/>
      <c r="L1458" s="20">
        <f>IF(E1458="","",E1458+IF(F1458="",IFERROR(VLOOKUP(C1458,Parametros!$E:$F,2,0),0),F1458))</f>
        <v/>
      </c>
      <c r="M1458" s="21">
        <f>IF(E1458="","",IF(G1458="",IF(TODAY()&gt;L1458,"Atrasada","Em aberto"),IF(G1458&lt;=L1458,"No prazo","Com atraso")))</f>
        <v/>
      </c>
      <c r="N1458" s="18">
        <f>IF(E1458="","",MAX(0,IF(G1458="",TODAY(),G1458)-L1458))</f>
        <v/>
      </c>
    </row>
    <row r="1459">
      <c r="E1459" s="22" t="n"/>
      <c r="G1459" s="22" t="n"/>
      <c r="I1459" s="22" t="n"/>
      <c r="L1459" s="20">
        <f>IF(E1459="","",E1459+IF(F1459="",IFERROR(VLOOKUP(C1459,Parametros!$E:$F,2,0),0),F1459))</f>
        <v/>
      </c>
      <c r="M1459" s="21">
        <f>IF(E1459="","",IF(G1459="",IF(TODAY()&gt;L1459,"Atrasada","Em aberto"),IF(G1459&lt;=L1459,"No prazo","Com atraso")))</f>
        <v/>
      </c>
      <c r="N1459" s="18">
        <f>IF(E1459="","",MAX(0,IF(G1459="",TODAY(),G1459)-L1459))</f>
        <v/>
      </c>
    </row>
    <row r="1460">
      <c r="E1460" s="22" t="n"/>
      <c r="G1460" s="22" t="n"/>
      <c r="I1460" s="22" t="n"/>
      <c r="L1460" s="20">
        <f>IF(E1460="","",E1460+IF(F1460="",IFERROR(VLOOKUP(C1460,Parametros!$E:$F,2,0),0),F1460))</f>
        <v/>
      </c>
      <c r="M1460" s="21">
        <f>IF(E1460="","",IF(G1460="",IF(TODAY()&gt;L1460,"Atrasada","Em aberto"),IF(G1460&lt;=L1460,"No prazo","Com atraso")))</f>
        <v/>
      </c>
      <c r="N1460" s="18">
        <f>IF(E1460="","",MAX(0,IF(G1460="",TODAY(),G1460)-L1460))</f>
        <v/>
      </c>
    </row>
    <row r="1461">
      <c r="E1461" s="22" t="n"/>
      <c r="G1461" s="22" t="n"/>
      <c r="I1461" s="22" t="n"/>
      <c r="L1461" s="20">
        <f>IF(E1461="","",E1461+IF(F1461="",IFERROR(VLOOKUP(C1461,Parametros!$E:$F,2,0),0),F1461))</f>
        <v/>
      </c>
      <c r="M1461" s="21">
        <f>IF(E1461="","",IF(G1461="",IF(TODAY()&gt;L1461,"Atrasada","Em aberto"),IF(G1461&lt;=L1461,"No prazo","Com atraso")))</f>
        <v/>
      </c>
      <c r="N1461" s="18">
        <f>IF(E1461="","",MAX(0,IF(G1461="",TODAY(),G1461)-L1461))</f>
        <v/>
      </c>
    </row>
    <row r="1462">
      <c r="E1462" s="22" t="n"/>
      <c r="G1462" s="22" t="n"/>
      <c r="I1462" s="22" t="n"/>
      <c r="L1462" s="20">
        <f>IF(E1462="","",E1462+IF(F1462="",IFERROR(VLOOKUP(C1462,Parametros!$E:$F,2,0),0),F1462))</f>
        <v/>
      </c>
      <c r="M1462" s="21">
        <f>IF(E1462="","",IF(G1462="",IF(TODAY()&gt;L1462,"Atrasada","Em aberto"),IF(G1462&lt;=L1462,"No prazo","Com atraso")))</f>
        <v/>
      </c>
      <c r="N1462" s="18">
        <f>IF(E1462="","",MAX(0,IF(G1462="",TODAY(),G1462)-L1462))</f>
        <v/>
      </c>
    </row>
    <row r="1463">
      <c r="E1463" s="22" t="n"/>
      <c r="G1463" s="22" t="n"/>
      <c r="I1463" s="22" t="n"/>
      <c r="L1463" s="20">
        <f>IF(E1463="","",E1463+IF(F1463="",IFERROR(VLOOKUP(C1463,Parametros!$E:$F,2,0),0),F1463))</f>
        <v/>
      </c>
      <c r="M1463" s="21">
        <f>IF(E1463="","",IF(G1463="",IF(TODAY()&gt;L1463,"Atrasada","Em aberto"),IF(G1463&lt;=L1463,"No prazo","Com atraso")))</f>
        <v/>
      </c>
      <c r="N1463" s="18">
        <f>IF(E1463="","",MAX(0,IF(G1463="",TODAY(),G1463)-L1463))</f>
        <v/>
      </c>
    </row>
    <row r="1464">
      <c r="E1464" s="22" t="n"/>
      <c r="G1464" s="22" t="n"/>
      <c r="I1464" s="22" t="n"/>
      <c r="L1464" s="20">
        <f>IF(E1464="","",E1464+IF(F1464="",IFERROR(VLOOKUP(C1464,Parametros!$E:$F,2,0),0),F1464))</f>
        <v/>
      </c>
      <c r="M1464" s="21">
        <f>IF(E1464="","",IF(G1464="",IF(TODAY()&gt;L1464,"Atrasada","Em aberto"),IF(G1464&lt;=L1464,"No prazo","Com atraso")))</f>
        <v/>
      </c>
      <c r="N1464" s="18">
        <f>IF(E1464="","",MAX(0,IF(G1464="",TODAY(),G1464)-L1464))</f>
        <v/>
      </c>
    </row>
    <row r="1465">
      <c r="E1465" s="22" t="n"/>
      <c r="G1465" s="22" t="n"/>
      <c r="I1465" s="22" t="n"/>
      <c r="L1465" s="20">
        <f>IF(E1465="","",E1465+IF(F1465="",IFERROR(VLOOKUP(C1465,Parametros!$E:$F,2,0),0),F1465))</f>
        <v/>
      </c>
      <c r="M1465" s="21">
        <f>IF(E1465="","",IF(G1465="",IF(TODAY()&gt;L1465,"Atrasada","Em aberto"),IF(G1465&lt;=L1465,"No prazo","Com atraso")))</f>
        <v/>
      </c>
      <c r="N1465" s="18">
        <f>IF(E1465="","",MAX(0,IF(G1465="",TODAY(),G1465)-L1465))</f>
        <v/>
      </c>
    </row>
    <row r="1466">
      <c r="E1466" s="22" t="n"/>
      <c r="G1466" s="22" t="n"/>
      <c r="I1466" s="22" t="n"/>
      <c r="L1466" s="20">
        <f>IF(E1466="","",E1466+IF(F1466="",IFERROR(VLOOKUP(C1466,Parametros!$E:$F,2,0),0),F1466))</f>
        <v/>
      </c>
      <c r="M1466" s="21">
        <f>IF(E1466="","",IF(G1466="",IF(TODAY()&gt;L1466,"Atrasada","Em aberto"),IF(G1466&lt;=L1466,"No prazo","Com atraso")))</f>
        <v/>
      </c>
      <c r="N1466" s="18">
        <f>IF(E1466="","",MAX(0,IF(G1466="",TODAY(),G1466)-L1466))</f>
        <v/>
      </c>
    </row>
    <row r="1467">
      <c r="E1467" s="22" t="n"/>
      <c r="G1467" s="22" t="n"/>
      <c r="I1467" s="22" t="n"/>
      <c r="L1467" s="20">
        <f>IF(E1467="","",E1467+IF(F1467="",IFERROR(VLOOKUP(C1467,Parametros!$E:$F,2,0),0),F1467))</f>
        <v/>
      </c>
      <c r="M1467" s="21">
        <f>IF(E1467="","",IF(G1467="",IF(TODAY()&gt;L1467,"Atrasada","Em aberto"),IF(G1467&lt;=L1467,"No prazo","Com atraso")))</f>
        <v/>
      </c>
      <c r="N1467" s="18">
        <f>IF(E1467="","",MAX(0,IF(G1467="",TODAY(),G1467)-L1467))</f>
        <v/>
      </c>
    </row>
    <row r="1468">
      <c r="E1468" s="22" t="n"/>
      <c r="G1468" s="22" t="n"/>
      <c r="I1468" s="22" t="n"/>
      <c r="L1468" s="20">
        <f>IF(E1468="","",E1468+IF(F1468="",IFERROR(VLOOKUP(C1468,Parametros!$E:$F,2,0),0),F1468))</f>
        <v/>
      </c>
      <c r="M1468" s="21">
        <f>IF(E1468="","",IF(G1468="",IF(TODAY()&gt;L1468,"Atrasada","Em aberto"),IF(G1468&lt;=L1468,"No prazo","Com atraso")))</f>
        <v/>
      </c>
      <c r="N1468" s="18">
        <f>IF(E1468="","",MAX(0,IF(G1468="",TODAY(),G1468)-L1468))</f>
        <v/>
      </c>
    </row>
    <row r="1469">
      <c r="E1469" s="22" t="n"/>
      <c r="G1469" s="22" t="n"/>
      <c r="I1469" s="22" t="n"/>
      <c r="L1469" s="20">
        <f>IF(E1469="","",E1469+IF(F1469="",IFERROR(VLOOKUP(C1469,Parametros!$E:$F,2,0),0),F1469))</f>
        <v/>
      </c>
      <c r="M1469" s="21">
        <f>IF(E1469="","",IF(G1469="",IF(TODAY()&gt;L1469,"Atrasada","Em aberto"),IF(G1469&lt;=L1469,"No prazo","Com atraso")))</f>
        <v/>
      </c>
      <c r="N1469" s="18">
        <f>IF(E1469="","",MAX(0,IF(G1469="",TODAY(),G1469)-L1469))</f>
        <v/>
      </c>
    </row>
    <row r="1470">
      <c r="E1470" s="22" t="n"/>
      <c r="G1470" s="22" t="n"/>
      <c r="I1470" s="22" t="n"/>
      <c r="L1470" s="20">
        <f>IF(E1470="","",E1470+IF(F1470="",IFERROR(VLOOKUP(C1470,Parametros!$E:$F,2,0),0),F1470))</f>
        <v/>
      </c>
      <c r="M1470" s="21">
        <f>IF(E1470="","",IF(G1470="",IF(TODAY()&gt;L1470,"Atrasada","Em aberto"),IF(G1470&lt;=L1470,"No prazo","Com atraso")))</f>
        <v/>
      </c>
      <c r="N1470" s="18">
        <f>IF(E1470="","",MAX(0,IF(G1470="",TODAY(),G1470)-L1470))</f>
        <v/>
      </c>
    </row>
    <row r="1471">
      <c r="E1471" s="22" t="n"/>
      <c r="G1471" s="22" t="n"/>
      <c r="I1471" s="22" t="n"/>
      <c r="L1471" s="20">
        <f>IF(E1471="","",E1471+IF(F1471="",IFERROR(VLOOKUP(C1471,Parametros!$E:$F,2,0),0),F1471))</f>
        <v/>
      </c>
      <c r="M1471" s="21">
        <f>IF(E1471="","",IF(G1471="",IF(TODAY()&gt;L1471,"Atrasada","Em aberto"),IF(G1471&lt;=L1471,"No prazo","Com atraso")))</f>
        <v/>
      </c>
      <c r="N1471" s="18">
        <f>IF(E1471="","",MAX(0,IF(G1471="",TODAY(),G1471)-L1471))</f>
        <v/>
      </c>
    </row>
    <row r="1472">
      <c r="E1472" s="22" t="n"/>
      <c r="G1472" s="22" t="n"/>
      <c r="I1472" s="22" t="n"/>
      <c r="L1472" s="20">
        <f>IF(E1472="","",E1472+IF(F1472="",IFERROR(VLOOKUP(C1472,Parametros!$E:$F,2,0),0),F1472))</f>
        <v/>
      </c>
      <c r="M1472" s="21">
        <f>IF(E1472="","",IF(G1472="",IF(TODAY()&gt;L1472,"Atrasada","Em aberto"),IF(G1472&lt;=L1472,"No prazo","Com atraso")))</f>
        <v/>
      </c>
      <c r="N1472" s="18">
        <f>IF(E1472="","",MAX(0,IF(G1472="",TODAY(),G1472)-L1472))</f>
        <v/>
      </c>
    </row>
    <row r="1473">
      <c r="E1473" s="22" t="n"/>
      <c r="G1473" s="22" t="n"/>
      <c r="I1473" s="22" t="n"/>
      <c r="L1473" s="20">
        <f>IF(E1473="","",E1473+IF(F1473="",IFERROR(VLOOKUP(C1473,Parametros!$E:$F,2,0),0),F1473))</f>
        <v/>
      </c>
      <c r="M1473" s="21">
        <f>IF(E1473="","",IF(G1473="",IF(TODAY()&gt;L1473,"Atrasada","Em aberto"),IF(G1473&lt;=L1473,"No prazo","Com atraso")))</f>
        <v/>
      </c>
      <c r="N1473" s="18">
        <f>IF(E1473="","",MAX(0,IF(G1473="",TODAY(),G1473)-L1473))</f>
        <v/>
      </c>
    </row>
    <row r="1474">
      <c r="E1474" s="22" t="n"/>
      <c r="G1474" s="22" t="n"/>
      <c r="I1474" s="22" t="n"/>
      <c r="L1474" s="20">
        <f>IF(E1474="","",E1474+IF(F1474="",IFERROR(VLOOKUP(C1474,Parametros!$E:$F,2,0),0),F1474))</f>
        <v/>
      </c>
      <c r="M1474" s="21">
        <f>IF(E1474="","",IF(G1474="",IF(TODAY()&gt;L1474,"Atrasada","Em aberto"),IF(G1474&lt;=L1474,"No prazo","Com atraso")))</f>
        <v/>
      </c>
      <c r="N1474" s="18">
        <f>IF(E1474="","",MAX(0,IF(G1474="",TODAY(),G1474)-L1474))</f>
        <v/>
      </c>
    </row>
    <row r="1475">
      <c r="E1475" s="22" t="n"/>
      <c r="G1475" s="22" t="n"/>
      <c r="I1475" s="22" t="n"/>
      <c r="L1475" s="20">
        <f>IF(E1475="","",E1475+IF(F1475="",IFERROR(VLOOKUP(C1475,Parametros!$E:$F,2,0),0),F1475))</f>
        <v/>
      </c>
      <c r="M1475" s="21">
        <f>IF(E1475="","",IF(G1475="",IF(TODAY()&gt;L1475,"Atrasada","Em aberto"),IF(G1475&lt;=L1475,"No prazo","Com atraso")))</f>
        <v/>
      </c>
      <c r="N1475" s="18">
        <f>IF(E1475="","",MAX(0,IF(G1475="",TODAY(),G1475)-L1475))</f>
        <v/>
      </c>
    </row>
    <row r="1476">
      <c r="E1476" s="22" t="n"/>
      <c r="G1476" s="22" t="n"/>
      <c r="I1476" s="22" t="n"/>
      <c r="L1476" s="20">
        <f>IF(E1476="","",E1476+IF(F1476="",IFERROR(VLOOKUP(C1476,Parametros!$E:$F,2,0),0),F1476))</f>
        <v/>
      </c>
      <c r="M1476" s="21">
        <f>IF(E1476="","",IF(G1476="",IF(TODAY()&gt;L1476,"Atrasada","Em aberto"),IF(G1476&lt;=L1476,"No prazo","Com atraso")))</f>
        <v/>
      </c>
      <c r="N1476" s="18">
        <f>IF(E1476="","",MAX(0,IF(G1476="",TODAY(),G1476)-L1476))</f>
        <v/>
      </c>
    </row>
    <row r="1477">
      <c r="E1477" s="22" t="n"/>
      <c r="G1477" s="22" t="n"/>
      <c r="I1477" s="22" t="n"/>
      <c r="L1477" s="20">
        <f>IF(E1477="","",E1477+IF(F1477="",IFERROR(VLOOKUP(C1477,Parametros!$E:$F,2,0),0),F1477))</f>
        <v/>
      </c>
      <c r="M1477" s="21">
        <f>IF(E1477="","",IF(G1477="",IF(TODAY()&gt;L1477,"Atrasada","Em aberto"),IF(G1477&lt;=L1477,"No prazo","Com atraso")))</f>
        <v/>
      </c>
      <c r="N1477" s="18">
        <f>IF(E1477="","",MAX(0,IF(G1477="",TODAY(),G1477)-L1477))</f>
        <v/>
      </c>
    </row>
    <row r="1478">
      <c r="E1478" s="22" t="n"/>
      <c r="G1478" s="22" t="n"/>
      <c r="I1478" s="22" t="n"/>
      <c r="L1478" s="20">
        <f>IF(E1478="","",E1478+IF(F1478="",IFERROR(VLOOKUP(C1478,Parametros!$E:$F,2,0),0),F1478))</f>
        <v/>
      </c>
      <c r="M1478" s="21">
        <f>IF(E1478="","",IF(G1478="",IF(TODAY()&gt;L1478,"Atrasada","Em aberto"),IF(G1478&lt;=L1478,"No prazo","Com atraso")))</f>
        <v/>
      </c>
      <c r="N1478" s="18">
        <f>IF(E1478="","",MAX(0,IF(G1478="",TODAY(),G1478)-L1478))</f>
        <v/>
      </c>
    </row>
    <row r="1479">
      <c r="E1479" s="22" t="n"/>
      <c r="G1479" s="22" t="n"/>
      <c r="I1479" s="22" t="n"/>
      <c r="L1479" s="20">
        <f>IF(E1479="","",E1479+IF(F1479="",IFERROR(VLOOKUP(C1479,Parametros!$E:$F,2,0),0),F1479))</f>
        <v/>
      </c>
      <c r="M1479" s="21">
        <f>IF(E1479="","",IF(G1479="",IF(TODAY()&gt;L1479,"Atrasada","Em aberto"),IF(G1479&lt;=L1479,"No prazo","Com atraso")))</f>
        <v/>
      </c>
      <c r="N1479" s="18">
        <f>IF(E1479="","",MAX(0,IF(G1479="",TODAY(),G1479)-L1479))</f>
        <v/>
      </c>
    </row>
    <row r="1480">
      <c r="E1480" s="22" t="n"/>
      <c r="G1480" s="22" t="n"/>
      <c r="I1480" s="22" t="n"/>
      <c r="L1480" s="20">
        <f>IF(E1480="","",E1480+IF(F1480="",IFERROR(VLOOKUP(C1480,Parametros!$E:$F,2,0),0),F1480))</f>
        <v/>
      </c>
      <c r="M1480" s="21">
        <f>IF(E1480="","",IF(G1480="",IF(TODAY()&gt;L1480,"Atrasada","Em aberto"),IF(G1480&lt;=L1480,"No prazo","Com atraso")))</f>
        <v/>
      </c>
      <c r="N1480" s="18">
        <f>IF(E1480="","",MAX(0,IF(G1480="",TODAY(),G1480)-L1480))</f>
        <v/>
      </c>
    </row>
    <row r="1481">
      <c r="E1481" s="22" t="n"/>
      <c r="G1481" s="22" t="n"/>
      <c r="I1481" s="22" t="n"/>
      <c r="L1481" s="20">
        <f>IF(E1481="","",E1481+IF(F1481="",IFERROR(VLOOKUP(C1481,Parametros!$E:$F,2,0),0),F1481))</f>
        <v/>
      </c>
      <c r="M1481" s="21">
        <f>IF(E1481="","",IF(G1481="",IF(TODAY()&gt;L1481,"Atrasada","Em aberto"),IF(G1481&lt;=L1481,"No prazo","Com atraso")))</f>
        <v/>
      </c>
      <c r="N1481" s="18">
        <f>IF(E1481="","",MAX(0,IF(G1481="",TODAY(),G1481)-L1481))</f>
        <v/>
      </c>
    </row>
    <row r="1482">
      <c r="E1482" s="22" t="n"/>
      <c r="G1482" s="22" t="n"/>
      <c r="I1482" s="22" t="n"/>
      <c r="L1482" s="20">
        <f>IF(E1482="","",E1482+IF(F1482="",IFERROR(VLOOKUP(C1482,Parametros!$E:$F,2,0),0),F1482))</f>
        <v/>
      </c>
      <c r="M1482" s="21">
        <f>IF(E1482="","",IF(G1482="",IF(TODAY()&gt;L1482,"Atrasada","Em aberto"),IF(G1482&lt;=L1482,"No prazo","Com atraso")))</f>
        <v/>
      </c>
      <c r="N1482" s="18">
        <f>IF(E1482="","",MAX(0,IF(G1482="",TODAY(),G1482)-L1482))</f>
        <v/>
      </c>
    </row>
    <row r="1483">
      <c r="E1483" s="22" t="n"/>
      <c r="G1483" s="22" t="n"/>
      <c r="I1483" s="22" t="n"/>
      <c r="L1483" s="20">
        <f>IF(E1483="","",E1483+IF(F1483="",IFERROR(VLOOKUP(C1483,Parametros!$E:$F,2,0),0),F1483))</f>
        <v/>
      </c>
      <c r="M1483" s="21">
        <f>IF(E1483="","",IF(G1483="",IF(TODAY()&gt;L1483,"Atrasada","Em aberto"),IF(G1483&lt;=L1483,"No prazo","Com atraso")))</f>
        <v/>
      </c>
      <c r="N1483" s="18">
        <f>IF(E1483="","",MAX(0,IF(G1483="",TODAY(),G1483)-L1483))</f>
        <v/>
      </c>
    </row>
    <row r="1484">
      <c r="E1484" s="22" t="n"/>
      <c r="G1484" s="22" t="n"/>
      <c r="I1484" s="22" t="n"/>
      <c r="L1484" s="20">
        <f>IF(E1484="","",E1484+IF(F1484="",IFERROR(VLOOKUP(C1484,Parametros!$E:$F,2,0),0),F1484))</f>
        <v/>
      </c>
      <c r="M1484" s="21">
        <f>IF(E1484="","",IF(G1484="",IF(TODAY()&gt;L1484,"Atrasada","Em aberto"),IF(G1484&lt;=L1484,"No prazo","Com atraso")))</f>
        <v/>
      </c>
      <c r="N1484" s="18">
        <f>IF(E1484="","",MAX(0,IF(G1484="",TODAY(),G1484)-L1484))</f>
        <v/>
      </c>
    </row>
    <row r="1485">
      <c r="E1485" s="22" t="n"/>
      <c r="G1485" s="22" t="n"/>
      <c r="I1485" s="22" t="n"/>
      <c r="L1485" s="20">
        <f>IF(E1485="","",E1485+IF(F1485="",IFERROR(VLOOKUP(C1485,Parametros!$E:$F,2,0),0),F1485))</f>
        <v/>
      </c>
      <c r="M1485" s="21">
        <f>IF(E1485="","",IF(G1485="",IF(TODAY()&gt;L1485,"Atrasada","Em aberto"),IF(G1485&lt;=L1485,"No prazo","Com atraso")))</f>
        <v/>
      </c>
      <c r="N1485" s="18">
        <f>IF(E1485="","",MAX(0,IF(G1485="",TODAY(),G1485)-L1485))</f>
        <v/>
      </c>
    </row>
    <row r="1486">
      <c r="E1486" s="22" t="n"/>
      <c r="G1486" s="22" t="n"/>
      <c r="I1486" s="22" t="n"/>
      <c r="L1486" s="20">
        <f>IF(E1486="","",E1486+IF(F1486="",IFERROR(VLOOKUP(C1486,Parametros!$E:$F,2,0),0),F1486))</f>
        <v/>
      </c>
      <c r="M1486" s="21">
        <f>IF(E1486="","",IF(G1486="",IF(TODAY()&gt;L1486,"Atrasada","Em aberto"),IF(G1486&lt;=L1486,"No prazo","Com atraso")))</f>
        <v/>
      </c>
      <c r="N1486" s="18">
        <f>IF(E1486="","",MAX(0,IF(G1486="",TODAY(),G1486)-L1486))</f>
        <v/>
      </c>
    </row>
    <row r="1487">
      <c r="E1487" s="22" t="n"/>
      <c r="G1487" s="22" t="n"/>
      <c r="I1487" s="22" t="n"/>
      <c r="L1487" s="20">
        <f>IF(E1487="","",E1487+IF(F1487="",IFERROR(VLOOKUP(C1487,Parametros!$E:$F,2,0),0),F1487))</f>
        <v/>
      </c>
      <c r="M1487" s="21">
        <f>IF(E1487="","",IF(G1487="",IF(TODAY()&gt;L1487,"Atrasada","Em aberto"),IF(G1487&lt;=L1487,"No prazo","Com atraso")))</f>
        <v/>
      </c>
      <c r="N1487" s="18">
        <f>IF(E1487="","",MAX(0,IF(G1487="",TODAY(),G1487)-L1487))</f>
        <v/>
      </c>
    </row>
    <row r="1488">
      <c r="E1488" s="22" t="n"/>
      <c r="G1488" s="22" t="n"/>
      <c r="I1488" s="22" t="n"/>
      <c r="L1488" s="20">
        <f>IF(E1488="","",E1488+IF(F1488="",IFERROR(VLOOKUP(C1488,Parametros!$E:$F,2,0),0),F1488))</f>
        <v/>
      </c>
      <c r="M1488" s="21">
        <f>IF(E1488="","",IF(G1488="",IF(TODAY()&gt;L1488,"Atrasada","Em aberto"),IF(G1488&lt;=L1488,"No prazo","Com atraso")))</f>
        <v/>
      </c>
      <c r="N1488" s="18">
        <f>IF(E1488="","",MAX(0,IF(G1488="",TODAY(),G1488)-L1488))</f>
        <v/>
      </c>
    </row>
    <row r="1489">
      <c r="E1489" s="22" t="n"/>
      <c r="G1489" s="22" t="n"/>
      <c r="I1489" s="22" t="n"/>
      <c r="L1489" s="20">
        <f>IF(E1489="","",E1489+IF(F1489="",IFERROR(VLOOKUP(C1489,Parametros!$E:$F,2,0),0),F1489))</f>
        <v/>
      </c>
      <c r="M1489" s="21">
        <f>IF(E1489="","",IF(G1489="",IF(TODAY()&gt;L1489,"Atrasada","Em aberto"),IF(G1489&lt;=L1489,"No prazo","Com atraso")))</f>
        <v/>
      </c>
      <c r="N1489" s="18">
        <f>IF(E1489="","",MAX(0,IF(G1489="",TODAY(),G1489)-L1489))</f>
        <v/>
      </c>
    </row>
    <row r="1490">
      <c r="E1490" s="22" t="n"/>
      <c r="G1490" s="22" t="n"/>
      <c r="I1490" s="22" t="n"/>
      <c r="L1490" s="20">
        <f>IF(E1490="","",E1490+IF(F1490="",IFERROR(VLOOKUP(C1490,Parametros!$E:$F,2,0),0),F1490))</f>
        <v/>
      </c>
      <c r="M1490" s="21">
        <f>IF(E1490="","",IF(G1490="",IF(TODAY()&gt;L1490,"Atrasada","Em aberto"),IF(G1490&lt;=L1490,"No prazo","Com atraso")))</f>
        <v/>
      </c>
      <c r="N1490" s="18">
        <f>IF(E1490="","",MAX(0,IF(G1490="",TODAY(),G1490)-L1490))</f>
        <v/>
      </c>
    </row>
    <row r="1491">
      <c r="E1491" s="22" t="n"/>
      <c r="G1491" s="22" t="n"/>
      <c r="I1491" s="22" t="n"/>
      <c r="L1491" s="20">
        <f>IF(E1491="","",E1491+IF(F1491="",IFERROR(VLOOKUP(C1491,Parametros!$E:$F,2,0),0),F1491))</f>
        <v/>
      </c>
      <c r="M1491" s="21">
        <f>IF(E1491="","",IF(G1491="",IF(TODAY()&gt;L1491,"Atrasada","Em aberto"),IF(G1491&lt;=L1491,"No prazo","Com atraso")))</f>
        <v/>
      </c>
      <c r="N1491" s="18">
        <f>IF(E1491="","",MAX(0,IF(G1491="",TODAY(),G1491)-L1491))</f>
        <v/>
      </c>
    </row>
    <row r="1492">
      <c r="E1492" s="22" t="n"/>
      <c r="G1492" s="22" t="n"/>
      <c r="I1492" s="22" t="n"/>
      <c r="L1492" s="20">
        <f>IF(E1492="","",E1492+IF(F1492="",IFERROR(VLOOKUP(C1492,Parametros!$E:$F,2,0),0),F1492))</f>
        <v/>
      </c>
      <c r="M1492" s="21">
        <f>IF(E1492="","",IF(G1492="",IF(TODAY()&gt;L1492,"Atrasada","Em aberto"),IF(G1492&lt;=L1492,"No prazo","Com atraso")))</f>
        <v/>
      </c>
      <c r="N1492" s="18">
        <f>IF(E1492="","",MAX(0,IF(G1492="",TODAY(),G1492)-L1492))</f>
        <v/>
      </c>
    </row>
    <row r="1493">
      <c r="E1493" s="22" t="n"/>
      <c r="G1493" s="22" t="n"/>
      <c r="I1493" s="22" t="n"/>
      <c r="L1493" s="20">
        <f>IF(E1493="","",E1493+IF(F1493="",IFERROR(VLOOKUP(C1493,Parametros!$E:$F,2,0),0),F1493))</f>
        <v/>
      </c>
      <c r="M1493" s="21">
        <f>IF(E1493="","",IF(G1493="",IF(TODAY()&gt;L1493,"Atrasada","Em aberto"),IF(G1493&lt;=L1493,"No prazo","Com atraso")))</f>
        <v/>
      </c>
      <c r="N1493" s="18">
        <f>IF(E1493="","",MAX(0,IF(G1493="",TODAY(),G1493)-L1493))</f>
        <v/>
      </c>
    </row>
    <row r="1494">
      <c r="E1494" s="22" t="n"/>
      <c r="G1494" s="22" t="n"/>
      <c r="I1494" s="22" t="n"/>
      <c r="L1494" s="20">
        <f>IF(E1494="","",E1494+IF(F1494="",IFERROR(VLOOKUP(C1494,Parametros!$E:$F,2,0),0),F1494))</f>
        <v/>
      </c>
      <c r="M1494" s="21">
        <f>IF(E1494="","",IF(G1494="",IF(TODAY()&gt;L1494,"Atrasada","Em aberto"),IF(G1494&lt;=L1494,"No prazo","Com atraso")))</f>
        <v/>
      </c>
      <c r="N1494" s="18">
        <f>IF(E1494="","",MAX(0,IF(G1494="",TODAY(),G1494)-L1494))</f>
        <v/>
      </c>
    </row>
    <row r="1495">
      <c r="E1495" s="22" t="n"/>
      <c r="G1495" s="22" t="n"/>
      <c r="I1495" s="22" t="n"/>
      <c r="L1495" s="20">
        <f>IF(E1495="","",E1495+IF(F1495="",IFERROR(VLOOKUP(C1495,Parametros!$E:$F,2,0),0),F1495))</f>
        <v/>
      </c>
      <c r="M1495" s="21">
        <f>IF(E1495="","",IF(G1495="",IF(TODAY()&gt;L1495,"Atrasada","Em aberto"),IF(G1495&lt;=L1495,"No prazo","Com atraso")))</f>
        <v/>
      </c>
      <c r="N1495" s="18">
        <f>IF(E1495="","",MAX(0,IF(G1495="",TODAY(),G1495)-L1495))</f>
        <v/>
      </c>
    </row>
    <row r="1496">
      <c r="E1496" s="22" t="n"/>
      <c r="G1496" s="22" t="n"/>
      <c r="I1496" s="22" t="n"/>
      <c r="L1496" s="20">
        <f>IF(E1496="","",E1496+IF(F1496="",IFERROR(VLOOKUP(C1496,Parametros!$E:$F,2,0),0),F1496))</f>
        <v/>
      </c>
      <c r="M1496" s="21">
        <f>IF(E1496="","",IF(G1496="",IF(TODAY()&gt;L1496,"Atrasada","Em aberto"),IF(G1496&lt;=L1496,"No prazo","Com atraso")))</f>
        <v/>
      </c>
      <c r="N1496" s="18">
        <f>IF(E1496="","",MAX(0,IF(G1496="",TODAY(),G1496)-L1496))</f>
        <v/>
      </c>
    </row>
    <row r="1497">
      <c r="E1497" s="22" t="n"/>
      <c r="G1497" s="22" t="n"/>
      <c r="I1497" s="22" t="n"/>
      <c r="L1497" s="20">
        <f>IF(E1497="","",E1497+IF(F1497="",IFERROR(VLOOKUP(C1497,Parametros!$E:$F,2,0),0),F1497))</f>
        <v/>
      </c>
      <c r="M1497" s="21">
        <f>IF(E1497="","",IF(G1497="",IF(TODAY()&gt;L1497,"Atrasada","Em aberto"),IF(G1497&lt;=L1497,"No prazo","Com atraso")))</f>
        <v/>
      </c>
      <c r="N1497" s="18">
        <f>IF(E1497="","",MAX(0,IF(G1497="",TODAY(),G1497)-L1497))</f>
        <v/>
      </c>
    </row>
    <row r="1498">
      <c r="E1498" s="22" t="n"/>
      <c r="G1498" s="22" t="n"/>
      <c r="I1498" s="22" t="n"/>
      <c r="L1498" s="20">
        <f>IF(E1498="","",E1498+IF(F1498="",IFERROR(VLOOKUP(C1498,Parametros!$E:$F,2,0),0),F1498))</f>
        <v/>
      </c>
      <c r="M1498" s="21">
        <f>IF(E1498="","",IF(G1498="",IF(TODAY()&gt;L1498,"Atrasada","Em aberto"),IF(G1498&lt;=L1498,"No prazo","Com atraso")))</f>
        <v/>
      </c>
      <c r="N1498" s="18">
        <f>IF(E1498="","",MAX(0,IF(G1498="",TODAY(),G1498)-L1498))</f>
        <v/>
      </c>
    </row>
    <row r="1499">
      <c r="E1499" s="22" t="n"/>
      <c r="G1499" s="22" t="n"/>
      <c r="I1499" s="22" t="n"/>
      <c r="L1499" s="20">
        <f>IF(E1499="","",E1499+IF(F1499="",IFERROR(VLOOKUP(C1499,Parametros!$E:$F,2,0),0),F1499))</f>
        <v/>
      </c>
      <c r="M1499" s="21">
        <f>IF(E1499="","",IF(G1499="",IF(TODAY()&gt;L1499,"Atrasada","Em aberto"),IF(G1499&lt;=L1499,"No prazo","Com atraso")))</f>
        <v/>
      </c>
      <c r="N1499" s="18">
        <f>IF(E1499="","",MAX(0,IF(G1499="",TODAY(),G1499)-L1499))</f>
        <v/>
      </c>
    </row>
    <row r="1500">
      <c r="E1500" s="22" t="n"/>
      <c r="G1500" s="22" t="n"/>
      <c r="I1500" s="22" t="n"/>
      <c r="L1500" s="20">
        <f>IF(E1500="","",E1500+IF(F1500="",IFERROR(VLOOKUP(C1500,Parametros!$E:$F,2,0),0),F1500))</f>
        <v/>
      </c>
      <c r="M1500" s="21">
        <f>IF(E1500="","",IF(G1500="",IF(TODAY()&gt;L1500,"Atrasada","Em aberto"),IF(G1500&lt;=L1500,"No prazo","Com atraso")))</f>
        <v/>
      </c>
      <c r="N1500" s="18">
        <f>IF(E1500="","",MAX(0,IF(G1500="",TODAY(),G1500)-L1500))</f>
        <v/>
      </c>
    </row>
    <row r="1501">
      <c r="E1501" s="22" t="n"/>
      <c r="G1501" s="22" t="n"/>
      <c r="I1501" s="22" t="n"/>
      <c r="L1501" s="20">
        <f>IF(E1501="","",E1501+IF(F1501="",IFERROR(VLOOKUP(C1501,Parametros!$E:$F,2,0),0),F1501))</f>
        <v/>
      </c>
      <c r="M1501" s="21">
        <f>IF(E1501="","",IF(G1501="",IF(TODAY()&gt;L1501,"Atrasada","Em aberto"),IF(G1501&lt;=L1501,"No prazo","Com atraso")))</f>
        <v/>
      </c>
      <c r="N1501" s="18">
        <f>IF(E1501="","",MAX(0,IF(G1501="",TODAY(),G1501)-L1501))</f>
        <v/>
      </c>
    </row>
    <row r="1502">
      <c r="E1502" s="22" t="n"/>
      <c r="G1502" s="22" t="n"/>
      <c r="I1502" s="22" t="n"/>
      <c r="L1502" s="20">
        <f>IF(E1502="","",E1502+IF(F1502="",IFERROR(VLOOKUP(C1502,Parametros!$E:$F,2,0),0),F1502))</f>
        <v/>
      </c>
      <c r="M1502" s="21">
        <f>IF(E1502="","",IF(G1502="",IF(TODAY()&gt;L1502,"Atrasada","Em aberto"),IF(G1502&lt;=L1502,"No prazo","Com atraso")))</f>
        <v/>
      </c>
      <c r="N1502" s="18">
        <f>IF(E1502="","",MAX(0,IF(G1502="",TODAY(),G1502)-L1502))</f>
        <v/>
      </c>
    </row>
    <row r="1503">
      <c r="E1503" s="22" t="n"/>
      <c r="G1503" s="22" t="n"/>
      <c r="I1503" s="22" t="n"/>
      <c r="L1503" s="20">
        <f>IF(E1503="","",E1503+IF(F1503="",IFERROR(VLOOKUP(C1503,Parametros!$E:$F,2,0),0),F1503))</f>
        <v/>
      </c>
      <c r="M1503" s="21">
        <f>IF(E1503="","",IF(G1503="",IF(TODAY()&gt;L1503,"Atrasada","Em aberto"),IF(G1503&lt;=L1503,"No prazo","Com atraso")))</f>
        <v/>
      </c>
      <c r="N1503" s="18">
        <f>IF(E1503="","",MAX(0,IF(G1503="",TODAY(),G1503)-L1503))</f>
        <v/>
      </c>
    </row>
    <row r="1504">
      <c r="E1504" s="22" t="n"/>
      <c r="G1504" s="22" t="n"/>
      <c r="I1504" s="22" t="n"/>
      <c r="L1504" s="20">
        <f>IF(E1504="","",E1504+IF(F1504="",IFERROR(VLOOKUP(C1504,Parametros!$E:$F,2,0),0),F1504))</f>
        <v/>
      </c>
      <c r="M1504" s="21">
        <f>IF(E1504="","",IF(G1504="",IF(TODAY()&gt;L1504,"Atrasada","Em aberto"),IF(G1504&lt;=L1504,"No prazo","Com atraso")))</f>
        <v/>
      </c>
      <c r="N1504" s="18">
        <f>IF(E1504="","",MAX(0,IF(G1504="",TODAY(),G1504)-L1504))</f>
        <v/>
      </c>
    </row>
    <row r="1505">
      <c r="E1505" s="22" t="n"/>
      <c r="G1505" s="22" t="n"/>
      <c r="I1505" s="22" t="n"/>
      <c r="L1505" s="20">
        <f>IF(E1505="","",E1505+IF(F1505="",IFERROR(VLOOKUP(C1505,Parametros!$E:$F,2,0),0),F1505))</f>
        <v/>
      </c>
      <c r="M1505" s="21">
        <f>IF(E1505="","",IF(G1505="",IF(TODAY()&gt;L1505,"Atrasada","Em aberto"),IF(G1505&lt;=L1505,"No prazo","Com atraso")))</f>
        <v/>
      </c>
      <c r="N1505" s="18">
        <f>IF(E1505="","",MAX(0,IF(G1505="",TODAY(),G1505)-L1505))</f>
        <v/>
      </c>
    </row>
    <row r="1506">
      <c r="E1506" s="22" t="n"/>
      <c r="G1506" s="22" t="n"/>
      <c r="I1506" s="22" t="n"/>
      <c r="L1506" s="20">
        <f>IF(E1506="","",E1506+IF(F1506="",IFERROR(VLOOKUP(C1506,Parametros!$E:$F,2,0),0),F1506))</f>
        <v/>
      </c>
      <c r="M1506" s="21">
        <f>IF(E1506="","",IF(G1506="",IF(TODAY()&gt;L1506,"Atrasada","Em aberto"),IF(G1506&lt;=L1506,"No prazo","Com atraso")))</f>
        <v/>
      </c>
      <c r="N1506" s="18">
        <f>IF(E1506="","",MAX(0,IF(G1506="",TODAY(),G1506)-L1506))</f>
        <v/>
      </c>
    </row>
    <row r="1507">
      <c r="E1507" s="22" t="n"/>
      <c r="G1507" s="22" t="n"/>
      <c r="I1507" s="22" t="n"/>
      <c r="L1507" s="20">
        <f>IF(E1507="","",E1507+IF(F1507="",IFERROR(VLOOKUP(C1507,Parametros!$E:$F,2,0),0),F1507))</f>
        <v/>
      </c>
      <c r="M1507" s="21">
        <f>IF(E1507="","",IF(G1507="",IF(TODAY()&gt;L1507,"Atrasada","Em aberto"),IF(G1507&lt;=L1507,"No prazo","Com atraso")))</f>
        <v/>
      </c>
      <c r="N1507" s="18">
        <f>IF(E1507="","",MAX(0,IF(G1507="",TODAY(),G1507)-L1507))</f>
        <v/>
      </c>
    </row>
    <row r="1508">
      <c r="E1508" s="22" t="n"/>
      <c r="G1508" s="22" t="n"/>
      <c r="I1508" s="22" t="n"/>
      <c r="L1508" s="20">
        <f>IF(E1508="","",E1508+IF(F1508="",IFERROR(VLOOKUP(C1508,Parametros!$E:$F,2,0),0),F1508))</f>
        <v/>
      </c>
      <c r="M1508" s="21">
        <f>IF(E1508="","",IF(G1508="",IF(TODAY()&gt;L1508,"Atrasada","Em aberto"),IF(G1508&lt;=L1508,"No prazo","Com atraso")))</f>
        <v/>
      </c>
      <c r="N1508" s="18">
        <f>IF(E1508="","",MAX(0,IF(G1508="",TODAY(),G1508)-L1508))</f>
        <v/>
      </c>
    </row>
    <row r="1509">
      <c r="E1509" s="22" t="n"/>
      <c r="G1509" s="22" t="n"/>
      <c r="I1509" s="22" t="n"/>
      <c r="L1509" s="20">
        <f>IF(E1509="","",E1509+IF(F1509="",IFERROR(VLOOKUP(C1509,Parametros!$E:$F,2,0),0),F1509))</f>
        <v/>
      </c>
      <c r="M1509" s="21">
        <f>IF(E1509="","",IF(G1509="",IF(TODAY()&gt;L1509,"Atrasada","Em aberto"),IF(G1509&lt;=L1509,"No prazo","Com atraso")))</f>
        <v/>
      </c>
      <c r="N1509" s="18">
        <f>IF(E1509="","",MAX(0,IF(G1509="",TODAY(),G1509)-L1509))</f>
        <v/>
      </c>
    </row>
    <row r="1510">
      <c r="E1510" s="22" t="n"/>
      <c r="G1510" s="22" t="n"/>
      <c r="I1510" s="22" t="n"/>
      <c r="L1510" s="20">
        <f>IF(E1510="","",E1510+IF(F1510="",IFERROR(VLOOKUP(C1510,Parametros!$E:$F,2,0),0),F1510))</f>
        <v/>
      </c>
      <c r="M1510" s="21">
        <f>IF(E1510="","",IF(G1510="",IF(TODAY()&gt;L1510,"Atrasada","Em aberto"),IF(G1510&lt;=L1510,"No prazo","Com atraso")))</f>
        <v/>
      </c>
      <c r="N1510" s="18">
        <f>IF(E1510="","",MAX(0,IF(G1510="",TODAY(),G1510)-L1510))</f>
        <v/>
      </c>
    </row>
    <row r="1511">
      <c r="E1511" s="22" t="n"/>
      <c r="G1511" s="22" t="n"/>
      <c r="I1511" s="22" t="n"/>
      <c r="L1511" s="20">
        <f>IF(E1511="","",E1511+IF(F1511="",IFERROR(VLOOKUP(C1511,Parametros!$E:$F,2,0),0),F1511))</f>
        <v/>
      </c>
      <c r="M1511" s="21">
        <f>IF(E1511="","",IF(G1511="",IF(TODAY()&gt;L1511,"Atrasada","Em aberto"),IF(G1511&lt;=L1511,"No prazo","Com atraso")))</f>
        <v/>
      </c>
      <c r="N1511" s="18">
        <f>IF(E1511="","",MAX(0,IF(G1511="",TODAY(),G1511)-L1511))</f>
        <v/>
      </c>
    </row>
    <row r="1512">
      <c r="E1512" s="22" t="n"/>
      <c r="G1512" s="22" t="n"/>
      <c r="I1512" s="22" t="n"/>
      <c r="L1512" s="20">
        <f>IF(E1512="","",E1512+IF(F1512="",IFERROR(VLOOKUP(C1512,Parametros!$E:$F,2,0),0),F1512))</f>
        <v/>
      </c>
      <c r="M1512" s="21">
        <f>IF(E1512="","",IF(G1512="",IF(TODAY()&gt;L1512,"Atrasada","Em aberto"),IF(G1512&lt;=L1512,"No prazo","Com atraso")))</f>
        <v/>
      </c>
      <c r="N1512" s="18">
        <f>IF(E1512="","",MAX(0,IF(G1512="",TODAY(),G1512)-L1512))</f>
        <v/>
      </c>
    </row>
    <row r="1513">
      <c r="E1513" s="22" t="n"/>
      <c r="G1513" s="22" t="n"/>
      <c r="I1513" s="22" t="n"/>
      <c r="L1513" s="20">
        <f>IF(E1513="","",E1513+IF(F1513="",IFERROR(VLOOKUP(C1513,Parametros!$E:$F,2,0),0),F1513))</f>
        <v/>
      </c>
      <c r="M1513" s="21">
        <f>IF(E1513="","",IF(G1513="",IF(TODAY()&gt;L1513,"Atrasada","Em aberto"),IF(G1513&lt;=L1513,"No prazo","Com atraso")))</f>
        <v/>
      </c>
      <c r="N1513" s="18">
        <f>IF(E1513="","",MAX(0,IF(G1513="",TODAY(),G1513)-L1513))</f>
        <v/>
      </c>
    </row>
    <row r="1514">
      <c r="E1514" s="22" t="n"/>
      <c r="G1514" s="22" t="n"/>
      <c r="I1514" s="22" t="n"/>
      <c r="L1514" s="20">
        <f>IF(E1514="","",E1514+IF(F1514="",IFERROR(VLOOKUP(C1514,Parametros!$E:$F,2,0),0),F1514))</f>
        <v/>
      </c>
      <c r="M1514" s="21">
        <f>IF(E1514="","",IF(G1514="",IF(TODAY()&gt;L1514,"Atrasada","Em aberto"),IF(G1514&lt;=L1514,"No prazo","Com atraso")))</f>
        <v/>
      </c>
      <c r="N1514" s="18">
        <f>IF(E1514="","",MAX(0,IF(G1514="",TODAY(),G1514)-L1514))</f>
        <v/>
      </c>
    </row>
    <row r="1515">
      <c r="E1515" s="22" t="n"/>
      <c r="G1515" s="22" t="n"/>
      <c r="I1515" s="22" t="n"/>
      <c r="L1515" s="20">
        <f>IF(E1515="","",E1515+IF(F1515="",IFERROR(VLOOKUP(C1515,Parametros!$E:$F,2,0),0),F1515))</f>
        <v/>
      </c>
      <c r="M1515" s="21">
        <f>IF(E1515="","",IF(G1515="",IF(TODAY()&gt;L1515,"Atrasada","Em aberto"),IF(G1515&lt;=L1515,"No prazo","Com atraso")))</f>
        <v/>
      </c>
      <c r="N1515" s="18">
        <f>IF(E1515="","",MAX(0,IF(G1515="",TODAY(),G1515)-L1515))</f>
        <v/>
      </c>
    </row>
    <row r="1516">
      <c r="E1516" s="22" t="n"/>
      <c r="G1516" s="22" t="n"/>
      <c r="I1516" s="22" t="n"/>
      <c r="L1516" s="20">
        <f>IF(E1516="","",E1516+IF(F1516="",IFERROR(VLOOKUP(C1516,Parametros!$E:$F,2,0),0),F1516))</f>
        <v/>
      </c>
      <c r="M1516" s="21">
        <f>IF(E1516="","",IF(G1516="",IF(TODAY()&gt;L1516,"Atrasada","Em aberto"),IF(G1516&lt;=L1516,"No prazo","Com atraso")))</f>
        <v/>
      </c>
      <c r="N1516" s="18">
        <f>IF(E1516="","",MAX(0,IF(G1516="",TODAY(),G1516)-L1516))</f>
        <v/>
      </c>
    </row>
    <row r="1517">
      <c r="E1517" s="22" t="n"/>
      <c r="G1517" s="22" t="n"/>
      <c r="I1517" s="22" t="n"/>
      <c r="L1517" s="20">
        <f>IF(E1517="","",E1517+IF(F1517="",IFERROR(VLOOKUP(C1517,Parametros!$E:$F,2,0),0),F1517))</f>
        <v/>
      </c>
      <c r="M1517" s="21">
        <f>IF(E1517="","",IF(G1517="",IF(TODAY()&gt;L1517,"Atrasada","Em aberto"),IF(G1517&lt;=L1517,"No prazo","Com atraso")))</f>
        <v/>
      </c>
      <c r="N1517" s="18">
        <f>IF(E1517="","",MAX(0,IF(G1517="",TODAY(),G1517)-L1517))</f>
        <v/>
      </c>
    </row>
    <row r="1518">
      <c r="E1518" s="22" t="n"/>
      <c r="G1518" s="22" t="n"/>
      <c r="I1518" s="22" t="n"/>
      <c r="L1518" s="20">
        <f>IF(E1518="","",E1518+IF(F1518="",IFERROR(VLOOKUP(C1518,Parametros!$E:$F,2,0),0),F1518))</f>
        <v/>
      </c>
      <c r="M1518" s="21">
        <f>IF(E1518="","",IF(G1518="",IF(TODAY()&gt;L1518,"Atrasada","Em aberto"),IF(G1518&lt;=L1518,"No prazo","Com atraso")))</f>
        <v/>
      </c>
      <c r="N1518" s="18">
        <f>IF(E1518="","",MAX(0,IF(G1518="",TODAY(),G1518)-L1518))</f>
        <v/>
      </c>
    </row>
    <row r="1519">
      <c r="E1519" s="22" t="n"/>
      <c r="G1519" s="22" t="n"/>
      <c r="I1519" s="22" t="n"/>
      <c r="L1519" s="20">
        <f>IF(E1519="","",E1519+IF(F1519="",IFERROR(VLOOKUP(C1519,Parametros!$E:$F,2,0),0),F1519))</f>
        <v/>
      </c>
      <c r="M1519" s="21">
        <f>IF(E1519="","",IF(G1519="",IF(TODAY()&gt;L1519,"Atrasada","Em aberto"),IF(G1519&lt;=L1519,"No prazo","Com atraso")))</f>
        <v/>
      </c>
      <c r="N1519" s="18">
        <f>IF(E1519="","",MAX(0,IF(G1519="",TODAY(),G1519)-L1519))</f>
        <v/>
      </c>
    </row>
    <row r="1520">
      <c r="E1520" s="22" t="n"/>
      <c r="G1520" s="22" t="n"/>
      <c r="I1520" s="22" t="n"/>
      <c r="L1520" s="20">
        <f>IF(E1520="","",E1520+IF(F1520="",IFERROR(VLOOKUP(C1520,Parametros!$E:$F,2,0),0),F1520))</f>
        <v/>
      </c>
      <c r="M1520" s="21">
        <f>IF(E1520="","",IF(G1520="",IF(TODAY()&gt;L1520,"Atrasada","Em aberto"),IF(G1520&lt;=L1520,"No prazo","Com atraso")))</f>
        <v/>
      </c>
      <c r="N1520" s="18">
        <f>IF(E1520="","",MAX(0,IF(G1520="",TODAY(),G1520)-L1520))</f>
        <v/>
      </c>
    </row>
    <row r="1521">
      <c r="E1521" s="22" t="n"/>
      <c r="G1521" s="22" t="n"/>
      <c r="I1521" s="22" t="n"/>
      <c r="L1521" s="20">
        <f>IF(E1521="","",E1521+IF(F1521="",IFERROR(VLOOKUP(C1521,Parametros!$E:$F,2,0),0),F1521))</f>
        <v/>
      </c>
      <c r="M1521" s="21">
        <f>IF(E1521="","",IF(G1521="",IF(TODAY()&gt;L1521,"Atrasada","Em aberto"),IF(G1521&lt;=L1521,"No prazo","Com atraso")))</f>
        <v/>
      </c>
      <c r="N1521" s="18">
        <f>IF(E1521="","",MAX(0,IF(G1521="",TODAY(),G1521)-L1521))</f>
        <v/>
      </c>
    </row>
    <row r="1522">
      <c r="E1522" s="22" t="n"/>
      <c r="G1522" s="22" t="n"/>
      <c r="I1522" s="22" t="n"/>
      <c r="L1522" s="20">
        <f>IF(E1522="","",E1522+IF(F1522="",IFERROR(VLOOKUP(C1522,Parametros!$E:$F,2,0),0),F1522))</f>
        <v/>
      </c>
      <c r="M1522" s="21">
        <f>IF(E1522="","",IF(G1522="",IF(TODAY()&gt;L1522,"Atrasada","Em aberto"),IF(G1522&lt;=L1522,"No prazo","Com atraso")))</f>
        <v/>
      </c>
      <c r="N1522" s="18">
        <f>IF(E1522="","",MAX(0,IF(G1522="",TODAY(),G1522)-L1522))</f>
        <v/>
      </c>
    </row>
    <row r="1523">
      <c r="E1523" s="22" t="n"/>
      <c r="G1523" s="22" t="n"/>
      <c r="I1523" s="22" t="n"/>
      <c r="L1523" s="20">
        <f>IF(E1523="","",E1523+IF(F1523="",IFERROR(VLOOKUP(C1523,Parametros!$E:$F,2,0),0),F1523))</f>
        <v/>
      </c>
      <c r="M1523" s="21">
        <f>IF(E1523="","",IF(G1523="",IF(TODAY()&gt;L1523,"Atrasada","Em aberto"),IF(G1523&lt;=L1523,"No prazo","Com atraso")))</f>
        <v/>
      </c>
      <c r="N1523" s="18">
        <f>IF(E1523="","",MAX(0,IF(G1523="",TODAY(),G1523)-L1523))</f>
        <v/>
      </c>
    </row>
    <row r="1524">
      <c r="E1524" s="22" t="n"/>
      <c r="G1524" s="22" t="n"/>
      <c r="I1524" s="22" t="n"/>
      <c r="L1524" s="20">
        <f>IF(E1524="","",E1524+IF(F1524="",IFERROR(VLOOKUP(C1524,Parametros!$E:$F,2,0),0),F1524))</f>
        <v/>
      </c>
      <c r="M1524" s="21">
        <f>IF(E1524="","",IF(G1524="",IF(TODAY()&gt;L1524,"Atrasada","Em aberto"),IF(G1524&lt;=L1524,"No prazo","Com atraso")))</f>
        <v/>
      </c>
      <c r="N1524" s="18">
        <f>IF(E1524="","",MAX(0,IF(G1524="",TODAY(),G1524)-L1524))</f>
        <v/>
      </c>
    </row>
    <row r="1525">
      <c r="E1525" s="22" t="n"/>
      <c r="G1525" s="22" t="n"/>
      <c r="I1525" s="22" t="n"/>
      <c r="L1525" s="20">
        <f>IF(E1525="","",E1525+IF(F1525="",IFERROR(VLOOKUP(C1525,Parametros!$E:$F,2,0),0),F1525))</f>
        <v/>
      </c>
      <c r="M1525" s="21">
        <f>IF(E1525="","",IF(G1525="",IF(TODAY()&gt;L1525,"Atrasada","Em aberto"),IF(G1525&lt;=L1525,"No prazo","Com atraso")))</f>
        <v/>
      </c>
      <c r="N1525" s="18">
        <f>IF(E1525="","",MAX(0,IF(G1525="",TODAY(),G1525)-L1525))</f>
        <v/>
      </c>
    </row>
    <row r="1526">
      <c r="E1526" s="22" t="n"/>
      <c r="G1526" s="22" t="n"/>
      <c r="I1526" s="22" t="n"/>
      <c r="L1526" s="20">
        <f>IF(E1526="","",E1526+IF(F1526="",IFERROR(VLOOKUP(C1526,Parametros!$E:$F,2,0),0),F1526))</f>
        <v/>
      </c>
      <c r="M1526" s="21">
        <f>IF(E1526="","",IF(G1526="",IF(TODAY()&gt;L1526,"Atrasada","Em aberto"),IF(G1526&lt;=L1526,"No prazo","Com atraso")))</f>
        <v/>
      </c>
      <c r="N1526" s="18">
        <f>IF(E1526="","",MAX(0,IF(G1526="",TODAY(),G1526)-L1526))</f>
        <v/>
      </c>
    </row>
    <row r="1527">
      <c r="E1527" s="22" t="n"/>
      <c r="G1527" s="22" t="n"/>
      <c r="I1527" s="22" t="n"/>
      <c r="L1527" s="20">
        <f>IF(E1527="","",E1527+IF(F1527="",IFERROR(VLOOKUP(C1527,Parametros!$E:$F,2,0),0),F1527))</f>
        <v/>
      </c>
      <c r="M1527" s="21">
        <f>IF(E1527="","",IF(G1527="",IF(TODAY()&gt;L1527,"Atrasada","Em aberto"),IF(G1527&lt;=L1527,"No prazo","Com atraso")))</f>
        <v/>
      </c>
      <c r="N1527" s="18">
        <f>IF(E1527="","",MAX(0,IF(G1527="",TODAY(),G1527)-L1527))</f>
        <v/>
      </c>
    </row>
    <row r="1528">
      <c r="E1528" s="22" t="n"/>
      <c r="G1528" s="22" t="n"/>
      <c r="I1528" s="22" t="n"/>
      <c r="L1528" s="20">
        <f>IF(E1528="","",E1528+IF(F1528="",IFERROR(VLOOKUP(C1528,Parametros!$E:$F,2,0),0),F1528))</f>
        <v/>
      </c>
      <c r="M1528" s="21">
        <f>IF(E1528="","",IF(G1528="",IF(TODAY()&gt;L1528,"Atrasada","Em aberto"),IF(G1528&lt;=L1528,"No prazo","Com atraso")))</f>
        <v/>
      </c>
      <c r="N1528" s="18">
        <f>IF(E1528="","",MAX(0,IF(G1528="",TODAY(),G1528)-L1528))</f>
        <v/>
      </c>
    </row>
    <row r="1529">
      <c r="E1529" s="22" t="n"/>
      <c r="G1529" s="22" t="n"/>
      <c r="I1529" s="22" t="n"/>
      <c r="L1529" s="20">
        <f>IF(E1529="","",E1529+IF(F1529="",IFERROR(VLOOKUP(C1529,Parametros!$E:$F,2,0),0),F1529))</f>
        <v/>
      </c>
      <c r="M1529" s="21">
        <f>IF(E1529="","",IF(G1529="",IF(TODAY()&gt;L1529,"Atrasada","Em aberto"),IF(G1529&lt;=L1529,"No prazo","Com atraso")))</f>
        <v/>
      </c>
      <c r="N1529" s="18">
        <f>IF(E1529="","",MAX(0,IF(G1529="",TODAY(),G1529)-L1529))</f>
        <v/>
      </c>
    </row>
    <row r="1530">
      <c r="E1530" s="22" t="n"/>
      <c r="G1530" s="22" t="n"/>
      <c r="I1530" s="22" t="n"/>
      <c r="L1530" s="20">
        <f>IF(E1530="","",E1530+IF(F1530="",IFERROR(VLOOKUP(C1530,Parametros!$E:$F,2,0),0),F1530))</f>
        <v/>
      </c>
      <c r="M1530" s="21">
        <f>IF(E1530="","",IF(G1530="",IF(TODAY()&gt;L1530,"Atrasada","Em aberto"),IF(G1530&lt;=L1530,"No prazo","Com atraso")))</f>
        <v/>
      </c>
      <c r="N1530" s="18">
        <f>IF(E1530="","",MAX(0,IF(G1530="",TODAY(),G1530)-L1530))</f>
        <v/>
      </c>
    </row>
    <row r="1531">
      <c r="E1531" s="22" t="n"/>
      <c r="G1531" s="22" t="n"/>
      <c r="I1531" s="22" t="n"/>
      <c r="L1531" s="20">
        <f>IF(E1531="","",E1531+IF(F1531="",IFERROR(VLOOKUP(C1531,Parametros!$E:$F,2,0),0),F1531))</f>
        <v/>
      </c>
      <c r="M1531" s="21">
        <f>IF(E1531="","",IF(G1531="",IF(TODAY()&gt;L1531,"Atrasada","Em aberto"),IF(G1531&lt;=L1531,"No prazo","Com atraso")))</f>
        <v/>
      </c>
      <c r="N1531" s="18">
        <f>IF(E1531="","",MAX(0,IF(G1531="",TODAY(),G1531)-L1531))</f>
        <v/>
      </c>
    </row>
    <row r="1532">
      <c r="E1532" s="22" t="n"/>
      <c r="G1532" s="22" t="n"/>
      <c r="I1532" s="22" t="n"/>
      <c r="L1532" s="20">
        <f>IF(E1532="","",E1532+IF(F1532="",IFERROR(VLOOKUP(C1532,Parametros!$E:$F,2,0),0),F1532))</f>
        <v/>
      </c>
      <c r="M1532" s="21">
        <f>IF(E1532="","",IF(G1532="",IF(TODAY()&gt;L1532,"Atrasada","Em aberto"),IF(G1532&lt;=L1532,"No prazo","Com atraso")))</f>
        <v/>
      </c>
      <c r="N1532" s="18">
        <f>IF(E1532="","",MAX(0,IF(G1532="",TODAY(),G1532)-L1532))</f>
        <v/>
      </c>
    </row>
    <row r="1533">
      <c r="E1533" s="22" t="n"/>
      <c r="G1533" s="22" t="n"/>
      <c r="I1533" s="22" t="n"/>
      <c r="L1533" s="20">
        <f>IF(E1533="","",E1533+IF(F1533="",IFERROR(VLOOKUP(C1533,Parametros!$E:$F,2,0),0),F1533))</f>
        <v/>
      </c>
      <c r="M1533" s="21">
        <f>IF(E1533="","",IF(G1533="",IF(TODAY()&gt;L1533,"Atrasada","Em aberto"),IF(G1533&lt;=L1533,"No prazo","Com atraso")))</f>
        <v/>
      </c>
      <c r="N1533" s="18">
        <f>IF(E1533="","",MAX(0,IF(G1533="",TODAY(),G1533)-L1533))</f>
        <v/>
      </c>
    </row>
    <row r="1534">
      <c r="E1534" s="22" t="n"/>
      <c r="G1534" s="22" t="n"/>
      <c r="I1534" s="22" t="n"/>
      <c r="L1534" s="20">
        <f>IF(E1534="","",E1534+IF(F1534="",IFERROR(VLOOKUP(C1534,Parametros!$E:$F,2,0),0),F1534))</f>
        <v/>
      </c>
      <c r="M1534" s="21">
        <f>IF(E1534="","",IF(G1534="",IF(TODAY()&gt;L1534,"Atrasada","Em aberto"),IF(G1534&lt;=L1534,"No prazo","Com atraso")))</f>
        <v/>
      </c>
      <c r="N1534" s="18">
        <f>IF(E1534="","",MAX(0,IF(G1534="",TODAY(),G1534)-L1534))</f>
        <v/>
      </c>
    </row>
    <row r="1535">
      <c r="E1535" s="22" t="n"/>
      <c r="G1535" s="22" t="n"/>
      <c r="I1535" s="22" t="n"/>
      <c r="L1535" s="20">
        <f>IF(E1535="","",E1535+IF(F1535="",IFERROR(VLOOKUP(C1535,Parametros!$E:$F,2,0),0),F1535))</f>
        <v/>
      </c>
      <c r="M1535" s="21">
        <f>IF(E1535="","",IF(G1535="",IF(TODAY()&gt;L1535,"Atrasada","Em aberto"),IF(G1535&lt;=L1535,"No prazo","Com atraso")))</f>
        <v/>
      </c>
      <c r="N1535" s="18">
        <f>IF(E1535="","",MAX(0,IF(G1535="",TODAY(),G1535)-L1535))</f>
        <v/>
      </c>
    </row>
    <row r="1536">
      <c r="E1536" s="22" t="n"/>
      <c r="G1536" s="22" t="n"/>
      <c r="I1536" s="22" t="n"/>
      <c r="L1536" s="20">
        <f>IF(E1536="","",E1536+IF(F1536="",IFERROR(VLOOKUP(C1536,Parametros!$E:$F,2,0),0),F1536))</f>
        <v/>
      </c>
      <c r="M1536" s="21">
        <f>IF(E1536="","",IF(G1536="",IF(TODAY()&gt;L1536,"Atrasada","Em aberto"),IF(G1536&lt;=L1536,"No prazo","Com atraso")))</f>
        <v/>
      </c>
      <c r="N1536" s="18">
        <f>IF(E1536="","",MAX(0,IF(G1536="",TODAY(),G1536)-L1536))</f>
        <v/>
      </c>
    </row>
    <row r="1537">
      <c r="E1537" s="22" t="n"/>
      <c r="G1537" s="22" t="n"/>
      <c r="I1537" s="22" t="n"/>
      <c r="L1537" s="20">
        <f>IF(E1537="","",E1537+IF(F1537="",IFERROR(VLOOKUP(C1537,Parametros!$E:$F,2,0),0),F1537))</f>
        <v/>
      </c>
      <c r="M1537" s="21">
        <f>IF(E1537="","",IF(G1537="",IF(TODAY()&gt;L1537,"Atrasada","Em aberto"),IF(G1537&lt;=L1537,"No prazo","Com atraso")))</f>
        <v/>
      </c>
      <c r="N1537" s="18">
        <f>IF(E1537="","",MAX(0,IF(G1537="",TODAY(),G1537)-L1537))</f>
        <v/>
      </c>
    </row>
    <row r="1538">
      <c r="E1538" s="22" t="n"/>
      <c r="G1538" s="22" t="n"/>
      <c r="I1538" s="22" t="n"/>
      <c r="L1538" s="20">
        <f>IF(E1538="","",E1538+IF(F1538="",IFERROR(VLOOKUP(C1538,Parametros!$E:$F,2,0),0),F1538))</f>
        <v/>
      </c>
      <c r="M1538" s="21">
        <f>IF(E1538="","",IF(G1538="",IF(TODAY()&gt;L1538,"Atrasada","Em aberto"),IF(G1538&lt;=L1538,"No prazo","Com atraso")))</f>
        <v/>
      </c>
      <c r="N1538" s="18">
        <f>IF(E1538="","",MAX(0,IF(G1538="",TODAY(),G1538)-L1538))</f>
        <v/>
      </c>
    </row>
    <row r="1539">
      <c r="E1539" s="22" t="n"/>
      <c r="G1539" s="22" t="n"/>
      <c r="I1539" s="22" t="n"/>
      <c r="L1539" s="20">
        <f>IF(E1539="","",E1539+IF(F1539="",IFERROR(VLOOKUP(C1539,Parametros!$E:$F,2,0),0),F1539))</f>
        <v/>
      </c>
      <c r="M1539" s="21">
        <f>IF(E1539="","",IF(G1539="",IF(TODAY()&gt;L1539,"Atrasada","Em aberto"),IF(G1539&lt;=L1539,"No prazo","Com atraso")))</f>
        <v/>
      </c>
      <c r="N1539" s="18">
        <f>IF(E1539="","",MAX(0,IF(G1539="",TODAY(),G1539)-L1539))</f>
        <v/>
      </c>
    </row>
    <row r="1540">
      <c r="E1540" s="22" t="n"/>
      <c r="G1540" s="22" t="n"/>
      <c r="I1540" s="22" t="n"/>
      <c r="L1540" s="20">
        <f>IF(E1540="","",E1540+IF(F1540="",IFERROR(VLOOKUP(C1540,Parametros!$E:$F,2,0),0),F1540))</f>
        <v/>
      </c>
      <c r="M1540" s="21">
        <f>IF(E1540="","",IF(G1540="",IF(TODAY()&gt;L1540,"Atrasada","Em aberto"),IF(G1540&lt;=L1540,"No prazo","Com atraso")))</f>
        <v/>
      </c>
      <c r="N1540" s="18">
        <f>IF(E1540="","",MAX(0,IF(G1540="",TODAY(),G1540)-L1540))</f>
        <v/>
      </c>
    </row>
    <row r="1541">
      <c r="E1541" s="22" t="n"/>
      <c r="G1541" s="22" t="n"/>
      <c r="I1541" s="22" t="n"/>
      <c r="L1541" s="20">
        <f>IF(E1541="","",E1541+IF(F1541="",IFERROR(VLOOKUP(C1541,Parametros!$E:$F,2,0),0),F1541))</f>
        <v/>
      </c>
      <c r="M1541" s="21">
        <f>IF(E1541="","",IF(G1541="",IF(TODAY()&gt;L1541,"Atrasada","Em aberto"),IF(G1541&lt;=L1541,"No prazo","Com atraso")))</f>
        <v/>
      </c>
      <c r="N1541" s="18">
        <f>IF(E1541="","",MAX(0,IF(G1541="",TODAY(),G1541)-L1541))</f>
        <v/>
      </c>
    </row>
    <row r="1542">
      <c r="E1542" s="22" t="n"/>
      <c r="G1542" s="22" t="n"/>
      <c r="I1542" s="22" t="n"/>
      <c r="L1542" s="20">
        <f>IF(E1542="","",E1542+IF(F1542="",IFERROR(VLOOKUP(C1542,Parametros!$E:$F,2,0),0),F1542))</f>
        <v/>
      </c>
      <c r="M1542" s="21">
        <f>IF(E1542="","",IF(G1542="",IF(TODAY()&gt;L1542,"Atrasada","Em aberto"),IF(G1542&lt;=L1542,"No prazo","Com atraso")))</f>
        <v/>
      </c>
      <c r="N1542" s="18">
        <f>IF(E1542="","",MAX(0,IF(G1542="",TODAY(),G1542)-L1542))</f>
        <v/>
      </c>
    </row>
    <row r="1543">
      <c r="E1543" s="22" t="n"/>
      <c r="G1543" s="22" t="n"/>
      <c r="I1543" s="22" t="n"/>
      <c r="L1543" s="20">
        <f>IF(E1543="","",E1543+IF(F1543="",IFERROR(VLOOKUP(C1543,Parametros!$E:$F,2,0),0),F1543))</f>
        <v/>
      </c>
      <c r="M1543" s="21">
        <f>IF(E1543="","",IF(G1543="",IF(TODAY()&gt;L1543,"Atrasada","Em aberto"),IF(G1543&lt;=L1543,"No prazo","Com atraso")))</f>
        <v/>
      </c>
      <c r="N1543" s="18">
        <f>IF(E1543="","",MAX(0,IF(G1543="",TODAY(),G1543)-L1543))</f>
        <v/>
      </c>
    </row>
    <row r="1544">
      <c r="E1544" s="22" t="n"/>
      <c r="G1544" s="22" t="n"/>
      <c r="I1544" s="22" t="n"/>
      <c r="L1544" s="20">
        <f>IF(E1544="","",E1544+IF(F1544="",IFERROR(VLOOKUP(C1544,Parametros!$E:$F,2,0),0),F1544))</f>
        <v/>
      </c>
      <c r="M1544" s="21">
        <f>IF(E1544="","",IF(G1544="",IF(TODAY()&gt;L1544,"Atrasada","Em aberto"),IF(G1544&lt;=L1544,"No prazo","Com atraso")))</f>
        <v/>
      </c>
      <c r="N1544" s="18">
        <f>IF(E1544="","",MAX(0,IF(G1544="",TODAY(),G1544)-L1544))</f>
        <v/>
      </c>
    </row>
    <row r="1545">
      <c r="E1545" s="22" t="n"/>
      <c r="G1545" s="22" t="n"/>
      <c r="I1545" s="22" t="n"/>
      <c r="L1545" s="20">
        <f>IF(E1545="","",E1545+IF(F1545="",IFERROR(VLOOKUP(C1545,Parametros!$E:$F,2,0),0),F1545))</f>
        <v/>
      </c>
      <c r="M1545" s="21">
        <f>IF(E1545="","",IF(G1545="",IF(TODAY()&gt;L1545,"Atrasada","Em aberto"),IF(G1545&lt;=L1545,"No prazo","Com atraso")))</f>
        <v/>
      </c>
      <c r="N1545" s="18">
        <f>IF(E1545="","",MAX(0,IF(G1545="",TODAY(),G1545)-L1545))</f>
        <v/>
      </c>
    </row>
    <row r="1546">
      <c r="E1546" s="22" t="n"/>
      <c r="G1546" s="22" t="n"/>
      <c r="I1546" s="22" t="n"/>
      <c r="L1546" s="20">
        <f>IF(E1546="","",E1546+IF(F1546="",IFERROR(VLOOKUP(C1546,Parametros!$E:$F,2,0),0),F1546))</f>
        <v/>
      </c>
      <c r="M1546" s="21">
        <f>IF(E1546="","",IF(G1546="",IF(TODAY()&gt;L1546,"Atrasada","Em aberto"),IF(G1546&lt;=L1546,"No prazo","Com atraso")))</f>
        <v/>
      </c>
      <c r="N1546" s="18">
        <f>IF(E1546="","",MAX(0,IF(G1546="",TODAY(),G1546)-L1546))</f>
        <v/>
      </c>
    </row>
    <row r="1547">
      <c r="E1547" s="22" t="n"/>
      <c r="G1547" s="22" t="n"/>
      <c r="I1547" s="22" t="n"/>
      <c r="L1547" s="20">
        <f>IF(E1547="","",E1547+IF(F1547="",IFERROR(VLOOKUP(C1547,Parametros!$E:$F,2,0),0),F1547))</f>
        <v/>
      </c>
      <c r="M1547" s="21">
        <f>IF(E1547="","",IF(G1547="",IF(TODAY()&gt;L1547,"Atrasada","Em aberto"),IF(G1547&lt;=L1547,"No prazo","Com atraso")))</f>
        <v/>
      </c>
      <c r="N1547" s="18">
        <f>IF(E1547="","",MAX(0,IF(G1547="",TODAY(),G1547)-L1547))</f>
        <v/>
      </c>
    </row>
    <row r="1548">
      <c r="E1548" s="22" t="n"/>
      <c r="G1548" s="22" t="n"/>
      <c r="I1548" s="22" t="n"/>
      <c r="L1548" s="20">
        <f>IF(E1548="","",E1548+IF(F1548="",IFERROR(VLOOKUP(C1548,Parametros!$E:$F,2,0),0),F1548))</f>
        <v/>
      </c>
      <c r="M1548" s="21">
        <f>IF(E1548="","",IF(G1548="",IF(TODAY()&gt;L1548,"Atrasada","Em aberto"),IF(G1548&lt;=L1548,"No prazo","Com atraso")))</f>
        <v/>
      </c>
      <c r="N1548" s="18">
        <f>IF(E1548="","",MAX(0,IF(G1548="",TODAY(),G1548)-L1548))</f>
        <v/>
      </c>
    </row>
    <row r="1549">
      <c r="E1549" s="22" t="n"/>
      <c r="G1549" s="22" t="n"/>
      <c r="I1549" s="22" t="n"/>
      <c r="L1549" s="20">
        <f>IF(E1549="","",E1549+IF(F1549="",IFERROR(VLOOKUP(C1549,Parametros!$E:$F,2,0),0),F1549))</f>
        <v/>
      </c>
      <c r="M1549" s="21">
        <f>IF(E1549="","",IF(G1549="",IF(TODAY()&gt;L1549,"Atrasada","Em aberto"),IF(G1549&lt;=L1549,"No prazo","Com atraso")))</f>
        <v/>
      </c>
      <c r="N1549" s="18">
        <f>IF(E1549="","",MAX(0,IF(G1549="",TODAY(),G1549)-L1549))</f>
        <v/>
      </c>
    </row>
    <row r="1550">
      <c r="E1550" s="22" t="n"/>
      <c r="G1550" s="22" t="n"/>
      <c r="I1550" s="22" t="n"/>
      <c r="L1550" s="20">
        <f>IF(E1550="","",E1550+IF(F1550="",IFERROR(VLOOKUP(C1550,Parametros!$E:$F,2,0),0),F1550))</f>
        <v/>
      </c>
      <c r="M1550" s="21">
        <f>IF(E1550="","",IF(G1550="",IF(TODAY()&gt;L1550,"Atrasada","Em aberto"),IF(G1550&lt;=L1550,"No prazo","Com atraso")))</f>
        <v/>
      </c>
      <c r="N1550" s="18">
        <f>IF(E1550="","",MAX(0,IF(G1550="",TODAY(),G1550)-L1550))</f>
        <v/>
      </c>
    </row>
    <row r="1551">
      <c r="E1551" s="22" t="n"/>
      <c r="G1551" s="22" t="n"/>
      <c r="I1551" s="22" t="n"/>
      <c r="L1551" s="20">
        <f>IF(E1551="","",E1551+IF(F1551="",IFERROR(VLOOKUP(C1551,Parametros!$E:$F,2,0),0),F1551))</f>
        <v/>
      </c>
      <c r="M1551" s="21">
        <f>IF(E1551="","",IF(G1551="",IF(TODAY()&gt;L1551,"Atrasada","Em aberto"),IF(G1551&lt;=L1551,"No prazo","Com atraso")))</f>
        <v/>
      </c>
      <c r="N1551" s="18">
        <f>IF(E1551="","",MAX(0,IF(G1551="",TODAY(),G1551)-L1551))</f>
        <v/>
      </c>
    </row>
    <row r="1552">
      <c r="E1552" s="22" t="n"/>
      <c r="G1552" s="22" t="n"/>
      <c r="I1552" s="22" t="n"/>
      <c r="L1552" s="20">
        <f>IF(E1552="","",E1552+IF(F1552="",IFERROR(VLOOKUP(C1552,Parametros!$E:$F,2,0),0),F1552))</f>
        <v/>
      </c>
      <c r="M1552" s="21">
        <f>IF(E1552="","",IF(G1552="",IF(TODAY()&gt;L1552,"Atrasada","Em aberto"),IF(G1552&lt;=L1552,"No prazo","Com atraso")))</f>
        <v/>
      </c>
      <c r="N1552" s="18">
        <f>IF(E1552="","",MAX(0,IF(G1552="",TODAY(),G1552)-L1552))</f>
        <v/>
      </c>
    </row>
    <row r="1553">
      <c r="E1553" s="22" t="n"/>
      <c r="G1553" s="22" t="n"/>
      <c r="I1553" s="22" t="n"/>
      <c r="L1553" s="20">
        <f>IF(E1553="","",E1553+IF(F1553="",IFERROR(VLOOKUP(C1553,Parametros!$E:$F,2,0),0),F1553))</f>
        <v/>
      </c>
      <c r="M1553" s="21">
        <f>IF(E1553="","",IF(G1553="",IF(TODAY()&gt;L1553,"Atrasada","Em aberto"),IF(G1553&lt;=L1553,"No prazo","Com atraso")))</f>
        <v/>
      </c>
      <c r="N1553" s="18">
        <f>IF(E1553="","",MAX(0,IF(G1553="",TODAY(),G1553)-L1553))</f>
        <v/>
      </c>
    </row>
    <row r="1554">
      <c r="E1554" s="22" t="n"/>
      <c r="G1554" s="22" t="n"/>
      <c r="I1554" s="22" t="n"/>
      <c r="L1554" s="20">
        <f>IF(E1554="","",E1554+IF(F1554="",IFERROR(VLOOKUP(C1554,Parametros!$E:$F,2,0),0),F1554))</f>
        <v/>
      </c>
      <c r="M1554" s="21">
        <f>IF(E1554="","",IF(G1554="",IF(TODAY()&gt;L1554,"Atrasada","Em aberto"),IF(G1554&lt;=L1554,"No prazo","Com atraso")))</f>
        <v/>
      </c>
      <c r="N1554" s="18">
        <f>IF(E1554="","",MAX(0,IF(G1554="",TODAY(),G1554)-L1554))</f>
        <v/>
      </c>
    </row>
    <row r="1555">
      <c r="E1555" s="22" t="n"/>
      <c r="G1555" s="22" t="n"/>
      <c r="I1555" s="22" t="n"/>
      <c r="L1555" s="20">
        <f>IF(E1555="","",E1555+IF(F1555="",IFERROR(VLOOKUP(C1555,Parametros!$E:$F,2,0),0),F1555))</f>
        <v/>
      </c>
      <c r="M1555" s="21">
        <f>IF(E1555="","",IF(G1555="",IF(TODAY()&gt;L1555,"Atrasada","Em aberto"),IF(G1555&lt;=L1555,"No prazo","Com atraso")))</f>
        <v/>
      </c>
      <c r="N1555" s="18">
        <f>IF(E1555="","",MAX(0,IF(G1555="",TODAY(),G1555)-L1555))</f>
        <v/>
      </c>
    </row>
    <row r="1556">
      <c r="E1556" s="22" t="n"/>
      <c r="G1556" s="22" t="n"/>
      <c r="I1556" s="22" t="n"/>
      <c r="L1556" s="20">
        <f>IF(E1556="","",E1556+IF(F1556="",IFERROR(VLOOKUP(C1556,Parametros!$E:$F,2,0),0),F1556))</f>
        <v/>
      </c>
      <c r="M1556" s="21">
        <f>IF(E1556="","",IF(G1556="",IF(TODAY()&gt;L1556,"Atrasada","Em aberto"),IF(G1556&lt;=L1556,"No prazo","Com atraso")))</f>
        <v/>
      </c>
      <c r="N1556" s="18">
        <f>IF(E1556="","",MAX(0,IF(G1556="",TODAY(),G1556)-L1556))</f>
        <v/>
      </c>
    </row>
    <row r="1557">
      <c r="E1557" s="22" t="n"/>
      <c r="G1557" s="22" t="n"/>
      <c r="I1557" s="22" t="n"/>
      <c r="L1557" s="20">
        <f>IF(E1557="","",E1557+IF(F1557="",IFERROR(VLOOKUP(C1557,Parametros!$E:$F,2,0),0),F1557))</f>
        <v/>
      </c>
      <c r="M1557" s="21">
        <f>IF(E1557="","",IF(G1557="",IF(TODAY()&gt;L1557,"Atrasada","Em aberto"),IF(G1557&lt;=L1557,"No prazo","Com atraso")))</f>
        <v/>
      </c>
      <c r="N1557" s="18">
        <f>IF(E1557="","",MAX(0,IF(G1557="",TODAY(),G1557)-L1557))</f>
        <v/>
      </c>
    </row>
    <row r="1558">
      <c r="E1558" s="22" t="n"/>
      <c r="G1558" s="22" t="n"/>
      <c r="I1558" s="22" t="n"/>
      <c r="L1558" s="20">
        <f>IF(E1558="","",E1558+IF(F1558="",IFERROR(VLOOKUP(C1558,Parametros!$E:$F,2,0),0),F1558))</f>
        <v/>
      </c>
      <c r="M1558" s="21">
        <f>IF(E1558="","",IF(G1558="",IF(TODAY()&gt;L1558,"Atrasada","Em aberto"),IF(G1558&lt;=L1558,"No prazo","Com atraso")))</f>
        <v/>
      </c>
      <c r="N1558" s="18">
        <f>IF(E1558="","",MAX(0,IF(G1558="",TODAY(),G1558)-L1558))</f>
        <v/>
      </c>
    </row>
    <row r="1559">
      <c r="E1559" s="22" t="n"/>
      <c r="G1559" s="22" t="n"/>
      <c r="I1559" s="22" t="n"/>
      <c r="L1559" s="20">
        <f>IF(E1559="","",E1559+IF(F1559="",IFERROR(VLOOKUP(C1559,Parametros!$E:$F,2,0),0),F1559))</f>
        <v/>
      </c>
      <c r="M1559" s="21">
        <f>IF(E1559="","",IF(G1559="",IF(TODAY()&gt;L1559,"Atrasada","Em aberto"),IF(G1559&lt;=L1559,"No prazo","Com atraso")))</f>
        <v/>
      </c>
      <c r="N1559" s="18">
        <f>IF(E1559="","",MAX(0,IF(G1559="",TODAY(),G1559)-L1559))</f>
        <v/>
      </c>
    </row>
    <row r="1560">
      <c r="E1560" s="22" t="n"/>
      <c r="G1560" s="22" t="n"/>
      <c r="I1560" s="22" t="n"/>
      <c r="L1560" s="20">
        <f>IF(E1560="","",E1560+IF(F1560="",IFERROR(VLOOKUP(C1560,Parametros!$E:$F,2,0),0),F1560))</f>
        <v/>
      </c>
      <c r="M1560" s="21">
        <f>IF(E1560="","",IF(G1560="",IF(TODAY()&gt;L1560,"Atrasada","Em aberto"),IF(G1560&lt;=L1560,"No prazo","Com atraso")))</f>
        <v/>
      </c>
      <c r="N1560" s="18">
        <f>IF(E1560="","",MAX(0,IF(G1560="",TODAY(),G1560)-L1560))</f>
        <v/>
      </c>
    </row>
    <row r="1561">
      <c r="E1561" s="22" t="n"/>
      <c r="G1561" s="22" t="n"/>
      <c r="I1561" s="22" t="n"/>
      <c r="L1561" s="20">
        <f>IF(E1561="","",E1561+IF(F1561="",IFERROR(VLOOKUP(C1561,Parametros!$E:$F,2,0),0),F1561))</f>
        <v/>
      </c>
      <c r="M1561" s="21">
        <f>IF(E1561="","",IF(G1561="",IF(TODAY()&gt;L1561,"Atrasada","Em aberto"),IF(G1561&lt;=L1561,"No prazo","Com atraso")))</f>
        <v/>
      </c>
      <c r="N1561" s="18">
        <f>IF(E1561="","",MAX(0,IF(G1561="",TODAY(),G1561)-L1561))</f>
        <v/>
      </c>
    </row>
    <row r="1562">
      <c r="E1562" s="22" t="n"/>
      <c r="G1562" s="22" t="n"/>
      <c r="I1562" s="22" t="n"/>
      <c r="L1562" s="20">
        <f>IF(E1562="","",E1562+IF(F1562="",IFERROR(VLOOKUP(C1562,Parametros!$E:$F,2,0),0),F1562))</f>
        <v/>
      </c>
      <c r="M1562" s="21">
        <f>IF(E1562="","",IF(G1562="",IF(TODAY()&gt;L1562,"Atrasada","Em aberto"),IF(G1562&lt;=L1562,"No prazo","Com atraso")))</f>
        <v/>
      </c>
      <c r="N1562" s="18">
        <f>IF(E1562="","",MAX(0,IF(G1562="",TODAY(),G1562)-L1562))</f>
        <v/>
      </c>
    </row>
    <row r="1563">
      <c r="E1563" s="22" t="n"/>
      <c r="G1563" s="22" t="n"/>
      <c r="I1563" s="22" t="n"/>
      <c r="L1563" s="20">
        <f>IF(E1563="","",E1563+IF(F1563="",IFERROR(VLOOKUP(C1563,Parametros!$E:$F,2,0),0),F1563))</f>
        <v/>
      </c>
      <c r="M1563" s="21">
        <f>IF(E1563="","",IF(G1563="",IF(TODAY()&gt;L1563,"Atrasada","Em aberto"),IF(G1563&lt;=L1563,"No prazo","Com atraso")))</f>
        <v/>
      </c>
      <c r="N1563" s="18">
        <f>IF(E1563="","",MAX(0,IF(G1563="",TODAY(),G1563)-L1563))</f>
        <v/>
      </c>
    </row>
    <row r="1564">
      <c r="E1564" s="22" t="n"/>
      <c r="G1564" s="22" t="n"/>
      <c r="I1564" s="22" t="n"/>
      <c r="L1564" s="20">
        <f>IF(E1564="","",E1564+IF(F1564="",IFERROR(VLOOKUP(C1564,Parametros!$E:$F,2,0),0),F1564))</f>
        <v/>
      </c>
      <c r="M1564" s="21">
        <f>IF(E1564="","",IF(G1564="",IF(TODAY()&gt;L1564,"Atrasada","Em aberto"),IF(G1564&lt;=L1564,"No prazo","Com atraso")))</f>
        <v/>
      </c>
      <c r="N1564" s="18">
        <f>IF(E1564="","",MAX(0,IF(G1564="",TODAY(),G1564)-L1564))</f>
        <v/>
      </c>
    </row>
    <row r="1565">
      <c r="E1565" s="22" t="n"/>
      <c r="G1565" s="22" t="n"/>
      <c r="I1565" s="22" t="n"/>
      <c r="L1565" s="20">
        <f>IF(E1565="","",E1565+IF(F1565="",IFERROR(VLOOKUP(C1565,Parametros!$E:$F,2,0),0),F1565))</f>
        <v/>
      </c>
      <c r="M1565" s="21">
        <f>IF(E1565="","",IF(G1565="",IF(TODAY()&gt;L1565,"Atrasada","Em aberto"),IF(G1565&lt;=L1565,"No prazo","Com atraso")))</f>
        <v/>
      </c>
      <c r="N1565" s="18">
        <f>IF(E1565="","",MAX(0,IF(G1565="",TODAY(),G1565)-L1565))</f>
        <v/>
      </c>
    </row>
    <row r="1566">
      <c r="E1566" s="22" t="n"/>
      <c r="G1566" s="22" t="n"/>
      <c r="I1566" s="22" t="n"/>
      <c r="L1566" s="20">
        <f>IF(E1566="","",E1566+IF(F1566="",IFERROR(VLOOKUP(C1566,Parametros!$E:$F,2,0),0),F1566))</f>
        <v/>
      </c>
      <c r="M1566" s="21">
        <f>IF(E1566="","",IF(G1566="",IF(TODAY()&gt;L1566,"Atrasada","Em aberto"),IF(G1566&lt;=L1566,"No prazo","Com atraso")))</f>
        <v/>
      </c>
      <c r="N1566" s="18">
        <f>IF(E1566="","",MAX(0,IF(G1566="",TODAY(),G1566)-L1566))</f>
        <v/>
      </c>
    </row>
    <row r="1567">
      <c r="E1567" s="22" t="n"/>
      <c r="G1567" s="22" t="n"/>
      <c r="I1567" s="22" t="n"/>
      <c r="L1567" s="20">
        <f>IF(E1567="","",E1567+IF(F1567="",IFERROR(VLOOKUP(C1567,Parametros!$E:$F,2,0),0),F1567))</f>
        <v/>
      </c>
      <c r="M1567" s="21">
        <f>IF(E1567="","",IF(G1567="",IF(TODAY()&gt;L1567,"Atrasada","Em aberto"),IF(G1567&lt;=L1567,"No prazo","Com atraso")))</f>
        <v/>
      </c>
      <c r="N1567" s="18">
        <f>IF(E1567="","",MAX(0,IF(G1567="",TODAY(),G1567)-L1567))</f>
        <v/>
      </c>
    </row>
    <row r="1568">
      <c r="E1568" s="22" t="n"/>
      <c r="G1568" s="22" t="n"/>
      <c r="I1568" s="22" t="n"/>
      <c r="L1568" s="20">
        <f>IF(E1568="","",E1568+IF(F1568="",IFERROR(VLOOKUP(C1568,Parametros!$E:$F,2,0),0),F1568))</f>
        <v/>
      </c>
      <c r="M1568" s="21">
        <f>IF(E1568="","",IF(G1568="",IF(TODAY()&gt;L1568,"Atrasada","Em aberto"),IF(G1568&lt;=L1568,"No prazo","Com atraso")))</f>
        <v/>
      </c>
      <c r="N1568" s="18">
        <f>IF(E1568="","",MAX(0,IF(G1568="",TODAY(),G1568)-L1568))</f>
        <v/>
      </c>
    </row>
    <row r="1569">
      <c r="E1569" s="22" t="n"/>
      <c r="G1569" s="22" t="n"/>
      <c r="I1569" s="22" t="n"/>
      <c r="L1569" s="20">
        <f>IF(E1569="","",E1569+IF(F1569="",IFERROR(VLOOKUP(C1569,Parametros!$E:$F,2,0),0),F1569))</f>
        <v/>
      </c>
      <c r="M1569" s="21">
        <f>IF(E1569="","",IF(G1569="",IF(TODAY()&gt;L1569,"Atrasada","Em aberto"),IF(G1569&lt;=L1569,"No prazo","Com atraso")))</f>
        <v/>
      </c>
      <c r="N1569" s="18">
        <f>IF(E1569="","",MAX(0,IF(G1569="",TODAY(),G1569)-L1569))</f>
        <v/>
      </c>
    </row>
    <row r="1570">
      <c r="E1570" s="22" t="n"/>
      <c r="G1570" s="22" t="n"/>
      <c r="I1570" s="22" t="n"/>
      <c r="L1570" s="20">
        <f>IF(E1570="","",E1570+IF(F1570="",IFERROR(VLOOKUP(C1570,Parametros!$E:$F,2,0),0),F1570))</f>
        <v/>
      </c>
      <c r="M1570" s="21">
        <f>IF(E1570="","",IF(G1570="",IF(TODAY()&gt;L1570,"Atrasada","Em aberto"),IF(G1570&lt;=L1570,"No prazo","Com atraso")))</f>
        <v/>
      </c>
      <c r="N1570" s="18">
        <f>IF(E1570="","",MAX(0,IF(G1570="",TODAY(),G1570)-L1570))</f>
        <v/>
      </c>
    </row>
    <row r="1571">
      <c r="E1571" s="22" t="n"/>
      <c r="G1571" s="22" t="n"/>
      <c r="I1571" s="22" t="n"/>
      <c r="L1571" s="20">
        <f>IF(E1571="","",E1571+IF(F1571="",IFERROR(VLOOKUP(C1571,Parametros!$E:$F,2,0),0),F1571))</f>
        <v/>
      </c>
      <c r="M1571" s="21">
        <f>IF(E1571="","",IF(G1571="",IF(TODAY()&gt;L1571,"Atrasada","Em aberto"),IF(G1571&lt;=L1571,"No prazo","Com atraso")))</f>
        <v/>
      </c>
      <c r="N1571" s="18">
        <f>IF(E1571="","",MAX(0,IF(G1571="",TODAY(),G1571)-L1571))</f>
        <v/>
      </c>
    </row>
    <row r="1572">
      <c r="E1572" s="22" t="n"/>
      <c r="G1572" s="22" t="n"/>
      <c r="I1572" s="22" t="n"/>
      <c r="L1572" s="20">
        <f>IF(E1572="","",E1572+IF(F1572="",IFERROR(VLOOKUP(C1572,Parametros!$E:$F,2,0),0),F1572))</f>
        <v/>
      </c>
      <c r="M1572" s="21">
        <f>IF(E1572="","",IF(G1572="",IF(TODAY()&gt;L1572,"Atrasada","Em aberto"),IF(G1572&lt;=L1572,"No prazo","Com atraso")))</f>
        <v/>
      </c>
      <c r="N1572" s="18">
        <f>IF(E1572="","",MAX(0,IF(G1572="",TODAY(),G1572)-L1572))</f>
        <v/>
      </c>
    </row>
    <row r="1573">
      <c r="E1573" s="22" t="n"/>
      <c r="G1573" s="22" t="n"/>
      <c r="I1573" s="22" t="n"/>
      <c r="L1573" s="20">
        <f>IF(E1573="","",E1573+IF(F1573="",IFERROR(VLOOKUP(C1573,Parametros!$E:$F,2,0),0),F1573))</f>
        <v/>
      </c>
      <c r="M1573" s="21">
        <f>IF(E1573="","",IF(G1573="",IF(TODAY()&gt;L1573,"Atrasada","Em aberto"),IF(G1573&lt;=L1573,"No prazo","Com atraso")))</f>
        <v/>
      </c>
      <c r="N1573" s="18">
        <f>IF(E1573="","",MAX(0,IF(G1573="",TODAY(),G1573)-L1573))</f>
        <v/>
      </c>
    </row>
    <row r="1574">
      <c r="E1574" s="22" t="n"/>
      <c r="G1574" s="22" t="n"/>
      <c r="I1574" s="22" t="n"/>
      <c r="L1574" s="20">
        <f>IF(E1574="","",E1574+IF(F1574="",IFERROR(VLOOKUP(C1574,Parametros!$E:$F,2,0),0),F1574))</f>
        <v/>
      </c>
      <c r="M1574" s="21">
        <f>IF(E1574="","",IF(G1574="",IF(TODAY()&gt;L1574,"Atrasada","Em aberto"),IF(G1574&lt;=L1574,"No prazo","Com atraso")))</f>
        <v/>
      </c>
      <c r="N1574" s="18">
        <f>IF(E1574="","",MAX(0,IF(G1574="",TODAY(),G1574)-L1574))</f>
        <v/>
      </c>
    </row>
    <row r="1575">
      <c r="E1575" s="22" t="n"/>
      <c r="G1575" s="22" t="n"/>
      <c r="I1575" s="22" t="n"/>
      <c r="L1575" s="20">
        <f>IF(E1575="","",E1575+IF(F1575="",IFERROR(VLOOKUP(C1575,Parametros!$E:$F,2,0),0),F1575))</f>
        <v/>
      </c>
      <c r="M1575" s="21">
        <f>IF(E1575="","",IF(G1575="",IF(TODAY()&gt;L1575,"Atrasada","Em aberto"),IF(G1575&lt;=L1575,"No prazo","Com atraso")))</f>
        <v/>
      </c>
      <c r="N1575" s="18">
        <f>IF(E1575="","",MAX(0,IF(G1575="",TODAY(),G1575)-L1575))</f>
        <v/>
      </c>
    </row>
    <row r="1576">
      <c r="E1576" s="22" t="n"/>
      <c r="G1576" s="22" t="n"/>
      <c r="I1576" s="22" t="n"/>
      <c r="L1576" s="20">
        <f>IF(E1576="","",E1576+IF(F1576="",IFERROR(VLOOKUP(C1576,Parametros!$E:$F,2,0),0),F1576))</f>
        <v/>
      </c>
      <c r="M1576" s="21">
        <f>IF(E1576="","",IF(G1576="",IF(TODAY()&gt;L1576,"Atrasada","Em aberto"),IF(G1576&lt;=L1576,"No prazo","Com atraso")))</f>
        <v/>
      </c>
      <c r="N1576" s="18">
        <f>IF(E1576="","",MAX(0,IF(G1576="",TODAY(),G1576)-L1576))</f>
        <v/>
      </c>
    </row>
    <row r="1577">
      <c r="E1577" s="22" t="n"/>
      <c r="G1577" s="22" t="n"/>
      <c r="I1577" s="22" t="n"/>
      <c r="L1577" s="20">
        <f>IF(E1577="","",E1577+IF(F1577="",IFERROR(VLOOKUP(C1577,Parametros!$E:$F,2,0),0),F1577))</f>
        <v/>
      </c>
      <c r="M1577" s="21">
        <f>IF(E1577="","",IF(G1577="",IF(TODAY()&gt;L1577,"Atrasada","Em aberto"),IF(G1577&lt;=L1577,"No prazo","Com atraso")))</f>
        <v/>
      </c>
      <c r="N1577" s="18">
        <f>IF(E1577="","",MAX(0,IF(G1577="",TODAY(),G1577)-L1577))</f>
        <v/>
      </c>
    </row>
    <row r="1578">
      <c r="E1578" s="22" t="n"/>
      <c r="G1578" s="22" t="n"/>
      <c r="I1578" s="22" t="n"/>
      <c r="L1578" s="20">
        <f>IF(E1578="","",E1578+IF(F1578="",IFERROR(VLOOKUP(C1578,Parametros!$E:$F,2,0),0),F1578))</f>
        <v/>
      </c>
      <c r="M1578" s="21">
        <f>IF(E1578="","",IF(G1578="",IF(TODAY()&gt;L1578,"Atrasada","Em aberto"),IF(G1578&lt;=L1578,"No prazo","Com atraso")))</f>
        <v/>
      </c>
      <c r="N1578" s="18">
        <f>IF(E1578="","",MAX(0,IF(G1578="",TODAY(),G1578)-L1578))</f>
        <v/>
      </c>
    </row>
    <row r="1579">
      <c r="E1579" s="22" t="n"/>
      <c r="G1579" s="22" t="n"/>
      <c r="I1579" s="22" t="n"/>
      <c r="L1579" s="20">
        <f>IF(E1579="","",E1579+IF(F1579="",IFERROR(VLOOKUP(C1579,Parametros!$E:$F,2,0),0),F1579))</f>
        <v/>
      </c>
      <c r="M1579" s="21">
        <f>IF(E1579="","",IF(G1579="",IF(TODAY()&gt;L1579,"Atrasada","Em aberto"),IF(G1579&lt;=L1579,"No prazo","Com atraso")))</f>
        <v/>
      </c>
      <c r="N1579" s="18">
        <f>IF(E1579="","",MAX(0,IF(G1579="",TODAY(),G1579)-L1579))</f>
        <v/>
      </c>
    </row>
    <row r="1580">
      <c r="E1580" s="22" t="n"/>
      <c r="G1580" s="22" t="n"/>
      <c r="I1580" s="22" t="n"/>
      <c r="L1580" s="20">
        <f>IF(E1580="","",E1580+IF(F1580="",IFERROR(VLOOKUP(C1580,Parametros!$E:$F,2,0),0),F1580))</f>
        <v/>
      </c>
      <c r="M1580" s="21">
        <f>IF(E1580="","",IF(G1580="",IF(TODAY()&gt;L1580,"Atrasada","Em aberto"),IF(G1580&lt;=L1580,"No prazo","Com atraso")))</f>
        <v/>
      </c>
      <c r="N1580" s="18">
        <f>IF(E1580="","",MAX(0,IF(G1580="",TODAY(),G1580)-L1580))</f>
        <v/>
      </c>
    </row>
    <row r="1581">
      <c r="E1581" s="22" t="n"/>
      <c r="G1581" s="22" t="n"/>
      <c r="I1581" s="22" t="n"/>
      <c r="L1581" s="20">
        <f>IF(E1581="","",E1581+IF(F1581="",IFERROR(VLOOKUP(C1581,Parametros!$E:$F,2,0),0),F1581))</f>
        <v/>
      </c>
      <c r="M1581" s="21">
        <f>IF(E1581="","",IF(G1581="",IF(TODAY()&gt;L1581,"Atrasada","Em aberto"),IF(G1581&lt;=L1581,"No prazo","Com atraso")))</f>
        <v/>
      </c>
      <c r="N1581" s="18">
        <f>IF(E1581="","",MAX(0,IF(G1581="",TODAY(),G1581)-L1581))</f>
        <v/>
      </c>
    </row>
    <row r="1582">
      <c r="E1582" s="22" t="n"/>
      <c r="G1582" s="22" t="n"/>
      <c r="I1582" s="22" t="n"/>
      <c r="L1582" s="20">
        <f>IF(E1582="","",E1582+IF(F1582="",IFERROR(VLOOKUP(C1582,Parametros!$E:$F,2,0),0),F1582))</f>
        <v/>
      </c>
      <c r="M1582" s="21">
        <f>IF(E1582="","",IF(G1582="",IF(TODAY()&gt;L1582,"Atrasada","Em aberto"),IF(G1582&lt;=L1582,"No prazo","Com atraso")))</f>
        <v/>
      </c>
      <c r="N1582" s="18">
        <f>IF(E1582="","",MAX(0,IF(G1582="",TODAY(),G1582)-L1582))</f>
        <v/>
      </c>
    </row>
    <row r="1583">
      <c r="E1583" s="22" t="n"/>
      <c r="G1583" s="22" t="n"/>
      <c r="I1583" s="22" t="n"/>
      <c r="L1583" s="20">
        <f>IF(E1583="","",E1583+IF(F1583="",IFERROR(VLOOKUP(C1583,Parametros!$E:$F,2,0),0),F1583))</f>
        <v/>
      </c>
      <c r="M1583" s="21">
        <f>IF(E1583="","",IF(G1583="",IF(TODAY()&gt;L1583,"Atrasada","Em aberto"),IF(G1583&lt;=L1583,"No prazo","Com atraso")))</f>
        <v/>
      </c>
      <c r="N1583" s="18">
        <f>IF(E1583="","",MAX(0,IF(G1583="",TODAY(),G1583)-L1583))</f>
        <v/>
      </c>
    </row>
    <row r="1584">
      <c r="E1584" s="22" t="n"/>
      <c r="G1584" s="22" t="n"/>
      <c r="I1584" s="22" t="n"/>
      <c r="L1584" s="20">
        <f>IF(E1584="","",E1584+IF(F1584="",IFERROR(VLOOKUP(C1584,Parametros!$E:$F,2,0),0),F1584))</f>
        <v/>
      </c>
      <c r="M1584" s="21">
        <f>IF(E1584="","",IF(G1584="",IF(TODAY()&gt;L1584,"Atrasada","Em aberto"),IF(G1584&lt;=L1584,"No prazo","Com atraso")))</f>
        <v/>
      </c>
      <c r="N1584" s="18">
        <f>IF(E1584="","",MAX(0,IF(G1584="",TODAY(),G1584)-L1584))</f>
        <v/>
      </c>
    </row>
    <row r="1585">
      <c r="E1585" s="22" t="n"/>
      <c r="G1585" s="22" t="n"/>
      <c r="I1585" s="22" t="n"/>
      <c r="L1585" s="20">
        <f>IF(E1585="","",E1585+IF(F1585="",IFERROR(VLOOKUP(C1585,Parametros!$E:$F,2,0),0),F1585))</f>
        <v/>
      </c>
      <c r="M1585" s="21">
        <f>IF(E1585="","",IF(G1585="",IF(TODAY()&gt;L1585,"Atrasada","Em aberto"),IF(G1585&lt;=L1585,"No prazo","Com atraso")))</f>
        <v/>
      </c>
      <c r="N1585" s="18">
        <f>IF(E1585="","",MAX(0,IF(G1585="",TODAY(),G1585)-L1585))</f>
        <v/>
      </c>
    </row>
    <row r="1586">
      <c r="E1586" s="22" t="n"/>
      <c r="G1586" s="22" t="n"/>
      <c r="I1586" s="22" t="n"/>
      <c r="L1586" s="20">
        <f>IF(E1586="","",E1586+IF(F1586="",IFERROR(VLOOKUP(C1586,Parametros!$E:$F,2,0),0),F1586))</f>
        <v/>
      </c>
      <c r="M1586" s="21">
        <f>IF(E1586="","",IF(G1586="",IF(TODAY()&gt;L1586,"Atrasada","Em aberto"),IF(G1586&lt;=L1586,"No prazo","Com atraso")))</f>
        <v/>
      </c>
      <c r="N1586" s="18">
        <f>IF(E1586="","",MAX(0,IF(G1586="",TODAY(),G1586)-L1586))</f>
        <v/>
      </c>
    </row>
    <row r="1587">
      <c r="E1587" s="22" t="n"/>
      <c r="G1587" s="22" t="n"/>
      <c r="I1587" s="22" t="n"/>
      <c r="L1587" s="20">
        <f>IF(E1587="","",E1587+IF(F1587="",IFERROR(VLOOKUP(C1587,Parametros!$E:$F,2,0),0),F1587))</f>
        <v/>
      </c>
      <c r="M1587" s="21">
        <f>IF(E1587="","",IF(G1587="",IF(TODAY()&gt;L1587,"Atrasada","Em aberto"),IF(G1587&lt;=L1587,"No prazo","Com atraso")))</f>
        <v/>
      </c>
      <c r="N1587" s="18">
        <f>IF(E1587="","",MAX(0,IF(G1587="",TODAY(),G1587)-L1587))</f>
        <v/>
      </c>
    </row>
    <row r="1588">
      <c r="E1588" s="22" t="n"/>
      <c r="G1588" s="22" t="n"/>
      <c r="I1588" s="22" t="n"/>
      <c r="L1588" s="20">
        <f>IF(E1588="","",E1588+IF(F1588="",IFERROR(VLOOKUP(C1588,Parametros!$E:$F,2,0),0),F1588))</f>
        <v/>
      </c>
      <c r="M1588" s="21">
        <f>IF(E1588="","",IF(G1588="",IF(TODAY()&gt;L1588,"Atrasada","Em aberto"),IF(G1588&lt;=L1588,"No prazo","Com atraso")))</f>
        <v/>
      </c>
      <c r="N1588" s="18">
        <f>IF(E1588="","",MAX(0,IF(G1588="",TODAY(),G1588)-L1588))</f>
        <v/>
      </c>
    </row>
    <row r="1589">
      <c r="E1589" s="22" t="n"/>
      <c r="G1589" s="22" t="n"/>
      <c r="I1589" s="22" t="n"/>
      <c r="L1589" s="20">
        <f>IF(E1589="","",E1589+IF(F1589="",IFERROR(VLOOKUP(C1589,Parametros!$E:$F,2,0),0),F1589))</f>
        <v/>
      </c>
      <c r="M1589" s="21">
        <f>IF(E1589="","",IF(G1589="",IF(TODAY()&gt;L1589,"Atrasada","Em aberto"),IF(G1589&lt;=L1589,"No prazo","Com atraso")))</f>
        <v/>
      </c>
      <c r="N1589" s="18">
        <f>IF(E1589="","",MAX(0,IF(G1589="",TODAY(),G1589)-L1589))</f>
        <v/>
      </c>
    </row>
    <row r="1590">
      <c r="E1590" s="22" t="n"/>
      <c r="G1590" s="22" t="n"/>
      <c r="I1590" s="22" t="n"/>
      <c r="L1590" s="20">
        <f>IF(E1590="","",E1590+IF(F1590="",IFERROR(VLOOKUP(C1590,Parametros!$E:$F,2,0),0),F1590))</f>
        <v/>
      </c>
      <c r="M1590" s="21">
        <f>IF(E1590="","",IF(G1590="",IF(TODAY()&gt;L1590,"Atrasada","Em aberto"),IF(G1590&lt;=L1590,"No prazo","Com atraso")))</f>
        <v/>
      </c>
      <c r="N1590" s="18">
        <f>IF(E1590="","",MAX(0,IF(G1590="",TODAY(),G1590)-L1590))</f>
        <v/>
      </c>
    </row>
    <row r="1591">
      <c r="E1591" s="22" t="n"/>
      <c r="G1591" s="22" t="n"/>
      <c r="I1591" s="22" t="n"/>
      <c r="L1591" s="20">
        <f>IF(E1591="","",E1591+IF(F1591="",IFERROR(VLOOKUP(C1591,Parametros!$E:$F,2,0),0),F1591))</f>
        <v/>
      </c>
      <c r="M1591" s="21">
        <f>IF(E1591="","",IF(G1591="",IF(TODAY()&gt;L1591,"Atrasada","Em aberto"),IF(G1591&lt;=L1591,"No prazo","Com atraso")))</f>
        <v/>
      </c>
      <c r="N1591" s="18">
        <f>IF(E1591="","",MAX(0,IF(G1591="",TODAY(),G1591)-L1591))</f>
        <v/>
      </c>
    </row>
    <row r="1592">
      <c r="E1592" s="22" t="n"/>
      <c r="G1592" s="22" t="n"/>
      <c r="I1592" s="22" t="n"/>
      <c r="L1592" s="20">
        <f>IF(E1592="","",E1592+IF(F1592="",IFERROR(VLOOKUP(C1592,Parametros!$E:$F,2,0),0),F1592))</f>
        <v/>
      </c>
      <c r="M1592" s="21">
        <f>IF(E1592="","",IF(G1592="",IF(TODAY()&gt;L1592,"Atrasada","Em aberto"),IF(G1592&lt;=L1592,"No prazo","Com atraso")))</f>
        <v/>
      </c>
      <c r="N1592" s="18">
        <f>IF(E1592="","",MAX(0,IF(G1592="",TODAY(),G1592)-L1592))</f>
        <v/>
      </c>
    </row>
    <row r="1593">
      <c r="E1593" s="22" t="n"/>
      <c r="G1593" s="22" t="n"/>
      <c r="I1593" s="22" t="n"/>
      <c r="L1593" s="20">
        <f>IF(E1593="","",E1593+IF(F1593="",IFERROR(VLOOKUP(C1593,Parametros!$E:$F,2,0),0),F1593))</f>
        <v/>
      </c>
      <c r="M1593" s="21">
        <f>IF(E1593="","",IF(G1593="",IF(TODAY()&gt;L1593,"Atrasada","Em aberto"),IF(G1593&lt;=L1593,"No prazo","Com atraso")))</f>
        <v/>
      </c>
      <c r="N1593" s="18">
        <f>IF(E1593="","",MAX(0,IF(G1593="",TODAY(),G1593)-L1593))</f>
        <v/>
      </c>
    </row>
    <row r="1594">
      <c r="E1594" s="22" t="n"/>
      <c r="G1594" s="22" t="n"/>
      <c r="I1594" s="22" t="n"/>
      <c r="L1594" s="20">
        <f>IF(E1594="","",E1594+IF(F1594="",IFERROR(VLOOKUP(C1594,Parametros!$E:$F,2,0),0),F1594))</f>
        <v/>
      </c>
      <c r="M1594" s="21">
        <f>IF(E1594="","",IF(G1594="",IF(TODAY()&gt;L1594,"Atrasada","Em aberto"),IF(G1594&lt;=L1594,"No prazo","Com atraso")))</f>
        <v/>
      </c>
      <c r="N1594" s="18">
        <f>IF(E1594="","",MAX(0,IF(G1594="",TODAY(),G1594)-L1594))</f>
        <v/>
      </c>
    </row>
    <row r="1595">
      <c r="E1595" s="22" t="n"/>
      <c r="G1595" s="22" t="n"/>
      <c r="I1595" s="22" t="n"/>
      <c r="L1595" s="20">
        <f>IF(E1595="","",E1595+IF(F1595="",IFERROR(VLOOKUP(C1595,Parametros!$E:$F,2,0),0),F1595))</f>
        <v/>
      </c>
      <c r="M1595" s="21">
        <f>IF(E1595="","",IF(G1595="",IF(TODAY()&gt;L1595,"Atrasada","Em aberto"),IF(G1595&lt;=L1595,"No prazo","Com atraso")))</f>
        <v/>
      </c>
      <c r="N1595" s="18">
        <f>IF(E1595="","",MAX(0,IF(G1595="",TODAY(),G1595)-L1595))</f>
        <v/>
      </c>
    </row>
    <row r="1596">
      <c r="E1596" s="22" t="n"/>
      <c r="G1596" s="22" t="n"/>
      <c r="I1596" s="22" t="n"/>
      <c r="L1596" s="20">
        <f>IF(E1596="","",E1596+IF(F1596="",IFERROR(VLOOKUP(C1596,Parametros!$E:$F,2,0),0),F1596))</f>
        <v/>
      </c>
      <c r="M1596" s="21">
        <f>IF(E1596="","",IF(G1596="",IF(TODAY()&gt;L1596,"Atrasada","Em aberto"),IF(G1596&lt;=L1596,"No prazo","Com atraso")))</f>
        <v/>
      </c>
      <c r="N1596" s="18">
        <f>IF(E1596="","",MAX(0,IF(G1596="",TODAY(),G1596)-L1596))</f>
        <v/>
      </c>
    </row>
    <row r="1597">
      <c r="E1597" s="22" t="n"/>
      <c r="G1597" s="22" t="n"/>
      <c r="I1597" s="22" t="n"/>
      <c r="L1597" s="20">
        <f>IF(E1597="","",E1597+IF(F1597="",IFERROR(VLOOKUP(C1597,Parametros!$E:$F,2,0),0),F1597))</f>
        <v/>
      </c>
      <c r="M1597" s="21">
        <f>IF(E1597="","",IF(G1597="",IF(TODAY()&gt;L1597,"Atrasada","Em aberto"),IF(G1597&lt;=L1597,"No prazo","Com atraso")))</f>
        <v/>
      </c>
      <c r="N1597" s="18">
        <f>IF(E1597="","",MAX(0,IF(G1597="",TODAY(),G1597)-L1597))</f>
        <v/>
      </c>
    </row>
    <row r="1598">
      <c r="E1598" s="22" t="n"/>
      <c r="G1598" s="22" t="n"/>
      <c r="I1598" s="22" t="n"/>
      <c r="L1598" s="20">
        <f>IF(E1598="","",E1598+IF(F1598="",IFERROR(VLOOKUP(C1598,Parametros!$E:$F,2,0),0),F1598))</f>
        <v/>
      </c>
      <c r="M1598" s="21">
        <f>IF(E1598="","",IF(G1598="",IF(TODAY()&gt;L1598,"Atrasada","Em aberto"),IF(G1598&lt;=L1598,"No prazo","Com atraso")))</f>
        <v/>
      </c>
      <c r="N1598" s="18">
        <f>IF(E1598="","",MAX(0,IF(G1598="",TODAY(),G1598)-L1598))</f>
        <v/>
      </c>
    </row>
    <row r="1599">
      <c r="E1599" s="22" t="n"/>
      <c r="G1599" s="22" t="n"/>
      <c r="I1599" s="22" t="n"/>
      <c r="L1599" s="20">
        <f>IF(E1599="","",E1599+IF(F1599="",IFERROR(VLOOKUP(C1599,Parametros!$E:$F,2,0),0),F1599))</f>
        <v/>
      </c>
      <c r="M1599" s="21">
        <f>IF(E1599="","",IF(G1599="",IF(TODAY()&gt;L1599,"Atrasada","Em aberto"),IF(G1599&lt;=L1599,"No prazo","Com atraso")))</f>
        <v/>
      </c>
      <c r="N1599" s="18">
        <f>IF(E1599="","",MAX(0,IF(G1599="",TODAY(),G1599)-L1599))</f>
        <v/>
      </c>
    </row>
    <row r="1600">
      <c r="E1600" s="22" t="n"/>
      <c r="G1600" s="22" t="n"/>
      <c r="I1600" s="22" t="n"/>
      <c r="L1600" s="20">
        <f>IF(E1600="","",E1600+IF(F1600="",IFERROR(VLOOKUP(C1600,Parametros!$E:$F,2,0),0),F1600))</f>
        <v/>
      </c>
      <c r="M1600" s="21">
        <f>IF(E1600="","",IF(G1600="",IF(TODAY()&gt;L1600,"Atrasada","Em aberto"),IF(G1600&lt;=L1600,"No prazo","Com atraso")))</f>
        <v/>
      </c>
      <c r="N1600" s="18">
        <f>IF(E1600="","",MAX(0,IF(G1600="",TODAY(),G1600)-L1600))</f>
        <v/>
      </c>
    </row>
    <row r="1601">
      <c r="E1601" s="22" t="n"/>
      <c r="G1601" s="22" t="n"/>
      <c r="I1601" s="22" t="n"/>
      <c r="L1601" s="20">
        <f>IF(E1601="","",E1601+IF(F1601="",IFERROR(VLOOKUP(C1601,Parametros!$E:$F,2,0),0),F1601))</f>
        <v/>
      </c>
      <c r="M1601" s="21">
        <f>IF(E1601="","",IF(G1601="",IF(TODAY()&gt;L1601,"Atrasada","Em aberto"),IF(G1601&lt;=L1601,"No prazo","Com atraso")))</f>
        <v/>
      </c>
      <c r="N1601" s="18">
        <f>IF(E1601="","",MAX(0,IF(G1601="",TODAY(),G1601)-L1601))</f>
        <v/>
      </c>
    </row>
    <row r="1602">
      <c r="E1602" s="22" t="n"/>
      <c r="G1602" s="22" t="n"/>
      <c r="I1602" s="22" t="n"/>
      <c r="L1602" s="20">
        <f>IF(E1602="","",E1602+IF(F1602="",IFERROR(VLOOKUP(C1602,Parametros!$E:$F,2,0),0),F1602))</f>
        <v/>
      </c>
      <c r="M1602" s="21">
        <f>IF(E1602="","",IF(G1602="",IF(TODAY()&gt;L1602,"Atrasada","Em aberto"),IF(G1602&lt;=L1602,"No prazo","Com atraso")))</f>
        <v/>
      </c>
      <c r="N1602" s="18">
        <f>IF(E1602="","",MAX(0,IF(G1602="",TODAY(),G1602)-L1602))</f>
        <v/>
      </c>
    </row>
    <row r="1603">
      <c r="E1603" s="22" t="n"/>
      <c r="G1603" s="22" t="n"/>
      <c r="I1603" s="22" t="n"/>
      <c r="L1603" s="20">
        <f>IF(E1603="","",E1603+IF(F1603="",IFERROR(VLOOKUP(C1603,Parametros!$E:$F,2,0),0),F1603))</f>
        <v/>
      </c>
      <c r="M1603" s="21">
        <f>IF(E1603="","",IF(G1603="",IF(TODAY()&gt;L1603,"Atrasada","Em aberto"),IF(G1603&lt;=L1603,"No prazo","Com atraso")))</f>
        <v/>
      </c>
      <c r="N1603" s="18">
        <f>IF(E1603="","",MAX(0,IF(G1603="",TODAY(),G1603)-L1603))</f>
        <v/>
      </c>
    </row>
    <row r="1604">
      <c r="E1604" s="22" t="n"/>
      <c r="G1604" s="22" t="n"/>
      <c r="I1604" s="22" t="n"/>
      <c r="L1604" s="20">
        <f>IF(E1604="","",E1604+IF(F1604="",IFERROR(VLOOKUP(C1604,Parametros!$E:$F,2,0),0),F1604))</f>
        <v/>
      </c>
      <c r="M1604" s="21">
        <f>IF(E1604="","",IF(G1604="",IF(TODAY()&gt;L1604,"Atrasada","Em aberto"),IF(G1604&lt;=L1604,"No prazo","Com atraso")))</f>
        <v/>
      </c>
      <c r="N1604" s="18">
        <f>IF(E1604="","",MAX(0,IF(G1604="",TODAY(),G1604)-L1604))</f>
        <v/>
      </c>
    </row>
    <row r="1605">
      <c r="E1605" s="22" t="n"/>
      <c r="G1605" s="22" t="n"/>
      <c r="I1605" s="22" t="n"/>
      <c r="L1605" s="20">
        <f>IF(E1605="","",E1605+IF(F1605="",IFERROR(VLOOKUP(C1605,Parametros!$E:$F,2,0),0),F1605))</f>
        <v/>
      </c>
      <c r="M1605" s="21">
        <f>IF(E1605="","",IF(G1605="",IF(TODAY()&gt;L1605,"Atrasada","Em aberto"),IF(G1605&lt;=L1605,"No prazo","Com atraso")))</f>
        <v/>
      </c>
      <c r="N1605" s="18">
        <f>IF(E1605="","",MAX(0,IF(G1605="",TODAY(),G1605)-L1605))</f>
        <v/>
      </c>
    </row>
    <row r="1606">
      <c r="E1606" s="22" t="n"/>
      <c r="G1606" s="22" t="n"/>
      <c r="I1606" s="22" t="n"/>
      <c r="L1606" s="20">
        <f>IF(E1606="","",E1606+IF(F1606="",IFERROR(VLOOKUP(C1606,Parametros!$E:$F,2,0),0),F1606))</f>
        <v/>
      </c>
      <c r="M1606" s="21">
        <f>IF(E1606="","",IF(G1606="",IF(TODAY()&gt;L1606,"Atrasada","Em aberto"),IF(G1606&lt;=L1606,"No prazo","Com atraso")))</f>
        <v/>
      </c>
      <c r="N1606" s="18">
        <f>IF(E1606="","",MAX(0,IF(G1606="",TODAY(),G1606)-L1606))</f>
        <v/>
      </c>
    </row>
    <row r="1607">
      <c r="E1607" s="22" t="n"/>
      <c r="G1607" s="22" t="n"/>
      <c r="I1607" s="22" t="n"/>
      <c r="L1607" s="20">
        <f>IF(E1607="","",E1607+IF(F1607="",IFERROR(VLOOKUP(C1607,Parametros!$E:$F,2,0),0),F1607))</f>
        <v/>
      </c>
      <c r="M1607" s="21">
        <f>IF(E1607="","",IF(G1607="",IF(TODAY()&gt;L1607,"Atrasada","Em aberto"),IF(G1607&lt;=L1607,"No prazo","Com atraso")))</f>
        <v/>
      </c>
      <c r="N1607" s="18">
        <f>IF(E1607="","",MAX(0,IF(G1607="",TODAY(),G1607)-L1607))</f>
        <v/>
      </c>
    </row>
    <row r="1608">
      <c r="E1608" s="22" t="n"/>
      <c r="G1608" s="22" t="n"/>
      <c r="I1608" s="22" t="n"/>
      <c r="L1608" s="20">
        <f>IF(E1608="","",E1608+IF(F1608="",IFERROR(VLOOKUP(C1608,Parametros!$E:$F,2,0),0),F1608))</f>
        <v/>
      </c>
      <c r="M1608" s="21">
        <f>IF(E1608="","",IF(G1608="",IF(TODAY()&gt;L1608,"Atrasada","Em aberto"),IF(G1608&lt;=L1608,"No prazo","Com atraso")))</f>
        <v/>
      </c>
      <c r="N1608" s="18">
        <f>IF(E1608="","",MAX(0,IF(G1608="",TODAY(),G1608)-L1608))</f>
        <v/>
      </c>
    </row>
    <row r="1609">
      <c r="E1609" s="22" t="n"/>
      <c r="G1609" s="22" t="n"/>
      <c r="I1609" s="22" t="n"/>
      <c r="L1609" s="20">
        <f>IF(E1609="","",E1609+IF(F1609="",IFERROR(VLOOKUP(C1609,Parametros!$E:$F,2,0),0),F1609))</f>
        <v/>
      </c>
      <c r="M1609" s="21">
        <f>IF(E1609="","",IF(G1609="",IF(TODAY()&gt;L1609,"Atrasada","Em aberto"),IF(G1609&lt;=L1609,"No prazo","Com atraso")))</f>
        <v/>
      </c>
      <c r="N1609" s="18">
        <f>IF(E1609="","",MAX(0,IF(G1609="",TODAY(),G1609)-L1609))</f>
        <v/>
      </c>
    </row>
    <row r="1610">
      <c r="E1610" s="22" t="n"/>
      <c r="G1610" s="22" t="n"/>
      <c r="I1610" s="22" t="n"/>
      <c r="L1610" s="20">
        <f>IF(E1610="","",E1610+IF(F1610="",IFERROR(VLOOKUP(C1610,Parametros!$E:$F,2,0),0),F1610))</f>
        <v/>
      </c>
      <c r="M1610" s="21">
        <f>IF(E1610="","",IF(G1610="",IF(TODAY()&gt;L1610,"Atrasada","Em aberto"),IF(G1610&lt;=L1610,"No prazo","Com atraso")))</f>
        <v/>
      </c>
      <c r="N1610" s="18">
        <f>IF(E1610="","",MAX(0,IF(G1610="",TODAY(),G1610)-L1610))</f>
        <v/>
      </c>
    </row>
    <row r="1611">
      <c r="E1611" s="22" t="n"/>
      <c r="G1611" s="22" t="n"/>
      <c r="I1611" s="22" t="n"/>
      <c r="L1611" s="20">
        <f>IF(E1611="","",E1611+IF(F1611="",IFERROR(VLOOKUP(C1611,Parametros!$E:$F,2,0),0),F1611))</f>
        <v/>
      </c>
      <c r="M1611" s="21">
        <f>IF(E1611="","",IF(G1611="",IF(TODAY()&gt;L1611,"Atrasada","Em aberto"),IF(G1611&lt;=L1611,"No prazo","Com atraso")))</f>
        <v/>
      </c>
      <c r="N1611" s="18">
        <f>IF(E1611="","",MAX(0,IF(G1611="",TODAY(),G1611)-L1611))</f>
        <v/>
      </c>
    </row>
    <row r="1612">
      <c r="E1612" s="22" t="n"/>
      <c r="G1612" s="22" t="n"/>
      <c r="I1612" s="22" t="n"/>
      <c r="L1612" s="20">
        <f>IF(E1612="","",E1612+IF(F1612="",IFERROR(VLOOKUP(C1612,Parametros!$E:$F,2,0),0),F1612))</f>
        <v/>
      </c>
      <c r="M1612" s="21">
        <f>IF(E1612="","",IF(G1612="",IF(TODAY()&gt;L1612,"Atrasada","Em aberto"),IF(G1612&lt;=L1612,"No prazo","Com atraso")))</f>
        <v/>
      </c>
      <c r="N1612" s="18">
        <f>IF(E1612="","",MAX(0,IF(G1612="",TODAY(),G1612)-L1612))</f>
        <v/>
      </c>
    </row>
    <row r="1613">
      <c r="E1613" s="22" t="n"/>
      <c r="G1613" s="22" t="n"/>
      <c r="I1613" s="22" t="n"/>
      <c r="L1613" s="20">
        <f>IF(E1613="","",E1613+IF(F1613="",IFERROR(VLOOKUP(C1613,Parametros!$E:$F,2,0),0),F1613))</f>
        <v/>
      </c>
      <c r="M1613" s="21">
        <f>IF(E1613="","",IF(G1613="",IF(TODAY()&gt;L1613,"Atrasada","Em aberto"),IF(G1613&lt;=L1613,"No prazo","Com atraso")))</f>
        <v/>
      </c>
      <c r="N1613" s="18">
        <f>IF(E1613="","",MAX(0,IF(G1613="",TODAY(),G1613)-L1613))</f>
        <v/>
      </c>
    </row>
    <row r="1614">
      <c r="E1614" s="22" t="n"/>
      <c r="G1614" s="22" t="n"/>
      <c r="I1614" s="22" t="n"/>
      <c r="L1614" s="20">
        <f>IF(E1614="","",E1614+IF(F1614="",IFERROR(VLOOKUP(C1614,Parametros!$E:$F,2,0),0),F1614))</f>
        <v/>
      </c>
      <c r="M1614" s="21">
        <f>IF(E1614="","",IF(G1614="",IF(TODAY()&gt;L1614,"Atrasada","Em aberto"),IF(G1614&lt;=L1614,"No prazo","Com atraso")))</f>
        <v/>
      </c>
      <c r="N1614" s="18">
        <f>IF(E1614="","",MAX(0,IF(G1614="",TODAY(),G1614)-L1614))</f>
        <v/>
      </c>
    </row>
    <row r="1615">
      <c r="E1615" s="22" t="n"/>
      <c r="G1615" s="22" t="n"/>
      <c r="I1615" s="22" t="n"/>
      <c r="L1615" s="20">
        <f>IF(E1615="","",E1615+IF(F1615="",IFERROR(VLOOKUP(C1615,Parametros!$E:$F,2,0),0),F1615))</f>
        <v/>
      </c>
      <c r="M1615" s="21">
        <f>IF(E1615="","",IF(G1615="",IF(TODAY()&gt;L1615,"Atrasada","Em aberto"),IF(G1615&lt;=L1615,"No prazo","Com atraso")))</f>
        <v/>
      </c>
      <c r="N1615" s="18">
        <f>IF(E1615="","",MAX(0,IF(G1615="",TODAY(),G1615)-L1615))</f>
        <v/>
      </c>
    </row>
    <row r="1616">
      <c r="E1616" s="22" t="n"/>
      <c r="G1616" s="22" t="n"/>
      <c r="I1616" s="22" t="n"/>
      <c r="L1616" s="20">
        <f>IF(E1616="","",E1616+IF(F1616="",IFERROR(VLOOKUP(C1616,Parametros!$E:$F,2,0),0),F1616))</f>
        <v/>
      </c>
      <c r="M1616" s="21">
        <f>IF(E1616="","",IF(G1616="",IF(TODAY()&gt;L1616,"Atrasada","Em aberto"),IF(G1616&lt;=L1616,"No prazo","Com atraso")))</f>
        <v/>
      </c>
      <c r="N1616" s="18">
        <f>IF(E1616="","",MAX(0,IF(G1616="",TODAY(),G1616)-L1616))</f>
        <v/>
      </c>
    </row>
    <row r="1617">
      <c r="E1617" s="22" t="n"/>
      <c r="G1617" s="22" t="n"/>
      <c r="I1617" s="22" t="n"/>
      <c r="L1617" s="20">
        <f>IF(E1617="","",E1617+IF(F1617="",IFERROR(VLOOKUP(C1617,Parametros!$E:$F,2,0),0),F1617))</f>
        <v/>
      </c>
      <c r="M1617" s="21">
        <f>IF(E1617="","",IF(G1617="",IF(TODAY()&gt;L1617,"Atrasada","Em aberto"),IF(G1617&lt;=L1617,"No prazo","Com atraso")))</f>
        <v/>
      </c>
      <c r="N1617" s="18">
        <f>IF(E1617="","",MAX(0,IF(G1617="",TODAY(),G1617)-L1617))</f>
        <v/>
      </c>
    </row>
    <row r="1618">
      <c r="E1618" s="22" t="n"/>
      <c r="G1618" s="22" t="n"/>
      <c r="I1618" s="22" t="n"/>
      <c r="L1618" s="20">
        <f>IF(E1618="","",E1618+IF(F1618="",IFERROR(VLOOKUP(C1618,Parametros!$E:$F,2,0),0),F1618))</f>
        <v/>
      </c>
      <c r="M1618" s="21">
        <f>IF(E1618="","",IF(G1618="",IF(TODAY()&gt;L1618,"Atrasada","Em aberto"),IF(G1618&lt;=L1618,"No prazo","Com atraso")))</f>
        <v/>
      </c>
      <c r="N1618" s="18">
        <f>IF(E1618="","",MAX(0,IF(G1618="",TODAY(),G1618)-L1618))</f>
        <v/>
      </c>
    </row>
    <row r="1619">
      <c r="E1619" s="22" t="n"/>
      <c r="G1619" s="22" t="n"/>
      <c r="I1619" s="22" t="n"/>
      <c r="L1619" s="20">
        <f>IF(E1619="","",E1619+IF(F1619="",IFERROR(VLOOKUP(C1619,Parametros!$E:$F,2,0),0),F1619))</f>
        <v/>
      </c>
      <c r="M1619" s="21">
        <f>IF(E1619="","",IF(G1619="",IF(TODAY()&gt;L1619,"Atrasada","Em aberto"),IF(G1619&lt;=L1619,"No prazo","Com atraso")))</f>
        <v/>
      </c>
      <c r="N1619" s="18">
        <f>IF(E1619="","",MAX(0,IF(G1619="",TODAY(),G1619)-L1619))</f>
        <v/>
      </c>
    </row>
    <row r="1620">
      <c r="E1620" s="22" t="n"/>
      <c r="G1620" s="22" t="n"/>
      <c r="I1620" s="22" t="n"/>
      <c r="L1620" s="20">
        <f>IF(E1620="","",E1620+IF(F1620="",IFERROR(VLOOKUP(C1620,Parametros!$E:$F,2,0),0),F1620))</f>
        <v/>
      </c>
      <c r="M1620" s="21">
        <f>IF(E1620="","",IF(G1620="",IF(TODAY()&gt;L1620,"Atrasada","Em aberto"),IF(G1620&lt;=L1620,"No prazo","Com atraso")))</f>
        <v/>
      </c>
      <c r="N1620" s="18">
        <f>IF(E1620="","",MAX(0,IF(G1620="",TODAY(),G1620)-L1620))</f>
        <v/>
      </c>
    </row>
    <row r="1621">
      <c r="E1621" s="22" t="n"/>
      <c r="G1621" s="22" t="n"/>
      <c r="I1621" s="22" t="n"/>
      <c r="L1621" s="20">
        <f>IF(E1621="","",E1621+IF(F1621="",IFERROR(VLOOKUP(C1621,Parametros!$E:$F,2,0),0),F1621))</f>
        <v/>
      </c>
      <c r="M1621" s="21">
        <f>IF(E1621="","",IF(G1621="",IF(TODAY()&gt;L1621,"Atrasada","Em aberto"),IF(G1621&lt;=L1621,"No prazo","Com atraso")))</f>
        <v/>
      </c>
      <c r="N1621" s="18">
        <f>IF(E1621="","",MAX(0,IF(G1621="",TODAY(),G1621)-L1621))</f>
        <v/>
      </c>
    </row>
    <row r="1622">
      <c r="E1622" s="22" t="n"/>
      <c r="G1622" s="22" t="n"/>
      <c r="I1622" s="22" t="n"/>
      <c r="L1622" s="20">
        <f>IF(E1622="","",E1622+IF(F1622="",IFERROR(VLOOKUP(C1622,Parametros!$E:$F,2,0),0),F1622))</f>
        <v/>
      </c>
      <c r="M1622" s="21">
        <f>IF(E1622="","",IF(G1622="",IF(TODAY()&gt;L1622,"Atrasada","Em aberto"),IF(G1622&lt;=L1622,"No prazo","Com atraso")))</f>
        <v/>
      </c>
      <c r="N1622" s="18">
        <f>IF(E1622="","",MAX(0,IF(G1622="",TODAY(),G1622)-L1622))</f>
        <v/>
      </c>
    </row>
    <row r="1623">
      <c r="E1623" s="22" t="n"/>
      <c r="G1623" s="22" t="n"/>
      <c r="I1623" s="22" t="n"/>
      <c r="L1623" s="20">
        <f>IF(E1623="","",E1623+IF(F1623="",IFERROR(VLOOKUP(C1623,Parametros!$E:$F,2,0),0),F1623))</f>
        <v/>
      </c>
      <c r="M1623" s="21">
        <f>IF(E1623="","",IF(G1623="",IF(TODAY()&gt;L1623,"Atrasada","Em aberto"),IF(G1623&lt;=L1623,"No prazo","Com atraso")))</f>
        <v/>
      </c>
      <c r="N1623" s="18">
        <f>IF(E1623="","",MAX(0,IF(G1623="",TODAY(),G1623)-L1623))</f>
        <v/>
      </c>
    </row>
    <row r="1624">
      <c r="E1624" s="22" t="n"/>
      <c r="G1624" s="22" t="n"/>
      <c r="I1624" s="22" t="n"/>
      <c r="L1624" s="20">
        <f>IF(E1624="","",E1624+IF(F1624="",IFERROR(VLOOKUP(C1624,Parametros!$E:$F,2,0),0),F1624))</f>
        <v/>
      </c>
      <c r="M1624" s="21">
        <f>IF(E1624="","",IF(G1624="",IF(TODAY()&gt;L1624,"Atrasada","Em aberto"),IF(G1624&lt;=L1624,"No prazo","Com atraso")))</f>
        <v/>
      </c>
      <c r="N1624" s="18">
        <f>IF(E1624="","",MAX(0,IF(G1624="",TODAY(),G1624)-L1624))</f>
        <v/>
      </c>
    </row>
    <row r="1625">
      <c r="E1625" s="22" t="n"/>
      <c r="G1625" s="22" t="n"/>
      <c r="I1625" s="22" t="n"/>
      <c r="L1625" s="20">
        <f>IF(E1625="","",E1625+IF(F1625="",IFERROR(VLOOKUP(C1625,Parametros!$E:$F,2,0),0),F1625))</f>
        <v/>
      </c>
      <c r="M1625" s="21">
        <f>IF(E1625="","",IF(G1625="",IF(TODAY()&gt;L1625,"Atrasada","Em aberto"),IF(G1625&lt;=L1625,"No prazo","Com atraso")))</f>
        <v/>
      </c>
      <c r="N1625" s="18">
        <f>IF(E1625="","",MAX(0,IF(G1625="",TODAY(),G1625)-L1625))</f>
        <v/>
      </c>
    </row>
    <row r="1626">
      <c r="E1626" s="22" t="n"/>
      <c r="G1626" s="22" t="n"/>
      <c r="I1626" s="22" t="n"/>
      <c r="L1626" s="20">
        <f>IF(E1626="","",E1626+IF(F1626="",IFERROR(VLOOKUP(C1626,Parametros!$E:$F,2,0),0),F1626))</f>
        <v/>
      </c>
      <c r="M1626" s="21">
        <f>IF(E1626="","",IF(G1626="",IF(TODAY()&gt;L1626,"Atrasada","Em aberto"),IF(G1626&lt;=L1626,"No prazo","Com atraso")))</f>
        <v/>
      </c>
      <c r="N1626" s="18">
        <f>IF(E1626="","",MAX(0,IF(G1626="",TODAY(),G1626)-L1626))</f>
        <v/>
      </c>
    </row>
    <row r="1627">
      <c r="E1627" s="22" t="n"/>
      <c r="G1627" s="22" t="n"/>
      <c r="I1627" s="22" t="n"/>
      <c r="L1627" s="20">
        <f>IF(E1627="","",E1627+IF(F1627="",IFERROR(VLOOKUP(C1627,Parametros!$E:$F,2,0),0),F1627))</f>
        <v/>
      </c>
      <c r="M1627" s="21">
        <f>IF(E1627="","",IF(G1627="",IF(TODAY()&gt;L1627,"Atrasada","Em aberto"),IF(G1627&lt;=L1627,"No prazo","Com atraso")))</f>
        <v/>
      </c>
      <c r="N1627" s="18">
        <f>IF(E1627="","",MAX(0,IF(G1627="",TODAY(),G1627)-L1627))</f>
        <v/>
      </c>
    </row>
    <row r="1628">
      <c r="E1628" s="22" t="n"/>
      <c r="G1628" s="22" t="n"/>
      <c r="I1628" s="22" t="n"/>
      <c r="L1628" s="20">
        <f>IF(E1628="","",E1628+IF(F1628="",IFERROR(VLOOKUP(C1628,Parametros!$E:$F,2,0),0),F1628))</f>
        <v/>
      </c>
      <c r="M1628" s="21">
        <f>IF(E1628="","",IF(G1628="",IF(TODAY()&gt;L1628,"Atrasada","Em aberto"),IF(G1628&lt;=L1628,"No prazo","Com atraso")))</f>
        <v/>
      </c>
      <c r="N1628" s="18">
        <f>IF(E1628="","",MAX(0,IF(G1628="",TODAY(),G1628)-L1628))</f>
        <v/>
      </c>
    </row>
    <row r="1629">
      <c r="E1629" s="22" t="n"/>
      <c r="G1629" s="22" t="n"/>
      <c r="I1629" s="22" t="n"/>
      <c r="L1629" s="20">
        <f>IF(E1629="","",E1629+IF(F1629="",IFERROR(VLOOKUP(C1629,Parametros!$E:$F,2,0),0),F1629))</f>
        <v/>
      </c>
      <c r="M1629" s="21">
        <f>IF(E1629="","",IF(G1629="",IF(TODAY()&gt;L1629,"Atrasada","Em aberto"),IF(G1629&lt;=L1629,"No prazo","Com atraso")))</f>
        <v/>
      </c>
      <c r="N1629" s="18">
        <f>IF(E1629="","",MAX(0,IF(G1629="",TODAY(),G1629)-L1629))</f>
        <v/>
      </c>
    </row>
    <row r="1630">
      <c r="E1630" s="22" t="n"/>
      <c r="G1630" s="22" t="n"/>
      <c r="I1630" s="22" t="n"/>
      <c r="L1630" s="20">
        <f>IF(E1630="","",E1630+IF(F1630="",IFERROR(VLOOKUP(C1630,Parametros!$E:$F,2,0),0),F1630))</f>
        <v/>
      </c>
      <c r="M1630" s="21">
        <f>IF(E1630="","",IF(G1630="",IF(TODAY()&gt;L1630,"Atrasada","Em aberto"),IF(G1630&lt;=L1630,"No prazo","Com atraso")))</f>
        <v/>
      </c>
      <c r="N1630" s="18">
        <f>IF(E1630="","",MAX(0,IF(G1630="",TODAY(),G1630)-L1630))</f>
        <v/>
      </c>
    </row>
    <row r="1631">
      <c r="E1631" s="22" t="n"/>
      <c r="G1631" s="22" t="n"/>
      <c r="I1631" s="22" t="n"/>
      <c r="L1631" s="20">
        <f>IF(E1631="","",E1631+IF(F1631="",IFERROR(VLOOKUP(C1631,Parametros!$E:$F,2,0),0),F1631))</f>
        <v/>
      </c>
      <c r="M1631" s="21">
        <f>IF(E1631="","",IF(G1631="",IF(TODAY()&gt;L1631,"Atrasada","Em aberto"),IF(G1631&lt;=L1631,"No prazo","Com atraso")))</f>
        <v/>
      </c>
      <c r="N1631" s="18">
        <f>IF(E1631="","",MAX(0,IF(G1631="",TODAY(),G1631)-L1631))</f>
        <v/>
      </c>
    </row>
    <row r="1632">
      <c r="E1632" s="22" t="n"/>
      <c r="G1632" s="22" t="n"/>
      <c r="I1632" s="22" t="n"/>
      <c r="L1632" s="20">
        <f>IF(E1632="","",E1632+IF(F1632="",IFERROR(VLOOKUP(C1632,Parametros!$E:$F,2,0),0),F1632))</f>
        <v/>
      </c>
      <c r="M1632" s="21">
        <f>IF(E1632="","",IF(G1632="",IF(TODAY()&gt;L1632,"Atrasada","Em aberto"),IF(G1632&lt;=L1632,"No prazo","Com atraso")))</f>
        <v/>
      </c>
      <c r="N1632" s="18">
        <f>IF(E1632="","",MAX(0,IF(G1632="",TODAY(),G1632)-L1632))</f>
        <v/>
      </c>
    </row>
    <row r="1633">
      <c r="E1633" s="22" t="n"/>
      <c r="G1633" s="22" t="n"/>
      <c r="I1633" s="22" t="n"/>
      <c r="L1633" s="20">
        <f>IF(E1633="","",E1633+IF(F1633="",IFERROR(VLOOKUP(C1633,Parametros!$E:$F,2,0),0),F1633))</f>
        <v/>
      </c>
      <c r="M1633" s="21">
        <f>IF(E1633="","",IF(G1633="",IF(TODAY()&gt;L1633,"Atrasada","Em aberto"),IF(G1633&lt;=L1633,"No prazo","Com atraso")))</f>
        <v/>
      </c>
      <c r="N1633" s="18">
        <f>IF(E1633="","",MAX(0,IF(G1633="",TODAY(),G1633)-L1633))</f>
        <v/>
      </c>
    </row>
    <row r="1634">
      <c r="E1634" s="22" t="n"/>
      <c r="G1634" s="22" t="n"/>
      <c r="I1634" s="22" t="n"/>
      <c r="L1634" s="20">
        <f>IF(E1634="","",E1634+IF(F1634="",IFERROR(VLOOKUP(C1634,Parametros!$E:$F,2,0),0),F1634))</f>
        <v/>
      </c>
      <c r="M1634" s="21">
        <f>IF(E1634="","",IF(G1634="",IF(TODAY()&gt;L1634,"Atrasada","Em aberto"),IF(G1634&lt;=L1634,"No prazo","Com atraso")))</f>
        <v/>
      </c>
      <c r="N1634" s="18">
        <f>IF(E1634="","",MAX(0,IF(G1634="",TODAY(),G1634)-L1634))</f>
        <v/>
      </c>
    </row>
    <row r="1635">
      <c r="E1635" s="22" t="n"/>
      <c r="G1635" s="22" t="n"/>
      <c r="I1635" s="22" t="n"/>
      <c r="L1635" s="20">
        <f>IF(E1635="","",E1635+IF(F1635="",IFERROR(VLOOKUP(C1635,Parametros!$E:$F,2,0),0),F1635))</f>
        <v/>
      </c>
      <c r="M1635" s="21">
        <f>IF(E1635="","",IF(G1635="",IF(TODAY()&gt;L1635,"Atrasada","Em aberto"),IF(G1635&lt;=L1635,"No prazo","Com atraso")))</f>
        <v/>
      </c>
      <c r="N1635" s="18">
        <f>IF(E1635="","",MAX(0,IF(G1635="",TODAY(),G1635)-L1635))</f>
        <v/>
      </c>
    </row>
    <row r="1636">
      <c r="E1636" s="22" t="n"/>
      <c r="G1636" s="22" t="n"/>
      <c r="I1636" s="22" t="n"/>
      <c r="L1636" s="20">
        <f>IF(E1636="","",E1636+IF(F1636="",IFERROR(VLOOKUP(C1636,Parametros!$E:$F,2,0),0),F1636))</f>
        <v/>
      </c>
      <c r="M1636" s="21">
        <f>IF(E1636="","",IF(G1636="",IF(TODAY()&gt;L1636,"Atrasada","Em aberto"),IF(G1636&lt;=L1636,"No prazo","Com atraso")))</f>
        <v/>
      </c>
      <c r="N1636" s="18">
        <f>IF(E1636="","",MAX(0,IF(G1636="",TODAY(),G1636)-L1636))</f>
        <v/>
      </c>
    </row>
    <row r="1637">
      <c r="E1637" s="22" t="n"/>
      <c r="G1637" s="22" t="n"/>
      <c r="I1637" s="22" t="n"/>
      <c r="L1637" s="20">
        <f>IF(E1637="","",E1637+IF(F1637="",IFERROR(VLOOKUP(C1637,Parametros!$E:$F,2,0),0),F1637))</f>
        <v/>
      </c>
      <c r="M1637" s="21">
        <f>IF(E1637="","",IF(G1637="",IF(TODAY()&gt;L1637,"Atrasada","Em aberto"),IF(G1637&lt;=L1637,"No prazo","Com atraso")))</f>
        <v/>
      </c>
      <c r="N1637" s="18">
        <f>IF(E1637="","",MAX(0,IF(G1637="",TODAY(),G1637)-L1637))</f>
        <v/>
      </c>
    </row>
    <row r="1638">
      <c r="E1638" s="22" t="n"/>
      <c r="G1638" s="22" t="n"/>
      <c r="I1638" s="22" t="n"/>
      <c r="L1638" s="20">
        <f>IF(E1638="","",E1638+IF(F1638="",IFERROR(VLOOKUP(C1638,Parametros!$E:$F,2,0),0),F1638))</f>
        <v/>
      </c>
      <c r="M1638" s="21">
        <f>IF(E1638="","",IF(G1638="",IF(TODAY()&gt;L1638,"Atrasada","Em aberto"),IF(G1638&lt;=L1638,"No prazo","Com atraso")))</f>
        <v/>
      </c>
      <c r="N1638" s="18">
        <f>IF(E1638="","",MAX(0,IF(G1638="",TODAY(),G1638)-L1638))</f>
        <v/>
      </c>
    </row>
    <row r="1639">
      <c r="E1639" s="22" t="n"/>
      <c r="G1639" s="22" t="n"/>
      <c r="I1639" s="22" t="n"/>
      <c r="L1639" s="20">
        <f>IF(E1639="","",E1639+IF(F1639="",IFERROR(VLOOKUP(C1639,Parametros!$E:$F,2,0),0),F1639))</f>
        <v/>
      </c>
      <c r="M1639" s="21">
        <f>IF(E1639="","",IF(G1639="",IF(TODAY()&gt;L1639,"Atrasada","Em aberto"),IF(G1639&lt;=L1639,"No prazo","Com atraso")))</f>
        <v/>
      </c>
      <c r="N1639" s="18">
        <f>IF(E1639="","",MAX(0,IF(G1639="",TODAY(),G1639)-L1639))</f>
        <v/>
      </c>
    </row>
    <row r="1640">
      <c r="E1640" s="22" t="n"/>
      <c r="G1640" s="22" t="n"/>
      <c r="I1640" s="22" t="n"/>
      <c r="L1640" s="20">
        <f>IF(E1640="","",E1640+IF(F1640="",IFERROR(VLOOKUP(C1640,Parametros!$E:$F,2,0),0),F1640))</f>
        <v/>
      </c>
      <c r="M1640" s="21">
        <f>IF(E1640="","",IF(G1640="",IF(TODAY()&gt;L1640,"Atrasada","Em aberto"),IF(G1640&lt;=L1640,"No prazo","Com atraso")))</f>
        <v/>
      </c>
      <c r="N1640" s="18">
        <f>IF(E1640="","",MAX(0,IF(G1640="",TODAY(),G1640)-L1640))</f>
        <v/>
      </c>
    </row>
    <row r="1641">
      <c r="E1641" s="22" t="n"/>
      <c r="G1641" s="22" t="n"/>
      <c r="I1641" s="22" t="n"/>
      <c r="L1641" s="20">
        <f>IF(E1641="","",E1641+IF(F1641="",IFERROR(VLOOKUP(C1641,Parametros!$E:$F,2,0),0),F1641))</f>
        <v/>
      </c>
      <c r="M1641" s="21">
        <f>IF(E1641="","",IF(G1641="",IF(TODAY()&gt;L1641,"Atrasada","Em aberto"),IF(G1641&lt;=L1641,"No prazo","Com atraso")))</f>
        <v/>
      </c>
      <c r="N1641" s="18">
        <f>IF(E1641="","",MAX(0,IF(G1641="",TODAY(),G1641)-L1641))</f>
        <v/>
      </c>
    </row>
    <row r="1642">
      <c r="E1642" s="22" t="n"/>
      <c r="G1642" s="22" t="n"/>
      <c r="I1642" s="22" t="n"/>
      <c r="L1642" s="20">
        <f>IF(E1642="","",E1642+IF(F1642="",IFERROR(VLOOKUP(C1642,Parametros!$E:$F,2,0),0),F1642))</f>
        <v/>
      </c>
      <c r="M1642" s="21">
        <f>IF(E1642="","",IF(G1642="",IF(TODAY()&gt;L1642,"Atrasada","Em aberto"),IF(G1642&lt;=L1642,"No prazo","Com atraso")))</f>
        <v/>
      </c>
      <c r="N1642" s="18">
        <f>IF(E1642="","",MAX(0,IF(G1642="",TODAY(),G1642)-L1642))</f>
        <v/>
      </c>
    </row>
    <row r="1643">
      <c r="E1643" s="22" t="n"/>
      <c r="G1643" s="22" t="n"/>
      <c r="I1643" s="22" t="n"/>
      <c r="L1643" s="20">
        <f>IF(E1643="","",E1643+IF(F1643="",IFERROR(VLOOKUP(C1643,Parametros!$E:$F,2,0),0),F1643))</f>
        <v/>
      </c>
      <c r="M1643" s="21">
        <f>IF(E1643="","",IF(G1643="",IF(TODAY()&gt;L1643,"Atrasada","Em aberto"),IF(G1643&lt;=L1643,"No prazo","Com atraso")))</f>
        <v/>
      </c>
      <c r="N1643" s="18">
        <f>IF(E1643="","",MAX(0,IF(G1643="",TODAY(),G1643)-L1643))</f>
        <v/>
      </c>
    </row>
    <row r="1644">
      <c r="E1644" s="22" t="n"/>
      <c r="G1644" s="22" t="n"/>
      <c r="I1644" s="22" t="n"/>
      <c r="L1644" s="20">
        <f>IF(E1644="","",E1644+IF(F1644="",IFERROR(VLOOKUP(C1644,Parametros!$E:$F,2,0),0),F1644))</f>
        <v/>
      </c>
      <c r="M1644" s="21">
        <f>IF(E1644="","",IF(G1644="",IF(TODAY()&gt;L1644,"Atrasada","Em aberto"),IF(G1644&lt;=L1644,"No prazo","Com atraso")))</f>
        <v/>
      </c>
      <c r="N1644" s="18">
        <f>IF(E1644="","",MAX(0,IF(G1644="",TODAY(),G1644)-L1644))</f>
        <v/>
      </c>
    </row>
    <row r="1645">
      <c r="E1645" s="22" t="n"/>
      <c r="G1645" s="22" t="n"/>
      <c r="I1645" s="22" t="n"/>
      <c r="L1645" s="20">
        <f>IF(E1645="","",E1645+IF(F1645="",IFERROR(VLOOKUP(C1645,Parametros!$E:$F,2,0),0),F1645))</f>
        <v/>
      </c>
      <c r="M1645" s="21">
        <f>IF(E1645="","",IF(G1645="",IF(TODAY()&gt;L1645,"Atrasada","Em aberto"),IF(G1645&lt;=L1645,"No prazo","Com atraso")))</f>
        <v/>
      </c>
      <c r="N1645" s="18">
        <f>IF(E1645="","",MAX(0,IF(G1645="",TODAY(),G1645)-L1645))</f>
        <v/>
      </c>
    </row>
    <row r="1646">
      <c r="E1646" s="22" t="n"/>
      <c r="G1646" s="22" t="n"/>
      <c r="I1646" s="22" t="n"/>
      <c r="L1646" s="20">
        <f>IF(E1646="","",E1646+IF(F1646="",IFERROR(VLOOKUP(C1646,Parametros!$E:$F,2,0),0),F1646))</f>
        <v/>
      </c>
      <c r="M1646" s="21">
        <f>IF(E1646="","",IF(G1646="",IF(TODAY()&gt;L1646,"Atrasada","Em aberto"),IF(G1646&lt;=L1646,"No prazo","Com atraso")))</f>
        <v/>
      </c>
      <c r="N1646" s="18">
        <f>IF(E1646="","",MAX(0,IF(G1646="",TODAY(),G1646)-L1646))</f>
        <v/>
      </c>
    </row>
    <row r="1647">
      <c r="E1647" s="22" t="n"/>
      <c r="G1647" s="22" t="n"/>
      <c r="I1647" s="22" t="n"/>
      <c r="L1647" s="20">
        <f>IF(E1647="","",E1647+IF(F1647="",IFERROR(VLOOKUP(C1647,Parametros!$E:$F,2,0),0),F1647))</f>
        <v/>
      </c>
      <c r="M1647" s="21">
        <f>IF(E1647="","",IF(G1647="",IF(TODAY()&gt;L1647,"Atrasada","Em aberto"),IF(G1647&lt;=L1647,"No prazo","Com atraso")))</f>
        <v/>
      </c>
      <c r="N1647" s="18">
        <f>IF(E1647="","",MAX(0,IF(G1647="",TODAY(),G1647)-L1647))</f>
        <v/>
      </c>
    </row>
    <row r="1648">
      <c r="E1648" s="22" t="n"/>
      <c r="G1648" s="22" t="n"/>
      <c r="I1648" s="22" t="n"/>
      <c r="L1648" s="20">
        <f>IF(E1648="","",E1648+IF(F1648="",IFERROR(VLOOKUP(C1648,Parametros!$E:$F,2,0),0),F1648))</f>
        <v/>
      </c>
      <c r="M1648" s="21">
        <f>IF(E1648="","",IF(G1648="",IF(TODAY()&gt;L1648,"Atrasada","Em aberto"),IF(G1648&lt;=L1648,"No prazo","Com atraso")))</f>
        <v/>
      </c>
      <c r="N1648" s="18">
        <f>IF(E1648="","",MAX(0,IF(G1648="",TODAY(),G1648)-L1648))</f>
        <v/>
      </c>
    </row>
    <row r="1649">
      <c r="E1649" s="22" t="n"/>
      <c r="G1649" s="22" t="n"/>
      <c r="I1649" s="22" t="n"/>
      <c r="L1649" s="20">
        <f>IF(E1649="","",E1649+IF(F1649="",IFERROR(VLOOKUP(C1649,Parametros!$E:$F,2,0),0),F1649))</f>
        <v/>
      </c>
      <c r="M1649" s="21">
        <f>IF(E1649="","",IF(G1649="",IF(TODAY()&gt;L1649,"Atrasada","Em aberto"),IF(G1649&lt;=L1649,"No prazo","Com atraso")))</f>
        <v/>
      </c>
      <c r="N1649" s="18">
        <f>IF(E1649="","",MAX(0,IF(G1649="",TODAY(),G1649)-L1649))</f>
        <v/>
      </c>
    </row>
    <row r="1650">
      <c r="E1650" s="22" t="n"/>
      <c r="G1650" s="22" t="n"/>
      <c r="I1650" s="22" t="n"/>
      <c r="L1650" s="20">
        <f>IF(E1650="","",E1650+IF(F1650="",IFERROR(VLOOKUP(C1650,Parametros!$E:$F,2,0),0),F1650))</f>
        <v/>
      </c>
      <c r="M1650" s="21">
        <f>IF(E1650="","",IF(G1650="",IF(TODAY()&gt;L1650,"Atrasada","Em aberto"),IF(G1650&lt;=L1650,"No prazo","Com atraso")))</f>
        <v/>
      </c>
      <c r="N1650" s="18">
        <f>IF(E1650="","",MAX(0,IF(G1650="",TODAY(),G1650)-L1650))</f>
        <v/>
      </c>
    </row>
    <row r="1651">
      <c r="E1651" s="22" t="n"/>
      <c r="G1651" s="22" t="n"/>
      <c r="I1651" s="22" t="n"/>
      <c r="L1651" s="20">
        <f>IF(E1651="","",E1651+IF(F1651="",IFERROR(VLOOKUP(C1651,Parametros!$E:$F,2,0),0),F1651))</f>
        <v/>
      </c>
      <c r="M1651" s="21">
        <f>IF(E1651="","",IF(G1651="",IF(TODAY()&gt;L1651,"Atrasada","Em aberto"),IF(G1651&lt;=L1651,"No prazo","Com atraso")))</f>
        <v/>
      </c>
      <c r="N1651" s="18">
        <f>IF(E1651="","",MAX(0,IF(G1651="",TODAY(),G1651)-L1651))</f>
        <v/>
      </c>
    </row>
    <row r="1652">
      <c r="E1652" s="22" t="n"/>
      <c r="G1652" s="22" t="n"/>
      <c r="I1652" s="22" t="n"/>
      <c r="L1652" s="20">
        <f>IF(E1652="","",E1652+IF(F1652="",IFERROR(VLOOKUP(C1652,Parametros!$E:$F,2,0),0),F1652))</f>
        <v/>
      </c>
      <c r="M1652" s="21">
        <f>IF(E1652="","",IF(G1652="",IF(TODAY()&gt;L1652,"Atrasada","Em aberto"),IF(G1652&lt;=L1652,"No prazo","Com atraso")))</f>
        <v/>
      </c>
      <c r="N1652" s="18">
        <f>IF(E1652="","",MAX(0,IF(G1652="",TODAY(),G1652)-L1652))</f>
        <v/>
      </c>
    </row>
    <row r="1653">
      <c r="E1653" s="22" t="n"/>
      <c r="G1653" s="22" t="n"/>
      <c r="I1653" s="22" t="n"/>
      <c r="L1653" s="20">
        <f>IF(E1653="","",E1653+IF(F1653="",IFERROR(VLOOKUP(C1653,Parametros!$E:$F,2,0),0),F1653))</f>
        <v/>
      </c>
      <c r="M1653" s="21">
        <f>IF(E1653="","",IF(G1653="",IF(TODAY()&gt;L1653,"Atrasada","Em aberto"),IF(G1653&lt;=L1653,"No prazo","Com atraso")))</f>
        <v/>
      </c>
      <c r="N1653" s="18">
        <f>IF(E1653="","",MAX(0,IF(G1653="",TODAY(),G1653)-L1653))</f>
        <v/>
      </c>
    </row>
    <row r="1654">
      <c r="E1654" s="22" t="n"/>
      <c r="G1654" s="22" t="n"/>
      <c r="I1654" s="22" t="n"/>
      <c r="L1654" s="20">
        <f>IF(E1654="","",E1654+IF(F1654="",IFERROR(VLOOKUP(C1654,Parametros!$E:$F,2,0),0),F1654))</f>
        <v/>
      </c>
      <c r="M1654" s="21">
        <f>IF(E1654="","",IF(G1654="",IF(TODAY()&gt;L1654,"Atrasada","Em aberto"),IF(G1654&lt;=L1654,"No prazo","Com atraso")))</f>
        <v/>
      </c>
      <c r="N1654" s="18">
        <f>IF(E1654="","",MAX(0,IF(G1654="",TODAY(),G1654)-L1654))</f>
        <v/>
      </c>
    </row>
    <row r="1655">
      <c r="E1655" s="22" t="n"/>
      <c r="G1655" s="22" t="n"/>
      <c r="I1655" s="22" t="n"/>
      <c r="L1655" s="20">
        <f>IF(E1655="","",E1655+IF(F1655="",IFERROR(VLOOKUP(C1655,Parametros!$E:$F,2,0),0),F1655))</f>
        <v/>
      </c>
      <c r="M1655" s="21">
        <f>IF(E1655="","",IF(G1655="",IF(TODAY()&gt;L1655,"Atrasada","Em aberto"),IF(G1655&lt;=L1655,"No prazo","Com atraso")))</f>
        <v/>
      </c>
      <c r="N1655" s="18">
        <f>IF(E1655="","",MAX(0,IF(G1655="",TODAY(),G1655)-L1655))</f>
        <v/>
      </c>
    </row>
    <row r="1656">
      <c r="E1656" s="22" t="n"/>
      <c r="G1656" s="22" t="n"/>
      <c r="I1656" s="22" t="n"/>
      <c r="L1656" s="20">
        <f>IF(E1656="","",E1656+IF(F1656="",IFERROR(VLOOKUP(C1656,Parametros!$E:$F,2,0),0),F1656))</f>
        <v/>
      </c>
      <c r="M1656" s="21">
        <f>IF(E1656="","",IF(G1656="",IF(TODAY()&gt;L1656,"Atrasada","Em aberto"),IF(G1656&lt;=L1656,"No prazo","Com atraso")))</f>
        <v/>
      </c>
      <c r="N1656" s="18">
        <f>IF(E1656="","",MAX(0,IF(G1656="",TODAY(),G1656)-L1656))</f>
        <v/>
      </c>
    </row>
    <row r="1657">
      <c r="E1657" s="22" t="n"/>
      <c r="G1657" s="22" t="n"/>
      <c r="I1657" s="22" t="n"/>
      <c r="L1657" s="20">
        <f>IF(E1657="","",E1657+IF(F1657="",IFERROR(VLOOKUP(C1657,Parametros!$E:$F,2,0),0),F1657))</f>
        <v/>
      </c>
      <c r="M1657" s="21">
        <f>IF(E1657="","",IF(G1657="",IF(TODAY()&gt;L1657,"Atrasada","Em aberto"),IF(G1657&lt;=L1657,"No prazo","Com atraso")))</f>
        <v/>
      </c>
      <c r="N1657" s="18">
        <f>IF(E1657="","",MAX(0,IF(G1657="",TODAY(),G1657)-L1657))</f>
        <v/>
      </c>
    </row>
    <row r="1658">
      <c r="E1658" s="22" t="n"/>
      <c r="G1658" s="22" t="n"/>
      <c r="I1658" s="22" t="n"/>
      <c r="L1658" s="20">
        <f>IF(E1658="","",E1658+IF(F1658="",IFERROR(VLOOKUP(C1658,Parametros!$E:$F,2,0),0),F1658))</f>
        <v/>
      </c>
      <c r="M1658" s="21">
        <f>IF(E1658="","",IF(G1658="",IF(TODAY()&gt;L1658,"Atrasada","Em aberto"),IF(G1658&lt;=L1658,"No prazo","Com atraso")))</f>
        <v/>
      </c>
      <c r="N1658" s="18">
        <f>IF(E1658="","",MAX(0,IF(G1658="",TODAY(),G1658)-L1658))</f>
        <v/>
      </c>
    </row>
    <row r="1659">
      <c r="E1659" s="22" t="n"/>
      <c r="G1659" s="22" t="n"/>
      <c r="I1659" s="22" t="n"/>
      <c r="L1659" s="20">
        <f>IF(E1659="","",E1659+IF(F1659="",IFERROR(VLOOKUP(C1659,Parametros!$E:$F,2,0),0),F1659))</f>
        <v/>
      </c>
      <c r="M1659" s="21">
        <f>IF(E1659="","",IF(G1659="",IF(TODAY()&gt;L1659,"Atrasada","Em aberto"),IF(G1659&lt;=L1659,"No prazo","Com atraso")))</f>
        <v/>
      </c>
      <c r="N1659" s="18">
        <f>IF(E1659="","",MAX(0,IF(G1659="",TODAY(),G1659)-L1659))</f>
        <v/>
      </c>
    </row>
    <row r="1660">
      <c r="E1660" s="22" t="n"/>
      <c r="G1660" s="22" t="n"/>
      <c r="I1660" s="22" t="n"/>
      <c r="L1660" s="20">
        <f>IF(E1660="","",E1660+IF(F1660="",IFERROR(VLOOKUP(C1660,Parametros!$E:$F,2,0),0),F1660))</f>
        <v/>
      </c>
      <c r="M1660" s="21">
        <f>IF(E1660="","",IF(G1660="",IF(TODAY()&gt;L1660,"Atrasada","Em aberto"),IF(G1660&lt;=L1660,"No prazo","Com atraso")))</f>
        <v/>
      </c>
      <c r="N1660" s="18">
        <f>IF(E1660="","",MAX(0,IF(G1660="",TODAY(),G1660)-L1660))</f>
        <v/>
      </c>
    </row>
    <row r="1661">
      <c r="E1661" s="22" t="n"/>
      <c r="G1661" s="22" t="n"/>
      <c r="I1661" s="22" t="n"/>
      <c r="L1661" s="20">
        <f>IF(E1661="","",E1661+IF(F1661="",IFERROR(VLOOKUP(C1661,Parametros!$E:$F,2,0),0),F1661))</f>
        <v/>
      </c>
      <c r="M1661" s="21">
        <f>IF(E1661="","",IF(G1661="",IF(TODAY()&gt;L1661,"Atrasada","Em aberto"),IF(G1661&lt;=L1661,"No prazo","Com atraso")))</f>
        <v/>
      </c>
      <c r="N1661" s="18">
        <f>IF(E1661="","",MAX(0,IF(G1661="",TODAY(),G1661)-L1661))</f>
        <v/>
      </c>
    </row>
    <row r="1662">
      <c r="E1662" s="22" t="n"/>
      <c r="G1662" s="22" t="n"/>
      <c r="I1662" s="22" t="n"/>
      <c r="L1662" s="20">
        <f>IF(E1662="","",E1662+IF(F1662="",IFERROR(VLOOKUP(C1662,Parametros!$E:$F,2,0),0),F1662))</f>
        <v/>
      </c>
      <c r="M1662" s="21">
        <f>IF(E1662="","",IF(G1662="",IF(TODAY()&gt;L1662,"Atrasada","Em aberto"),IF(G1662&lt;=L1662,"No prazo","Com atraso")))</f>
        <v/>
      </c>
      <c r="N1662" s="18">
        <f>IF(E1662="","",MAX(0,IF(G1662="",TODAY(),G1662)-L1662))</f>
        <v/>
      </c>
    </row>
    <row r="1663">
      <c r="E1663" s="22" t="n"/>
      <c r="G1663" s="22" t="n"/>
      <c r="I1663" s="22" t="n"/>
      <c r="L1663" s="20">
        <f>IF(E1663="","",E1663+IF(F1663="",IFERROR(VLOOKUP(C1663,Parametros!$E:$F,2,0),0),F1663))</f>
        <v/>
      </c>
      <c r="M1663" s="21">
        <f>IF(E1663="","",IF(G1663="",IF(TODAY()&gt;L1663,"Atrasada","Em aberto"),IF(G1663&lt;=L1663,"No prazo","Com atraso")))</f>
        <v/>
      </c>
      <c r="N1663" s="18">
        <f>IF(E1663="","",MAX(0,IF(G1663="",TODAY(),G1663)-L1663))</f>
        <v/>
      </c>
    </row>
    <row r="1664">
      <c r="E1664" s="22" t="n"/>
      <c r="G1664" s="22" t="n"/>
      <c r="I1664" s="22" t="n"/>
      <c r="L1664" s="20">
        <f>IF(E1664="","",E1664+IF(F1664="",IFERROR(VLOOKUP(C1664,Parametros!$E:$F,2,0),0),F1664))</f>
        <v/>
      </c>
      <c r="M1664" s="21">
        <f>IF(E1664="","",IF(G1664="",IF(TODAY()&gt;L1664,"Atrasada","Em aberto"),IF(G1664&lt;=L1664,"No prazo","Com atraso")))</f>
        <v/>
      </c>
      <c r="N1664" s="18">
        <f>IF(E1664="","",MAX(0,IF(G1664="",TODAY(),G1664)-L1664))</f>
        <v/>
      </c>
    </row>
    <row r="1665">
      <c r="E1665" s="22" t="n"/>
      <c r="G1665" s="22" t="n"/>
      <c r="I1665" s="22" t="n"/>
      <c r="L1665" s="20">
        <f>IF(E1665="","",E1665+IF(F1665="",IFERROR(VLOOKUP(C1665,Parametros!$E:$F,2,0),0),F1665))</f>
        <v/>
      </c>
      <c r="M1665" s="21">
        <f>IF(E1665="","",IF(G1665="",IF(TODAY()&gt;L1665,"Atrasada","Em aberto"),IF(G1665&lt;=L1665,"No prazo","Com atraso")))</f>
        <v/>
      </c>
      <c r="N1665" s="18">
        <f>IF(E1665="","",MAX(0,IF(G1665="",TODAY(),G1665)-L1665))</f>
        <v/>
      </c>
    </row>
    <row r="1666">
      <c r="E1666" s="22" t="n"/>
      <c r="G1666" s="22" t="n"/>
      <c r="I1666" s="22" t="n"/>
      <c r="L1666" s="20">
        <f>IF(E1666="","",E1666+IF(F1666="",IFERROR(VLOOKUP(C1666,Parametros!$E:$F,2,0),0),F1666))</f>
        <v/>
      </c>
      <c r="M1666" s="21">
        <f>IF(E1666="","",IF(G1666="",IF(TODAY()&gt;L1666,"Atrasada","Em aberto"),IF(G1666&lt;=L1666,"No prazo","Com atraso")))</f>
        <v/>
      </c>
      <c r="N1666" s="18">
        <f>IF(E1666="","",MAX(0,IF(G1666="",TODAY(),G1666)-L1666))</f>
        <v/>
      </c>
    </row>
    <row r="1667">
      <c r="E1667" s="22" t="n"/>
      <c r="G1667" s="22" t="n"/>
      <c r="I1667" s="22" t="n"/>
      <c r="L1667" s="20">
        <f>IF(E1667="","",E1667+IF(F1667="",IFERROR(VLOOKUP(C1667,Parametros!$E:$F,2,0),0),F1667))</f>
        <v/>
      </c>
      <c r="M1667" s="21">
        <f>IF(E1667="","",IF(G1667="",IF(TODAY()&gt;L1667,"Atrasada","Em aberto"),IF(G1667&lt;=L1667,"No prazo","Com atraso")))</f>
        <v/>
      </c>
      <c r="N1667" s="18">
        <f>IF(E1667="","",MAX(0,IF(G1667="",TODAY(),G1667)-L1667))</f>
        <v/>
      </c>
    </row>
    <row r="1668">
      <c r="E1668" s="22" t="n"/>
      <c r="G1668" s="22" t="n"/>
      <c r="I1668" s="22" t="n"/>
      <c r="L1668" s="20">
        <f>IF(E1668="","",E1668+IF(F1668="",IFERROR(VLOOKUP(C1668,Parametros!$E:$F,2,0),0),F1668))</f>
        <v/>
      </c>
      <c r="M1668" s="21">
        <f>IF(E1668="","",IF(G1668="",IF(TODAY()&gt;L1668,"Atrasada","Em aberto"),IF(G1668&lt;=L1668,"No prazo","Com atraso")))</f>
        <v/>
      </c>
      <c r="N1668" s="18">
        <f>IF(E1668="","",MAX(0,IF(G1668="",TODAY(),G1668)-L1668))</f>
        <v/>
      </c>
    </row>
    <row r="1669">
      <c r="E1669" s="22" t="n"/>
      <c r="G1669" s="22" t="n"/>
      <c r="I1669" s="22" t="n"/>
      <c r="L1669" s="20">
        <f>IF(E1669="","",E1669+IF(F1669="",IFERROR(VLOOKUP(C1669,Parametros!$E:$F,2,0),0),F1669))</f>
        <v/>
      </c>
      <c r="M1669" s="21">
        <f>IF(E1669="","",IF(G1669="",IF(TODAY()&gt;L1669,"Atrasada","Em aberto"),IF(G1669&lt;=L1669,"No prazo","Com atraso")))</f>
        <v/>
      </c>
      <c r="N1669" s="18">
        <f>IF(E1669="","",MAX(0,IF(G1669="",TODAY(),G1669)-L1669))</f>
        <v/>
      </c>
    </row>
    <row r="1670">
      <c r="E1670" s="22" t="n"/>
      <c r="G1670" s="22" t="n"/>
      <c r="I1670" s="22" t="n"/>
      <c r="L1670" s="20">
        <f>IF(E1670="","",E1670+IF(F1670="",IFERROR(VLOOKUP(C1670,Parametros!$E:$F,2,0),0),F1670))</f>
        <v/>
      </c>
      <c r="M1670" s="21">
        <f>IF(E1670="","",IF(G1670="",IF(TODAY()&gt;L1670,"Atrasada","Em aberto"),IF(G1670&lt;=L1670,"No prazo","Com atraso")))</f>
        <v/>
      </c>
      <c r="N1670" s="18">
        <f>IF(E1670="","",MAX(0,IF(G1670="",TODAY(),G1670)-L1670))</f>
        <v/>
      </c>
    </row>
    <row r="1671">
      <c r="E1671" s="22" t="n"/>
      <c r="G1671" s="22" t="n"/>
      <c r="I1671" s="22" t="n"/>
      <c r="L1671" s="20">
        <f>IF(E1671="","",E1671+IF(F1671="",IFERROR(VLOOKUP(C1671,Parametros!$E:$F,2,0),0),F1671))</f>
        <v/>
      </c>
      <c r="M1671" s="21">
        <f>IF(E1671="","",IF(G1671="",IF(TODAY()&gt;L1671,"Atrasada","Em aberto"),IF(G1671&lt;=L1671,"No prazo","Com atraso")))</f>
        <v/>
      </c>
      <c r="N1671" s="18">
        <f>IF(E1671="","",MAX(0,IF(G1671="",TODAY(),G1671)-L1671))</f>
        <v/>
      </c>
    </row>
    <row r="1672">
      <c r="E1672" s="22" t="n"/>
      <c r="G1672" s="22" t="n"/>
      <c r="I1672" s="22" t="n"/>
      <c r="L1672" s="20">
        <f>IF(E1672="","",E1672+IF(F1672="",IFERROR(VLOOKUP(C1672,Parametros!$E:$F,2,0),0),F1672))</f>
        <v/>
      </c>
      <c r="M1672" s="21">
        <f>IF(E1672="","",IF(G1672="",IF(TODAY()&gt;L1672,"Atrasada","Em aberto"),IF(G1672&lt;=L1672,"No prazo","Com atraso")))</f>
        <v/>
      </c>
      <c r="N1672" s="18">
        <f>IF(E1672="","",MAX(0,IF(G1672="",TODAY(),G1672)-L1672))</f>
        <v/>
      </c>
    </row>
    <row r="1673">
      <c r="E1673" s="22" t="n"/>
      <c r="G1673" s="22" t="n"/>
      <c r="I1673" s="22" t="n"/>
      <c r="L1673" s="20">
        <f>IF(E1673="","",E1673+IF(F1673="",IFERROR(VLOOKUP(C1673,Parametros!$E:$F,2,0),0),F1673))</f>
        <v/>
      </c>
      <c r="M1673" s="21">
        <f>IF(E1673="","",IF(G1673="",IF(TODAY()&gt;L1673,"Atrasada","Em aberto"),IF(G1673&lt;=L1673,"No prazo","Com atraso")))</f>
        <v/>
      </c>
      <c r="N1673" s="18">
        <f>IF(E1673="","",MAX(0,IF(G1673="",TODAY(),G1673)-L1673))</f>
        <v/>
      </c>
    </row>
    <row r="1674">
      <c r="E1674" s="22" t="n"/>
      <c r="G1674" s="22" t="n"/>
      <c r="I1674" s="22" t="n"/>
      <c r="L1674" s="20">
        <f>IF(E1674="","",E1674+IF(F1674="",IFERROR(VLOOKUP(C1674,Parametros!$E:$F,2,0),0),F1674))</f>
        <v/>
      </c>
      <c r="M1674" s="21">
        <f>IF(E1674="","",IF(G1674="",IF(TODAY()&gt;L1674,"Atrasada","Em aberto"),IF(G1674&lt;=L1674,"No prazo","Com atraso")))</f>
        <v/>
      </c>
      <c r="N1674" s="18">
        <f>IF(E1674="","",MAX(0,IF(G1674="",TODAY(),G1674)-L1674))</f>
        <v/>
      </c>
    </row>
    <row r="1675">
      <c r="E1675" s="22" t="n"/>
      <c r="G1675" s="22" t="n"/>
      <c r="I1675" s="22" t="n"/>
      <c r="L1675" s="20">
        <f>IF(E1675="","",E1675+IF(F1675="",IFERROR(VLOOKUP(C1675,Parametros!$E:$F,2,0),0),F1675))</f>
        <v/>
      </c>
      <c r="M1675" s="21">
        <f>IF(E1675="","",IF(G1675="",IF(TODAY()&gt;L1675,"Atrasada","Em aberto"),IF(G1675&lt;=L1675,"No prazo","Com atraso")))</f>
        <v/>
      </c>
      <c r="N1675" s="18">
        <f>IF(E1675="","",MAX(0,IF(G1675="",TODAY(),G1675)-L1675))</f>
        <v/>
      </c>
    </row>
    <row r="1676">
      <c r="E1676" s="22" t="n"/>
      <c r="G1676" s="22" t="n"/>
      <c r="I1676" s="22" t="n"/>
      <c r="L1676" s="20">
        <f>IF(E1676="","",E1676+IF(F1676="",IFERROR(VLOOKUP(C1676,Parametros!$E:$F,2,0),0),F1676))</f>
        <v/>
      </c>
      <c r="M1676" s="21">
        <f>IF(E1676="","",IF(G1676="",IF(TODAY()&gt;L1676,"Atrasada","Em aberto"),IF(G1676&lt;=L1676,"No prazo","Com atraso")))</f>
        <v/>
      </c>
      <c r="N1676" s="18">
        <f>IF(E1676="","",MAX(0,IF(G1676="",TODAY(),G1676)-L1676))</f>
        <v/>
      </c>
    </row>
    <row r="1677">
      <c r="E1677" s="22" t="n"/>
      <c r="G1677" s="22" t="n"/>
      <c r="I1677" s="22" t="n"/>
      <c r="L1677" s="20">
        <f>IF(E1677="","",E1677+IF(F1677="",IFERROR(VLOOKUP(C1677,Parametros!$E:$F,2,0),0),F1677))</f>
        <v/>
      </c>
      <c r="M1677" s="21">
        <f>IF(E1677="","",IF(G1677="",IF(TODAY()&gt;L1677,"Atrasada","Em aberto"),IF(G1677&lt;=L1677,"No prazo","Com atraso")))</f>
        <v/>
      </c>
      <c r="N1677" s="18">
        <f>IF(E1677="","",MAX(0,IF(G1677="",TODAY(),G1677)-L1677))</f>
        <v/>
      </c>
    </row>
    <row r="1678">
      <c r="E1678" s="22" t="n"/>
      <c r="G1678" s="22" t="n"/>
      <c r="I1678" s="22" t="n"/>
      <c r="L1678" s="20">
        <f>IF(E1678="","",E1678+IF(F1678="",IFERROR(VLOOKUP(C1678,Parametros!$E:$F,2,0),0),F1678))</f>
        <v/>
      </c>
      <c r="M1678" s="21">
        <f>IF(E1678="","",IF(G1678="",IF(TODAY()&gt;L1678,"Atrasada","Em aberto"),IF(G1678&lt;=L1678,"No prazo","Com atraso")))</f>
        <v/>
      </c>
      <c r="N1678" s="18">
        <f>IF(E1678="","",MAX(0,IF(G1678="",TODAY(),G1678)-L1678))</f>
        <v/>
      </c>
    </row>
    <row r="1679">
      <c r="E1679" s="22" t="n"/>
      <c r="G1679" s="22" t="n"/>
      <c r="I1679" s="22" t="n"/>
      <c r="L1679" s="20">
        <f>IF(E1679="","",E1679+IF(F1679="",IFERROR(VLOOKUP(C1679,Parametros!$E:$F,2,0),0),F1679))</f>
        <v/>
      </c>
      <c r="M1679" s="21">
        <f>IF(E1679="","",IF(G1679="",IF(TODAY()&gt;L1679,"Atrasada","Em aberto"),IF(G1679&lt;=L1679,"No prazo","Com atraso")))</f>
        <v/>
      </c>
      <c r="N1679" s="18">
        <f>IF(E1679="","",MAX(0,IF(G1679="",TODAY(),G1679)-L1679))</f>
        <v/>
      </c>
    </row>
    <row r="1680">
      <c r="E1680" s="22" t="n"/>
      <c r="G1680" s="22" t="n"/>
      <c r="I1680" s="22" t="n"/>
      <c r="L1680" s="20">
        <f>IF(E1680="","",E1680+IF(F1680="",IFERROR(VLOOKUP(C1680,Parametros!$E:$F,2,0),0),F1680))</f>
        <v/>
      </c>
      <c r="M1680" s="21">
        <f>IF(E1680="","",IF(G1680="",IF(TODAY()&gt;L1680,"Atrasada","Em aberto"),IF(G1680&lt;=L1680,"No prazo","Com atraso")))</f>
        <v/>
      </c>
      <c r="N1680" s="18">
        <f>IF(E1680="","",MAX(0,IF(G1680="",TODAY(),G1680)-L1680))</f>
        <v/>
      </c>
    </row>
    <row r="1681">
      <c r="E1681" s="22" t="n"/>
      <c r="G1681" s="22" t="n"/>
      <c r="I1681" s="22" t="n"/>
      <c r="L1681" s="20">
        <f>IF(E1681="","",E1681+IF(F1681="",IFERROR(VLOOKUP(C1681,Parametros!$E:$F,2,0),0),F1681))</f>
        <v/>
      </c>
      <c r="M1681" s="21">
        <f>IF(E1681="","",IF(G1681="",IF(TODAY()&gt;L1681,"Atrasada","Em aberto"),IF(G1681&lt;=L1681,"No prazo","Com atraso")))</f>
        <v/>
      </c>
      <c r="N1681" s="18">
        <f>IF(E1681="","",MAX(0,IF(G1681="",TODAY(),G1681)-L1681))</f>
        <v/>
      </c>
    </row>
    <row r="1682">
      <c r="E1682" s="22" t="n"/>
      <c r="G1682" s="22" t="n"/>
      <c r="I1682" s="22" t="n"/>
      <c r="L1682" s="20">
        <f>IF(E1682="","",E1682+IF(F1682="",IFERROR(VLOOKUP(C1682,Parametros!$E:$F,2,0),0),F1682))</f>
        <v/>
      </c>
      <c r="M1682" s="21">
        <f>IF(E1682="","",IF(G1682="",IF(TODAY()&gt;L1682,"Atrasada","Em aberto"),IF(G1682&lt;=L1682,"No prazo","Com atraso")))</f>
        <v/>
      </c>
      <c r="N1682" s="18">
        <f>IF(E1682="","",MAX(0,IF(G1682="",TODAY(),G1682)-L1682))</f>
        <v/>
      </c>
    </row>
    <row r="1683">
      <c r="E1683" s="22" t="n"/>
      <c r="G1683" s="22" t="n"/>
      <c r="I1683" s="22" t="n"/>
      <c r="L1683" s="20">
        <f>IF(E1683="","",E1683+IF(F1683="",IFERROR(VLOOKUP(C1683,Parametros!$E:$F,2,0),0),F1683))</f>
        <v/>
      </c>
      <c r="M1683" s="21">
        <f>IF(E1683="","",IF(G1683="",IF(TODAY()&gt;L1683,"Atrasada","Em aberto"),IF(G1683&lt;=L1683,"No prazo","Com atraso")))</f>
        <v/>
      </c>
      <c r="N1683" s="18">
        <f>IF(E1683="","",MAX(0,IF(G1683="",TODAY(),G1683)-L1683))</f>
        <v/>
      </c>
    </row>
    <row r="1684">
      <c r="E1684" s="22" t="n"/>
      <c r="G1684" s="22" t="n"/>
      <c r="I1684" s="22" t="n"/>
      <c r="L1684" s="20">
        <f>IF(E1684="","",E1684+IF(F1684="",IFERROR(VLOOKUP(C1684,Parametros!$E:$F,2,0),0),F1684))</f>
        <v/>
      </c>
      <c r="M1684" s="21">
        <f>IF(E1684="","",IF(G1684="",IF(TODAY()&gt;L1684,"Atrasada","Em aberto"),IF(G1684&lt;=L1684,"No prazo","Com atraso")))</f>
        <v/>
      </c>
      <c r="N1684" s="18">
        <f>IF(E1684="","",MAX(0,IF(G1684="",TODAY(),G1684)-L1684))</f>
        <v/>
      </c>
    </row>
    <row r="1685">
      <c r="E1685" s="22" t="n"/>
      <c r="G1685" s="22" t="n"/>
      <c r="I1685" s="22" t="n"/>
      <c r="L1685" s="20">
        <f>IF(E1685="","",E1685+IF(F1685="",IFERROR(VLOOKUP(C1685,Parametros!$E:$F,2,0),0),F1685))</f>
        <v/>
      </c>
      <c r="M1685" s="21">
        <f>IF(E1685="","",IF(G1685="",IF(TODAY()&gt;L1685,"Atrasada","Em aberto"),IF(G1685&lt;=L1685,"No prazo","Com atraso")))</f>
        <v/>
      </c>
      <c r="N1685" s="18">
        <f>IF(E1685="","",MAX(0,IF(G1685="",TODAY(),G1685)-L1685))</f>
        <v/>
      </c>
    </row>
    <row r="1686">
      <c r="E1686" s="22" t="n"/>
      <c r="G1686" s="22" t="n"/>
      <c r="I1686" s="22" t="n"/>
      <c r="L1686" s="20">
        <f>IF(E1686="","",E1686+IF(F1686="",IFERROR(VLOOKUP(C1686,Parametros!$E:$F,2,0),0),F1686))</f>
        <v/>
      </c>
      <c r="M1686" s="21">
        <f>IF(E1686="","",IF(G1686="",IF(TODAY()&gt;L1686,"Atrasada","Em aberto"),IF(G1686&lt;=L1686,"No prazo","Com atraso")))</f>
        <v/>
      </c>
      <c r="N1686" s="18">
        <f>IF(E1686="","",MAX(0,IF(G1686="",TODAY(),G1686)-L1686))</f>
        <v/>
      </c>
    </row>
    <row r="1687">
      <c r="E1687" s="22" t="n"/>
      <c r="G1687" s="22" t="n"/>
      <c r="I1687" s="22" t="n"/>
      <c r="L1687" s="20">
        <f>IF(E1687="","",E1687+IF(F1687="",IFERROR(VLOOKUP(C1687,Parametros!$E:$F,2,0),0),F1687))</f>
        <v/>
      </c>
      <c r="M1687" s="21">
        <f>IF(E1687="","",IF(G1687="",IF(TODAY()&gt;L1687,"Atrasada","Em aberto"),IF(G1687&lt;=L1687,"No prazo","Com atraso")))</f>
        <v/>
      </c>
      <c r="N1687" s="18">
        <f>IF(E1687="","",MAX(0,IF(G1687="",TODAY(),G1687)-L1687))</f>
        <v/>
      </c>
    </row>
    <row r="1688">
      <c r="E1688" s="22" t="n"/>
      <c r="G1688" s="22" t="n"/>
      <c r="I1688" s="22" t="n"/>
      <c r="L1688" s="20">
        <f>IF(E1688="","",E1688+IF(F1688="",IFERROR(VLOOKUP(C1688,Parametros!$E:$F,2,0),0),F1688))</f>
        <v/>
      </c>
      <c r="M1688" s="21">
        <f>IF(E1688="","",IF(G1688="",IF(TODAY()&gt;L1688,"Atrasada","Em aberto"),IF(G1688&lt;=L1688,"No prazo","Com atraso")))</f>
        <v/>
      </c>
      <c r="N1688" s="18">
        <f>IF(E1688="","",MAX(0,IF(G1688="",TODAY(),G1688)-L1688))</f>
        <v/>
      </c>
    </row>
    <row r="1689">
      <c r="E1689" s="22" t="n"/>
      <c r="G1689" s="22" t="n"/>
      <c r="I1689" s="22" t="n"/>
      <c r="L1689" s="20">
        <f>IF(E1689="","",E1689+IF(F1689="",IFERROR(VLOOKUP(C1689,Parametros!$E:$F,2,0),0),F1689))</f>
        <v/>
      </c>
      <c r="M1689" s="21">
        <f>IF(E1689="","",IF(G1689="",IF(TODAY()&gt;L1689,"Atrasada","Em aberto"),IF(G1689&lt;=L1689,"No prazo","Com atraso")))</f>
        <v/>
      </c>
      <c r="N1689" s="18">
        <f>IF(E1689="","",MAX(0,IF(G1689="",TODAY(),G1689)-L1689))</f>
        <v/>
      </c>
    </row>
    <row r="1690">
      <c r="E1690" s="22" t="n"/>
      <c r="G1690" s="22" t="n"/>
      <c r="I1690" s="22" t="n"/>
      <c r="L1690" s="20">
        <f>IF(E1690="","",E1690+IF(F1690="",IFERROR(VLOOKUP(C1690,Parametros!$E:$F,2,0),0),F1690))</f>
        <v/>
      </c>
      <c r="M1690" s="21">
        <f>IF(E1690="","",IF(G1690="",IF(TODAY()&gt;L1690,"Atrasada","Em aberto"),IF(G1690&lt;=L1690,"No prazo","Com atraso")))</f>
        <v/>
      </c>
      <c r="N1690" s="18">
        <f>IF(E1690="","",MAX(0,IF(G1690="",TODAY(),G1690)-L1690))</f>
        <v/>
      </c>
    </row>
    <row r="1691">
      <c r="E1691" s="22" t="n"/>
      <c r="G1691" s="22" t="n"/>
      <c r="I1691" s="22" t="n"/>
      <c r="L1691" s="20">
        <f>IF(E1691="","",E1691+IF(F1691="",IFERROR(VLOOKUP(C1691,Parametros!$E:$F,2,0),0),F1691))</f>
        <v/>
      </c>
      <c r="M1691" s="21">
        <f>IF(E1691="","",IF(G1691="",IF(TODAY()&gt;L1691,"Atrasada","Em aberto"),IF(G1691&lt;=L1691,"No prazo","Com atraso")))</f>
        <v/>
      </c>
      <c r="N1691" s="18">
        <f>IF(E1691="","",MAX(0,IF(G1691="",TODAY(),G1691)-L1691))</f>
        <v/>
      </c>
    </row>
    <row r="1692">
      <c r="E1692" s="22" t="n"/>
      <c r="G1692" s="22" t="n"/>
      <c r="I1692" s="22" t="n"/>
      <c r="L1692" s="20">
        <f>IF(E1692="","",E1692+IF(F1692="",IFERROR(VLOOKUP(C1692,Parametros!$E:$F,2,0),0),F1692))</f>
        <v/>
      </c>
      <c r="M1692" s="21">
        <f>IF(E1692="","",IF(G1692="",IF(TODAY()&gt;L1692,"Atrasada","Em aberto"),IF(G1692&lt;=L1692,"No prazo","Com atraso")))</f>
        <v/>
      </c>
      <c r="N1692" s="18">
        <f>IF(E1692="","",MAX(0,IF(G1692="",TODAY(),G1692)-L1692))</f>
        <v/>
      </c>
    </row>
    <row r="1693">
      <c r="E1693" s="22" t="n"/>
      <c r="G1693" s="22" t="n"/>
      <c r="I1693" s="22" t="n"/>
      <c r="L1693" s="20">
        <f>IF(E1693="","",E1693+IF(F1693="",IFERROR(VLOOKUP(C1693,Parametros!$E:$F,2,0),0),F1693))</f>
        <v/>
      </c>
      <c r="M1693" s="21">
        <f>IF(E1693="","",IF(G1693="",IF(TODAY()&gt;L1693,"Atrasada","Em aberto"),IF(G1693&lt;=L1693,"No prazo","Com atraso")))</f>
        <v/>
      </c>
      <c r="N1693" s="18">
        <f>IF(E1693="","",MAX(0,IF(G1693="",TODAY(),G1693)-L1693))</f>
        <v/>
      </c>
    </row>
    <row r="1694">
      <c r="E1694" s="22" t="n"/>
      <c r="G1694" s="22" t="n"/>
      <c r="I1694" s="22" t="n"/>
      <c r="L1694" s="20">
        <f>IF(E1694="","",E1694+IF(F1694="",IFERROR(VLOOKUP(C1694,Parametros!$E:$F,2,0),0),F1694))</f>
        <v/>
      </c>
      <c r="M1694" s="21">
        <f>IF(E1694="","",IF(G1694="",IF(TODAY()&gt;L1694,"Atrasada","Em aberto"),IF(G1694&lt;=L1694,"No prazo","Com atraso")))</f>
        <v/>
      </c>
      <c r="N1694" s="18">
        <f>IF(E1694="","",MAX(0,IF(G1694="",TODAY(),G1694)-L1694))</f>
        <v/>
      </c>
    </row>
    <row r="1695">
      <c r="E1695" s="22" t="n"/>
      <c r="G1695" s="22" t="n"/>
      <c r="I1695" s="22" t="n"/>
      <c r="L1695" s="20">
        <f>IF(E1695="","",E1695+IF(F1695="",IFERROR(VLOOKUP(C1695,Parametros!$E:$F,2,0),0),F1695))</f>
        <v/>
      </c>
      <c r="M1695" s="21">
        <f>IF(E1695="","",IF(G1695="",IF(TODAY()&gt;L1695,"Atrasada","Em aberto"),IF(G1695&lt;=L1695,"No prazo","Com atraso")))</f>
        <v/>
      </c>
      <c r="N1695" s="18">
        <f>IF(E1695="","",MAX(0,IF(G1695="",TODAY(),G1695)-L1695))</f>
        <v/>
      </c>
    </row>
    <row r="1696">
      <c r="E1696" s="22" t="n"/>
      <c r="G1696" s="22" t="n"/>
      <c r="I1696" s="22" t="n"/>
      <c r="L1696" s="20">
        <f>IF(E1696="","",E1696+IF(F1696="",IFERROR(VLOOKUP(C1696,Parametros!$E:$F,2,0),0),F1696))</f>
        <v/>
      </c>
      <c r="M1696" s="21">
        <f>IF(E1696="","",IF(G1696="",IF(TODAY()&gt;L1696,"Atrasada","Em aberto"),IF(G1696&lt;=L1696,"No prazo","Com atraso")))</f>
        <v/>
      </c>
      <c r="N1696" s="18">
        <f>IF(E1696="","",MAX(0,IF(G1696="",TODAY(),G1696)-L1696))</f>
        <v/>
      </c>
    </row>
    <row r="1697">
      <c r="E1697" s="22" t="n"/>
      <c r="G1697" s="22" t="n"/>
      <c r="I1697" s="22" t="n"/>
      <c r="L1697" s="20">
        <f>IF(E1697="","",E1697+IF(F1697="",IFERROR(VLOOKUP(C1697,Parametros!$E:$F,2,0),0),F1697))</f>
        <v/>
      </c>
      <c r="M1697" s="21">
        <f>IF(E1697="","",IF(G1697="",IF(TODAY()&gt;L1697,"Atrasada","Em aberto"),IF(G1697&lt;=L1697,"No prazo","Com atraso")))</f>
        <v/>
      </c>
      <c r="N1697" s="18">
        <f>IF(E1697="","",MAX(0,IF(G1697="",TODAY(),G1697)-L1697))</f>
        <v/>
      </c>
    </row>
    <row r="1698">
      <c r="E1698" s="22" t="n"/>
      <c r="G1698" s="22" t="n"/>
      <c r="I1698" s="22" t="n"/>
      <c r="L1698" s="20">
        <f>IF(E1698="","",E1698+IF(F1698="",IFERROR(VLOOKUP(C1698,Parametros!$E:$F,2,0),0),F1698))</f>
        <v/>
      </c>
      <c r="M1698" s="21">
        <f>IF(E1698="","",IF(G1698="",IF(TODAY()&gt;L1698,"Atrasada","Em aberto"),IF(G1698&lt;=L1698,"No prazo","Com atraso")))</f>
        <v/>
      </c>
      <c r="N1698" s="18">
        <f>IF(E1698="","",MAX(0,IF(G1698="",TODAY(),G1698)-L1698))</f>
        <v/>
      </c>
    </row>
    <row r="1699">
      <c r="E1699" s="22" t="n"/>
      <c r="G1699" s="22" t="n"/>
      <c r="I1699" s="22" t="n"/>
      <c r="L1699" s="20">
        <f>IF(E1699="","",E1699+IF(F1699="",IFERROR(VLOOKUP(C1699,Parametros!$E:$F,2,0),0),F1699))</f>
        <v/>
      </c>
      <c r="M1699" s="21">
        <f>IF(E1699="","",IF(G1699="",IF(TODAY()&gt;L1699,"Atrasada","Em aberto"),IF(G1699&lt;=L1699,"No prazo","Com atraso")))</f>
        <v/>
      </c>
      <c r="N1699" s="18">
        <f>IF(E1699="","",MAX(0,IF(G1699="",TODAY(),G1699)-L1699))</f>
        <v/>
      </c>
    </row>
    <row r="1700">
      <c r="E1700" s="22" t="n"/>
      <c r="G1700" s="22" t="n"/>
      <c r="I1700" s="22" t="n"/>
      <c r="L1700" s="20">
        <f>IF(E1700="","",E1700+IF(F1700="",IFERROR(VLOOKUP(C1700,Parametros!$E:$F,2,0),0),F1700))</f>
        <v/>
      </c>
      <c r="M1700" s="21">
        <f>IF(E1700="","",IF(G1700="",IF(TODAY()&gt;L1700,"Atrasada","Em aberto"),IF(G1700&lt;=L1700,"No prazo","Com atraso")))</f>
        <v/>
      </c>
      <c r="N1700" s="18">
        <f>IF(E1700="","",MAX(0,IF(G1700="",TODAY(),G1700)-L1700))</f>
        <v/>
      </c>
    </row>
    <row r="1701">
      <c r="E1701" s="22" t="n"/>
      <c r="G1701" s="22" t="n"/>
      <c r="I1701" s="22" t="n"/>
      <c r="L1701" s="20">
        <f>IF(E1701="","",E1701+IF(F1701="",IFERROR(VLOOKUP(C1701,Parametros!$E:$F,2,0),0),F1701))</f>
        <v/>
      </c>
      <c r="M1701" s="21">
        <f>IF(E1701="","",IF(G1701="",IF(TODAY()&gt;L1701,"Atrasada","Em aberto"),IF(G1701&lt;=L1701,"No prazo","Com atraso")))</f>
        <v/>
      </c>
      <c r="N1701" s="18">
        <f>IF(E1701="","",MAX(0,IF(G1701="",TODAY(),G1701)-L1701))</f>
        <v/>
      </c>
    </row>
    <row r="1702">
      <c r="E1702" s="22" t="n"/>
      <c r="G1702" s="22" t="n"/>
      <c r="I1702" s="22" t="n"/>
      <c r="L1702" s="20">
        <f>IF(E1702="","",E1702+IF(F1702="",IFERROR(VLOOKUP(C1702,Parametros!$E:$F,2,0),0),F1702))</f>
        <v/>
      </c>
      <c r="M1702" s="21">
        <f>IF(E1702="","",IF(G1702="",IF(TODAY()&gt;L1702,"Atrasada","Em aberto"),IF(G1702&lt;=L1702,"No prazo","Com atraso")))</f>
        <v/>
      </c>
      <c r="N1702" s="18">
        <f>IF(E1702="","",MAX(0,IF(G1702="",TODAY(),G1702)-L1702))</f>
        <v/>
      </c>
    </row>
    <row r="1703">
      <c r="E1703" s="22" t="n"/>
      <c r="G1703" s="22" t="n"/>
      <c r="I1703" s="22" t="n"/>
      <c r="L1703" s="20">
        <f>IF(E1703="","",E1703+IF(F1703="",IFERROR(VLOOKUP(C1703,Parametros!$E:$F,2,0),0),F1703))</f>
        <v/>
      </c>
      <c r="M1703" s="21">
        <f>IF(E1703="","",IF(G1703="",IF(TODAY()&gt;L1703,"Atrasada","Em aberto"),IF(G1703&lt;=L1703,"No prazo","Com atraso")))</f>
        <v/>
      </c>
      <c r="N1703" s="18">
        <f>IF(E1703="","",MAX(0,IF(G1703="",TODAY(),G1703)-L1703))</f>
        <v/>
      </c>
    </row>
    <row r="1704">
      <c r="E1704" s="22" t="n"/>
      <c r="G1704" s="22" t="n"/>
      <c r="I1704" s="22" t="n"/>
      <c r="L1704" s="20">
        <f>IF(E1704="","",E1704+IF(F1704="",IFERROR(VLOOKUP(C1704,Parametros!$E:$F,2,0),0),F1704))</f>
        <v/>
      </c>
      <c r="M1704" s="21">
        <f>IF(E1704="","",IF(G1704="",IF(TODAY()&gt;L1704,"Atrasada","Em aberto"),IF(G1704&lt;=L1704,"No prazo","Com atraso")))</f>
        <v/>
      </c>
      <c r="N1704" s="18">
        <f>IF(E1704="","",MAX(0,IF(G1704="",TODAY(),G1704)-L1704))</f>
        <v/>
      </c>
    </row>
    <row r="1705">
      <c r="E1705" s="22" t="n"/>
      <c r="G1705" s="22" t="n"/>
      <c r="I1705" s="22" t="n"/>
      <c r="L1705" s="20">
        <f>IF(E1705="","",E1705+IF(F1705="",IFERROR(VLOOKUP(C1705,Parametros!$E:$F,2,0),0),F1705))</f>
        <v/>
      </c>
      <c r="M1705" s="21">
        <f>IF(E1705="","",IF(G1705="",IF(TODAY()&gt;L1705,"Atrasada","Em aberto"),IF(G1705&lt;=L1705,"No prazo","Com atraso")))</f>
        <v/>
      </c>
      <c r="N1705" s="18">
        <f>IF(E1705="","",MAX(0,IF(G1705="",TODAY(),G1705)-L1705))</f>
        <v/>
      </c>
    </row>
    <row r="1706">
      <c r="E1706" s="22" t="n"/>
      <c r="G1706" s="22" t="n"/>
      <c r="I1706" s="22" t="n"/>
      <c r="L1706" s="20">
        <f>IF(E1706="","",E1706+IF(F1706="",IFERROR(VLOOKUP(C1706,Parametros!$E:$F,2,0),0),F1706))</f>
        <v/>
      </c>
      <c r="M1706" s="21">
        <f>IF(E1706="","",IF(G1706="",IF(TODAY()&gt;L1706,"Atrasada","Em aberto"),IF(G1706&lt;=L1706,"No prazo","Com atraso")))</f>
        <v/>
      </c>
      <c r="N1706" s="18">
        <f>IF(E1706="","",MAX(0,IF(G1706="",TODAY(),G1706)-L1706))</f>
        <v/>
      </c>
    </row>
    <row r="1707">
      <c r="E1707" s="22" t="n"/>
      <c r="G1707" s="22" t="n"/>
      <c r="I1707" s="22" t="n"/>
      <c r="L1707" s="20">
        <f>IF(E1707="","",E1707+IF(F1707="",IFERROR(VLOOKUP(C1707,Parametros!$E:$F,2,0),0),F1707))</f>
        <v/>
      </c>
      <c r="M1707" s="21">
        <f>IF(E1707="","",IF(G1707="",IF(TODAY()&gt;L1707,"Atrasada","Em aberto"),IF(G1707&lt;=L1707,"No prazo","Com atraso")))</f>
        <v/>
      </c>
      <c r="N1707" s="18">
        <f>IF(E1707="","",MAX(0,IF(G1707="",TODAY(),G1707)-L1707))</f>
        <v/>
      </c>
    </row>
    <row r="1708">
      <c r="E1708" s="22" t="n"/>
      <c r="G1708" s="22" t="n"/>
      <c r="I1708" s="22" t="n"/>
      <c r="L1708" s="20">
        <f>IF(E1708="","",E1708+IF(F1708="",IFERROR(VLOOKUP(C1708,Parametros!$E:$F,2,0),0),F1708))</f>
        <v/>
      </c>
      <c r="M1708" s="21">
        <f>IF(E1708="","",IF(G1708="",IF(TODAY()&gt;L1708,"Atrasada","Em aberto"),IF(G1708&lt;=L1708,"No prazo","Com atraso")))</f>
        <v/>
      </c>
      <c r="N1708" s="18">
        <f>IF(E1708="","",MAX(0,IF(G1708="",TODAY(),G1708)-L1708))</f>
        <v/>
      </c>
    </row>
    <row r="1709">
      <c r="E1709" s="22" t="n"/>
      <c r="G1709" s="22" t="n"/>
      <c r="I1709" s="22" t="n"/>
      <c r="L1709" s="20">
        <f>IF(E1709="","",E1709+IF(F1709="",IFERROR(VLOOKUP(C1709,Parametros!$E:$F,2,0),0),F1709))</f>
        <v/>
      </c>
      <c r="M1709" s="21">
        <f>IF(E1709="","",IF(G1709="",IF(TODAY()&gt;L1709,"Atrasada","Em aberto"),IF(G1709&lt;=L1709,"No prazo","Com atraso")))</f>
        <v/>
      </c>
      <c r="N1709" s="18">
        <f>IF(E1709="","",MAX(0,IF(G1709="",TODAY(),G1709)-L1709))</f>
        <v/>
      </c>
    </row>
    <row r="1710">
      <c r="E1710" s="22" t="n"/>
      <c r="G1710" s="22" t="n"/>
      <c r="I1710" s="22" t="n"/>
      <c r="L1710" s="20">
        <f>IF(E1710="","",E1710+IF(F1710="",IFERROR(VLOOKUP(C1710,Parametros!$E:$F,2,0),0),F1710))</f>
        <v/>
      </c>
      <c r="M1710" s="21">
        <f>IF(E1710="","",IF(G1710="",IF(TODAY()&gt;L1710,"Atrasada","Em aberto"),IF(G1710&lt;=L1710,"No prazo","Com atraso")))</f>
        <v/>
      </c>
      <c r="N1710" s="18">
        <f>IF(E1710="","",MAX(0,IF(G1710="",TODAY(),G1710)-L1710))</f>
        <v/>
      </c>
    </row>
    <row r="1711">
      <c r="E1711" s="22" t="n"/>
      <c r="G1711" s="22" t="n"/>
      <c r="I1711" s="22" t="n"/>
      <c r="L1711" s="20">
        <f>IF(E1711="","",E1711+IF(F1711="",IFERROR(VLOOKUP(C1711,Parametros!$E:$F,2,0),0),F1711))</f>
        <v/>
      </c>
      <c r="M1711" s="21">
        <f>IF(E1711="","",IF(G1711="",IF(TODAY()&gt;L1711,"Atrasada","Em aberto"),IF(G1711&lt;=L1711,"No prazo","Com atraso")))</f>
        <v/>
      </c>
      <c r="N1711" s="18">
        <f>IF(E1711="","",MAX(0,IF(G1711="",TODAY(),G1711)-L1711))</f>
        <v/>
      </c>
    </row>
    <row r="1712">
      <c r="E1712" s="22" t="n"/>
      <c r="G1712" s="22" t="n"/>
      <c r="I1712" s="22" t="n"/>
      <c r="L1712" s="20">
        <f>IF(E1712="","",E1712+IF(F1712="",IFERROR(VLOOKUP(C1712,Parametros!$E:$F,2,0),0),F1712))</f>
        <v/>
      </c>
      <c r="M1712" s="21">
        <f>IF(E1712="","",IF(G1712="",IF(TODAY()&gt;L1712,"Atrasada","Em aberto"),IF(G1712&lt;=L1712,"No prazo","Com atraso")))</f>
        <v/>
      </c>
      <c r="N1712" s="18">
        <f>IF(E1712="","",MAX(0,IF(G1712="",TODAY(),G1712)-L1712))</f>
        <v/>
      </c>
    </row>
    <row r="1713">
      <c r="E1713" s="22" t="n"/>
      <c r="G1713" s="22" t="n"/>
      <c r="I1713" s="22" t="n"/>
      <c r="L1713" s="20">
        <f>IF(E1713="","",E1713+IF(F1713="",IFERROR(VLOOKUP(C1713,Parametros!$E:$F,2,0),0),F1713))</f>
        <v/>
      </c>
      <c r="M1713" s="21">
        <f>IF(E1713="","",IF(G1713="",IF(TODAY()&gt;L1713,"Atrasada","Em aberto"),IF(G1713&lt;=L1713,"No prazo","Com atraso")))</f>
        <v/>
      </c>
      <c r="N1713" s="18">
        <f>IF(E1713="","",MAX(0,IF(G1713="",TODAY(),G1713)-L1713))</f>
        <v/>
      </c>
    </row>
    <row r="1714">
      <c r="E1714" s="22" t="n"/>
      <c r="G1714" s="22" t="n"/>
      <c r="I1714" s="22" t="n"/>
      <c r="L1714" s="20">
        <f>IF(E1714="","",E1714+IF(F1714="",IFERROR(VLOOKUP(C1714,Parametros!$E:$F,2,0),0),F1714))</f>
        <v/>
      </c>
      <c r="M1714" s="21">
        <f>IF(E1714="","",IF(G1714="",IF(TODAY()&gt;L1714,"Atrasada","Em aberto"),IF(G1714&lt;=L1714,"No prazo","Com atraso")))</f>
        <v/>
      </c>
      <c r="N1714" s="18">
        <f>IF(E1714="","",MAX(0,IF(G1714="",TODAY(),G1714)-L1714))</f>
        <v/>
      </c>
    </row>
    <row r="1715">
      <c r="E1715" s="22" t="n"/>
      <c r="G1715" s="22" t="n"/>
      <c r="I1715" s="22" t="n"/>
      <c r="L1715" s="20">
        <f>IF(E1715="","",E1715+IF(F1715="",IFERROR(VLOOKUP(C1715,Parametros!$E:$F,2,0),0),F1715))</f>
        <v/>
      </c>
      <c r="M1715" s="21">
        <f>IF(E1715="","",IF(G1715="",IF(TODAY()&gt;L1715,"Atrasada","Em aberto"),IF(G1715&lt;=L1715,"No prazo","Com atraso")))</f>
        <v/>
      </c>
      <c r="N1715" s="18">
        <f>IF(E1715="","",MAX(0,IF(G1715="",TODAY(),G1715)-L1715))</f>
        <v/>
      </c>
    </row>
    <row r="1716">
      <c r="E1716" s="22" t="n"/>
      <c r="G1716" s="22" t="n"/>
      <c r="I1716" s="22" t="n"/>
      <c r="L1716" s="20">
        <f>IF(E1716="","",E1716+IF(F1716="",IFERROR(VLOOKUP(C1716,Parametros!$E:$F,2,0),0),F1716))</f>
        <v/>
      </c>
      <c r="M1716" s="21">
        <f>IF(E1716="","",IF(G1716="",IF(TODAY()&gt;L1716,"Atrasada","Em aberto"),IF(G1716&lt;=L1716,"No prazo","Com atraso")))</f>
        <v/>
      </c>
      <c r="N1716" s="18">
        <f>IF(E1716="","",MAX(0,IF(G1716="",TODAY(),G1716)-L1716))</f>
        <v/>
      </c>
    </row>
    <row r="1717">
      <c r="E1717" s="22" t="n"/>
      <c r="G1717" s="22" t="n"/>
      <c r="I1717" s="22" t="n"/>
      <c r="L1717" s="20">
        <f>IF(E1717="","",E1717+IF(F1717="",IFERROR(VLOOKUP(C1717,Parametros!$E:$F,2,0),0),F1717))</f>
        <v/>
      </c>
      <c r="M1717" s="21">
        <f>IF(E1717="","",IF(G1717="",IF(TODAY()&gt;L1717,"Atrasada","Em aberto"),IF(G1717&lt;=L1717,"No prazo","Com atraso")))</f>
        <v/>
      </c>
      <c r="N1717" s="18">
        <f>IF(E1717="","",MAX(0,IF(G1717="",TODAY(),G1717)-L1717))</f>
        <v/>
      </c>
    </row>
    <row r="1718">
      <c r="E1718" s="22" t="n"/>
      <c r="G1718" s="22" t="n"/>
      <c r="I1718" s="22" t="n"/>
      <c r="L1718" s="20">
        <f>IF(E1718="","",E1718+IF(F1718="",IFERROR(VLOOKUP(C1718,Parametros!$E:$F,2,0),0),F1718))</f>
        <v/>
      </c>
      <c r="M1718" s="21">
        <f>IF(E1718="","",IF(G1718="",IF(TODAY()&gt;L1718,"Atrasada","Em aberto"),IF(G1718&lt;=L1718,"No prazo","Com atraso")))</f>
        <v/>
      </c>
      <c r="N1718" s="18">
        <f>IF(E1718="","",MAX(0,IF(G1718="",TODAY(),G1718)-L1718))</f>
        <v/>
      </c>
    </row>
    <row r="1719">
      <c r="E1719" s="22" t="n"/>
      <c r="G1719" s="22" t="n"/>
      <c r="I1719" s="22" t="n"/>
      <c r="L1719" s="20">
        <f>IF(E1719="","",E1719+IF(F1719="",IFERROR(VLOOKUP(C1719,Parametros!$E:$F,2,0),0),F1719))</f>
        <v/>
      </c>
      <c r="M1719" s="21">
        <f>IF(E1719="","",IF(G1719="",IF(TODAY()&gt;L1719,"Atrasada","Em aberto"),IF(G1719&lt;=L1719,"No prazo","Com atraso")))</f>
        <v/>
      </c>
      <c r="N1719" s="18">
        <f>IF(E1719="","",MAX(0,IF(G1719="",TODAY(),G1719)-L1719))</f>
        <v/>
      </c>
    </row>
    <row r="1720">
      <c r="E1720" s="22" t="n"/>
      <c r="G1720" s="22" t="n"/>
      <c r="I1720" s="22" t="n"/>
      <c r="L1720" s="20">
        <f>IF(E1720="","",E1720+IF(F1720="",IFERROR(VLOOKUP(C1720,Parametros!$E:$F,2,0),0),F1720))</f>
        <v/>
      </c>
      <c r="M1720" s="21">
        <f>IF(E1720="","",IF(G1720="",IF(TODAY()&gt;L1720,"Atrasada","Em aberto"),IF(G1720&lt;=L1720,"No prazo","Com atraso")))</f>
        <v/>
      </c>
      <c r="N1720" s="18">
        <f>IF(E1720="","",MAX(0,IF(G1720="",TODAY(),G1720)-L1720))</f>
        <v/>
      </c>
    </row>
    <row r="1721">
      <c r="E1721" s="22" t="n"/>
      <c r="G1721" s="22" t="n"/>
      <c r="I1721" s="22" t="n"/>
      <c r="L1721" s="20">
        <f>IF(E1721="","",E1721+IF(F1721="",IFERROR(VLOOKUP(C1721,Parametros!$E:$F,2,0),0),F1721))</f>
        <v/>
      </c>
      <c r="M1721" s="21">
        <f>IF(E1721="","",IF(G1721="",IF(TODAY()&gt;L1721,"Atrasada","Em aberto"),IF(G1721&lt;=L1721,"No prazo","Com atraso")))</f>
        <v/>
      </c>
      <c r="N1721" s="18">
        <f>IF(E1721="","",MAX(0,IF(G1721="",TODAY(),G1721)-L1721))</f>
        <v/>
      </c>
    </row>
    <row r="1722">
      <c r="E1722" s="22" t="n"/>
      <c r="G1722" s="22" t="n"/>
      <c r="I1722" s="22" t="n"/>
      <c r="L1722" s="20">
        <f>IF(E1722="","",E1722+IF(F1722="",IFERROR(VLOOKUP(C1722,Parametros!$E:$F,2,0),0),F1722))</f>
        <v/>
      </c>
      <c r="M1722" s="21">
        <f>IF(E1722="","",IF(G1722="",IF(TODAY()&gt;L1722,"Atrasada","Em aberto"),IF(G1722&lt;=L1722,"No prazo","Com atraso")))</f>
        <v/>
      </c>
      <c r="N1722" s="18">
        <f>IF(E1722="","",MAX(0,IF(G1722="",TODAY(),G1722)-L1722))</f>
        <v/>
      </c>
    </row>
    <row r="1723">
      <c r="E1723" s="22" t="n"/>
      <c r="G1723" s="22" t="n"/>
      <c r="I1723" s="22" t="n"/>
      <c r="L1723" s="20">
        <f>IF(E1723="","",E1723+IF(F1723="",IFERROR(VLOOKUP(C1723,Parametros!$E:$F,2,0),0),F1723))</f>
        <v/>
      </c>
      <c r="M1723" s="21">
        <f>IF(E1723="","",IF(G1723="",IF(TODAY()&gt;L1723,"Atrasada","Em aberto"),IF(G1723&lt;=L1723,"No prazo","Com atraso")))</f>
        <v/>
      </c>
      <c r="N1723" s="18">
        <f>IF(E1723="","",MAX(0,IF(G1723="",TODAY(),G1723)-L1723))</f>
        <v/>
      </c>
    </row>
    <row r="1724">
      <c r="E1724" s="22" t="n"/>
      <c r="G1724" s="22" t="n"/>
      <c r="I1724" s="22" t="n"/>
      <c r="L1724" s="20">
        <f>IF(E1724="","",E1724+IF(F1724="",IFERROR(VLOOKUP(C1724,Parametros!$E:$F,2,0),0),F1724))</f>
        <v/>
      </c>
      <c r="M1724" s="21">
        <f>IF(E1724="","",IF(G1724="",IF(TODAY()&gt;L1724,"Atrasada","Em aberto"),IF(G1724&lt;=L1724,"No prazo","Com atraso")))</f>
        <v/>
      </c>
      <c r="N1724" s="18">
        <f>IF(E1724="","",MAX(0,IF(G1724="",TODAY(),G1724)-L1724))</f>
        <v/>
      </c>
    </row>
    <row r="1725">
      <c r="E1725" s="22" t="n"/>
      <c r="G1725" s="22" t="n"/>
      <c r="I1725" s="22" t="n"/>
      <c r="L1725" s="20">
        <f>IF(E1725="","",E1725+IF(F1725="",IFERROR(VLOOKUP(C1725,Parametros!$E:$F,2,0),0),F1725))</f>
        <v/>
      </c>
      <c r="M1725" s="21">
        <f>IF(E1725="","",IF(G1725="",IF(TODAY()&gt;L1725,"Atrasada","Em aberto"),IF(G1725&lt;=L1725,"No prazo","Com atraso")))</f>
        <v/>
      </c>
      <c r="N1725" s="18">
        <f>IF(E1725="","",MAX(0,IF(G1725="",TODAY(),G1725)-L1725))</f>
        <v/>
      </c>
    </row>
    <row r="1726">
      <c r="E1726" s="22" t="n"/>
      <c r="G1726" s="22" t="n"/>
      <c r="I1726" s="22" t="n"/>
      <c r="L1726" s="20">
        <f>IF(E1726="","",E1726+IF(F1726="",IFERROR(VLOOKUP(C1726,Parametros!$E:$F,2,0),0),F1726))</f>
        <v/>
      </c>
      <c r="M1726" s="21">
        <f>IF(E1726="","",IF(G1726="",IF(TODAY()&gt;L1726,"Atrasada","Em aberto"),IF(G1726&lt;=L1726,"No prazo","Com atraso")))</f>
        <v/>
      </c>
      <c r="N1726" s="18">
        <f>IF(E1726="","",MAX(0,IF(G1726="",TODAY(),G1726)-L1726))</f>
        <v/>
      </c>
    </row>
    <row r="1727">
      <c r="E1727" s="22" t="n"/>
      <c r="G1727" s="22" t="n"/>
      <c r="I1727" s="22" t="n"/>
      <c r="L1727" s="20">
        <f>IF(E1727="","",E1727+IF(F1727="",IFERROR(VLOOKUP(C1727,Parametros!$E:$F,2,0),0),F1727))</f>
        <v/>
      </c>
      <c r="M1727" s="21">
        <f>IF(E1727="","",IF(G1727="",IF(TODAY()&gt;L1727,"Atrasada","Em aberto"),IF(G1727&lt;=L1727,"No prazo","Com atraso")))</f>
        <v/>
      </c>
      <c r="N1727" s="18">
        <f>IF(E1727="","",MAX(0,IF(G1727="",TODAY(),G1727)-L1727))</f>
        <v/>
      </c>
    </row>
    <row r="1728">
      <c r="E1728" s="22" t="n"/>
      <c r="G1728" s="22" t="n"/>
      <c r="I1728" s="22" t="n"/>
      <c r="L1728" s="20">
        <f>IF(E1728="","",E1728+IF(F1728="",IFERROR(VLOOKUP(C1728,Parametros!$E:$F,2,0),0),F1728))</f>
        <v/>
      </c>
      <c r="M1728" s="21">
        <f>IF(E1728="","",IF(G1728="",IF(TODAY()&gt;L1728,"Atrasada","Em aberto"),IF(G1728&lt;=L1728,"No prazo","Com atraso")))</f>
        <v/>
      </c>
      <c r="N1728" s="18">
        <f>IF(E1728="","",MAX(0,IF(G1728="",TODAY(),G1728)-L1728))</f>
        <v/>
      </c>
    </row>
    <row r="1729">
      <c r="E1729" s="22" t="n"/>
      <c r="G1729" s="22" t="n"/>
      <c r="I1729" s="22" t="n"/>
      <c r="L1729" s="20">
        <f>IF(E1729="","",E1729+IF(F1729="",IFERROR(VLOOKUP(C1729,Parametros!$E:$F,2,0),0),F1729))</f>
        <v/>
      </c>
      <c r="M1729" s="21">
        <f>IF(E1729="","",IF(G1729="",IF(TODAY()&gt;L1729,"Atrasada","Em aberto"),IF(G1729&lt;=L1729,"No prazo","Com atraso")))</f>
        <v/>
      </c>
      <c r="N1729" s="18">
        <f>IF(E1729="","",MAX(0,IF(G1729="",TODAY(),G1729)-L1729))</f>
        <v/>
      </c>
    </row>
    <row r="1730">
      <c r="E1730" s="22" t="n"/>
      <c r="G1730" s="22" t="n"/>
      <c r="I1730" s="22" t="n"/>
      <c r="L1730" s="20">
        <f>IF(E1730="","",E1730+IF(F1730="",IFERROR(VLOOKUP(C1730,Parametros!$E:$F,2,0),0),F1730))</f>
        <v/>
      </c>
      <c r="M1730" s="21">
        <f>IF(E1730="","",IF(G1730="",IF(TODAY()&gt;L1730,"Atrasada","Em aberto"),IF(G1730&lt;=L1730,"No prazo","Com atraso")))</f>
        <v/>
      </c>
      <c r="N1730" s="18">
        <f>IF(E1730="","",MAX(0,IF(G1730="",TODAY(),G1730)-L1730))</f>
        <v/>
      </c>
    </row>
    <row r="1731">
      <c r="E1731" s="22" t="n"/>
      <c r="G1731" s="22" t="n"/>
      <c r="I1731" s="22" t="n"/>
      <c r="L1731" s="20">
        <f>IF(E1731="","",E1731+IF(F1731="",IFERROR(VLOOKUP(C1731,Parametros!$E:$F,2,0),0),F1731))</f>
        <v/>
      </c>
      <c r="M1731" s="21">
        <f>IF(E1731="","",IF(G1731="",IF(TODAY()&gt;L1731,"Atrasada","Em aberto"),IF(G1731&lt;=L1731,"No prazo","Com atraso")))</f>
        <v/>
      </c>
      <c r="N1731" s="18">
        <f>IF(E1731="","",MAX(0,IF(G1731="",TODAY(),G1731)-L1731))</f>
        <v/>
      </c>
    </row>
    <row r="1732">
      <c r="E1732" s="22" t="n"/>
      <c r="G1732" s="22" t="n"/>
      <c r="I1732" s="22" t="n"/>
      <c r="L1732" s="20">
        <f>IF(E1732="","",E1732+IF(F1732="",IFERROR(VLOOKUP(C1732,Parametros!$E:$F,2,0),0),F1732))</f>
        <v/>
      </c>
      <c r="M1732" s="21">
        <f>IF(E1732="","",IF(G1732="",IF(TODAY()&gt;L1732,"Atrasada","Em aberto"),IF(G1732&lt;=L1732,"No prazo","Com atraso")))</f>
        <v/>
      </c>
      <c r="N1732" s="18">
        <f>IF(E1732="","",MAX(0,IF(G1732="",TODAY(),G1732)-L1732))</f>
        <v/>
      </c>
    </row>
    <row r="1733">
      <c r="E1733" s="22" t="n"/>
      <c r="G1733" s="22" t="n"/>
      <c r="I1733" s="22" t="n"/>
      <c r="L1733" s="20">
        <f>IF(E1733="","",E1733+IF(F1733="",IFERROR(VLOOKUP(C1733,Parametros!$E:$F,2,0),0),F1733))</f>
        <v/>
      </c>
      <c r="M1733" s="21">
        <f>IF(E1733="","",IF(G1733="",IF(TODAY()&gt;L1733,"Atrasada","Em aberto"),IF(G1733&lt;=L1733,"No prazo","Com atraso")))</f>
        <v/>
      </c>
      <c r="N1733" s="18">
        <f>IF(E1733="","",MAX(0,IF(G1733="",TODAY(),G1733)-L1733))</f>
        <v/>
      </c>
    </row>
    <row r="1734">
      <c r="E1734" s="22" t="n"/>
      <c r="G1734" s="22" t="n"/>
      <c r="I1734" s="22" t="n"/>
      <c r="L1734" s="20">
        <f>IF(E1734="","",E1734+IF(F1734="",IFERROR(VLOOKUP(C1734,Parametros!$E:$F,2,0),0),F1734))</f>
        <v/>
      </c>
      <c r="M1734" s="21">
        <f>IF(E1734="","",IF(G1734="",IF(TODAY()&gt;L1734,"Atrasada","Em aberto"),IF(G1734&lt;=L1734,"No prazo","Com atraso")))</f>
        <v/>
      </c>
      <c r="N1734" s="18">
        <f>IF(E1734="","",MAX(0,IF(G1734="",TODAY(),G1734)-L1734))</f>
        <v/>
      </c>
    </row>
    <row r="1735">
      <c r="E1735" s="22" t="n"/>
      <c r="G1735" s="22" t="n"/>
      <c r="I1735" s="22" t="n"/>
      <c r="L1735" s="20">
        <f>IF(E1735="","",E1735+IF(F1735="",IFERROR(VLOOKUP(C1735,Parametros!$E:$F,2,0),0),F1735))</f>
        <v/>
      </c>
      <c r="M1735" s="21">
        <f>IF(E1735="","",IF(G1735="",IF(TODAY()&gt;L1735,"Atrasada","Em aberto"),IF(G1735&lt;=L1735,"No prazo","Com atraso")))</f>
        <v/>
      </c>
      <c r="N1735" s="18">
        <f>IF(E1735="","",MAX(0,IF(G1735="",TODAY(),G1735)-L1735))</f>
        <v/>
      </c>
    </row>
    <row r="1736">
      <c r="E1736" s="22" t="n"/>
      <c r="G1736" s="22" t="n"/>
      <c r="I1736" s="22" t="n"/>
      <c r="L1736" s="20">
        <f>IF(E1736="","",E1736+IF(F1736="",IFERROR(VLOOKUP(C1736,Parametros!$E:$F,2,0),0),F1736))</f>
        <v/>
      </c>
      <c r="M1736" s="21">
        <f>IF(E1736="","",IF(G1736="",IF(TODAY()&gt;L1736,"Atrasada","Em aberto"),IF(G1736&lt;=L1736,"No prazo","Com atraso")))</f>
        <v/>
      </c>
      <c r="N1736" s="18">
        <f>IF(E1736="","",MAX(0,IF(G1736="",TODAY(),G1736)-L1736))</f>
        <v/>
      </c>
    </row>
    <row r="1737">
      <c r="E1737" s="22" t="n"/>
      <c r="G1737" s="22" t="n"/>
      <c r="I1737" s="22" t="n"/>
      <c r="L1737" s="20">
        <f>IF(E1737="","",E1737+IF(F1737="",IFERROR(VLOOKUP(C1737,Parametros!$E:$F,2,0),0),F1737))</f>
        <v/>
      </c>
      <c r="M1737" s="21">
        <f>IF(E1737="","",IF(G1737="",IF(TODAY()&gt;L1737,"Atrasada","Em aberto"),IF(G1737&lt;=L1737,"No prazo","Com atraso")))</f>
        <v/>
      </c>
      <c r="N1737" s="18">
        <f>IF(E1737="","",MAX(0,IF(G1737="",TODAY(),G1737)-L1737))</f>
        <v/>
      </c>
    </row>
    <row r="1738">
      <c r="E1738" s="22" t="n"/>
      <c r="G1738" s="22" t="n"/>
      <c r="I1738" s="22" t="n"/>
      <c r="L1738" s="20">
        <f>IF(E1738="","",E1738+IF(F1738="",IFERROR(VLOOKUP(C1738,Parametros!$E:$F,2,0),0),F1738))</f>
        <v/>
      </c>
      <c r="M1738" s="21">
        <f>IF(E1738="","",IF(G1738="",IF(TODAY()&gt;L1738,"Atrasada","Em aberto"),IF(G1738&lt;=L1738,"No prazo","Com atraso")))</f>
        <v/>
      </c>
      <c r="N1738" s="18">
        <f>IF(E1738="","",MAX(0,IF(G1738="",TODAY(),G1738)-L1738))</f>
        <v/>
      </c>
    </row>
    <row r="1739">
      <c r="E1739" s="22" t="n"/>
      <c r="G1739" s="22" t="n"/>
      <c r="I1739" s="22" t="n"/>
      <c r="L1739" s="20">
        <f>IF(E1739="","",E1739+IF(F1739="",IFERROR(VLOOKUP(C1739,Parametros!$E:$F,2,0),0),F1739))</f>
        <v/>
      </c>
      <c r="M1739" s="21">
        <f>IF(E1739="","",IF(G1739="",IF(TODAY()&gt;L1739,"Atrasada","Em aberto"),IF(G1739&lt;=L1739,"No prazo","Com atraso")))</f>
        <v/>
      </c>
      <c r="N1739" s="18">
        <f>IF(E1739="","",MAX(0,IF(G1739="",TODAY(),G1739)-L1739))</f>
        <v/>
      </c>
    </row>
    <row r="1740">
      <c r="E1740" s="22" t="n"/>
      <c r="G1740" s="22" t="n"/>
      <c r="I1740" s="22" t="n"/>
      <c r="L1740" s="20">
        <f>IF(E1740="","",E1740+IF(F1740="",IFERROR(VLOOKUP(C1740,Parametros!$E:$F,2,0),0),F1740))</f>
        <v/>
      </c>
      <c r="M1740" s="21">
        <f>IF(E1740="","",IF(G1740="",IF(TODAY()&gt;L1740,"Atrasada","Em aberto"),IF(G1740&lt;=L1740,"No prazo","Com atraso")))</f>
        <v/>
      </c>
      <c r="N1740" s="18">
        <f>IF(E1740="","",MAX(0,IF(G1740="",TODAY(),G1740)-L1740))</f>
        <v/>
      </c>
    </row>
    <row r="1741">
      <c r="E1741" s="22" t="n"/>
      <c r="G1741" s="22" t="n"/>
      <c r="I1741" s="22" t="n"/>
      <c r="L1741" s="20">
        <f>IF(E1741="","",E1741+IF(F1741="",IFERROR(VLOOKUP(C1741,Parametros!$E:$F,2,0),0),F1741))</f>
        <v/>
      </c>
      <c r="M1741" s="21">
        <f>IF(E1741="","",IF(G1741="",IF(TODAY()&gt;L1741,"Atrasada","Em aberto"),IF(G1741&lt;=L1741,"No prazo","Com atraso")))</f>
        <v/>
      </c>
      <c r="N1741" s="18">
        <f>IF(E1741="","",MAX(0,IF(G1741="",TODAY(),G1741)-L1741))</f>
        <v/>
      </c>
    </row>
    <row r="1742">
      <c r="E1742" s="22" t="n"/>
      <c r="G1742" s="22" t="n"/>
      <c r="I1742" s="22" t="n"/>
      <c r="L1742" s="20">
        <f>IF(E1742="","",E1742+IF(F1742="",IFERROR(VLOOKUP(C1742,Parametros!$E:$F,2,0),0),F1742))</f>
        <v/>
      </c>
      <c r="M1742" s="21">
        <f>IF(E1742="","",IF(G1742="",IF(TODAY()&gt;L1742,"Atrasada","Em aberto"),IF(G1742&lt;=L1742,"No prazo","Com atraso")))</f>
        <v/>
      </c>
      <c r="N1742" s="18">
        <f>IF(E1742="","",MAX(0,IF(G1742="",TODAY(),G1742)-L1742))</f>
        <v/>
      </c>
    </row>
    <row r="1743">
      <c r="E1743" s="22" t="n"/>
      <c r="G1743" s="22" t="n"/>
      <c r="I1743" s="22" t="n"/>
      <c r="L1743" s="20">
        <f>IF(E1743="","",E1743+IF(F1743="",IFERROR(VLOOKUP(C1743,Parametros!$E:$F,2,0),0),F1743))</f>
        <v/>
      </c>
      <c r="M1743" s="21">
        <f>IF(E1743="","",IF(G1743="",IF(TODAY()&gt;L1743,"Atrasada","Em aberto"),IF(G1743&lt;=L1743,"No prazo","Com atraso")))</f>
        <v/>
      </c>
      <c r="N1743" s="18">
        <f>IF(E1743="","",MAX(0,IF(G1743="",TODAY(),G1743)-L1743))</f>
        <v/>
      </c>
    </row>
    <row r="1744">
      <c r="E1744" s="22" t="n"/>
      <c r="G1744" s="22" t="n"/>
      <c r="I1744" s="22" t="n"/>
      <c r="L1744" s="20">
        <f>IF(E1744="","",E1744+IF(F1744="",IFERROR(VLOOKUP(C1744,Parametros!$E:$F,2,0),0),F1744))</f>
        <v/>
      </c>
      <c r="M1744" s="21">
        <f>IF(E1744="","",IF(G1744="",IF(TODAY()&gt;L1744,"Atrasada","Em aberto"),IF(G1744&lt;=L1744,"No prazo","Com atraso")))</f>
        <v/>
      </c>
      <c r="N1744" s="18">
        <f>IF(E1744="","",MAX(0,IF(G1744="",TODAY(),G1744)-L1744))</f>
        <v/>
      </c>
    </row>
    <row r="1745">
      <c r="E1745" s="22" t="n"/>
      <c r="G1745" s="22" t="n"/>
      <c r="I1745" s="22" t="n"/>
      <c r="L1745" s="20">
        <f>IF(E1745="","",E1745+IF(F1745="",IFERROR(VLOOKUP(C1745,Parametros!$E:$F,2,0),0),F1745))</f>
        <v/>
      </c>
      <c r="M1745" s="21">
        <f>IF(E1745="","",IF(G1745="",IF(TODAY()&gt;L1745,"Atrasada","Em aberto"),IF(G1745&lt;=L1745,"No prazo","Com atraso")))</f>
        <v/>
      </c>
      <c r="N1745" s="18">
        <f>IF(E1745="","",MAX(0,IF(G1745="",TODAY(),G1745)-L1745))</f>
        <v/>
      </c>
    </row>
    <row r="1746">
      <c r="E1746" s="22" t="n"/>
      <c r="G1746" s="22" t="n"/>
      <c r="I1746" s="22" t="n"/>
      <c r="L1746" s="20">
        <f>IF(E1746="","",E1746+IF(F1746="",IFERROR(VLOOKUP(C1746,Parametros!$E:$F,2,0),0),F1746))</f>
        <v/>
      </c>
      <c r="M1746" s="21">
        <f>IF(E1746="","",IF(G1746="",IF(TODAY()&gt;L1746,"Atrasada","Em aberto"),IF(G1746&lt;=L1746,"No prazo","Com atraso")))</f>
        <v/>
      </c>
      <c r="N1746" s="18">
        <f>IF(E1746="","",MAX(0,IF(G1746="",TODAY(),G1746)-L1746))</f>
        <v/>
      </c>
    </row>
    <row r="1747">
      <c r="E1747" s="22" t="n"/>
      <c r="G1747" s="22" t="n"/>
      <c r="I1747" s="22" t="n"/>
      <c r="L1747" s="20">
        <f>IF(E1747="","",E1747+IF(F1747="",IFERROR(VLOOKUP(C1747,Parametros!$E:$F,2,0),0),F1747))</f>
        <v/>
      </c>
      <c r="M1747" s="21">
        <f>IF(E1747="","",IF(G1747="",IF(TODAY()&gt;L1747,"Atrasada","Em aberto"),IF(G1747&lt;=L1747,"No prazo","Com atraso")))</f>
        <v/>
      </c>
      <c r="N1747" s="18">
        <f>IF(E1747="","",MAX(0,IF(G1747="",TODAY(),G1747)-L1747))</f>
        <v/>
      </c>
    </row>
    <row r="1748">
      <c r="E1748" s="22" t="n"/>
      <c r="G1748" s="22" t="n"/>
      <c r="I1748" s="22" t="n"/>
      <c r="L1748" s="20">
        <f>IF(E1748="","",E1748+IF(F1748="",IFERROR(VLOOKUP(C1748,Parametros!$E:$F,2,0),0),F1748))</f>
        <v/>
      </c>
      <c r="M1748" s="21">
        <f>IF(E1748="","",IF(G1748="",IF(TODAY()&gt;L1748,"Atrasada","Em aberto"),IF(G1748&lt;=L1748,"No prazo","Com atraso")))</f>
        <v/>
      </c>
      <c r="N1748" s="18">
        <f>IF(E1748="","",MAX(0,IF(G1748="",TODAY(),G1748)-L1748))</f>
        <v/>
      </c>
    </row>
    <row r="1749">
      <c r="E1749" s="22" t="n"/>
      <c r="G1749" s="22" t="n"/>
      <c r="I1749" s="22" t="n"/>
      <c r="L1749" s="20">
        <f>IF(E1749="","",E1749+IF(F1749="",IFERROR(VLOOKUP(C1749,Parametros!$E:$F,2,0),0),F1749))</f>
        <v/>
      </c>
      <c r="M1749" s="21">
        <f>IF(E1749="","",IF(G1749="",IF(TODAY()&gt;L1749,"Atrasada","Em aberto"),IF(G1749&lt;=L1749,"No prazo","Com atraso")))</f>
        <v/>
      </c>
      <c r="N1749" s="18">
        <f>IF(E1749="","",MAX(0,IF(G1749="",TODAY(),G1749)-L1749))</f>
        <v/>
      </c>
    </row>
    <row r="1750">
      <c r="E1750" s="22" t="n"/>
      <c r="G1750" s="22" t="n"/>
      <c r="I1750" s="22" t="n"/>
      <c r="L1750" s="20">
        <f>IF(E1750="","",E1750+IF(F1750="",IFERROR(VLOOKUP(C1750,Parametros!$E:$F,2,0),0),F1750))</f>
        <v/>
      </c>
      <c r="M1750" s="21">
        <f>IF(E1750="","",IF(G1750="",IF(TODAY()&gt;L1750,"Atrasada","Em aberto"),IF(G1750&lt;=L1750,"No prazo","Com atraso")))</f>
        <v/>
      </c>
      <c r="N1750" s="18">
        <f>IF(E1750="","",MAX(0,IF(G1750="",TODAY(),G1750)-L1750))</f>
        <v/>
      </c>
    </row>
    <row r="1751">
      <c r="E1751" s="22" t="n"/>
      <c r="G1751" s="22" t="n"/>
      <c r="I1751" s="22" t="n"/>
      <c r="L1751" s="20">
        <f>IF(E1751="","",E1751+IF(F1751="",IFERROR(VLOOKUP(C1751,Parametros!$E:$F,2,0),0),F1751))</f>
        <v/>
      </c>
      <c r="M1751" s="21">
        <f>IF(E1751="","",IF(G1751="",IF(TODAY()&gt;L1751,"Atrasada","Em aberto"),IF(G1751&lt;=L1751,"No prazo","Com atraso")))</f>
        <v/>
      </c>
      <c r="N1751" s="18">
        <f>IF(E1751="","",MAX(0,IF(G1751="",TODAY(),G1751)-L1751))</f>
        <v/>
      </c>
    </row>
    <row r="1752">
      <c r="E1752" s="22" t="n"/>
      <c r="G1752" s="22" t="n"/>
      <c r="I1752" s="22" t="n"/>
      <c r="L1752" s="20">
        <f>IF(E1752="","",E1752+IF(F1752="",IFERROR(VLOOKUP(C1752,Parametros!$E:$F,2,0),0),F1752))</f>
        <v/>
      </c>
      <c r="M1752" s="21">
        <f>IF(E1752="","",IF(G1752="",IF(TODAY()&gt;L1752,"Atrasada","Em aberto"),IF(G1752&lt;=L1752,"No prazo","Com atraso")))</f>
        <v/>
      </c>
      <c r="N1752" s="18">
        <f>IF(E1752="","",MAX(0,IF(G1752="",TODAY(),G1752)-L1752))</f>
        <v/>
      </c>
    </row>
    <row r="1753">
      <c r="E1753" s="22" t="n"/>
      <c r="G1753" s="22" t="n"/>
      <c r="I1753" s="22" t="n"/>
      <c r="L1753" s="20">
        <f>IF(E1753="","",E1753+IF(F1753="",IFERROR(VLOOKUP(C1753,Parametros!$E:$F,2,0),0),F1753))</f>
        <v/>
      </c>
      <c r="M1753" s="21">
        <f>IF(E1753="","",IF(G1753="",IF(TODAY()&gt;L1753,"Atrasada","Em aberto"),IF(G1753&lt;=L1753,"No prazo","Com atraso")))</f>
        <v/>
      </c>
      <c r="N1753" s="18">
        <f>IF(E1753="","",MAX(0,IF(G1753="",TODAY(),G1753)-L1753))</f>
        <v/>
      </c>
    </row>
    <row r="1754">
      <c r="E1754" s="22" t="n"/>
      <c r="G1754" s="22" t="n"/>
      <c r="I1754" s="22" t="n"/>
      <c r="L1754" s="20">
        <f>IF(E1754="","",E1754+IF(F1754="",IFERROR(VLOOKUP(C1754,Parametros!$E:$F,2,0),0),F1754))</f>
        <v/>
      </c>
      <c r="M1754" s="21">
        <f>IF(E1754="","",IF(G1754="",IF(TODAY()&gt;L1754,"Atrasada","Em aberto"),IF(G1754&lt;=L1754,"No prazo","Com atraso")))</f>
        <v/>
      </c>
      <c r="N1754" s="18">
        <f>IF(E1754="","",MAX(0,IF(G1754="",TODAY(),G1754)-L1754))</f>
        <v/>
      </c>
    </row>
    <row r="1755">
      <c r="E1755" s="22" t="n"/>
      <c r="G1755" s="22" t="n"/>
      <c r="I1755" s="22" t="n"/>
      <c r="L1755" s="20">
        <f>IF(E1755="","",E1755+IF(F1755="",IFERROR(VLOOKUP(C1755,Parametros!$E:$F,2,0),0),F1755))</f>
        <v/>
      </c>
      <c r="M1755" s="21">
        <f>IF(E1755="","",IF(G1755="",IF(TODAY()&gt;L1755,"Atrasada","Em aberto"),IF(G1755&lt;=L1755,"No prazo","Com atraso")))</f>
        <v/>
      </c>
      <c r="N1755" s="18">
        <f>IF(E1755="","",MAX(0,IF(G1755="",TODAY(),G1755)-L1755))</f>
        <v/>
      </c>
    </row>
    <row r="1756">
      <c r="E1756" s="22" t="n"/>
      <c r="G1756" s="22" t="n"/>
      <c r="I1756" s="22" t="n"/>
      <c r="L1756" s="20">
        <f>IF(E1756="","",E1756+IF(F1756="",IFERROR(VLOOKUP(C1756,Parametros!$E:$F,2,0),0),F1756))</f>
        <v/>
      </c>
      <c r="M1756" s="21">
        <f>IF(E1756="","",IF(G1756="",IF(TODAY()&gt;L1756,"Atrasada","Em aberto"),IF(G1756&lt;=L1756,"No prazo","Com atraso")))</f>
        <v/>
      </c>
      <c r="N1756" s="18">
        <f>IF(E1756="","",MAX(0,IF(G1756="",TODAY(),G1756)-L1756))</f>
        <v/>
      </c>
    </row>
    <row r="1757">
      <c r="E1757" s="22" t="n"/>
      <c r="G1757" s="22" t="n"/>
      <c r="I1757" s="22" t="n"/>
      <c r="L1757" s="20">
        <f>IF(E1757="","",E1757+IF(F1757="",IFERROR(VLOOKUP(C1757,Parametros!$E:$F,2,0),0),F1757))</f>
        <v/>
      </c>
      <c r="M1757" s="21">
        <f>IF(E1757="","",IF(G1757="",IF(TODAY()&gt;L1757,"Atrasada","Em aberto"),IF(G1757&lt;=L1757,"No prazo","Com atraso")))</f>
        <v/>
      </c>
      <c r="N1757" s="18">
        <f>IF(E1757="","",MAX(0,IF(G1757="",TODAY(),G1757)-L1757))</f>
        <v/>
      </c>
    </row>
    <row r="1758">
      <c r="E1758" s="22" t="n"/>
      <c r="G1758" s="22" t="n"/>
      <c r="I1758" s="22" t="n"/>
      <c r="L1758" s="20">
        <f>IF(E1758="","",E1758+IF(F1758="",IFERROR(VLOOKUP(C1758,Parametros!$E:$F,2,0),0),F1758))</f>
        <v/>
      </c>
      <c r="M1758" s="21">
        <f>IF(E1758="","",IF(G1758="",IF(TODAY()&gt;L1758,"Atrasada","Em aberto"),IF(G1758&lt;=L1758,"No prazo","Com atraso")))</f>
        <v/>
      </c>
      <c r="N1758" s="18">
        <f>IF(E1758="","",MAX(0,IF(G1758="",TODAY(),G1758)-L1758))</f>
        <v/>
      </c>
    </row>
    <row r="1759">
      <c r="E1759" s="22" t="n"/>
      <c r="G1759" s="22" t="n"/>
      <c r="I1759" s="22" t="n"/>
      <c r="L1759" s="20">
        <f>IF(E1759="","",E1759+IF(F1759="",IFERROR(VLOOKUP(C1759,Parametros!$E:$F,2,0),0),F1759))</f>
        <v/>
      </c>
      <c r="M1759" s="21">
        <f>IF(E1759="","",IF(G1759="",IF(TODAY()&gt;L1759,"Atrasada","Em aberto"),IF(G1759&lt;=L1759,"No prazo","Com atraso")))</f>
        <v/>
      </c>
      <c r="N1759" s="18">
        <f>IF(E1759="","",MAX(0,IF(G1759="",TODAY(),G1759)-L1759))</f>
        <v/>
      </c>
    </row>
    <row r="1760">
      <c r="E1760" s="22" t="n"/>
      <c r="G1760" s="22" t="n"/>
      <c r="I1760" s="22" t="n"/>
      <c r="L1760" s="20">
        <f>IF(E1760="","",E1760+IF(F1760="",IFERROR(VLOOKUP(C1760,Parametros!$E:$F,2,0),0),F1760))</f>
        <v/>
      </c>
      <c r="M1760" s="21">
        <f>IF(E1760="","",IF(G1760="",IF(TODAY()&gt;L1760,"Atrasada","Em aberto"),IF(G1760&lt;=L1760,"No prazo","Com atraso")))</f>
        <v/>
      </c>
      <c r="N1760" s="18">
        <f>IF(E1760="","",MAX(0,IF(G1760="",TODAY(),G1760)-L1760))</f>
        <v/>
      </c>
    </row>
    <row r="1761">
      <c r="E1761" s="22" t="n"/>
      <c r="G1761" s="22" t="n"/>
      <c r="I1761" s="22" t="n"/>
      <c r="L1761" s="20">
        <f>IF(E1761="","",E1761+IF(F1761="",IFERROR(VLOOKUP(C1761,Parametros!$E:$F,2,0),0),F1761))</f>
        <v/>
      </c>
      <c r="M1761" s="21">
        <f>IF(E1761="","",IF(G1761="",IF(TODAY()&gt;L1761,"Atrasada","Em aberto"),IF(G1761&lt;=L1761,"No prazo","Com atraso")))</f>
        <v/>
      </c>
      <c r="N1761" s="18">
        <f>IF(E1761="","",MAX(0,IF(G1761="",TODAY(),G1761)-L1761))</f>
        <v/>
      </c>
    </row>
    <row r="1762">
      <c r="E1762" s="22" t="n"/>
      <c r="G1762" s="22" t="n"/>
      <c r="I1762" s="22" t="n"/>
      <c r="L1762" s="20">
        <f>IF(E1762="","",E1762+IF(F1762="",IFERROR(VLOOKUP(C1762,Parametros!$E:$F,2,0),0),F1762))</f>
        <v/>
      </c>
      <c r="M1762" s="21">
        <f>IF(E1762="","",IF(G1762="",IF(TODAY()&gt;L1762,"Atrasada","Em aberto"),IF(G1762&lt;=L1762,"No prazo","Com atraso")))</f>
        <v/>
      </c>
      <c r="N1762" s="18">
        <f>IF(E1762="","",MAX(0,IF(G1762="",TODAY(),G1762)-L1762))</f>
        <v/>
      </c>
    </row>
    <row r="1763">
      <c r="E1763" s="22" t="n"/>
      <c r="G1763" s="22" t="n"/>
      <c r="I1763" s="22" t="n"/>
      <c r="L1763" s="20">
        <f>IF(E1763="","",E1763+IF(F1763="",IFERROR(VLOOKUP(C1763,Parametros!$E:$F,2,0),0),F1763))</f>
        <v/>
      </c>
      <c r="M1763" s="21">
        <f>IF(E1763="","",IF(G1763="",IF(TODAY()&gt;L1763,"Atrasada","Em aberto"),IF(G1763&lt;=L1763,"No prazo","Com atraso")))</f>
        <v/>
      </c>
      <c r="N1763" s="18">
        <f>IF(E1763="","",MAX(0,IF(G1763="",TODAY(),G1763)-L1763))</f>
        <v/>
      </c>
    </row>
    <row r="1764">
      <c r="E1764" s="22" t="n"/>
      <c r="G1764" s="22" t="n"/>
      <c r="I1764" s="22" t="n"/>
      <c r="L1764" s="20">
        <f>IF(E1764="","",E1764+IF(F1764="",IFERROR(VLOOKUP(C1764,Parametros!$E:$F,2,0),0),F1764))</f>
        <v/>
      </c>
      <c r="M1764" s="21">
        <f>IF(E1764="","",IF(G1764="",IF(TODAY()&gt;L1764,"Atrasada","Em aberto"),IF(G1764&lt;=L1764,"No prazo","Com atraso")))</f>
        <v/>
      </c>
      <c r="N1764" s="18">
        <f>IF(E1764="","",MAX(0,IF(G1764="",TODAY(),G1764)-L1764))</f>
        <v/>
      </c>
    </row>
    <row r="1765">
      <c r="E1765" s="22" t="n"/>
      <c r="G1765" s="22" t="n"/>
      <c r="I1765" s="22" t="n"/>
      <c r="L1765" s="20">
        <f>IF(E1765="","",E1765+IF(F1765="",IFERROR(VLOOKUP(C1765,Parametros!$E:$F,2,0),0),F1765))</f>
        <v/>
      </c>
      <c r="M1765" s="21">
        <f>IF(E1765="","",IF(G1765="",IF(TODAY()&gt;L1765,"Atrasada","Em aberto"),IF(G1765&lt;=L1765,"No prazo","Com atraso")))</f>
        <v/>
      </c>
      <c r="N1765" s="18">
        <f>IF(E1765="","",MAX(0,IF(G1765="",TODAY(),G1765)-L1765))</f>
        <v/>
      </c>
    </row>
    <row r="1766">
      <c r="E1766" s="22" t="n"/>
      <c r="G1766" s="22" t="n"/>
      <c r="I1766" s="22" t="n"/>
      <c r="L1766" s="20">
        <f>IF(E1766="","",E1766+IF(F1766="",IFERROR(VLOOKUP(C1766,Parametros!$E:$F,2,0),0),F1766))</f>
        <v/>
      </c>
      <c r="M1766" s="21">
        <f>IF(E1766="","",IF(G1766="",IF(TODAY()&gt;L1766,"Atrasada","Em aberto"),IF(G1766&lt;=L1766,"No prazo","Com atraso")))</f>
        <v/>
      </c>
      <c r="N1766" s="18">
        <f>IF(E1766="","",MAX(0,IF(G1766="",TODAY(),G1766)-L1766))</f>
        <v/>
      </c>
    </row>
    <row r="1767">
      <c r="E1767" s="22" t="n"/>
      <c r="G1767" s="22" t="n"/>
      <c r="I1767" s="22" t="n"/>
      <c r="L1767" s="20">
        <f>IF(E1767="","",E1767+IF(F1767="",IFERROR(VLOOKUP(C1767,Parametros!$E:$F,2,0),0),F1767))</f>
        <v/>
      </c>
      <c r="M1767" s="21">
        <f>IF(E1767="","",IF(G1767="",IF(TODAY()&gt;L1767,"Atrasada","Em aberto"),IF(G1767&lt;=L1767,"No prazo","Com atraso")))</f>
        <v/>
      </c>
      <c r="N1767" s="18">
        <f>IF(E1767="","",MAX(0,IF(G1767="",TODAY(),G1767)-L1767))</f>
        <v/>
      </c>
    </row>
    <row r="1768">
      <c r="E1768" s="22" t="n"/>
      <c r="G1768" s="22" t="n"/>
      <c r="I1768" s="22" t="n"/>
      <c r="L1768" s="20">
        <f>IF(E1768="","",E1768+IF(F1768="",IFERROR(VLOOKUP(C1768,Parametros!$E:$F,2,0),0),F1768))</f>
        <v/>
      </c>
      <c r="M1768" s="21">
        <f>IF(E1768="","",IF(G1768="",IF(TODAY()&gt;L1768,"Atrasada","Em aberto"),IF(G1768&lt;=L1768,"No prazo","Com atraso")))</f>
        <v/>
      </c>
      <c r="N1768" s="18">
        <f>IF(E1768="","",MAX(0,IF(G1768="",TODAY(),G1768)-L1768))</f>
        <v/>
      </c>
    </row>
    <row r="1769">
      <c r="E1769" s="22" t="n"/>
      <c r="G1769" s="22" t="n"/>
      <c r="I1769" s="22" t="n"/>
      <c r="L1769" s="20">
        <f>IF(E1769="","",E1769+IF(F1769="",IFERROR(VLOOKUP(C1769,Parametros!$E:$F,2,0),0),F1769))</f>
        <v/>
      </c>
      <c r="M1769" s="21">
        <f>IF(E1769="","",IF(G1769="",IF(TODAY()&gt;L1769,"Atrasada","Em aberto"),IF(G1769&lt;=L1769,"No prazo","Com atraso")))</f>
        <v/>
      </c>
      <c r="N1769" s="18">
        <f>IF(E1769="","",MAX(0,IF(G1769="",TODAY(),G1769)-L1769))</f>
        <v/>
      </c>
    </row>
    <row r="1770">
      <c r="E1770" s="22" t="n"/>
      <c r="G1770" s="22" t="n"/>
      <c r="I1770" s="22" t="n"/>
      <c r="L1770" s="20">
        <f>IF(E1770="","",E1770+IF(F1770="",IFERROR(VLOOKUP(C1770,Parametros!$E:$F,2,0),0),F1770))</f>
        <v/>
      </c>
      <c r="M1770" s="21">
        <f>IF(E1770="","",IF(G1770="",IF(TODAY()&gt;L1770,"Atrasada","Em aberto"),IF(G1770&lt;=L1770,"No prazo","Com atraso")))</f>
        <v/>
      </c>
      <c r="N1770" s="18">
        <f>IF(E1770="","",MAX(0,IF(G1770="",TODAY(),G1770)-L1770))</f>
        <v/>
      </c>
    </row>
    <row r="1771">
      <c r="E1771" s="22" t="n"/>
      <c r="G1771" s="22" t="n"/>
      <c r="I1771" s="22" t="n"/>
      <c r="L1771" s="20">
        <f>IF(E1771="","",E1771+IF(F1771="",IFERROR(VLOOKUP(C1771,Parametros!$E:$F,2,0),0),F1771))</f>
        <v/>
      </c>
      <c r="M1771" s="21">
        <f>IF(E1771="","",IF(G1771="",IF(TODAY()&gt;L1771,"Atrasada","Em aberto"),IF(G1771&lt;=L1771,"No prazo","Com atraso")))</f>
        <v/>
      </c>
      <c r="N1771" s="18">
        <f>IF(E1771="","",MAX(0,IF(G1771="",TODAY(),G1771)-L1771))</f>
        <v/>
      </c>
    </row>
    <row r="1772">
      <c r="E1772" s="22" t="n"/>
      <c r="G1772" s="22" t="n"/>
      <c r="I1772" s="22" t="n"/>
      <c r="L1772" s="20">
        <f>IF(E1772="","",E1772+IF(F1772="",IFERROR(VLOOKUP(C1772,Parametros!$E:$F,2,0),0),F1772))</f>
        <v/>
      </c>
      <c r="M1772" s="21">
        <f>IF(E1772="","",IF(G1772="",IF(TODAY()&gt;L1772,"Atrasada","Em aberto"),IF(G1772&lt;=L1772,"No prazo","Com atraso")))</f>
        <v/>
      </c>
      <c r="N1772" s="18">
        <f>IF(E1772="","",MAX(0,IF(G1772="",TODAY(),G1772)-L1772))</f>
        <v/>
      </c>
    </row>
    <row r="1773">
      <c r="E1773" s="22" t="n"/>
      <c r="G1773" s="22" t="n"/>
      <c r="I1773" s="22" t="n"/>
      <c r="L1773" s="20">
        <f>IF(E1773="","",E1773+IF(F1773="",IFERROR(VLOOKUP(C1773,Parametros!$E:$F,2,0),0),F1773))</f>
        <v/>
      </c>
      <c r="M1773" s="21">
        <f>IF(E1773="","",IF(G1773="",IF(TODAY()&gt;L1773,"Atrasada","Em aberto"),IF(G1773&lt;=L1773,"No prazo","Com atraso")))</f>
        <v/>
      </c>
      <c r="N1773" s="18">
        <f>IF(E1773="","",MAX(0,IF(G1773="",TODAY(),G1773)-L1773))</f>
        <v/>
      </c>
    </row>
    <row r="1774">
      <c r="E1774" s="22" t="n"/>
      <c r="G1774" s="22" t="n"/>
      <c r="I1774" s="22" t="n"/>
      <c r="L1774" s="20">
        <f>IF(E1774="","",E1774+IF(F1774="",IFERROR(VLOOKUP(C1774,Parametros!$E:$F,2,0),0),F1774))</f>
        <v/>
      </c>
      <c r="M1774" s="21">
        <f>IF(E1774="","",IF(G1774="",IF(TODAY()&gt;L1774,"Atrasada","Em aberto"),IF(G1774&lt;=L1774,"No prazo","Com atraso")))</f>
        <v/>
      </c>
      <c r="N1774" s="18">
        <f>IF(E1774="","",MAX(0,IF(G1774="",TODAY(),G1774)-L1774))</f>
        <v/>
      </c>
    </row>
    <row r="1775">
      <c r="E1775" s="22" t="n"/>
      <c r="G1775" s="22" t="n"/>
      <c r="I1775" s="22" t="n"/>
      <c r="L1775" s="20">
        <f>IF(E1775="","",E1775+IF(F1775="",IFERROR(VLOOKUP(C1775,Parametros!$E:$F,2,0),0),F1775))</f>
        <v/>
      </c>
      <c r="M1775" s="21">
        <f>IF(E1775="","",IF(G1775="",IF(TODAY()&gt;L1775,"Atrasada","Em aberto"),IF(G1775&lt;=L1775,"No prazo","Com atraso")))</f>
        <v/>
      </c>
      <c r="N1775" s="18">
        <f>IF(E1775="","",MAX(0,IF(G1775="",TODAY(),G1775)-L1775))</f>
        <v/>
      </c>
    </row>
    <row r="1776">
      <c r="E1776" s="22" t="n"/>
      <c r="G1776" s="22" t="n"/>
      <c r="I1776" s="22" t="n"/>
      <c r="L1776" s="20">
        <f>IF(E1776="","",E1776+IF(F1776="",IFERROR(VLOOKUP(C1776,Parametros!$E:$F,2,0),0),F1776))</f>
        <v/>
      </c>
      <c r="M1776" s="21">
        <f>IF(E1776="","",IF(G1776="",IF(TODAY()&gt;L1776,"Atrasada","Em aberto"),IF(G1776&lt;=L1776,"No prazo","Com atraso")))</f>
        <v/>
      </c>
      <c r="N1776" s="18">
        <f>IF(E1776="","",MAX(0,IF(G1776="",TODAY(),G1776)-L1776))</f>
        <v/>
      </c>
    </row>
    <row r="1777">
      <c r="E1777" s="22" t="n"/>
      <c r="G1777" s="22" t="n"/>
      <c r="I1777" s="22" t="n"/>
      <c r="L1777" s="20">
        <f>IF(E1777="","",E1777+IF(F1777="",IFERROR(VLOOKUP(C1777,Parametros!$E:$F,2,0),0),F1777))</f>
        <v/>
      </c>
      <c r="M1777" s="21">
        <f>IF(E1777="","",IF(G1777="",IF(TODAY()&gt;L1777,"Atrasada","Em aberto"),IF(G1777&lt;=L1777,"No prazo","Com atraso")))</f>
        <v/>
      </c>
      <c r="N1777" s="18">
        <f>IF(E1777="","",MAX(0,IF(G1777="",TODAY(),G1777)-L1777))</f>
        <v/>
      </c>
    </row>
    <row r="1778">
      <c r="E1778" s="22" t="n"/>
      <c r="G1778" s="22" t="n"/>
      <c r="I1778" s="22" t="n"/>
      <c r="L1778" s="20">
        <f>IF(E1778="","",E1778+IF(F1778="",IFERROR(VLOOKUP(C1778,Parametros!$E:$F,2,0),0),F1778))</f>
        <v/>
      </c>
      <c r="M1778" s="21">
        <f>IF(E1778="","",IF(G1778="",IF(TODAY()&gt;L1778,"Atrasada","Em aberto"),IF(G1778&lt;=L1778,"No prazo","Com atraso")))</f>
        <v/>
      </c>
      <c r="N1778" s="18">
        <f>IF(E1778="","",MAX(0,IF(G1778="",TODAY(),G1778)-L1778))</f>
        <v/>
      </c>
    </row>
    <row r="1779">
      <c r="E1779" s="22" t="n"/>
      <c r="G1779" s="22" t="n"/>
      <c r="I1779" s="22" t="n"/>
      <c r="L1779" s="20">
        <f>IF(E1779="","",E1779+IF(F1779="",IFERROR(VLOOKUP(C1779,Parametros!$E:$F,2,0),0),F1779))</f>
        <v/>
      </c>
      <c r="M1779" s="21">
        <f>IF(E1779="","",IF(G1779="",IF(TODAY()&gt;L1779,"Atrasada","Em aberto"),IF(G1779&lt;=L1779,"No prazo","Com atraso")))</f>
        <v/>
      </c>
      <c r="N1779" s="18">
        <f>IF(E1779="","",MAX(0,IF(G1779="",TODAY(),G1779)-L1779))</f>
        <v/>
      </c>
    </row>
    <row r="1780">
      <c r="E1780" s="22" t="n"/>
      <c r="G1780" s="22" t="n"/>
      <c r="I1780" s="22" t="n"/>
      <c r="L1780" s="20">
        <f>IF(E1780="","",E1780+IF(F1780="",IFERROR(VLOOKUP(C1780,Parametros!$E:$F,2,0),0),F1780))</f>
        <v/>
      </c>
      <c r="M1780" s="21">
        <f>IF(E1780="","",IF(G1780="",IF(TODAY()&gt;L1780,"Atrasada","Em aberto"),IF(G1780&lt;=L1780,"No prazo","Com atraso")))</f>
        <v/>
      </c>
      <c r="N1780" s="18">
        <f>IF(E1780="","",MAX(0,IF(G1780="",TODAY(),G1780)-L1780))</f>
        <v/>
      </c>
    </row>
    <row r="1781">
      <c r="E1781" s="22" t="n"/>
      <c r="G1781" s="22" t="n"/>
      <c r="I1781" s="22" t="n"/>
      <c r="L1781" s="20">
        <f>IF(E1781="","",E1781+IF(F1781="",IFERROR(VLOOKUP(C1781,Parametros!$E:$F,2,0),0),F1781))</f>
        <v/>
      </c>
      <c r="M1781" s="21">
        <f>IF(E1781="","",IF(G1781="",IF(TODAY()&gt;L1781,"Atrasada","Em aberto"),IF(G1781&lt;=L1781,"No prazo","Com atraso")))</f>
        <v/>
      </c>
      <c r="N1781" s="18">
        <f>IF(E1781="","",MAX(0,IF(G1781="",TODAY(),G1781)-L1781))</f>
        <v/>
      </c>
    </row>
    <row r="1782">
      <c r="E1782" s="22" t="n"/>
      <c r="G1782" s="22" t="n"/>
      <c r="I1782" s="22" t="n"/>
      <c r="L1782" s="20">
        <f>IF(E1782="","",E1782+IF(F1782="",IFERROR(VLOOKUP(C1782,Parametros!$E:$F,2,0),0),F1782))</f>
        <v/>
      </c>
      <c r="M1782" s="21">
        <f>IF(E1782="","",IF(G1782="",IF(TODAY()&gt;L1782,"Atrasada","Em aberto"),IF(G1782&lt;=L1782,"No prazo","Com atraso")))</f>
        <v/>
      </c>
      <c r="N1782" s="18">
        <f>IF(E1782="","",MAX(0,IF(G1782="",TODAY(),G1782)-L1782))</f>
        <v/>
      </c>
    </row>
    <row r="1783">
      <c r="E1783" s="22" t="n"/>
      <c r="G1783" s="22" t="n"/>
      <c r="I1783" s="22" t="n"/>
      <c r="L1783" s="20">
        <f>IF(E1783="","",E1783+IF(F1783="",IFERROR(VLOOKUP(C1783,Parametros!$E:$F,2,0),0),F1783))</f>
        <v/>
      </c>
      <c r="M1783" s="21">
        <f>IF(E1783="","",IF(G1783="",IF(TODAY()&gt;L1783,"Atrasada","Em aberto"),IF(G1783&lt;=L1783,"No prazo","Com atraso")))</f>
        <v/>
      </c>
      <c r="N1783" s="18">
        <f>IF(E1783="","",MAX(0,IF(G1783="",TODAY(),G1783)-L1783))</f>
        <v/>
      </c>
    </row>
    <row r="1784">
      <c r="E1784" s="22" t="n"/>
      <c r="G1784" s="22" t="n"/>
      <c r="I1784" s="22" t="n"/>
      <c r="L1784" s="20">
        <f>IF(E1784="","",E1784+IF(F1784="",IFERROR(VLOOKUP(C1784,Parametros!$E:$F,2,0),0),F1784))</f>
        <v/>
      </c>
      <c r="M1784" s="21">
        <f>IF(E1784="","",IF(G1784="",IF(TODAY()&gt;L1784,"Atrasada","Em aberto"),IF(G1784&lt;=L1784,"No prazo","Com atraso")))</f>
        <v/>
      </c>
      <c r="N1784" s="18">
        <f>IF(E1784="","",MAX(0,IF(G1784="",TODAY(),G1784)-L1784))</f>
        <v/>
      </c>
    </row>
    <row r="1785">
      <c r="E1785" s="22" t="n"/>
      <c r="G1785" s="22" t="n"/>
      <c r="I1785" s="22" t="n"/>
      <c r="L1785" s="20">
        <f>IF(E1785="","",E1785+IF(F1785="",IFERROR(VLOOKUP(C1785,Parametros!$E:$F,2,0),0),F1785))</f>
        <v/>
      </c>
      <c r="M1785" s="21">
        <f>IF(E1785="","",IF(G1785="",IF(TODAY()&gt;L1785,"Atrasada","Em aberto"),IF(G1785&lt;=L1785,"No prazo","Com atraso")))</f>
        <v/>
      </c>
      <c r="N1785" s="18">
        <f>IF(E1785="","",MAX(0,IF(G1785="",TODAY(),G1785)-L1785))</f>
        <v/>
      </c>
    </row>
    <row r="1786">
      <c r="E1786" s="22" t="n"/>
      <c r="G1786" s="22" t="n"/>
      <c r="I1786" s="22" t="n"/>
      <c r="L1786" s="20">
        <f>IF(E1786="","",E1786+IF(F1786="",IFERROR(VLOOKUP(C1786,Parametros!$E:$F,2,0),0),F1786))</f>
        <v/>
      </c>
      <c r="M1786" s="21">
        <f>IF(E1786="","",IF(G1786="",IF(TODAY()&gt;L1786,"Atrasada","Em aberto"),IF(G1786&lt;=L1786,"No prazo","Com atraso")))</f>
        <v/>
      </c>
      <c r="N1786" s="18">
        <f>IF(E1786="","",MAX(0,IF(G1786="",TODAY(),G1786)-L1786))</f>
        <v/>
      </c>
    </row>
    <row r="1787">
      <c r="E1787" s="22" t="n"/>
      <c r="G1787" s="22" t="n"/>
      <c r="I1787" s="22" t="n"/>
      <c r="L1787" s="20">
        <f>IF(E1787="","",E1787+IF(F1787="",IFERROR(VLOOKUP(C1787,Parametros!$E:$F,2,0),0),F1787))</f>
        <v/>
      </c>
      <c r="M1787" s="21">
        <f>IF(E1787="","",IF(G1787="",IF(TODAY()&gt;L1787,"Atrasada","Em aberto"),IF(G1787&lt;=L1787,"No prazo","Com atraso")))</f>
        <v/>
      </c>
      <c r="N1787" s="18">
        <f>IF(E1787="","",MAX(0,IF(G1787="",TODAY(),G1787)-L1787))</f>
        <v/>
      </c>
    </row>
    <row r="1788">
      <c r="E1788" s="22" t="n"/>
      <c r="G1788" s="22" t="n"/>
      <c r="I1788" s="22" t="n"/>
      <c r="L1788" s="20">
        <f>IF(E1788="","",E1788+IF(F1788="",IFERROR(VLOOKUP(C1788,Parametros!$E:$F,2,0),0),F1788))</f>
        <v/>
      </c>
      <c r="M1788" s="21">
        <f>IF(E1788="","",IF(G1788="",IF(TODAY()&gt;L1788,"Atrasada","Em aberto"),IF(G1788&lt;=L1788,"No prazo","Com atraso")))</f>
        <v/>
      </c>
      <c r="N1788" s="18">
        <f>IF(E1788="","",MAX(0,IF(G1788="",TODAY(),G1788)-L1788))</f>
        <v/>
      </c>
    </row>
    <row r="1789">
      <c r="E1789" s="22" t="n"/>
      <c r="G1789" s="22" t="n"/>
      <c r="I1789" s="22" t="n"/>
      <c r="L1789" s="20">
        <f>IF(E1789="","",E1789+IF(F1789="",IFERROR(VLOOKUP(C1789,Parametros!$E:$F,2,0),0),F1789))</f>
        <v/>
      </c>
      <c r="M1789" s="21">
        <f>IF(E1789="","",IF(G1789="",IF(TODAY()&gt;L1789,"Atrasada","Em aberto"),IF(G1789&lt;=L1789,"No prazo","Com atraso")))</f>
        <v/>
      </c>
      <c r="N1789" s="18">
        <f>IF(E1789="","",MAX(0,IF(G1789="",TODAY(),G1789)-L1789))</f>
        <v/>
      </c>
    </row>
    <row r="1790">
      <c r="E1790" s="22" t="n"/>
      <c r="G1790" s="22" t="n"/>
      <c r="I1790" s="22" t="n"/>
      <c r="L1790" s="20">
        <f>IF(E1790="","",E1790+IF(F1790="",IFERROR(VLOOKUP(C1790,Parametros!$E:$F,2,0),0),F1790))</f>
        <v/>
      </c>
      <c r="M1790" s="21">
        <f>IF(E1790="","",IF(G1790="",IF(TODAY()&gt;L1790,"Atrasada","Em aberto"),IF(G1790&lt;=L1790,"No prazo","Com atraso")))</f>
        <v/>
      </c>
      <c r="N1790" s="18">
        <f>IF(E1790="","",MAX(0,IF(G1790="",TODAY(),G1790)-L1790))</f>
        <v/>
      </c>
    </row>
    <row r="1791">
      <c r="E1791" s="22" t="n"/>
      <c r="G1791" s="22" t="n"/>
      <c r="I1791" s="22" t="n"/>
      <c r="L1791" s="20">
        <f>IF(E1791="","",E1791+IF(F1791="",IFERROR(VLOOKUP(C1791,Parametros!$E:$F,2,0),0),F1791))</f>
        <v/>
      </c>
      <c r="M1791" s="21">
        <f>IF(E1791="","",IF(G1791="",IF(TODAY()&gt;L1791,"Atrasada","Em aberto"),IF(G1791&lt;=L1791,"No prazo","Com atraso")))</f>
        <v/>
      </c>
      <c r="N1791" s="18">
        <f>IF(E1791="","",MAX(0,IF(G1791="",TODAY(),G1791)-L1791))</f>
        <v/>
      </c>
    </row>
    <row r="1792">
      <c r="E1792" s="22" t="n"/>
      <c r="G1792" s="22" t="n"/>
      <c r="I1792" s="22" t="n"/>
      <c r="L1792" s="20">
        <f>IF(E1792="","",E1792+IF(F1792="",IFERROR(VLOOKUP(C1792,Parametros!$E:$F,2,0),0),F1792))</f>
        <v/>
      </c>
      <c r="M1792" s="21">
        <f>IF(E1792="","",IF(G1792="",IF(TODAY()&gt;L1792,"Atrasada","Em aberto"),IF(G1792&lt;=L1792,"No prazo","Com atraso")))</f>
        <v/>
      </c>
      <c r="N1792" s="18">
        <f>IF(E1792="","",MAX(0,IF(G1792="",TODAY(),G1792)-L1792))</f>
        <v/>
      </c>
    </row>
    <row r="1793">
      <c r="E1793" s="22" t="n"/>
      <c r="G1793" s="22" t="n"/>
      <c r="I1793" s="22" t="n"/>
      <c r="L1793" s="20">
        <f>IF(E1793="","",E1793+IF(F1793="",IFERROR(VLOOKUP(C1793,Parametros!$E:$F,2,0),0),F1793))</f>
        <v/>
      </c>
      <c r="M1793" s="21">
        <f>IF(E1793="","",IF(G1793="",IF(TODAY()&gt;L1793,"Atrasada","Em aberto"),IF(G1793&lt;=L1793,"No prazo","Com atraso")))</f>
        <v/>
      </c>
      <c r="N1793" s="18">
        <f>IF(E1793="","",MAX(0,IF(G1793="",TODAY(),G1793)-L1793))</f>
        <v/>
      </c>
    </row>
    <row r="1794">
      <c r="E1794" s="22" t="n"/>
      <c r="G1794" s="22" t="n"/>
      <c r="I1794" s="22" t="n"/>
      <c r="L1794" s="20">
        <f>IF(E1794="","",E1794+IF(F1794="",IFERROR(VLOOKUP(C1794,Parametros!$E:$F,2,0),0),F1794))</f>
        <v/>
      </c>
      <c r="M1794" s="21">
        <f>IF(E1794="","",IF(G1794="",IF(TODAY()&gt;L1794,"Atrasada","Em aberto"),IF(G1794&lt;=L1794,"No prazo","Com atraso")))</f>
        <v/>
      </c>
      <c r="N1794" s="18">
        <f>IF(E1794="","",MAX(0,IF(G1794="",TODAY(),G1794)-L1794))</f>
        <v/>
      </c>
    </row>
    <row r="1795">
      <c r="E1795" s="22" t="n"/>
      <c r="G1795" s="22" t="n"/>
      <c r="I1795" s="22" t="n"/>
      <c r="L1795" s="20">
        <f>IF(E1795="","",E1795+IF(F1795="",IFERROR(VLOOKUP(C1795,Parametros!$E:$F,2,0),0),F1795))</f>
        <v/>
      </c>
      <c r="M1795" s="21">
        <f>IF(E1795="","",IF(G1795="",IF(TODAY()&gt;L1795,"Atrasada","Em aberto"),IF(G1795&lt;=L1795,"No prazo","Com atraso")))</f>
        <v/>
      </c>
      <c r="N1795" s="18">
        <f>IF(E1795="","",MAX(0,IF(G1795="",TODAY(),G1795)-L1795))</f>
        <v/>
      </c>
    </row>
    <row r="1796">
      <c r="E1796" s="22" t="n"/>
      <c r="G1796" s="22" t="n"/>
      <c r="I1796" s="22" t="n"/>
      <c r="L1796" s="20">
        <f>IF(E1796="","",E1796+IF(F1796="",IFERROR(VLOOKUP(C1796,Parametros!$E:$F,2,0),0),F1796))</f>
        <v/>
      </c>
      <c r="M1796" s="21">
        <f>IF(E1796="","",IF(G1796="",IF(TODAY()&gt;L1796,"Atrasada","Em aberto"),IF(G1796&lt;=L1796,"No prazo","Com atraso")))</f>
        <v/>
      </c>
      <c r="N1796" s="18">
        <f>IF(E1796="","",MAX(0,IF(G1796="",TODAY(),G1796)-L1796))</f>
        <v/>
      </c>
    </row>
    <row r="1797">
      <c r="E1797" s="22" t="n"/>
      <c r="G1797" s="22" t="n"/>
      <c r="I1797" s="22" t="n"/>
      <c r="L1797" s="20">
        <f>IF(E1797="","",E1797+IF(F1797="",IFERROR(VLOOKUP(C1797,Parametros!$E:$F,2,0),0),F1797))</f>
        <v/>
      </c>
      <c r="M1797" s="21">
        <f>IF(E1797="","",IF(G1797="",IF(TODAY()&gt;L1797,"Atrasada","Em aberto"),IF(G1797&lt;=L1797,"No prazo","Com atraso")))</f>
        <v/>
      </c>
      <c r="N1797" s="18">
        <f>IF(E1797="","",MAX(0,IF(G1797="",TODAY(),G1797)-L1797))</f>
        <v/>
      </c>
    </row>
    <row r="1798">
      <c r="E1798" s="22" t="n"/>
      <c r="G1798" s="22" t="n"/>
      <c r="I1798" s="22" t="n"/>
      <c r="L1798" s="20">
        <f>IF(E1798="","",E1798+IF(F1798="",IFERROR(VLOOKUP(C1798,Parametros!$E:$F,2,0),0),F1798))</f>
        <v/>
      </c>
      <c r="M1798" s="21">
        <f>IF(E1798="","",IF(G1798="",IF(TODAY()&gt;L1798,"Atrasada","Em aberto"),IF(G1798&lt;=L1798,"No prazo","Com atraso")))</f>
        <v/>
      </c>
      <c r="N1798" s="18">
        <f>IF(E1798="","",MAX(0,IF(G1798="",TODAY(),G1798)-L1798))</f>
        <v/>
      </c>
    </row>
    <row r="1799">
      <c r="E1799" s="22" t="n"/>
      <c r="G1799" s="22" t="n"/>
      <c r="I1799" s="22" t="n"/>
      <c r="L1799" s="20">
        <f>IF(E1799="","",E1799+IF(F1799="",IFERROR(VLOOKUP(C1799,Parametros!$E:$F,2,0),0),F1799))</f>
        <v/>
      </c>
      <c r="M1799" s="21">
        <f>IF(E1799="","",IF(G1799="",IF(TODAY()&gt;L1799,"Atrasada","Em aberto"),IF(G1799&lt;=L1799,"No prazo","Com atraso")))</f>
        <v/>
      </c>
      <c r="N1799" s="18">
        <f>IF(E1799="","",MAX(0,IF(G1799="",TODAY(),G1799)-L1799))</f>
        <v/>
      </c>
    </row>
    <row r="1800">
      <c r="E1800" s="22" t="n"/>
      <c r="G1800" s="22" t="n"/>
      <c r="I1800" s="22" t="n"/>
      <c r="L1800" s="20">
        <f>IF(E1800="","",E1800+IF(F1800="",IFERROR(VLOOKUP(C1800,Parametros!$E:$F,2,0),0),F1800))</f>
        <v/>
      </c>
      <c r="M1800" s="21">
        <f>IF(E1800="","",IF(G1800="",IF(TODAY()&gt;L1800,"Atrasada","Em aberto"),IF(G1800&lt;=L1800,"No prazo","Com atraso")))</f>
        <v/>
      </c>
      <c r="N1800" s="18">
        <f>IF(E1800="","",MAX(0,IF(G1800="",TODAY(),G1800)-L1800))</f>
        <v/>
      </c>
    </row>
    <row r="1801">
      <c r="E1801" s="22" t="n"/>
      <c r="G1801" s="22" t="n"/>
      <c r="I1801" s="22" t="n"/>
      <c r="L1801" s="20">
        <f>IF(E1801="","",E1801+IF(F1801="",IFERROR(VLOOKUP(C1801,Parametros!$E:$F,2,0),0),F1801))</f>
        <v/>
      </c>
      <c r="M1801" s="21">
        <f>IF(E1801="","",IF(G1801="",IF(TODAY()&gt;L1801,"Atrasada","Em aberto"),IF(G1801&lt;=L1801,"No prazo","Com atraso")))</f>
        <v/>
      </c>
      <c r="N1801" s="18">
        <f>IF(E1801="","",MAX(0,IF(G1801="",TODAY(),G1801)-L1801))</f>
        <v/>
      </c>
    </row>
    <row r="1802">
      <c r="E1802" s="22" t="n"/>
      <c r="G1802" s="22" t="n"/>
      <c r="I1802" s="22" t="n"/>
      <c r="L1802" s="20">
        <f>IF(E1802="","",E1802+IF(F1802="",IFERROR(VLOOKUP(C1802,Parametros!$E:$F,2,0),0),F1802))</f>
        <v/>
      </c>
      <c r="M1802" s="21">
        <f>IF(E1802="","",IF(G1802="",IF(TODAY()&gt;L1802,"Atrasada","Em aberto"),IF(G1802&lt;=L1802,"No prazo","Com atraso")))</f>
        <v/>
      </c>
      <c r="N1802" s="18">
        <f>IF(E1802="","",MAX(0,IF(G1802="",TODAY(),G1802)-L1802))</f>
        <v/>
      </c>
    </row>
    <row r="1803">
      <c r="E1803" s="22" t="n"/>
      <c r="G1803" s="22" t="n"/>
      <c r="I1803" s="22" t="n"/>
      <c r="L1803" s="20">
        <f>IF(E1803="","",E1803+IF(F1803="",IFERROR(VLOOKUP(C1803,Parametros!$E:$F,2,0),0),F1803))</f>
        <v/>
      </c>
      <c r="M1803" s="21">
        <f>IF(E1803="","",IF(G1803="",IF(TODAY()&gt;L1803,"Atrasada","Em aberto"),IF(G1803&lt;=L1803,"No prazo","Com atraso")))</f>
        <v/>
      </c>
      <c r="N1803" s="18">
        <f>IF(E1803="","",MAX(0,IF(G1803="",TODAY(),G1803)-L1803))</f>
        <v/>
      </c>
    </row>
    <row r="1804">
      <c r="E1804" s="22" t="n"/>
      <c r="G1804" s="22" t="n"/>
      <c r="I1804" s="22" t="n"/>
      <c r="L1804" s="20">
        <f>IF(E1804="","",E1804+IF(F1804="",IFERROR(VLOOKUP(C1804,Parametros!$E:$F,2,0),0),F1804))</f>
        <v/>
      </c>
      <c r="M1804" s="21">
        <f>IF(E1804="","",IF(G1804="",IF(TODAY()&gt;L1804,"Atrasada","Em aberto"),IF(G1804&lt;=L1804,"No prazo","Com atraso")))</f>
        <v/>
      </c>
      <c r="N1804" s="18">
        <f>IF(E1804="","",MAX(0,IF(G1804="",TODAY(),G1804)-L1804))</f>
        <v/>
      </c>
    </row>
    <row r="1805">
      <c r="E1805" s="22" t="n"/>
      <c r="G1805" s="22" t="n"/>
      <c r="I1805" s="22" t="n"/>
      <c r="L1805" s="20">
        <f>IF(E1805="","",E1805+IF(F1805="",IFERROR(VLOOKUP(C1805,Parametros!$E:$F,2,0),0),F1805))</f>
        <v/>
      </c>
      <c r="M1805" s="21">
        <f>IF(E1805="","",IF(G1805="",IF(TODAY()&gt;L1805,"Atrasada","Em aberto"),IF(G1805&lt;=L1805,"No prazo","Com atraso")))</f>
        <v/>
      </c>
      <c r="N1805" s="18">
        <f>IF(E1805="","",MAX(0,IF(G1805="",TODAY(),G1805)-L1805))</f>
        <v/>
      </c>
    </row>
    <row r="1806">
      <c r="E1806" s="22" t="n"/>
      <c r="G1806" s="22" t="n"/>
      <c r="I1806" s="22" t="n"/>
      <c r="L1806" s="20">
        <f>IF(E1806="","",E1806+IF(F1806="",IFERROR(VLOOKUP(C1806,Parametros!$E:$F,2,0),0),F1806))</f>
        <v/>
      </c>
      <c r="M1806" s="21">
        <f>IF(E1806="","",IF(G1806="",IF(TODAY()&gt;L1806,"Atrasada","Em aberto"),IF(G1806&lt;=L1806,"No prazo","Com atraso")))</f>
        <v/>
      </c>
      <c r="N1806" s="18">
        <f>IF(E1806="","",MAX(0,IF(G1806="",TODAY(),G1806)-L1806))</f>
        <v/>
      </c>
    </row>
    <row r="1807">
      <c r="E1807" s="22" t="n"/>
      <c r="G1807" s="22" t="n"/>
      <c r="I1807" s="22" t="n"/>
      <c r="L1807" s="20">
        <f>IF(E1807="","",E1807+IF(F1807="",IFERROR(VLOOKUP(C1807,Parametros!$E:$F,2,0),0),F1807))</f>
        <v/>
      </c>
      <c r="M1807" s="21">
        <f>IF(E1807="","",IF(G1807="",IF(TODAY()&gt;L1807,"Atrasada","Em aberto"),IF(G1807&lt;=L1807,"No prazo","Com atraso")))</f>
        <v/>
      </c>
      <c r="N1807" s="18">
        <f>IF(E1807="","",MAX(0,IF(G1807="",TODAY(),G1807)-L1807))</f>
        <v/>
      </c>
    </row>
    <row r="1808">
      <c r="E1808" s="22" t="n"/>
      <c r="G1808" s="22" t="n"/>
      <c r="I1808" s="22" t="n"/>
      <c r="L1808" s="20">
        <f>IF(E1808="","",E1808+IF(F1808="",IFERROR(VLOOKUP(C1808,Parametros!$E:$F,2,0),0),F1808))</f>
        <v/>
      </c>
      <c r="M1808" s="21">
        <f>IF(E1808="","",IF(G1808="",IF(TODAY()&gt;L1808,"Atrasada","Em aberto"),IF(G1808&lt;=L1808,"No prazo","Com atraso")))</f>
        <v/>
      </c>
      <c r="N1808" s="18">
        <f>IF(E1808="","",MAX(0,IF(G1808="",TODAY(),G1808)-L1808))</f>
        <v/>
      </c>
    </row>
    <row r="1809">
      <c r="E1809" s="22" t="n"/>
      <c r="G1809" s="22" t="n"/>
      <c r="I1809" s="22" t="n"/>
      <c r="L1809" s="20">
        <f>IF(E1809="","",E1809+IF(F1809="",IFERROR(VLOOKUP(C1809,Parametros!$E:$F,2,0),0),F1809))</f>
        <v/>
      </c>
      <c r="M1809" s="21">
        <f>IF(E1809="","",IF(G1809="",IF(TODAY()&gt;L1809,"Atrasada","Em aberto"),IF(G1809&lt;=L1809,"No prazo","Com atraso")))</f>
        <v/>
      </c>
      <c r="N1809" s="18">
        <f>IF(E1809="","",MAX(0,IF(G1809="",TODAY(),G1809)-L1809))</f>
        <v/>
      </c>
    </row>
    <row r="1810">
      <c r="E1810" s="22" t="n"/>
      <c r="G1810" s="22" t="n"/>
      <c r="I1810" s="22" t="n"/>
      <c r="L1810" s="20">
        <f>IF(E1810="","",E1810+IF(F1810="",IFERROR(VLOOKUP(C1810,Parametros!$E:$F,2,0),0),F1810))</f>
        <v/>
      </c>
      <c r="M1810" s="21">
        <f>IF(E1810="","",IF(G1810="",IF(TODAY()&gt;L1810,"Atrasada","Em aberto"),IF(G1810&lt;=L1810,"No prazo","Com atraso")))</f>
        <v/>
      </c>
      <c r="N1810" s="18">
        <f>IF(E1810="","",MAX(0,IF(G1810="",TODAY(),G1810)-L1810))</f>
        <v/>
      </c>
    </row>
    <row r="1811">
      <c r="E1811" s="22" t="n"/>
      <c r="G1811" s="22" t="n"/>
      <c r="I1811" s="22" t="n"/>
      <c r="L1811" s="20">
        <f>IF(E1811="","",E1811+IF(F1811="",IFERROR(VLOOKUP(C1811,Parametros!$E:$F,2,0),0),F1811))</f>
        <v/>
      </c>
      <c r="M1811" s="21">
        <f>IF(E1811="","",IF(G1811="",IF(TODAY()&gt;L1811,"Atrasada","Em aberto"),IF(G1811&lt;=L1811,"No prazo","Com atraso")))</f>
        <v/>
      </c>
      <c r="N1811" s="18">
        <f>IF(E1811="","",MAX(0,IF(G1811="",TODAY(),G1811)-L1811))</f>
        <v/>
      </c>
    </row>
    <row r="1812">
      <c r="E1812" s="22" t="n"/>
      <c r="G1812" s="22" t="n"/>
      <c r="I1812" s="22" t="n"/>
      <c r="L1812" s="20">
        <f>IF(E1812="","",E1812+IF(F1812="",IFERROR(VLOOKUP(C1812,Parametros!$E:$F,2,0),0),F1812))</f>
        <v/>
      </c>
      <c r="M1812" s="21">
        <f>IF(E1812="","",IF(G1812="",IF(TODAY()&gt;L1812,"Atrasada","Em aberto"),IF(G1812&lt;=L1812,"No prazo","Com atraso")))</f>
        <v/>
      </c>
      <c r="N1812" s="18">
        <f>IF(E1812="","",MAX(0,IF(G1812="",TODAY(),G1812)-L1812))</f>
        <v/>
      </c>
    </row>
    <row r="1813">
      <c r="E1813" s="22" t="n"/>
      <c r="G1813" s="22" t="n"/>
      <c r="I1813" s="22" t="n"/>
      <c r="L1813" s="20">
        <f>IF(E1813="","",E1813+IF(F1813="",IFERROR(VLOOKUP(C1813,Parametros!$E:$F,2,0),0),F1813))</f>
        <v/>
      </c>
      <c r="M1813" s="21">
        <f>IF(E1813="","",IF(G1813="",IF(TODAY()&gt;L1813,"Atrasada","Em aberto"),IF(G1813&lt;=L1813,"No prazo","Com atraso")))</f>
        <v/>
      </c>
      <c r="N1813" s="18">
        <f>IF(E1813="","",MAX(0,IF(G1813="",TODAY(),G1813)-L1813))</f>
        <v/>
      </c>
    </row>
    <row r="1814">
      <c r="E1814" s="22" t="n"/>
      <c r="G1814" s="22" t="n"/>
      <c r="I1814" s="22" t="n"/>
      <c r="L1814" s="20">
        <f>IF(E1814="","",E1814+IF(F1814="",IFERROR(VLOOKUP(C1814,Parametros!$E:$F,2,0),0),F1814))</f>
        <v/>
      </c>
      <c r="M1814" s="21">
        <f>IF(E1814="","",IF(G1814="",IF(TODAY()&gt;L1814,"Atrasada","Em aberto"),IF(G1814&lt;=L1814,"No prazo","Com atraso")))</f>
        <v/>
      </c>
      <c r="N1814" s="18">
        <f>IF(E1814="","",MAX(0,IF(G1814="",TODAY(),G1814)-L1814))</f>
        <v/>
      </c>
    </row>
    <row r="1815">
      <c r="E1815" s="22" t="n"/>
      <c r="G1815" s="22" t="n"/>
      <c r="I1815" s="22" t="n"/>
      <c r="L1815" s="20">
        <f>IF(E1815="","",E1815+IF(F1815="",IFERROR(VLOOKUP(C1815,Parametros!$E:$F,2,0),0),F1815))</f>
        <v/>
      </c>
      <c r="M1815" s="21">
        <f>IF(E1815="","",IF(G1815="",IF(TODAY()&gt;L1815,"Atrasada","Em aberto"),IF(G1815&lt;=L1815,"No prazo","Com atraso")))</f>
        <v/>
      </c>
      <c r="N1815" s="18">
        <f>IF(E1815="","",MAX(0,IF(G1815="",TODAY(),G1815)-L1815))</f>
        <v/>
      </c>
    </row>
    <row r="1816">
      <c r="E1816" s="22" t="n"/>
      <c r="G1816" s="22" t="n"/>
      <c r="I1816" s="22" t="n"/>
      <c r="L1816" s="20">
        <f>IF(E1816="","",E1816+IF(F1816="",IFERROR(VLOOKUP(C1816,Parametros!$E:$F,2,0),0),F1816))</f>
        <v/>
      </c>
      <c r="M1816" s="21">
        <f>IF(E1816="","",IF(G1816="",IF(TODAY()&gt;L1816,"Atrasada","Em aberto"),IF(G1816&lt;=L1816,"No prazo","Com atraso")))</f>
        <v/>
      </c>
      <c r="N1816" s="18">
        <f>IF(E1816="","",MAX(0,IF(G1816="",TODAY(),G1816)-L1816))</f>
        <v/>
      </c>
    </row>
    <row r="1817">
      <c r="E1817" s="22" t="n"/>
      <c r="G1817" s="22" t="n"/>
      <c r="I1817" s="22" t="n"/>
      <c r="L1817" s="20">
        <f>IF(E1817="","",E1817+IF(F1817="",IFERROR(VLOOKUP(C1817,Parametros!$E:$F,2,0),0),F1817))</f>
        <v/>
      </c>
      <c r="M1817" s="21">
        <f>IF(E1817="","",IF(G1817="",IF(TODAY()&gt;L1817,"Atrasada","Em aberto"),IF(G1817&lt;=L1817,"No prazo","Com atraso")))</f>
        <v/>
      </c>
      <c r="N1817" s="18">
        <f>IF(E1817="","",MAX(0,IF(G1817="",TODAY(),G1817)-L1817))</f>
        <v/>
      </c>
    </row>
    <row r="1818">
      <c r="E1818" s="22" t="n"/>
      <c r="G1818" s="22" t="n"/>
      <c r="I1818" s="22" t="n"/>
      <c r="L1818" s="20">
        <f>IF(E1818="","",E1818+IF(F1818="",IFERROR(VLOOKUP(C1818,Parametros!$E:$F,2,0),0),F1818))</f>
        <v/>
      </c>
      <c r="M1818" s="21">
        <f>IF(E1818="","",IF(G1818="",IF(TODAY()&gt;L1818,"Atrasada","Em aberto"),IF(G1818&lt;=L1818,"No prazo","Com atraso")))</f>
        <v/>
      </c>
      <c r="N1818" s="18">
        <f>IF(E1818="","",MAX(0,IF(G1818="",TODAY(),G1818)-L1818))</f>
        <v/>
      </c>
    </row>
    <row r="1819">
      <c r="E1819" s="22" t="n"/>
      <c r="G1819" s="22" t="n"/>
      <c r="I1819" s="22" t="n"/>
      <c r="L1819" s="20">
        <f>IF(E1819="","",E1819+IF(F1819="",IFERROR(VLOOKUP(C1819,Parametros!$E:$F,2,0),0),F1819))</f>
        <v/>
      </c>
      <c r="M1819" s="21">
        <f>IF(E1819="","",IF(G1819="",IF(TODAY()&gt;L1819,"Atrasada","Em aberto"),IF(G1819&lt;=L1819,"No prazo","Com atraso")))</f>
        <v/>
      </c>
      <c r="N1819" s="18">
        <f>IF(E1819="","",MAX(0,IF(G1819="",TODAY(),G1819)-L1819))</f>
        <v/>
      </c>
    </row>
    <row r="1820">
      <c r="E1820" s="22" t="n"/>
      <c r="G1820" s="22" t="n"/>
      <c r="I1820" s="22" t="n"/>
      <c r="L1820" s="20">
        <f>IF(E1820="","",E1820+IF(F1820="",IFERROR(VLOOKUP(C1820,Parametros!$E:$F,2,0),0),F1820))</f>
        <v/>
      </c>
      <c r="M1820" s="21">
        <f>IF(E1820="","",IF(G1820="",IF(TODAY()&gt;L1820,"Atrasada","Em aberto"),IF(G1820&lt;=L1820,"No prazo","Com atraso")))</f>
        <v/>
      </c>
      <c r="N1820" s="18">
        <f>IF(E1820="","",MAX(0,IF(G1820="",TODAY(),G1820)-L1820))</f>
        <v/>
      </c>
    </row>
    <row r="1821">
      <c r="E1821" s="22" t="n"/>
      <c r="G1821" s="22" t="n"/>
      <c r="I1821" s="22" t="n"/>
      <c r="L1821" s="20">
        <f>IF(E1821="","",E1821+IF(F1821="",IFERROR(VLOOKUP(C1821,Parametros!$E:$F,2,0),0),F1821))</f>
        <v/>
      </c>
      <c r="M1821" s="21">
        <f>IF(E1821="","",IF(G1821="",IF(TODAY()&gt;L1821,"Atrasada","Em aberto"),IF(G1821&lt;=L1821,"No prazo","Com atraso")))</f>
        <v/>
      </c>
      <c r="N1821" s="18">
        <f>IF(E1821="","",MAX(0,IF(G1821="",TODAY(),G1821)-L1821))</f>
        <v/>
      </c>
    </row>
    <row r="1822">
      <c r="E1822" s="22" t="n"/>
      <c r="G1822" s="22" t="n"/>
      <c r="I1822" s="22" t="n"/>
      <c r="L1822" s="20">
        <f>IF(E1822="","",E1822+IF(F1822="",IFERROR(VLOOKUP(C1822,Parametros!$E:$F,2,0),0),F1822))</f>
        <v/>
      </c>
      <c r="M1822" s="21">
        <f>IF(E1822="","",IF(G1822="",IF(TODAY()&gt;L1822,"Atrasada","Em aberto"),IF(G1822&lt;=L1822,"No prazo","Com atraso")))</f>
        <v/>
      </c>
      <c r="N1822" s="18">
        <f>IF(E1822="","",MAX(0,IF(G1822="",TODAY(),G1822)-L1822))</f>
        <v/>
      </c>
    </row>
    <row r="1823">
      <c r="E1823" s="22" t="n"/>
      <c r="G1823" s="22" t="n"/>
      <c r="I1823" s="22" t="n"/>
      <c r="L1823" s="20">
        <f>IF(E1823="","",E1823+IF(F1823="",IFERROR(VLOOKUP(C1823,Parametros!$E:$F,2,0),0),F1823))</f>
        <v/>
      </c>
      <c r="M1823" s="21">
        <f>IF(E1823="","",IF(G1823="",IF(TODAY()&gt;L1823,"Atrasada","Em aberto"),IF(G1823&lt;=L1823,"No prazo","Com atraso")))</f>
        <v/>
      </c>
      <c r="N1823" s="18">
        <f>IF(E1823="","",MAX(0,IF(G1823="",TODAY(),G1823)-L1823))</f>
        <v/>
      </c>
    </row>
    <row r="1824">
      <c r="E1824" s="22" t="n"/>
      <c r="G1824" s="22" t="n"/>
      <c r="I1824" s="22" t="n"/>
      <c r="L1824" s="20">
        <f>IF(E1824="","",E1824+IF(F1824="",IFERROR(VLOOKUP(C1824,Parametros!$E:$F,2,0),0),F1824))</f>
        <v/>
      </c>
      <c r="M1824" s="21">
        <f>IF(E1824="","",IF(G1824="",IF(TODAY()&gt;L1824,"Atrasada","Em aberto"),IF(G1824&lt;=L1824,"No prazo","Com atraso")))</f>
        <v/>
      </c>
      <c r="N1824" s="18">
        <f>IF(E1824="","",MAX(0,IF(G1824="",TODAY(),G1824)-L1824))</f>
        <v/>
      </c>
    </row>
    <row r="1825">
      <c r="E1825" s="22" t="n"/>
      <c r="G1825" s="22" t="n"/>
      <c r="I1825" s="22" t="n"/>
      <c r="L1825" s="20">
        <f>IF(E1825="","",E1825+IF(F1825="",IFERROR(VLOOKUP(C1825,Parametros!$E:$F,2,0),0),F1825))</f>
        <v/>
      </c>
      <c r="M1825" s="21">
        <f>IF(E1825="","",IF(G1825="",IF(TODAY()&gt;L1825,"Atrasada","Em aberto"),IF(G1825&lt;=L1825,"No prazo","Com atraso")))</f>
        <v/>
      </c>
      <c r="N1825" s="18">
        <f>IF(E1825="","",MAX(0,IF(G1825="",TODAY(),G1825)-L1825))</f>
        <v/>
      </c>
    </row>
    <row r="1826">
      <c r="E1826" s="22" t="n"/>
      <c r="G1826" s="22" t="n"/>
      <c r="I1826" s="22" t="n"/>
      <c r="L1826" s="20">
        <f>IF(E1826="","",E1826+IF(F1826="",IFERROR(VLOOKUP(C1826,Parametros!$E:$F,2,0),0),F1826))</f>
        <v/>
      </c>
      <c r="M1826" s="21">
        <f>IF(E1826="","",IF(G1826="",IF(TODAY()&gt;L1826,"Atrasada","Em aberto"),IF(G1826&lt;=L1826,"No prazo","Com atraso")))</f>
        <v/>
      </c>
      <c r="N1826" s="18">
        <f>IF(E1826="","",MAX(0,IF(G1826="",TODAY(),G1826)-L1826))</f>
        <v/>
      </c>
    </row>
    <row r="1827">
      <c r="E1827" s="22" t="n"/>
      <c r="G1827" s="22" t="n"/>
      <c r="I1827" s="22" t="n"/>
      <c r="L1827" s="20">
        <f>IF(E1827="","",E1827+IF(F1827="",IFERROR(VLOOKUP(C1827,Parametros!$E:$F,2,0),0),F1827))</f>
        <v/>
      </c>
      <c r="M1827" s="21">
        <f>IF(E1827="","",IF(G1827="",IF(TODAY()&gt;L1827,"Atrasada","Em aberto"),IF(G1827&lt;=L1827,"No prazo","Com atraso")))</f>
        <v/>
      </c>
      <c r="N1827" s="18">
        <f>IF(E1827="","",MAX(0,IF(G1827="",TODAY(),G1827)-L1827))</f>
        <v/>
      </c>
    </row>
    <row r="1828">
      <c r="E1828" s="22" t="n"/>
      <c r="G1828" s="22" t="n"/>
      <c r="I1828" s="22" t="n"/>
      <c r="L1828" s="20">
        <f>IF(E1828="","",E1828+IF(F1828="",IFERROR(VLOOKUP(C1828,Parametros!$E:$F,2,0),0),F1828))</f>
        <v/>
      </c>
      <c r="M1828" s="21">
        <f>IF(E1828="","",IF(G1828="",IF(TODAY()&gt;L1828,"Atrasada","Em aberto"),IF(G1828&lt;=L1828,"No prazo","Com atraso")))</f>
        <v/>
      </c>
      <c r="N1828" s="18">
        <f>IF(E1828="","",MAX(0,IF(G1828="",TODAY(),G1828)-L1828))</f>
        <v/>
      </c>
    </row>
    <row r="1829">
      <c r="E1829" s="22" t="n"/>
      <c r="G1829" s="22" t="n"/>
      <c r="I1829" s="22" t="n"/>
      <c r="L1829" s="20">
        <f>IF(E1829="","",E1829+IF(F1829="",IFERROR(VLOOKUP(C1829,Parametros!$E:$F,2,0),0),F1829))</f>
        <v/>
      </c>
      <c r="M1829" s="21">
        <f>IF(E1829="","",IF(G1829="",IF(TODAY()&gt;L1829,"Atrasada","Em aberto"),IF(G1829&lt;=L1829,"No prazo","Com atraso")))</f>
        <v/>
      </c>
      <c r="N1829" s="18">
        <f>IF(E1829="","",MAX(0,IF(G1829="",TODAY(),G1829)-L1829))</f>
        <v/>
      </c>
    </row>
    <row r="1830">
      <c r="E1830" s="22" t="n"/>
      <c r="G1830" s="22" t="n"/>
      <c r="I1830" s="22" t="n"/>
      <c r="L1830" s="20">
        <f>IF(E1830="","",E1830+IF(F1830="",IFERROR(VLOOKUP(C1830,Parametros!$E:$F,2,0),0),F1830))</f>
        <v/>
      </c>
      <c r="M1830" s="21">
        <f>IF(E1830="","",IF(G1830="",IF(TODAY()&gt;L1830,"Atrasada","Em aberto"),IF(G1830&lt;=L1830,"No prazo","Com atraso")))</f>
        <v/>
      </c>
      <c r="N1830" s="18">
        <f>IF(E1830="","",MAX(0,IF(G1830="",TODAY(),G1830)-L1830))</f>
        <v/>
      </c>
    </row>
    <row r="1831">
      <c r="E1831" s="22" t="n"/>
      <c r="G1831" s="22" t="n"/>
      <c r="I1831" s="22" t="n"/>
      <c r="L1831" s="20">
        <f>IF(E1831="","",E1831+IF(F1831="",IFERROR(VLOOKUP(C1831,Parametros!$E:$F,2,0),0),F1831))</f>
        <v/>
      </c>
      <c r="M1831" s="21">
        <f>IF(E1831="","",IF(G1831="",IF(TODAY()&gt;L1831,"Atrasada","Em aberto"),IF(G1831&lt;=L1831,"No prazo","Com atraso")))</f>
        <v/>
      </c>
      <c r="N1831" s="18">
        <f>IF(E1831="","",MAX(0,IF(G1831="",TODAY(),G1831)-L1831))</f>
        <v/>
      </c>
    </row>
    <row r="1832">
      <c r="E1832" s="22" t="n"/>
      <c r="G1832" s="22" t="n"/>
      <c r="I1832" s="22" t="n"/>
      <c r="L1832" s="20">
        <f>IF(E1832="","",E1832+IF(F1832="",IFERROR(VLOOKUP(C1832,Parametros!$E:$F,2,0),0),F1832))</f>
        <v/>
      </c>
      <c r="M1832" s="21">
        <f>IF(E1832="","",IF(G1832="",IF(TODAY()&gt;L1832,"Atrasada","Em aberto"),IF(G1832&lt;=L1832,"No prazo","Com atraso")))</f>
        <v/>
      </c>
      <c r="N1832" s="18">
        <f>IF(E1832="","",MAX(0,IF(G1832="",TODAY(),G1832)-L1832))</f>
        <v/>
      </c>
    </row>
    <row r="1833">
      <c r="E1833" s="22" t="n"/>
      <c r="G1833" s="22" t="n"/>
      <c r="I1833" s="22" t="n"/>
      <c r="L1833" s="20">
        <f>IF(E1833="","",E1833+IF(F1833="",IFERROR(VLOOKUP(C1833,Parametros!$E:$F,2,0),0),F1833))</f>
        <v/>
      </c>
      <c r="M1833" s="21">
        <f>IF(E1833="","",IF(G1833="",IF(TODAY()&gt;L1833,"Atrasada","Em aberto"),IF(G1833&lt;=L1833,"No prazo","Com atraso")))</f>
        <v/>
      </c>
      <c r="N1833" s="18">
        <f>IF(E1833="","",MAX(0,IF(G1833="",TODAY(),G1833)-L1833))</f>
        <v/>
      </c>
    </row>
    <row r="1834">
      <c r="E1834" s="22" t="n"/>
      <c r="G1834" s="22" t="n"/>
      <c r="I1834" s="22" t="n"/>
      <c r="L1834" s="20">
        <f>IF(E1834="","",E1834+IF(F1834="",IFERROR(VLOOKUP(C1834,Parametros!$E:$F,2,0),0),F1834))</f>
        <v/>
      </c>
      <c r="M1834" s="21">
        <f>IF(E1834="","",IF(G1834="",IF(TODAY()&gt;L1834,"Atrasada","Em aberto"),IF(G1834&lt;=L1834,"No prazo","Com atraso")))</f>
        <v/>
      </c>
      <c r="N1834" s="18">
        <f>IF(E1834="","",MAX(0,IF(G1834="",TODAY(),G1834)-L1834))</f>
        <v/>
      </c>
    </row>
    <row r="1835">
      <c r="E1835" s="22" t="n"/>
      <c r="G1835" s="22" t="n"/>
      <c r="I1835" s="22" t="n"/>
      <c r="L1835" s="20">
        <f>IF(E1835="","",E1835+IF(F1835="",IFERROR(VLOOKUP(C1835,Parametros!$E:$F,2,0),0),F1835))</f>
        <v/>
      </c>
      <c r="M1835" s="21">
        <f>IF(E1835="","",IF(G1835="",IF(TODAY()&gt;L1835,"Atrasada","Em aberto"),IF(G1835&lt;=L1835,"No prazo","Com atraso")))</f>
        <v/>
      </c>
      <c r="N1835" s="18">
        <f>IF(E1835="","",MAX(0,IF(G1835="",TODAY(),G1835)-L1835))</f>
        <v/>
      </c>
    </row>
    <row r="1836">
      <c r="E1836" s="22" t="n"/>
      <c r="G1836" s="22" t="n"/>
      <c r="I1836" s="22" t="n"/>
      <c r="L1836" s="20">
        <f>IF(E1836="","",E1836+IF(F1836="",IFERROR(VLOOKUP(C1836,Parametros!$E:$F,2,0),0),F1836))</f>
        <v/>
      </c>
      <c r="M1836" s="21">
        <f>IF(E1836="","",IF(G1836="",IF(TODAY()&gt;L1836,"Atrasada","Em aberto"),IF(G1836&lt;=L1836,"No prazo","Com atraso")))</f>
        <v/>
      </c>
      <c r="N1836" s="18">
        <f>IF(E1836="","",MAX(0,IF(G1836="",TODAY(),G1836)-L1836))</f>
        <v/>
      </c>
    </row>
    <row r="1837">
      <c r="E1837" s="22" t="n"/>
      <c r="G1837" s="22" t="n"/>
      <c r="I1837" s="22" t="n"/>
      <c r="L1837" s="20">
        <f>IF(E1837="","",E1837+IF(F1837="",IFERROR(VLOOKUP(C1837,Parametros!$E:$F,2,0),0),F1837))</f>
        <v/>
      </c>
      <c r="M1837" s="21">
        <f>IF(E1837="","",IF(G1837="",IF(TODAY()&gt;L1837,"Atrasada","Em aberto"),IF(G1837&lt;=L1837,"No prazo","Com atraso")))</f>
        <v/>
      </c>
      <c r="N1837" s="18">
        <f>IF(E1837="","",MAX(0,IF(G1837="",TODAY(),G1837)-L1837))</f>
        <v/>
      </c>
    </row>
    <row r="1838">
      <c r="E1838" s="22" t="n"/>
      <c r="G1838" s="22" t="n"/>
      <c r="I1838" s="22" t="n"/>
      <c r="L1838" s="20">
        <f>IF(E1838="","",E1838+IF(F1838="",IFERROR(VLOOKUP(C1838,Parametros!$E:$F,2,0),0),F1838))</f>
        <v/>
      </c>
      <c r="M1838" s="21">
        <f>IF(E1838="","",IF(G1838="",IF(TODAY()&gt;L1838,"Atrasada","Em aberto"),IF(G1838&lt;=L1838,"No prazo","Com atraso")))</f>
        <v/>
      </c>
      <c r="N1838" s="18">
        <f>IF(E1838="","",MAX(0,IF(G1838="",TODAY(),G1838)-L1838))</f>
        <v/>
      </c>
    </row>
    <row r="1839">
      <c r="E1839" s="22" t="n"/>
      <c r="G1839" s="22" t="n"/>
      <c r="I1839" s="22" t="n"/>
      <c r="L1839" s="20">
        <f>IF(E1839="","",E1839+IF(F1839="",IFERROR(VLOOKUP(C1839,Parametros!$E:$F,2,0),0),F1839))</f>
        <v/>
      </c>
      <c r="M1839" s="21">
        <f>IF(E1839="","",IF(G1839="",IF(TODAY()&gt;L1839,"Atrasada","Em aberto"),IF(G1839&lt;=L1839,"No prazo","Com atraso")))</f>
        <v/>
      </c>
      <c r="N1839" s="18">
        <f>IF(E1839="","",MAX(0,IF(G1839="",TODAY(),G1839)-L1839))</f>
        <v/>
      </c>
    </row>
    <row r="1840">
      <c r="E1840" s="22" t="n"/>
      <c r="G1840" s="22" t="n"/>
      <c r="I1840" s="22" t="n"/>
      <c r="L1840" s="20">
        <f>IF(E1840="","",E1840+IF(F1840="",IFERROR(VLOOKUP(C1840,Parametros!$E:$F,2,0),0),F1840))</f>
        <v/>
      </c>
      <c r="M1840" s="21">
        <f>IF(E1840="","",IF(G1840="",IF(TODAY()&gt;L1840,"Atrasada","Em aberto"),IF(G1840&lt;=L1840,"No prazo","Com atraso")))</f>
        <v/>
      </c>
      <c r="N1840" s="18">
        <f>IF(E1840="","",MAX(0,IF(G1840="",TODAY(),G1840)-L1840))</f>
        <v/>
      </c>
    </row>
    <row r="1841">
      <c r="E1841" s="22" t="n"/>
      <c r="G1841" s="22" t="n"/>
      <c r="I1841" s="22" t="n"/>
      <c r="L1841" s="20">
        <f>IF(E1841="","",E1841+IF(F1841="",IFERROR(VLOOKUP(C1841,Parametros!$E:$F,2,0),0),F1841))</f>
        <v/>
      </c>
      <c r="M1841" s="21">
        <f>IF(E1841="","",IF(G1841="",IF(TODAY()&gt;L1841,"Atrasada","Em aberto"),IF(G1841&lt;=L1841,"No prazo","Com atraso")))</f>
        <v/>
      </c>
      <c r="N1841" s="18">
        <f>IF(E1841="","",MAX(0,IF(G1841="",TODAY(),G1841)-L1841))</f>
        <v/>
      </c>
    </row>
    <row r="1842">
      <c r="E1842" s="22" t="n"/>
      <c r="G1842" s="22" t="n"/>
      <c r="I1842" s="22" t="n"/>
      <c r="L1842" s="20">
        <f>IF(E1842="","",E1842+IF(F1842="",IFERROR(VLOOKUP(C1842,Parametros!$E:$F,2,0),0),F1842))</f>
        <v/>
      </c>
      <c r="M1842" s="21">
        <f>IF(E1842="","",IF(G1842="",IF(TODAY()&gt;L1842,"Atrasada","Em aberto"),IF(G1842&lt;=L1842,"No prazo","Com atraso")))</f>
        <v/>
      </c>
      <c r="N1842" s="18">
        <f>IF(E1842="","",MAX(0,IF(G1842="",TODAY(),G1842)-L1842))</f>
        <v/>
      </c>
    </row>
    <row r="1843">
      <c r="E1843" s="22" t="n"/>
      <c r="G1843" s="22" t="n"/>
      <c r="I1843" s="22" t="n"/>
      <c r="L1843" s="20">
        <f>IF(E1843="","",E1843+IF(F1843="",IFERROR(VLOOKUP(C1843,Parametros!$E:$F,2,0),0),F1843))</f>
        <v/>
      </c>
      <c r="M1843" s="21">
        <f>IF(E1843="","",IF(G1843="",IF(TODAY()&gt;L1843,"Atrasada","Em aberto"),IF(G1843&lt;=L1843,"No prazo","Com atraso")))</f>
        <v/>
      </c>
      <c r="N1843" s="18">
        <f>IF(E1843="","",MAX(0,IF(G1843="",TODAY(),G1843)-L1843))</f>
        <v/>
      </c>
    </row>
    <row r="1844">
      <c r="E1844" s="22" t="n"/>
      <c r="G1844" s="22" t="n"/>
      <c r="I1844" s="22" t="n"/>
      <c r="L1844" s="20">
        <f>IF(E1844="","",E1844+IF(F1844="",IFERROR(VLOOKUP(C1844,Parametros!$E:$F,2,0),0),F1844))</f>
        <v/>
      </c>
      <c r="M1844" s="21">
        <f>IF(E1844="","",IF(G1844="",IF(TODAY()&gt;L1844,"Atrasada","Em aberto"),IF(G1844&lt;=L1844,"No prazo","Com atraso")))</f>
        <v/>
      </c>
      <c r="N1844" s="18">
        <f>IF(E1844="","",MAX(0,IF(G1844="",TODAY(),G1844)-L1844))</f>
        <v/>
      </c>
    </row>
    <row r="1845">
      <c r="E1845" s="22" t="n"/>
      <c r="G1845" s="22" t="n"/>
      <c r="I1845" s="22" t="n"/>
      <c r="L1845" s="20">
        <f>IF(E1845="","",E1845+IF(F1845="",IFERROR(VLOOKUP(C1845,Parametros!$E:$F,2,0),0),F1845))</f>
        <v/>
      </c>
      <c r="M1845" s="21">
        <f>IF(E1845="","",IF(G1845="",IF(TODAY()&gt;L1845,"Atrasada","Em aberto"),IF(G1845&lt;=L1845,"No prazo","Com atraso")))</f>
        <v/>
      </c>
      <c r="N1845" s="18">
        <f>IF(E1845="","",MAX(0,IF(G1845="",TODAY(),G1845)-L1845))</f>
        <v/>
      </c>
    </row>
    <row r="1846">
      <c r="E1846" s="22" t="n"/>
      <c r="G1846" s="22" t="n"/>
      <c r="I1846" s="22" t="n"/>
      <c r="L1846" s="20">
        <f>IF(E1846="","",E1846+IF(F1846="",IFERROR(VLOOKUP(C1846,Parametros!$E:$F,2,0),0),F1846))</f>
        <v/>
      </c>
      <c r="M1846" s="21">
        <f>IF(E1846="","",IF(G1846="",IF(TODAY()&gt;L1846,"Atrasada","Em aberto"),IF(G1846&lt;=L1846,"No prazo","Com atraso")))</f>
        <v/>
      </c>
      <c r="N1846" s="18">
        <f>IF(E1846="","",MAX(0,IF(G1846="",TODAY(),G1846)-L1846))</f>
        <v/>
      </c>
    </row>
    <row r="1847">
      <c r="E1847" s="22" t="n"/>
      <c r="G1847" s="22" t="n"/>
      <c r="I1847" s="22" t="n"/>
      <c r="L1847" s="20">
        <f>IF(E1847="","",E1847+IF(F1847="",IFERROR(VLOOKUP(C1847,Parametros!$E:$F,2,0),0),F1847))</f>
        <v/>
      </c>
      <c r="M1847" s="21">
        <f>IF(E1847="","",IF(G1847="",IF(TODAY()&gt;L1847,"Atrasada","Em aberto"),IF(G1847&lt;=L1847,"No prazo","Com atraso")))</f>
        <v/>
      </c>
      <c r="N1847" s="18">
        <f>IF(E1847="","",MAX(0,IF(G1847="",TODAY(),G1847)-L1847))</f>
        <v/>
      </c>
    </row>
    <row r="1848">
      <c r="E1848" s="22" t="n"/>
      <c r="G1848" s="22" t="n"/>
      <c r="I1848" s="22" t="n"/>
      <c r="L1848" s="20">
        <f>IF(E1848="","",E1848+IF(F1848="",IFERROR(VLOOKUP(C1848,Parametros!$E:$F,2,0),0),F1848))</f>
        <v/>
      </c>
      <c r="M1848" s="21">
        <f>IF(E1848="","",IF(G1848="",IF(TODAY()&gt;L1848,"Atrasada","Em aberto"),IF(G1848&lt;=L1848,"No prazo","Com atraso")))</f>
        <v/>
      </c>
      <c r="N1848" s="18">
        <f>IF(E1848="","",MAX(0,IF(G1848="",TODAY(),G1848)-L1848))</f>
        <v/>
      </c>
    </row>
    <row r="1849">
      <c r="E1849" s="22" t="n"/>
      <c r="G1849" s="22" t="n"/>
      <c r="I1849" s="22" t="n"/>
      <c r="L1849" s="20">
        <f>IF(E1849="","",E1849+IF(F1849="",IFERROR(VLOOKUP(C1849,Parametros!$E:$F,2,0),0),F1849))</f>
        <v/>
      </c>
      <c r="M1849" s="21">
        <f>IF(E1849="","",IF(G1849="",IF(TODAY()&gt;L1849,"Atrasada","Em aberto"),IF(G1849&lt;=L1849,"No prazo","Com atraso")))</f>
        <v/>
      </c>
      <c r="N1849" s="18">
        <f>IF(E1849="","",MAX(0,IF(G1849="",TODAY(),G1849)-L1849))</f>
        <v/>
      </c>
    </row>
    <row r="1850">
      <c r="E1850" s="22" t="n"/>
      <c r="G1850" s="22" t="n"/>
      <c r="I1850" s="22" t="n"/>
      <c r="L1850" s="20">
        <f>IF(E1850="","",E1850+IF(F1850="",IFERROR(VLOOKUP(C1850,Parametros!$E:$F,2,0),0),F1850))</f>
        <v/>
      </c>
      <c r="M1850" s="21">
        <f>IF(E1850="","",IF(G1850="",IF(TODAY()&gt;L1850,"Atrasada","Em aberto"),IF(G1850&lt;=L1850,"No prazo","Com atraso")))</f>
        <v/>
      </c>
      <c r="N1850" s="18">
        <f>IF(E1850="","",MAX(0,IF(G1850="",TODAY(),G1850)-L1850))</f>
        <v/>
      </c>
    </row>
    <row r="1851">
      <c r="E1851" s="22" t="n"/>
      <c r="G1851" s="22" t="n"/>
      <c r="I1851" s="22" t="n"/>
      <c r="L1851" s="20">
        <f>IF(E1851="","",E1851+IF(F1851="",IFERROR(VLOOKUP(C1851,Parametros!$E:$F,2,0),0),F1851))</f>
        <v/>
      </c>
      <c r="M1851" s="21">
        <f>IF(E1851="","",IF(G1851="",IF(TODAY()&gt;L1851,"Atrasada","Em aberto"),IF(G1851&lt;=L1851,"No prazo","Com atraso")))</f>
        <v/>
      </c>
      <c r="N1851" s="18">
        <f>IF(E1851="","",MAX(0,IF(G1851="",TODAY(),G1851)-L1851))</f>
        <v/>
      </c>
    </row>
    <row r="1852">
      <c r="E1852" s="22" t="n"/>
      <c r="G1852" s="22" t="n"/>
      <c r="I1852" s="22" t="n"/>
      <c r="L1852" s="20">
        <f>IF(E1852="","",E1852+IF(F1852="",IFERROR(VLOOKUP(C1852,Parametros!$E:$F,2,0),0),F1852))</f>
        <v/>
      </c>
      <c r="M1852" s="21">
        <f>IF(E1852="","",IF(G1852="",IF(TODAY()&gt;L1852,"Atrasada","Em aberto"),IF(G1852&lt;=L1852,"No prazo","Com atraso")))</f>
        <v/>
      </c>
      <c r="N1852" s="18">
        <f>IF(E1852="","",MAX(0,IF(G1852="",TODAY(),G1852)-L1852))</f>
        <v/>
      </c>
    </row>
    <row r="1853">
      <c r="E1853" s="22" t="n"/>
      <c r="G1853" s="22" t="n"/>
      <c r="I1853" s="22" t="n"/>
      <c r="L1853" s="20">
        <f>IF(E1853="","",E1853+IF(F1853="",IFERROR(VLOOKUP(C1853,Parametros!$E:$F,2,0),0),F1853))</f>
        <v/>
      </c>
      <c r="M1853" s="21">
        <f>IF(E1853="","",IF(G1853="",IF(TODAY()&gt;L1853,"Atrasada","Em aberto"),IF(G1853&lt;=L1853,"No prazo","Com atraso")))</f>
        <v/>
      </c>
      <c r="N1853" s="18">
        <f>IF(E1853="","",MAX(0,IF(G1853="",TODAY(),G1853)-L1853))</f>
        <v/>
      </c>
    </row>
    <row r="1854">
      <c r="E1854" s="22" t="n"/>
      <c r="G1854" s="22" t="n"/>
      <c r="I1854" s="22" t="n"/>
      <c r="L1854" s="20">
        <f>IF(E1854="","",E1854+IF(F1854="",IFERROR(VLOOKUP(C1854,Parametros!$E:$F,2,0),0),F1854))</f>
        <v/>
      </c>
      <c r="M1854" s="21">
        <f>IF(E1854="","",IF(G1854="",IF(TODAY()&gt;L1854,"Atrasada","Em aberto"),IF(G1854&lt;=L1854,"No prazo","Com atraso")))</f>
        <v/>
      </c>
      <c r="N1854" s="18">
        <f>IF(E1854="","",MAX(0,IF(G1854="",TODAY(),G1854)-L1854))</f>
        <v/>
      </c>
    </row>
    <row r="1855">
      <c r="E1855" s="22" t="n"/>
      <c r="G1855" s="22" t="n"/>
      <c r="I1855" s="22" t="n"/>
      <c r="L1855" s="20">
        <f>IF(E1855="","",E1855+IF(F1855="",IFERROR(VLOOKUP(C1855,Parametros!$E:$F,2,0),0),F1855))</f>
        <v/>
      </c>
      <c r="M1855" s="21">
        <f>IF(E1855="","",IF(G1855="",IF(TODAY()&gt;L1855,"Atrasada","Em aberto"),IF(G1855&lt;=L1855,"No prazo","Com atraso")))</f>
        <v/>
      </c>
      <c r="N1855" s="18">
        <f>IF(E1855="","",MAX(0,IF(G1855="",TODAY(),G1855)-L1855))</f>
        <v/>
      </c>
    </row>
    <row r="1856">
      <c r="E1856" s="22" t="n"/>
      <c r="G1856" s="22" t="n"/>
      <c r="I1856" s="22" t="n"/>
      <c r="L1856" s="20">
        <f>IF(E1856="","",E1856+IF(F1856="",IFERROR(VLOOKUP(C1856,Parametros!$E:$F,2,0),0),F1856))</f>
        <v/>
      </c>
      <c r="M1856" s="21">
        <f>IF(E1856="","",IF(G1856="",IF(TODAY()&gt;L1856,"Atrasada","Em aberto"),IF(G1856&lt;=L1856,"No prazo","Com atraso")))</f>
        <v/>
      </c>
      <c r="N1856" s="18">
        <f>IF(E1856="","",MAX(0,IF(G1856="",TODAY(),G1856)-L1856))</f>
        <v/>
      </c>
    </row>
    <row r="1857">
      <c r="E1857" s="22" t="n"/>
      <c r="G1857" s="22" t="n"/>
      <c r="I1857" s="22" t="n"/>
      <c r="L1857" s="20">
        <f>IF(E1857="","",E1857+IF(F1857="",IFERROR(VLOOKUP(C1857,Parametros!$E:$F,2,0),0),F1857))</f>
        <v/>
      </c>
      <c r="M1857" s="21">
        <f>IF(E1857="","",IF(G1857="",IF(TODAY()&gt;L1857,"Atrasada","Em aberto"),IF(G1857&lt;=L1857,"No prazo","Com atraso")))</f>
        <v/>
      </c>
      <c r="N1857" s="18">
        <f>IF(E1857="","",MAX(0,IF(G1857="",TODAY(),G1857)-L1857))</f>
        <v/>
      </c>
    </row>
    <row r="1858">
      <c r="E1858" s="22" t="n"/>
      <c r="G1858" s="22" t="n"/>
      <c r="I1858" s="22" t="n"/>
      <c r="L1858" s="20">
        <f>IF(E1858="","",E1858+IF(F1858="",IFERROR(VLOOKUP(C1858,Parametros!$E:$F,2,0),0),F1858))</f>
        <v/>
      </c>
      <c r="M1858" s="21">
        <f>IF(E1858="","",IF(G1858="",IF(TODAY()&gt;L1858,"Atrasada","Em aberto"),IF(G1858&lt;=L1858,"No prazo","Com atraso")))</f>
        <v/>
      </c>
      <c r="N1858" s="18">
        <f>IF(E1858="","",MAX(0,IF(G1858="",TODAY(),G1858)-L1858))</f>
        <v/>
      </c>
    </row>
    <row r="1859">
      <c r="E1859" s="22" t="n"/>
      <c r="G1859" s="22" t="n"/>
      <c r="I1859" s="22" t="n"/>
      <c r="L1859" s="20">
        <f>IF(E1859="","",E1859+IF(F1859="",IFERROR(VLOOKUP(C1859,Parametros!$E:$F,2,0),0),F1859))</f>
        <v/>
      </c>
      <c r="M1859" s="21">
        <f>IF(E1859="","",IF(G1859="",IF(TODAY()&gt;L1859,"Atrasada","Em aberto"),IF(G1859&lt;=L1859,"No prazo","Com atraso")))</f>
        <v/>
      </c>
      <c r="N1859" s="18">
        <f>IF(E1859="","",MAX(0,IF(G1859="",TODAY(),G1859)-L1859))</f>
        <v/>
      </c>
    </row>
    <row r="1860">
      <c r="E1860" s="22" t="n"/>
      <c r="G1860" s="22" t="n"/>
      <c r="I1860" s="22" t="n"/>
      <c r="L1860" s="20">
        <f>IF(E1860="","",E1860+IF(F1860="",IFERROR(VLOOKUP(C1860,Parametros!$E:$F,2,0),0),F1860))</f>
        <v/>
      </c>
      <c r="M1860" s="21">
        <f>IF(E1860="","",IF(G1860="",IF(TODAY()&gt;L1860,"Atrasada","Em aberto"),IF(G1860&lt;=L1860,"No prazo","Com atraso")))</f>
        <v/>
      </c>
      <c r="N1860" s="18">
        <f>IF(E1860="","",MAX(0,IF(G1860="",TODAY(),G1860)-L1860))</f>
        <v/>
      </c>
    </row>
    <row r="1861">
      <c r="E1861" s="22" t="n"/>
      <c r="G1861" s="22" t="n"/>
      <c r="I1861" s="22" t="n"/>
      <c r="L1861" s="20">
        <f>IF(E1861="","",E1861+IF(F1861="",IFERROR(VLOOKUP(C1861,Parametros!$E:$F,2,0),0),F1861))</f>
        <v/>
      </c>
      <c r="M1861" s="21">
        <f>IF(E1861="","",IF(G1861="",IF(TODAY()&gt;L1861,"Atrasada","Em aberto"),IF(G1861&lt;=L1861,"No prazo","Com atraso")))</f>
        <v/>
      </c>
      <c r="N1861" s="18">
        <f>IF(E1861="","",MAX(0,IF(G1861="",TODAY(),G1861)-L1861))</f>
        <v/>
      </c>
    </row>
    <row r="1862">
      <c r="E1862" s="22" t="n"/>
      <c r="G1862" s="22" t="n"/>
      <c r="I1862" s="22" t="n"/>
      <c r="L1862" s="20">
        <f>IF(E1862="","",E1862+IF(F1862="",IFERROR(VLOOKUP(C1862,Parametros!$E:$F,2,0),0),F1862))</f>
        <v/>
      </c>
      <c r="M1862" s="21">
        <f>IF(E1862="","",IF(G1862="",IF(TODAY()&gt;L1862,"Atrasada","Em aberto"),IF(G1862&lt;=L1862,"No prazo","Com atraso")))</f>
        <v/>
      </c>
      <c r="N1862" s="18">
        <f>IF(E1862="","",MAX(0,IF(G1862="",TODAY(),G1862)-L1862))</f>
        <v/>
      </c>
    </row>
    <row r="1863">
      <c r="E1863" s="22" t="n"/>
      <c r="G1863" s="22" t="n"/>
      <c r="I1863" s="22" t="n"/>
      <c r="L1863" s="20">
        <f>IF(E1863="","",E1863+IF(F1863="",IFERROR(VLOOKUP(C1863,Parametros!$E:$F,2,0),0),F1863))</f>
        <v/>
      </c>
      <c r="M1863" s="21">
        <f>IF(E1863="","",IF(G1863="",IF(TODAY()&gt;L1863,"Atrasada","Em aberto"),IF(G1863&lt;=L1863,"No prazo","Com atraso")))</f>
        <v/>
      </c>
      <c r="N1863" s="18">
        <f>IF(E1863="","",MAX(0,IF(G1863="",TODAY(),G1863)-L1863))</f>
        <v/>
      </c>
    </row>
    <row r="1864">
      <c r="E1864" s="22" t="n"/>
      <c r="G1864" s="22" t="n"/>
      <c r="I1864" s="22" t="n"/>
      <c r="L1864" s="20">
        <f>IF(E1864="","",E1864+IF(F1864="",IFERROR(VLOOKUP(C1864,Parametros!$E:$F,2,0),0),F1864))</f>
        <v/>
      </c>
      <c r="M1864" s="21">
        <f>IF(E1864="","",IF(G1864="",IF(TODAY()&gt;L1864,"Atrasada","Em aberto"),IF(G1864&lt;=L1864,"No prazo","Com atraso")))</f>
        <v/>
      </c>
      <c r="N1864" s="18">
        <f>IF(E1864="","",MAX(0,IF(G1864="",TODAY(),G1864)-L1864))</f>
        <v/>
      </c>
    </row>
    <row r="1865">
      <c r="E1865" s="22" t="n"/>
      <c r="G1865" s="22" t="n"/>
      <c r="I1865" s="22" t="n"/>
      <c r="L1865" s="20">
        <f>IF(E1865="","",E1865+IF(F1865="",IFERROR(VLOOKUP(C1865,Parametros!$E:$F,2,0),0),F1865))</f>
        <v/>
      </c>
      <c r="M1865" s="21">
        <f>IF(E1865="","",IF(G1865="",IF(TODAY()&gt;L1865,"Atrasada","Em aberto"),IF(G1865&lt;=L1865,"No prazo","Com atraso")))</f>
        <v/>
      </c>
      <c r="N1865" s="18">
        <f>IF(E1865="","",MAX(0,IF(G1865="",TODAY(),G1865)-L1865))</f>
        <v/>
      </c>
    </row>
    <row r="1866">
      <c r="E1866" s="22" t="n"/>
      <c r="G1866" s="22" t="n"/>
      <c r="I1866" s="22" t="n"/>
      <c r="L1866" s="20">
        <f>IF(E1866="","",E1866+IF(F1866="",IFERROR(VLOOKUP(C1866,Parametros!$E:$F,2,0),0),F1866))</f>
        <v/>
      </c>
      <c r="M1866" s="21">
        <f>IF(E1866="","",IF(G1866="",IF(TODAY()&gt;L1866,"Atrasada","Em aberto"),IF(G1866&lt;=L1866,"No prazo","Com atraso")))</f>
        <v/>
      </c>
      <c r="N1866" s="18">
        <f>IF(E1866="","",MAX(0,IF(G1866="",TODAY(),G1866)-L1866))</f>
        <v/>
      </c>
    </row>
    <row r="1867">
      <c r="E1867" s="22" t="n"/>
      <c r="G1867" s="22" t="n"/>
      <c r="I1867" s="22" t="n"/>
      <c r="L1867" s="20">
        <f>IF(E1867="","",E1867+IF(F1867="",IFERROR(VLOOKUP(C1867,Parametros!$E:$F,2,0),0),F1867))</f>
        <v/>
      </c>
      <c r="M1867" s="21">
        <f>IF(E1867="","",IF(G1867="",IF(TODAY()&gt;L1867,"Atrasada","Em aberto"),IF(G1867&lt;=L1867,"No prazo","Com atraso")))</f>
        <v/>
      </c>
      <c r="N1867" s="18">
        <f>IF(E1867="","",MAX(0,IF(G1867="",TODAY(),G1867)-L1867))</f>
        <v/>
      </c>
    </row>
    <row r="1868">
      <c r="E1868" s="22" t="n"/>
      <c r="G1868" s="22" t="n"/>
      <c r="I1868" s="22" t="n"/>
      <c r="L1868" s="20">
        <f>IF(E1868="","",E1868+IF(F1868="",IFERROR(VLOOKUP(C1868,Parametros!$E:$F,2,0),0),F1868))</f>
        <v/>
      </c>
      <c r="M1868" s="21">
        <f>IF(E1868="","",IF(G1868="",IF(TODAY()&gt;L1868,"Atrasada","Em aberto"),IF(G1868&lt;=L1868,"No prazo","Com atraso")))</f>
        <v/>
      </c>
      <c r="N1868" s="18">
        <f>IF(E1868="","",MAX(0,IF(G1868="",TODAY(),G1868)-L1868))</f>
        <v/>
      </c>
    </row>
    <row r="1869">
      <c r="E1869" s="22" t="n"/>
      <c r="G1869" s="22" t="n"/>
      <c r="I1869" s="22" t="n"/>
      <c r="L1869" s="20">
        <f>IF(E1869="","",E1869+IF(F1869="",IFERROR(VLOOKUP(C1869,Parametros!$E:$F,2,0),0),F1869))</f>
        <v/>
      </c>
      <c r="M1869" s="21">
        <f>IF(E1869="","",IF(G1869="",IF(TODAY()&gt;L1869,"Atrasada","Em aberto"),IF(G1869&lt;=L1869,"No prazo","Com atraso")))</f>
        <v/>
      </c>
      <c r="N1869" s="18">
        <f>IF(E1869="","",MAX(0,IF(G1869="",TODAY(),G1869)-L1869))</f>
        <v/>
      </c>
    </row>
    <row r="1870">
      <c r="E1870" s="22" t="n"/>
      <c r="G1870" s="22" t="n"/>
      <c r="I1870" s="22" t="n"/>
      <c r="L1870" s="20">
        <f>IF(E1870="","",E1870+IF(F1870="",IFERROR(VLOOKUP(C1870,Parametros!$E:$F,2,0),0),F1870))</f>
        <v/>
      </c>
      <c r="M1870" s="21">
        <f>IF(E1870="","",IF(G1870="",IF(TODAY()&gt;L1870,"Atrasada","Em aberto"),IF(G1870&lt;=L1870,"No prazo","Com atraso")))</f>
        <v/>
      </c>
      <c r="N1870" s="18">
        <f>IF(E1870="","",MAX(0,IF(G1870="",TODAY(),G1870)-L1870))</f>
        <v/>
      </c>
    </row>
    <row r="1871">
      <c r="E1871" s="22" t="n"/>
      <c r="G1871" s="22" t="n"/>
      <c r="I1871" s="22" t="n"/>
      <c r="L1871" s="20">
        <f>IF(E1871="","",E1871+IF(F1871="",IFERROR(VLOOKUP(C1871,Parametros!$E:$F,2,0),0),F1871))</f>
        <v/>
      </c>
      <c r="M1871" s="21">
        <f>IF(E1871="","",IF(G1871="",IF(TODAY()&gt;L1871,"Atrasada","Em aberto"),IF(G1871&lt;=L1871,"No prazo","Com atraso")))</f>
        <v/>
      </c>
      <c r="N1871" s="18">
        <f>IF(E1871="","",MAX(0,IF(G1871="",TODAY(),G1871)-L1871))</f>
        <v/>
      </c>
    </row>
    <row r="1872">
      <c r="E1872" s="22" t="n"/>
      <c r="G1872" s="22" t="n"/>
      <c r="I1872" s="22" t="n"/>
      <c r="L1872" s="20">
        <f>IF(E1872="","",E1872+IF(F1872="",IFERROR(VLOOKUP(C1872,Parametros!$E:$F,2,0),0),F1872))</f>
        <v/>
      </c>
      <c r="M1872" s="21">
        <f>IF(E1872="","",IF(G1872="",IF(TODAY()&gt;L1872,"Atrasada","Em aberto"),IF(G1872&lt;=L1872,"No prazo","Com atraso")))</f>
        <v/>
      </c>
      <c r="N1872" s="18">
        <f>IF(E1872="","",MAX(0,IF(G1872="",TODAY(),G1872)-L1872))</f>
        <v/>
      </c>
    </row>
    <row r="1873">
      <c r="E1873" s="22" t="n"/>
      <c r="G1873" s="22" t="n"/>
      <c r="I1873" s="22" t="n"/>
      <c r="L1873" s="20">
        <f>IF(E1873="","",E1873+IF(F1873="",IFERROR(VLOOKUP(C1873,Parametros!$E:$F,2,0),0),F1873))</f>
        <v/>
      </c>
      <c r="M1873" s="21">
        <f>IF(E1873="","",IF(G1873="",IF(TODAY()&gt;L1873,"Atrasada","Em aberto"),IF(G1873&lt;=L1873,"No prazo","Com atraso")))</f>
        <v/>
      </c>
      <c r="N1873" s="18">
        <f>IF(E1873="","",MAX(0,IF(G1873="",TODAY(),G1873)-L1873))</f>
        <v/>
      </c>
    </row>
    <row r="1874">
      <c r="E1874" s="22" t="n"/>
      <c r="G1874" s="22" t="n"/>
      <c r="I1874" s="22" t="n"/>
      <c r="L1874" s="20">
        <f>IF(E1874="","",E1874+IF(F1874="",IFERROR(VLOOKUP(C1874,Parametros!$E:$F,2,0),0),F1874))</f>
        <v/>
      </c>
      <c r="M1874" s="21">
        <f>IF(E1874="","",IF(G1874="",IF(TODAY()&gt;L1874,"Atrasada","Em aberto"),IF(G1874&lt;=L1874,"No prazo","Com atraso")))</f>
        <v/>
      </c>
      <c r="N1874" s="18">
        <f>IF(E1874="","",MAX(0,IF(G1874="",TODAY(),G1874)-L1874))</f>
        <v/>
      </c>
    </row>
    <row r="1875">
      <c r="E1875" s="22" t="n"/>
      <c r="G1875" s="22" t="n"/>
      <c r="I1875" s="22" t="n"/>
      <c r="L1875" s="20">
        <f>IF(E1875="","",E1875+IF(F1875="",IFERROR(VLOOKUP(C1875,Parametros!$E:$F,2,0),0),F1875))</f>
        <v/>
      </c>
      <c r="M1875" s="21">
        <f>IF(E1875="","",IF(G1875="",IF(TODAY()&gt;L1875,"Atrasada","Em aberto"),IF(G1875&lt;=L1875,"No prazo","Com atraso")))</f>
        <v/>
      </c>
      <c r="N1875" s="18">
        <f>IF(E1875="","",MAX(0,IF(G1875="",TODAY(),G1875)-L1875))</f>
        <v/>
      </c>
    </row>
    <row r="1876">
      <c r="E1876" s="22" t="n"/>
      <c r="G1876" s="22" t="n"/>
      <c r="I1876" s="22" t="n"/>
      <c r="L1876" s="20">
        <f>IF(E1876="","",E1876+IF(F1876="",IFERROR(VLOOKUP(C1876,Parametros!$E:$F,2,0),0),F1876))</f>
        <v/>
      </c>
      <c r="M1876" s="21">
        <f>IF(E1876="","",IF(G1876="",IF(TODAY()&gt;L1876,"Atrasada","Em aberto"),IF(G1876&lt;=L1876,"No prazo","Com atraso")))</f>
        <v/>
      </c>
      <c r="N1876" s="18">
        <f>IF(E1876="","",MAX(0,IF(G1876="",TODAY(),G1876)-L1876))</f>
        <v/>
      </c>
    </row>
    <row r="1877">
      <c r="E1877" s="22" t="n"/>
      <c r="G1877" s="22" t="n"/>
      <c r="I1877" s="22" t="n"/>
      <c r="L1877" s="20">
        <f>IF(E1877="","",E1877+IF(F1877="",IFERROR(VLOOKUP(C1877,Parametros!$E:$F,2,0),0),F1877))</f>
        <v/>
      </c>
      <c r="M1877" s="21">
        <f>IF(E1877="","",IF(G1877="",IF(TODAY()&gt;L1877,"Atrasada","Em aberto"),IF(G1877&lt;=L1877,"No prazo","Com atraso")))</f>
        <v/>
      </c>
      <c r="N1877" s="18">
        <f>IF(E1877="","",MAX(0,IF(G1877="",TODAY(),G1877)-L1877))</f>
        <v/>
      </c>
    </row>
    <row r="1878">
      <c r="E1878" s="22" t="n"/>
      <c r="G1878" s="22" t="n"/>
      <c r="I1878" s="22" t="n"/>
      <c r="L1878" s="20">
        <f>IF(E1878="","",E1878+IF(F1878="",IFERROR(VLOOKUP(C1878,Parametros!$E:$F,2,0),0),F1878))</f>
        <v/>
      </c>
      <c r="M1878" s="21">
        <f>IF(E1878="","",IF(G1878="",IF(TODAY()&gt;L1878,"Atrasada","Em aberto"),IF(G1878&lt;=L1878,"No prazo","Com atraso")))</f>
        <v/>
      </c>
      <c r="N1878" s="18">
        <f>IF(E1878="","",MAX(0,IF(G1878="",TODAY(),G1878)-L1878))</f>
        <v/>
      </c>
    </row>
    <row r="1879">
      <c r="E1879" s="22" t="n"/>
      <c r="G1879" s="22" t="n"/>
      <c r="I1879" s="22" t="n"/>
      <c r="L1879" s="20">
        <f>IF(E1879="","",E1879+IF(F1879="",IFERROR(VLOOKUP(C1879,Parametros!$E:$F,2,0),0),F1879))</f>
        <v/>
      </c>
      <c r="M1879" s="21">
        <f>IF(E1879="","",IF(G1879="",IF(TODAY()&gt;L1879,"Atrasada","Em aberto"),IF(G1879&lt;=L1879,"No prazo","Com atraso")))</f>
        <v/>
      </c>
      <c r="N1879" s="18">
        <f>IF(E1879="","",MAX(0,IF(G1879="",TODAY(),G1879)-L1879))</f>
        <v/>
      </c>
    </row>
    <row r="1880">
      <c r="E1880" s="22" t="n"/>
      <c r="G1880" s="22" t="n"/>
      <c r="I1880" s="22" t="n"/>
      <c r="L1880" s="20">
        <f>IF(E1880="","",E1880+IF(F1880="",IFERROR(VLOOKUP(C1880,Parametros!$E:$F,2,0),0),F1880))</f>
        <v/>
      </c>
      <c r="M1880" s="21">
        <f>IF(E1880="","",IF(G1880="",IF(TODAY()&gt;L1880,"Atrasada","Em aberto"),IF(G1880&lt;=L1880,"No prazo","Com atraso")))</f>
        <v/>
      </c>
      <c r="N1880" s="18">
        <f>IF(E1880="","",MAX(0,IF(G1880="",TODAY(),G1880)-L1880))</f>
        <v/>
      </c>
    </row>
    <row r="1881">
      <c r="E1881" s="22" t="n"/>
      <c r="G1881" s="22" t="n"/>
      <c r="I1881" s="22" t="n"/>
      <c r="L1881" s="20">
        <f>IF(E1881="","",E1881+IF(F1881="",IFERROR(VLOOKUP(C1881,Parametros!$E:$F,2,0),0),F1881))</f>
        <v/>
      </c>
      <c r="M1881" s="21">
        <f>IF(E1881="","",IF(G1881="",IF(TODAY()&gt;L1881,"Atrasada","Em aberto"),IF(G1881&lt;=L1881,"No prazo","Com atraso")))</f>
        <v/>
      </c>
      <c r="N1881" s="18">
        <f>IF(E1881="","",MAX(0,IF(G1881="",TODAY(),G1881)-L1881))</f>
        <v/>
      </c>
    </row>
    <row r="1882">
      <c r="E1882" s="22" t="n"/>
      <c r="G1882" s="22" t="n"/>
      <c r="I1882" s="22" t="n"/>
      <c r="L1882" s="20">
        <f>IF(E1882="","",E1882+IF(F1882="",IFERROR(VLOOKUP(C1882,Parametros!$E:$F,2,0),0),F1882))</f>
        <v/>
      </c>
      <c r="M1882" s="21">
        <f>IF(E1882="","",IF(G1882="",IF(TODAY()&gt;L1882,"Atrasada","Em aberto"),IF(G1882&lt;=L1882,"No prazo","Com atraso")))</f>
        <v/>
      </c>
      <c r="N1882" s="18">
        <f>IF(E1882="","",MAX(0,IF(G1882="",TODAY(),G1882)-L1882))</f>
        <v/>
      </c>
    </row>
    <row r="1883">
      <c r="E1883" s="22" t="n"/>
      <c r="G1883" s="22" t="n"/>
      <c r="I1883" s="22" t="n"/>
      <c r="L1883" s="20">
        <f>IF(E1883="","",E1883+IF(F1883="",IFERROR(VLOOKUP(C1883,Parametros!$E:$F,2,0),0),F1883))</f>
        <v/>
      </c>
      <c r="M1883" s="21">
        <f>IF(E1883="","",IF(G1883="",IF(TODAY()&gt;L1883,"Atrasada","Em aberto"),IF(G1883&lt;=L1883,"No prazo","Com atraso")))</f>
        <v/>
      </c>
      <c r="N1883" s="18">
        <f>IF(E1883="","",MAX(0,IF(G1883="",TODAY(),G1883)-L1883))</f>
        <v/>
      </c>
    </row>
    <row r="1884">
      <c r="E1884" s="22" t="n"/>
      <c r="G1884" s="22" t="n"/>
      <c r="I1884" s="22" t="n"/>
      <c r="L1884" s="20">
        <f>IF(E1884="","",E1884+IF(F1884="",IFERROR(VLOOKUP(C1884,Parametros!$E:$F,2,0),0),F1884))</f>
        <v/>
      </c>
      <c r="M1884" s="21">
        <f>IF(E1884="","",IF(G1884="",IF(TODAY()&gt;L1884,"Atrasada","Em aberto"),IF(G1884&lt;=L1884,"No prazo","Com atraso")))</f>
        <v/>
      </c>
      <c r="N1884" s="18">
        <f>IF(E1884="","",MAX(0,IF(G1884="",TODAY(),G1884)-L1884))</f>
        <v/>
      </c>
    </row>
    <row r="1885">
      <c r="E1885" s="22" t="n"/>
      <c r="G1885" s="22" t="n"/>
      <c r="I1885" s="22" t="n"/>
      <c r="L1885" s="20">
        <f>IF(E1885="","",E1885+IF(F1885="",IFERROR(VLOOKUP(C1885,Parametros!$E:$F,2,0),0),F1885))</f>
        <v/>
      </c>
      <c r="M1885" s="21">
        <f>IF(E1885="","",IF(G1885="",IF(TODAY()&gt;L1885,"Atrasada","Em aberto"),IF(G1885&lt;=L1885,"No prazo","Com atraso")))</f>
        <v/>
      </c>
      <c r="N1885" s="18">
        <f>IF(E1885="","",MAX(0,IF(G1885="",TODAY(),G1885)-L1885))</f>
        <v/>
      </c>
    </row>
    <row r="1886">
      <c r="E1886" s="22" t="n"/>
      <c r="G1886" s="22" t="n"/>
      <c r="I1886" s="22" t="n"/>
      <c r="L1886" s="20">
        <f>IF(E1886="","",E1886+IF(F1886="",IFERROR(VLOOKUP(C1886,Parametros!$E:$F,2,0),0),F1886))</f>
        <v/>
      </c>
      <c r="M1886" s="21">
        <f>IF(E1886="","",IF(G1886="",IF(TODAY()&gt;L1886,"Atrasada","Em aberto"),IF(G1886&lt;=L1886,"No prazo","Com atraso")))</f>
        <v/>
      </c>
      <c r="N1886" s="18">
        <f>IF(E1886="","",MAX(0,IF(G1886="",TODAY(),G1886)-L1886))</f>
        <v/>
      </c>
    </row>
    <row r="1887">
      <c r="E1887" s="22" t="n"/>
      <c r="G1887" s="22" t="n"/>
      <c r="I1887" s="22" t="n"/>
      <c r="L1887" s="20">
        <f>IF(E1887="","",E1887+IF(F1887="",IFERROR(VLOOKUP(C1887,Parametros!$E:$F,2,0),0),F1887))</f>
        <v/>
      </c>
      <c r="M1887" s="21">
        <f>IF(E1887="","",IF(G1887="",IF(TODAY()&gt;L1887,"Atrasada","Em aberto"),IF(G1887&lt;=L1887,"No prazo","Com atraso")))</f>
        <v/>
      </c>
      <c r="N1887" s="18">
        <f>IF(E1887="","",MAX(0,IF(G1887="",TODAY(),G1887)-L1887))</f>
        <v/>
      </c>
    </row>
    <row r="1888">
      <c r="E1888" s="22" t="n"/>
      <c r="G1888" s="22" t="n"/>
      <c r="I1888" s="22" t="n"/>
      <c r="L1888" s="20">
        <f>IF(E1888="","",E1888+IF(F1888="",IFERROR(VLOOKUP(C1888,Parametros!$E:$F,2,0),0),F1888))</f>
        <v/>
      </c>
      <c r="M1888" s="21">
        <f>IF(E1888="","",IF(G1888="",IF(TODAY()&gt;L1888,"Atrasada","Em aberto"),IF(G1888&lt;=L1888,"No prazo","Com atraso")))</f>
        <v/>
      </c>
      <c r="N1888" s="18">
        <f>IF(E1888="","",MAX(0,IF(G1888="",TODAY(),G1888)-L1888))</f>
        <v/>
      </c>
    </row>
    <row r="1889">
      <c r="E1889" s="22" t="n"/>
      <c r="G1889" s="22" t="n"/>
      <c r="I1889" s="22" t="n"/>
      <c r="L1889" s="20">
        <f>IF(E1889="","",E1889+IF(F1889="",IFERROR(VLOOKUP(C1889,Parametros!$E:$F,2,0),0),F1889))</f>
        <v/>
      </c>
      <c r="M1889" s="21">
        <f>IF(E1889="","",IF(G1889="",IF(TODAY()&gt;L1889,"Atrasada","Em aberto"),IF(G1889&lt;=L1889,"No prazo","Com atraso")))</f>
        <v/>
      </c>
      <c r="N1889" s="18">
        <f>IF(E1889="","",MAX(0,IF(G1889="",TODAY(),G1889)-L1889))</f>
        <v/>
      </c>
    </row>
    <row r="1890">
      <c r="E1890" s="22" t="n"/>
      <c r="G1890" s="22" t="n"/>
      <c r="I1890" s="22" t="n"/>
      <c r="L1890" s="20">
        <f>IF(E1890="","",E1890+IF(F1890="",IFERROR(VLOOKUP(C1890,Parametros!$E:$F,2,0),0),F1890))</f>
        <v/>
      </c>
      <c r="M1890" s="21">
        <f>IF(E1890="","",IF(G1890="",IF(TODAY()&gt;L1890,"Atrasada","Em aberto"),IF(G1890&lt;=L1890,"No prazo","Com atraso")))</f>
        <v/>
      </c>
      <c r="N1890" s="18">
        <f>IF(E1890="","",MAX(0,IF(G1890="",TODAY(),G1890)-L1890))</f>
        <v/>
      </c>
    </row>
    <row r="1891">
      <c r="E1891" s="22" t="n"/>
      <c r="G1891" s="22" t="n"/>
      <c r="I1891" s="22" t="n"/>
      <c r="L1891" s="20">
        <f>IF(E1891="","",E1891+IF(F1891="",IFERROR(VLOOKUP(C1891,Parametros!$E:$F,2,0),0),F1891))</f>
        <v/>
      </c>
      <c r="M1891" s="21">
        <f>IF(E1891="","",IF(G1891="",IF(TODAY()&gt;L1891,"Atrasada","Em aberto"),IF(G1891&lt;=L1891,"No prazo","Com atraso")))</f>
        <v/>
      </c>
      <c r="N1891" s="18">
        <f>IF(E1891="","",MAX(0,IF(G1891="",TODAY(),G1891)-L1891))</f>
        <v/>
      </c>
    </row>
    <row r="1892">
      <c r="E1892" s="22" t="n"/>
      <c r="G1892" s="22" t="n"/>
      <c r="I1892" s="22" t="n"/>
      <c r="L1892" s="20">
        <f>IF(E1892="","",E1892+IF(F1892="",IFERROR(VLOOKUP(C1892,Parametros!$E:$F,2,0),0),F1892))</f>
        <v/>
      </c>
      <c r="M1892" s="21">
        <f>IF(E1892="","",IF(G1892="",IF(TODAY()&gt;L1892,"Atrasada","Em aberto"),IF(G1892&lt;=L1892,"No prazo","Com atraso")))</f>
        <v/>
      </c>
      <c r="N1892" s="18">
        <f>IF(E1892="","",MAX(0,IF(G1892="",TODAY(),G1892)-L1892))</f>
        <v/>
      </c>
    </row>
    <row r="1893">
      <c r="E1893" s="22" t="n"/>
      <c r="G1893" s="22" t="n"/>
      <c r="I1893" s="22" t="n"/>
      <c r="L1893" s="20">
        <f>IF(E1893="","",E1893+IF(F1893="",IFERROR(VLOOKUP(C1893,Parametros!$E:$F,2,0),0),F1893))</f>
        <v/>
      </c>
      <c r="M1893" s="21">
        <f>IF(E1893="","",IF(G1893="",IF(TODAY()&gt;L1893,"Atrasada","Em aberto"),IF(G1893&lt;=L1893,"No prazo","Com atraso")))</f>
        <v/>
      </c>
      <c r="N1893" s="18">
        <f>IF(E1893="","",MAX(0,IF(G1893="",TODAY(),G1893)-L1893))</f>
        <v/>
      </c>
    </row>
    <row r="1894">
      <c r="E1894" s="22" t="n"/>
      <c r="G1894" s="22" t="n"/>
      <c r="I1894" s="22" t="n"/>
      <c r="L1894" s="20">
        <f>IF(E1894="","",E1894+IF(F1894="",IFERROR(VLOOKUP(C1894,Parametros!$E:$F,2,0),0),F1894))</f>
        <v/>
      </c>
      <c r="M1894" s="21">
        <f>IF(E1894="","",IF(G1894="",IF(TODAY()&gt;L1894,"Atrasada","Em aberto"),IF(G1894&lt;=L1894,"No prazo","Com atraso")))</f>
        <v/>
      </c>
      <c r="N1894" s="18">
        <f>IF(E1894="","",MAX(0,IF(G1894="",TODAY(),G1894)-L1894))</f>
        <v/>
      </c>
    </row>
    <row r="1895">
      <c r="E1895" s="22" t="n"/>
      <c r="G1895" s="22" t="n"/>
      <c r="I1895" s="22" t="n"/>
      <c r="L1895" s="20">
        <f>IF(E1895="","",E1895+IF(F1895="",IFERROR(VLOOKUP(C1895,Parametros!$E:$F,2,0),0),F1895))</f>
        <v/>
      </c>
      <c r="M1895" s="21">
        <f>IF(E1895="","",IF(G1895="",IF(TODAY()&gt;L1895,"Atrasada","Em aberto"),IF(G1895&lt;=L1895,"No prazo","Com atraso")))</f>
        <v/>
      </c>
      <c r="N1895" s="18">
        <f>IF(E1895="","",MAX(0,IF(G1895="",TODAY(),G1895)-L1895))</f>
        <v/>
      </c>
    </row>
    <row r="1896">
      <c r="E1896" s="22" t="n"/>
      <c r="G1896" s="22" t="n"/>
      <c r="I1896" s="22" t="n"/>
      <c r="L1896" s="20">
        <f>IF(E1896="","",E1896+IF(F1896="",IFERROR(VLOOKUP(C1896,Parametros!$E:$F,2,0),0),F1896))</f>
        <v/>
      </c>
      <c r="M1896" s="21">
        <f>IF(E1896="","",IF(G1896="",IF(TODAY()&gt;L1896,"Atrasada","Em aberto"),IF(G1896&lt;=L1896,"No prazo","Com atraso")))</f>
        <v/>
      </c>
      <c r="N1896" s="18">
        <f>IF(E1896="","",MAX(0,IF(G1896="",TODAY(),G1896)-L1896))</f>
        <v/>
      </c>
    </row>
    <row r="1897">
      <c r="E1897" s="22" t="n"/>
      <c r="G1897" s="22" t="n"/>
      <c r="I1897" s="22" t="n"/>
      <c r="L1897" s="20">
        <f>IF(E1897="","",E1897+IF(F1897="",IFERROR(VLOOKUP(C1897,Parametros!$E:$F,2,0),0),F1897))</f>
        <v/>
      </c>
      <c r="M1897" s="21">
        <f>IF(E1897="","",IF(G1897="",IF(TODAY()&gt;L1897,"Atrasada","Em aberto"),IF(G1897&lt;=L1897,"No prazo","Com atraso")))</f>
        <v/>
      </c>
      <c r="N1897" s="18">
        <f>IF(E1897="","",MAX(0,IF(G1897="",TODAY(),G1897)-L1897))</f>
        <v/>
      </c>
    </row>
    <row r="1898">
      <c r="E1898" s="22" t="n"/>
      <c r="G1898" s="22" t="n"/>
      <c r="I1898" s="22" t="n"/>
      <c r="L1898" s="20">
        <f>IF(E1898="","",E1898+IF(F1898="",IFERROR(VLOOKUP(C1898,Parametros!$E:$F,2,0),0),F1898))</f>
        <v/>
      </c>
      <c r="M1898" s="21">
        <f>IF(E1898="","",IF(G1898="",IF(TODAY()&gt;L1898,"Atrasada","Em aberto"),IF(G1898&lt;=L1898,"No prazo","Com atraso")))</f>
        <v/>
      </c>
      <c r="N1898" s="18">
        <f>IF(E1898="","",MAX(0,IF(G1898="",TODAY(),G1898)-L1898))</f>
        <v/>
      </c>
    </row>
    <row r="1899">
      <c r="E1899" s="22" t="n"/>
      <c r="G1899" s="22" t="n"/>
      <c r="I1899" s="22" t="n"/>
      <c r="L1899" s="20">
        <f>IF(E1899="","",E1899+IF(F1899="",IFERROR(VLOOKUP(C1899,Parametros!$E:$F,2,0),0),F1899))</f>
        <v/>
      </c>
      <c r="M1899" s="21">
        <f>IF(E1899="","",IF(G1899="",IF(TODAY()&gt;L1899,"Atrasada","Em aberto"),IF(G1899&lt;=L1899,"No prazo","Com atraso")))</f>
        <v/>
      </c>
      <c r="N1899" s="18">
        <f>IF(E1899="","",MAX(0,IF(G1899="",TODAY(),G1899)-L1899))</f>
        <v/>
      </c>
    </row>
    <row r="1900">
      <c r="E1900" s="22" t="n"/>
      <c r="G1900" s="22" t="n"/>
      <c r="I1900" s="22" t="n"/>
      <c r="L1900" s="20">
        <f>IF(E1900="","",E1900+IF(F1900="",IFERROR(VLOOKUP(C1900,Parametros!$E:$F,2,0),0),F1900))</f>
        <v/>
      </c>
      <c r="M1900" s="21">
        <f>IF(E1900="","",IF(G1900="",IF(TODAY()&gt;L1900,"Atrasada","Em aberto"),IF(G1900&lt;=L1900,"No prazo","Com atraso")))</f>
        <v/>
      </c>
      <c r="N1900" s="18">
        <f>IF(E1900="","",MAX(0,IF(G1900="",TODAY(),G1900)-L1900))</f>
        <v/>
      </c>
    </row>
    <row r="1901">
      <c r="E1901" s="22" t="n"/>
      <c r="G1901" s="22" t="n"/>
      <c r="I1901" s="22" t="n"/>
      <c r="L1901" s="20">
        <f>IF(E1901="","",E1901+IF(F1901="",IFERROR(VLOOKUP(C1901,Parametros!$E:$F,2,0),0),F1901))</f>
        <v/>
      </c>
      <c r="M1901" s="21">
        <f>IF(E1901="","",IF(G1901="",IF(TODAY()&gt;L1901,"Atrasada","Em aberto"),IF(G1901&lt;=L1901,"No prazo","Com atraso")))</f>
        <v/>
      </c>
      <c r="N1901" s="18">
        <f>IF(E1901="","",MAX(0,IF(G1901="",TODAY(),G1901)-L1901))</f>
        <v/>
      </c>
    </row>
    <row r="1902">
      <c r="E1902" s="22" t="n"/>
      <c r="G1902" s="22" t="n"/>
      <c r="I1902" s="22" t="n"/>
      <c r="L1902" s="20">
        <f>IF(E1902="","",E1902+IF(F1902="",IFERROR(VLOOKUP(C1902,Parametros!$E:$F,2,0),0),F1902))</f>
        <v/>
      </c>
      <c r="M1902" s="21">
        <f>IF(E1902="","",IF(G1902="",IF(TODAY()&gt;L1902,"Atrasada","Em aberto"),IF(G1902&lt;=L1902,"No prazo","Com atraso")))</f>
        <v/>
      </c>
      <c r="N1902" s="18">
        <f>IF(E1902="","",MAX(0,IF(G1902="",TODAY(),G1902)-L1902))</f>
        <v/>
      </c>
    </row>
    <row r="1903">
      <c r="E1903" s="22" t="n"/>
      <c r="G1903" s="22" t="n"/>
      <c r="I1903" s="22" t="n"/>
      <c r="L1903" s="20">
        <f>IF(E1903="","",E1903+IF(F1903="",IFERROR(VLOOKUP(C1903,Parametros!$E:$F,2,0),0),F1903))</f>
        <v/>
      </c>
      <c r="M1903" s="21">
        <f>IF(E1903="","",IF(G1903="",IF(TODAY()&gt;L1903,"Atrasada","Em aberto"),IF(G1903&lt;=L1903,"No prazo","Com atraso")))</f>
        <v/>
      </c>
      <c r="N1903" s="18">
        <f>IF(E1903="","",MAX(0,IF(G1903="",TODAY(),G1903)-L1903))</f>
        <v/>
      </c>
    </row>
    <row r="1904">
      <c r="E1904" s="22" t="n"/>
      <c r="G1904" s="22" t="n"/>
      <c r="I1904" s="22" t="n"/>
      <c r="L1904" s="20">
        <f>IF(E1904="","",E1904+IF(F1904="",IFERROR(VLOOKUP(C1904,Parametros!$E:$F,2,0),0),F1904))</f>
        <v/>
      </c>
      <c r="M1904" s="21">
        <f>IF(E1904="","",IF(G1904="",IF(TODAY()&gt;L1904,"Atrasada","Em aberto"),IF(G1904&lt;=L1904,"No prazo","Com atraso")))</f>
        <v/>
      </c>
      <c r="N1904" s="18">
        <f>IF(E1904="","",MAX(0,IF(G1904="",TODAY(),G1904)-L1904))</f>
        <v/>
      </c>
    </row>
    <row r="1905">
      <c r="E1905" s="22" t="n"/>
      <c r="G1905" s="22" t="n"/>
      <c r="I1905" s="22" t="n"/>
      <c r="L1905" s="20">
        <f>IF(E1905="","",E1905+IF(F1905="",IFERROR(VLOOKUP(C1905,Parametros!$E:$F,2,0),0),F1905))</f>
        <v/>
      </c>
      <c r="M1905" s="21">
        <f>IF(E1905="","",IF(G1905="",IF(TODAY()&gt;L1905,"Atrasada","Em aberto"),IF(G1905&lt;=L1905,"No prazo","Com atraso")))</f>
        <v/>
      </c>
      <c r="N1905" s="18">
        <f>IF(E1905="","",MAX(0,IF(G1905="",TODAY(),G1905)-L1905))</f>
        <v/>
      </c>
    </row>
    <row r="1906">
      <c r="E1906" s="22" t="n"/>
      <c r="G1906" s="22" t="n"/>
      <c r="I1906" s="22" t="n"/>
      <c r="L1906" s="20">
        <f>IF(E1906="","",E1906+IF(F1906="",IFERROR(VLOOKUP(C1906,Parametros!$E:$F,2,0),0),F1906))</f>
        <v/>
      </c>
      <c r="M1906" s="21">
        <f>IF(E1906="","",IF(G1906="",IF(TODAY()&gt;L1906,"Atrasada","Em aberto"),IF(G1906&lt;=L1906,"No prazo","Com atraso")))</f>
        <v/>
      </c>
      <c r="N1906" s="18">
        <f>IF(E1906="","",MAX(0,IF(G1906="",TODAY(),G1906)-L1906))</f>
        <v/>
      </c>
    </row>
    <row r="1907">
      <c r="E1907" s="22" t="n"/>
      <c r="G1907" s="22" t="n"/>
      <c r="I1907" s="22" t="n"/>
      <c r="L1907" s="20">
        <f>IF(E1907="","",E1907+IF(F1907="",IFERROR(VLOOKUP(C1907,Parametros!$E:$F,2,0),0),F1907))</f>
        <v/>
      </c>
      <c r="M1907" s="21">
        <f>IF(E1907="","",IF(G1907="",IF(TODAY()&gt;L1907,"Atrasada","Em aberto"),IF(G1907&lt;=L1907,"No prazo","Com atraso")))</f>
        <v/>
      </c>
      <c r="N1907" s="18">
        <f>IF(E1907="","",MAX(0,IF(G1907="",TODAY(),G1907)-L1907))</f>
        <v/>
      </c>
    </row>
    <row r="1908">
      <c r="E1908" s="22" t="n"/>
      <c r="G1908" s="22" t="n"/>
      <c r="I1908" s="22" t="n"/>
      <c r="L1908" s="20">
        <f>IF(E1908="","",E1908+IF(F1908="",IFERROR(VLOOKUP(C1908,Parametros!$E:$F,2,0),0),F1908))</f>
        <v/>
      </c>
      <c r="M1908" s="21">
        <f>IF(E1908="","",IF(G1908="",IF(TODAY()&gt;L1908,"Atrasada","Em aberto"),IF(G1908&lt;=L1908,"No prazo","Com atraso")))</f>
        <v/>
      </c>
      <c r="N1908" s="18">
        <f>IF(E1908="","",MAX(0,IF(G1908="",TODAY(),G1908)-L1908))</f>
        <v/>
      </c>
    </row>
    <row r="1909">
      <c r="E1909" s="22" t="n"/>
      <c r="G1909" s="22" t="n"/>
      <c r="I1909" s="22" t="n"/>
      <c r="L1909" s="20">
        <f>IF(E1909="","",E1909+IF(F1909="",IFERROR(VLOOKUP(C1909,Parametros!$E:$F,2,0),0),F1909))</f>
        <v/>
      </c>
      <c r="M1909" s="21">
        <f>IF(E1909="","",IF(G1909="",IF(TODAY()&gt;L1909,"Atrasada","Em aberto"),IF(G1909&lt;=L1909,"No prazo","Com atraso")))</f>
        <v/>
      </c>
      <c r="N1909" s="18">
        <f>IF(E1909="","",MAX(0,IF(G1909="",TODAY(),G1909)-L1909))</f>
        <v/>
      </c>
    </row>
    <row r="1910">
      <c r="E1910" s="22" t="n"/>
      <c r="G1910" s="22" t="n"/>
      <c r="I1910" s="22" t="n"/>
      <c r="L1910" s="20">
        <f>IF(E1910="","",E1910+IF(F1910="",IFERROR(VLOOKUP(C1910,Parametros!$E:$F,2,0),0),F1910))</f>
        <v/>
      </c>
      <c r="M1910" s="21">
        <f>IF(E1910="","",IF(G1910="",IF(TODAY()&gt;L1910,"Atrasada","Em aberto"),IF(G1910&lt;=L1910,"No prazo","Com atraso")))</f>
        <v/>
      </c>
      <c r="N1910" s="18">
        <f>IF(E1910="","",MAX(0,IF(G1910="",TODAY(),G1910)-L1910))</f>
        <v/>
      </c>
    </row>
    <row r="1911">
      <c r="E1911" s="22" t="n"/>
      <c r="G1911" s="22" t="n"/>
      <c r="I1911" s="22" t="n"/>
      <c r="L1911" s="20">
        <f>IF(E1911="","",E1911+IF(F1911="",IFERROR(VLOOKUP(C1911,Parametros!$E:$F,2,0),0),F1911))</f>
        <v/>
      </c>
      <c r="M1911" s="21">
        <f>IF(E1911="","",IF(G1911="",IF(TODAY()&gt;L1911,"Atrasada","Em aberto"),IF(G1911&lt;=L1911,"No prazo","Com atraso")))</f>
        <v/>
      </c>
      <c r="N1911" s="18">
        <f>IF(E1911="","",MAX(0,IF(G1911="",TODAY(),G1911)-L1911))</f>
        <v/>
      </c>
    </row>
    <row r="1912">
      <c r="E1912" s="22" t="n"/>
      <c r="G1912" s="22" t="n"/>
      <c r="I1912" s="22" t="n"/>
      <c r="L1912" s="20">
        <f>IF(E1912="","",E1912+IF(F1912="",IFERROR(VLOOKUP(C1912,Parametros!$E:$F,2,0),0),F1912))</f>
        <v/>
      </c>
      <c r="M1912" s="21">
        <f>IF(E1912="","",IF(G1912="",IF(TODAY()&gt;L1912,"Atrasada","Em aberto"),IF(G1912&lt;=L1912,"No prazo","Com atraso")))</f>
        <v/>
      </c>
      <c r="N1912" s="18">
        <f>IF(E1912="","",MAX(0,IF(G1912="",TODAY(),G1912)-L1912))</f>
        <v/>
      </c>
    </row>
    <row r="1913">
      <c r="E1913" s="22" t="n"/>
      <c r="G1913" s="22" t="n"/>
      <c r="I1913" s="22" t="n"/>
      <c r="L1913" s="20">
        <f>IF(E1913="","",E1913+IF(F1913="",IFERROR(VLOOKUP(C1913,Parametros!$E:$F,2,0),0),F1913))</f>
        <v/>
      </c>
      <c r="M1913" s="21">
        <f>IF(E1913="","",IF(G1913="",IF(TODAY()&gt;L1913,"Atrasada","Em aberto"),IF(G1913&lt;=L1913,"No prazo","Com atraso")))</f>
        <v/>
      </c>
      <c r="N1913" s="18">
        <f>IF(E1913="","",MAX(0,IF(G1913="",TODAY(),G1913)-L1913))</f>
        <v/>
      </c>
    </row>
    <row r="1914">
      <c r="E1914" s="22" t="n"/>
      <c r="G1914" s="22" t="n"/>
      <c r="I1914" s="22" t="n"/>
      <c r="L1914" s="20">
        <f>IF(E1914="","",E1914+IF(F1914="",IFERROR(VLOOKUP(C1914,Parametros!$E:$F,2,0),0),F1914))</f>
        <v/>
      </c>
      <c r="M1914" s="21">
        <f>IF(E1914="","",IF(G1914="",IF(TODAY()&gt;L1914,"Atrasada","Em aberto"),IF(G1914&lt;=L1914,"No prazo","Com atraso")))</f>
        <v/>
      </c>
      <c r="N1914" s="18">
        <f>IF(E1914="","",MAX(0,IF(G1914="",TODAY(),G1914)-L1914))</f>
        <v/>
      </c>
    </row>
    <row r="1915">
      <c r="E1915" s="22" t="n"/>
      <c r="G1915" s="22" t="n"/>
      <c r="I1915" s="22" t="n"/>
      <c r="L1915" s="20">
        <f>IF(E1915="","",E1915+IF(F1915="",IFERROR(VLOOKUP(C1915,Parametros!$E:$F,2,0),0),F1915))</f>
        <v/>
      </c>
      <c r="M1915" s="21">
        <f>IF(E1915="","",IF(G1915="",IF(TODAY()&gt;L1915,"Atrasada","Em aberto"),IF(G1915&lt;=L1915,"No prazo","Com atraso")))</f>
        <v/>
      </c>
      <c r="N1915" s="18">
        <f>IF(E1915="","",MAX(0,IF(G1915="",TODAY(),G1915)-L1915))</f>
        <v/>
      </c>
    </row>
    <row r="1916">
      <c r="E1916" s="22" t="n"/>
      <c r="G1916" s="22" t="n"/>
      <c r="I1916" s="22" t="n"/>
      <c r="L1916" s="20">
        <f>IF(E1916="","",E1916+IF(F1916="",IFERROR(VLOOKUP(C1916,Parametros!$E:$F,2,0),0),F1916))</f>
        <v/>
      </c>
      <c r="M1916" s="21">
        <f>IF(E1916="","",IF(G1916="",IF(TODAY()&gt;L1916,"Atrasada","Em aberto"),IF(G1916&lt;=L1916,"No prazo","Com atraso")))</f>
        <v/>
      </c>
      <c r="N1916" s="18">
        <f>IF(E1916="","",MAX(0,IF(G1916="",TODAY(),G1916)-L1916))</f>
        <v/>
      </c>
    </row>
    <row r="1917">
      <c r="E1917" s="22" t="n"/>
      <c r="G1917" s="22" t="n"/>
      <c r="I1917" s="22" t="n"/>
      <c r="L1917" s="20">
        <f>IF(E1917="","",E1917+IF(F1917="",IFERROR(VLOOKUP(C1917,Parametros!$E:$F,2,0),0),F1917))</f>
        <v/>
      </c>
      <c r="M1917" s="21">
        <f>IF(E1917="","",IF(G1917="",IF(TODAY()&gt;L1917,"Atrasada","Em aberto"),IF(G1917&lt;=L1917,"No prazo","Com atraso")))</f>
        <v/>
      </c>
      <c r="N1917" s="18">
        <f>IF(E1917="","",MAX(0,IF(G1917="",TODAY(),G1917)-L1917))</f>
        <v/>
      </c>
    </row>
    <row r="1918">
      <c r="E1918" s="22" t="n"/>
      <c r="G1918" s="22" t="n"/>
      <c r="I1918" s="22" t="n"/>
      <c r="L1918" s="20">
        <f>IF(E1918="","",E1918+IF(F1918="",IFERROR(VLOOKUP(C1918,Parametros!$E:$F,2,0),0),F1918))</f>
        <v/>
      </c>
      <c r="M1918" s="21">
        <f>IF(E1918="","",IF(G1918="",IF(TODAY()&gt;L1918,"Atrasada","Em aberto"),IF(G1918&lt;=L1918,"No prazo","Com atraso")))</f>
        <v/>
      </c>
      <c r="N1918" s="18">
        <f>IF(E1918="","",MAX(0,IF(G1918="",TODAY(),G1918)-L1918))</f>
        <v/>
      </c>
    </row>
    <row r="1919">
      <c r="E1919" s="22" t="n"/>
      <c r="G1919" s="22" t="n"/>
      <c r="I1919" s="22" t="n"/>
      <c r="L1919" s="20">
        <f>IF(E1919="","",E1919+IF(F1919="",IFERROR(VLOOKUP(C1919,Parametros!$E:$F,2,0),0),F1919))</f>
        <v/>
      </c>
      <c r="M1919" s="21">
        <f>IF(E1919="","",IF(G1919="",IF(TODAY()&gt;L1919,"Atrasada","Em aberto"),IF(G1919&lt;=L1919,"No prazo","Com atraso")))</f>
        <v/>
      </c>
      <c r="N1919" s="18">
        <f>IF(E1919="","",MAX(0,IF(G1919="",TODAY(),G1919)-L1919))</f>
        <v/>
      </c>
    </row>
    <row r="1920">
      <c r="E1920" s="22" t="n"/>
      <c r="G1920" s="22" t="n"/>
      <c r="I1920" s="22" t="n"/>
      <c r="L1920" s="20">
        <f>IF(E1920="","",E1920+IF(F1920="",IFERROR(VLOOKUP(C1920,Parametros!$E:$F,2,0),0),F1920))</f>
        <v/>
      </c>
      <c r="M1920" s="21">
        <f>IF(E1920="","",IF(G1920="",IF(TODAY()&gt;L1920,"Atrasada","Em aberto"),IF(G1920&lt;=L1920,"No prazo","Com atraso")))</f>
        <v/>
      </c>
      <c r="N1920" s="18">
        <f>IF(E1920="","",MAX(0,IF(G1920="",TODAY(),G1920)-L1920))</f>
        <v/>
      </c>
    </row>
    <row r="1921">
      <c r="E1921" s="22" t="n"/>
      <c r="G1921" s="22" t="n"/>
      <c r="I1921" s="22" t="n"/>
      <c r="L1921" s="20">
        <f>IF(E1921="","",E1921+IF(F1921="",IFERROR(VLOOKUP(C1921,Parametros!$E:$F,2,0),0),F1921))</f>
        <v/>
      </c>
      <c r="M1921" s="21">
        <f>IF(E1921="","",IF(G1921="",IF(TODAY()&gt;L1921,"Atrasada","Em aberto"),IF(G1921&lt;=L1921,"No prazo","Com atraso")))</f>
        <v/>
      </c>
      <c r="N1921" s="18">
        <f>IF(E1921="","",MAX(0,IF(G1921="",TODAY(),G1921)-L1921))</f>
        <v/>
      </c>
    </row>
    <row r="1922">
      <c r="E1922" s="22" t="n"/>
      <c r="G1922" s="22" t="n"/>
      <c r="I1922" s="22" t="n"/>
      <c r="L1922" s="20">
        <f>IF(E1922="","",E1922+IF(F1922="",IFERROR(VLOOKUP(C1922,Parametros!$E:$F,2,0),0),F1922))</f>
        <v/>
      </c>
      <c r="M1922" s="21">
        <f>IF(E1922="","",IF(G1922="",IF(TODAY()&gt;L1922,"Atrasada","Em aberto"),IF(G1922&lt;=L1922,"No prazo","Com atraso")))</f>
        <v/>
      </c>
      <c r="N1922" s="18">
        <f>IF(E1922="","",MAX(0,IF(G1922="",TODAY(),G1922)-L1922))</f>
        <v/>
      </c>
    </row>
    <row r="1923">
      <c r="E1923" s="22" t="n"/>
      <c r="G1923" s="22" t="n"/>
      <c r="I1923" s="22" t="n"/>
      <c r="L1923" s="20">
        <f>IF(E1923="","",E1923+IF(F1923="",IFERROR(VLOOKUP(C1923,Parametros!$E:$F,2,0),0),F1923))</f>
        <v/>
      </c>
      <c r="M1923" s="21">
        <f>IF(E1923="","",IF(G1923="",IF(TODAY()&gt;L1923,"Atrasada","Em aberto"),IF(G1923&lt;=L1923,"No prazo","Com atraso")))</f>
        <v/>
      </c>
      <c r="N1923" s="18">
        <f>IF(E1923="","",MAX(0,IF(G1923="",TODAY(),G1923)-L1923))</f>
        <v/>
      </c>
    </row>
    <row r="1924">
      <c r="E1924" s="22" t="n"/>
      <c r="G1924" s="22" t="n"/>
      <c r="I1924" s="22" t="n"/>
      <c r="L1924" s="20">
        <f>IF(E1924="","",E1924+IF(F1924="",IFERROR(VLOOKUP(C1924,Parametros!$E:$F,2,0),0),F1924))</f>
        <v/>
      </c>
      <c r="M1924" s="21">
        <f>IF(E1924="","",IF(G1924="",IF(TODAY()&gt;L1924,"Atrasada","Em aberto"),IF(G1924&lt;=L1924,"No prazo","Com atraso")))</f>
        <v/>
      </c>
      <c r="N1924" s="18">
        <f>IF(E1924="","",MAX(0,IF(G1924="",TODAY(),G1924)-L1924))</f>
        <v/>
      </c>
    </row>
    <row r="1925">
      <c r="E1925" s="22" t="n"/>
      <c r="G1925" s="22" t="n"/>
      <c r="I1925" s="22" t="n"/>
      <c r="L1925" s="20">
        <f>IF(E1925="","",E1925+IF(F1925="",IFERROR(VLOOKUP(C1925,Parametros!$E:$F,2,0),0),F1925))</f>
        <v/>
      </c>
      <c r="M1925" s="21">
        <f>IF(E1925="","",IF(G1925="",IF(TODAY()&gt;L1925,"Atrasada","Em aberto"),IF(G1925&lt;=L1925,"No prazo","Com atraso")))</f>
        <v/>
      </c>
      <c r="N1925" s="18">
        <f>IF(E1925="","",MAX(0,IF(G1925="",TODAY(),G1925)-L1925))</f>
        <v/>
      </c>
    </row>
    <row r="1926">
      <c r="E1926" s="22" t="n"/>
      <c r="G1926" s="22" t="n"/>
      <c r="I1926" s="22" t="n"/>
      <c r="L1926" s="20">
        <f>IF(E1926="","",E1926+IF(F1926="",IFERROR(VLOOKUP(C1926,Parametros!$E:$F,2,0),0),F1926))</f>
        <v/>
      </c>
      <c r="M1926" s="21">
        <f>IF(E1926="","",IF(G1926="",IF(TODAY()&gt;L1926,"Atrasada","Em aberto"),IF(G1926&lt;=L1926,"No prazo","Com atraso")))</f>
        <v/>
      </c>
      <c r="N1926" s="18">
        <f>IF(E1926="","",MAX(0,IF(G1926="",TODAY(),G1926)-L1926))</f>
        <v/>
      </c>
    </row>
    <row r="1927">
      <c r="E1927" s="22" t="n"/>
      <c r="G1927" s="22" t="n"/>
      <c r="I1927" s="22" t="n"/>
      <c r="L1927" s="20">
        <f>IF(E1927="","",E1927+IF(F1927="",IFERROR(VLOOKUP(C1927,Parametros!$E:$F,2,0),0),F1927))</f>
        <v/>
      </c>
      <c r="M1927" s="21">
        <f>IF(E1927="","",IF(G1927="",IF(TODAY()&gt;L1927,"Atrasada","Em aberto"),IF(G1927&lt;=L1927,"No prazo","Com atraso")))</f>
        <v/>
      </c>
      <c r="N1927" s="18">
        <f>IF(E1927="","",MAX(0,IF(G1927="",TODAY(),G1927)-L1927))</f>
        <v/>
      </c>
    </row>
    <row r="1928">
      <c r="E1928" s="22" t="n"/>
      <c r="G1928" s="22" t="n"/>
      <c r="I1928" s="22" t="n"/>
      <c r="L1928" s="20">
        <f>IF(E1928="","",E1928+IF(F1928="",IFERROR(VLOOKUP(C1928,Parametros!$E:$F,2,0),0),F1928))</f>
        <v/>
      </c>
      <c r="M1928" s="21">
        <f>IF(E1928="","",IF(G1928="",IF(TODAY()&gt;L1928,"Atrasada","Em aberto"),IF(G1928&lt;=L1928,"No prazo","Com atraso")))</f>
        <v/>
      </c>
      <c r="N1928" s="18">
        <f>IF(E1928="","",MAX(0,IF(G1928="",TODAY(),G1928)-L1928))</f>
        <v/>
      </c>
    </row>
    <row r="1929">
      <c r="E1929" s="22" t="n"/>
      <c r="G1929" s="22" t="n"/>
      <c r="I1929" s="22" t="n"/>
      <c r="L1929" s="20">
        <f>IF(E1929="","",E1929+IF(F1929="",IFERROR(VLOOKUP(C1929,Parametros!$E:$F,2,0),0),F1929))</f>
        <v/>
      </c>
      <c r="M1929" s="21">
        <f>IF(E1929="","",IF(G1929="",IF(TODAY()&gt;L1929,"Atrasada","Em aberto"),IF(G1929&lt;=L1929,"No prazo","Com atraso")))</f>
        <v/>
      </c>
      <c r="N1929" s="18">
        <f>IF(E1929="","",MAX(0,IF(G1929="",TODAY(),G1929)-L1929))</f>
        <v/>
      </c>
    </row>
    <row r="1930">
      <c r="E1930" s="22" t="n"/>
      <c r="G1930" s="22" t="n"/>
      <c r="I1930" s="22" t="n"/>
      <c r="L1930" s="20">
        <f>IF(E1930="","",E1930+IF(F1930="",IFERROR(VLOOKUP(C1930,Parametros!$E:$F,2,0),0),F1930))</f>
        <v/>
      </c>
      <c r="M1930" s="21">
        <f>IF(E1930="","",IF(G1930="",IF(TODAY()&gt;L1930,"Atrasada","Em aberto"),IF(G1930&lt;=L1930,"No prazo","Com atraso")))</f>
        <v/>
      </c>
      <c r="N1930" s="18">
        <f>IF(E1930="","",MAX(0,IF(G1930="",TODAY(),G1930)-L1930))</f>
        <v/>
      </c>
    </row>
    <row r="1931">
      <c r="E1931" s="22" t="n"/>
      <c r="G1931" s="22" t="n"/>
      <c r="I1931" s="22" t="n"/>
      <c r="L1931" s="20">
        <f>IF(E1931="","",E1931+IF(F1931="",IFERROR(VLOOKUP(C1931,Parametros!$E:$F,2,0),0),F1931))</f>
        <v/>
      </c>
      <c r="M1931" s="21">
        <f>IF(E1931="","",IF(G1931="",IF(TODAY()&gt;L1931,"Atrasada","Em aberto"),IF(G1931&lt;=L1931,"No prazo","Com atraso")))</f>
        <v/>
      </c>
      <c r="N1931" s="18">
        <f>IF(E1931="","",MAX(0,IF(G1931="",TODAY(),G1931)-L1931))</f>
        <v/>
      </c>
    </row>
    <row r="1932">
      <c r="E1932" s="22" t="n"/>
      <c r="G1932" s="22" t="n"/>
      <c r="I1932" s="22" t="n"/>
      <c r="L1932" s="20">
        <f>IF(E1932="","",E1932+IF(F1932="",IFERROR(VLOOKUP(C1932,Parametros!$E:$F,2,0),0),F1932))</f>
        <v/>
      </c>
      <c r="M1932" s="21">
        <f>IF(E1932="","",IF(G1932="",IF(TODAY()&gt;L1932,"Atrasada","Em aberto"),IF(G1932&lt;=L1932,"No prazo","Com atraso")))</f>
        <v/>
      </c>
      <c r="N1932" s="18">
        <f>IF(E1932="","",MAX(0,IF(G1932="",TODAY(),G1932)-L1932))</f>
        <v/>
      </c>
    </row>
    <row r="1933">
      <c r="E1933" s="22" t="n"/>
      <c r="G1933" s="22" t="n"/>
      <c r="I1933" s="22" t="n"/>
      <c r="L1933" s="20">
        <f>IF(E1933="","",E1933+IF(F1933="",IFERROR(VLOOKUP(C1933,Parametros!$E:$F,2,0),0),F1933))</f>
        <v/>
      </c>
      <c r="M1933" s="21">
        <f>IF(E1933="","",IF(G1933="",IF(TODAY()&gt;L1933,"Atrasada","Em aberto"),IF(G1933&lt;=L1933,"No prazo","Com atraso")))</f>
        <v/>
      </c>
      <c r="N1933" s="18">
        <f>IF(E1933="","",MAX(0,IF(G1933="",TODAY(),G1933)-L1933))</f>
        <v/>
      </c>
    </row>
    <row r="1934">
      <c r="E1934" s="22" t="n"/>
      <c r="G1934" s="22" t="n"/>
      <c r="I1934" s="22" t="n"/>
      <c r="L1934" s="20">
        <f>IF(E1934="","",E1934+IF(F1934="",IFERROR(VLOOKUP(C1934,Parametros!$E:$F,2,0),0),F1934))</f>
        <v/>
      </c>
      <c r="M1934" s="21">
        <f>IF(E1934="","",IF(G1934="",IF(TODAY()&gt;L1934,"Atrasada","Em aberto"),IF(G1934&lt;=L1934,"No prazo","Com atraso")))</f>
        <v/>
      </c>
      <c r="N1934" s="18">
        <f>IF(E1934="","",MAX(0,IF(G1934="",TODAY(),G1934)-L1934))</f>
        <v/>
      </c>
    </row>
    <row r="1935">
      <c r="E1935" s="22" t="n"/>
      <c r="G1935" s="22" t="n"/>
      <c r="I1935" s="22" t="n"/>
      <c r="L1935" s="20">
        <f>IF(E1935="","",E1935+IF(F1935="",IFERROR(VLOOKUP(C1935,Parametros!$E:$F,2,0),0),F1935))</f>
        <v/>
      </c>
      <c r="M1935" s="21">
        <f>IF(E1935="","",IF(G1935="",IF(TODAY()&gt;L1935,"Atrasada","Em aberto"),IF(G1935&lt;=L1935,"No prazo","Com atraso")))</f>
        <v/>
      </c>
      <c r="N1935" s="18">
        <f>IF(E1935="","",MAX(0,IF(G1935="",TODAY(),G1935)-L1935))</f>
        <v/>
      </c>
    </row>
    <row r="1936">
      <c r="E1936" s="22" t="n"/>
      <c r="G1936" s="22" t="n"/>
      <c r="I1936" s="22" t="n"/>
      <c r="L1936" s="20">
        <f>IF(E1936="","",E1936+IF(F1936="",IFERROR(VLOOKUP(C1936,Parametros!$E:$F,2,0),0),F1936))</f>
        <v/>
      </c>
      <c r="M1936" s="21">
        <f>IF(E1936="","",IF(G1936="",IF(TODAY()&gt;L1936,"Atrasada","Em aberto"),IF(G1936&lt;=L1936,"No prazo","Com atraso")))</f>
        <v/>
      </c>
      <c r="N1936" s="18">
        <f>IF(E1936="","",MAX(0,IF(G1936="",TODAY(),G1936)-L1936))</f>
        <v/>
      </c>
    </row>
    <row r="1937">
      <c r="E1937" s="22" t="n"/>
      <c r="G1937" s="22" t="n"/>
      <c r="I1937" s="22" t="n"/>
      <c r="L1937" s="20">
        <f>IF(E1937="","",E1937+IF(F1937="",IFERROR(VLOOKUP(C1937,Parametros!$E:$F,2,0),0),F1937))</f>
        <v/>
      </c>
      <c r="M1937" s="21">
        <f>IF(E1937="","",IF(G1937="",IF(TODAY()&gt;L1937,"Atrasada","Em aberto"),IF(G1937&lt;=L1937,"No prazo","Com atraso")))</f>
        <v/>
      </c>
      <c r="N1937" s="18">
        <f>IF(E1937="","",MAX(0,IF(G1937="",TODAY(),G1937)-L1937))</f>
        <v/>
      </c>
    </row>
    <row r="1938">
      <c r="E1938" s="22" t="n"/>
      <c r="G1938" s="22" t="n"/>
      <c r="I1938" s="22" t="n"/>
      <c r="L1938" s="20">
        <f>IF(E1938="","",E1938+IF(F1938="",IFERROR(VLOOKUP(C1938,Parametros!$E:$F,2,0),0),F1938))</f>
        <v/>
      </c>
      <c r="M1938" s="21">
        <f>IF(E1938="","",IF(G1938="",IF(TODAY()&gt;L1938,"Atrasada","Em aberto"),IF(G1938&lt;=L1938,"No prazo","Com atraso")))</f>
        <v/>
      </c>
      <c r="N1938" s="18">
        <f>IF(E1938="","",MAX(0,IF(G1938="",TODAY(),G1938)-L1938))</f>
        <v/>
      </c>
    </row>
    <row r="1939">
      <c r="E1939" s="22" t="n"/>
      <c r="G1939" s="22" t="n"/>
      <c r="I1939" s="22" t="n"/>
      <c r="L1939" s="20">
        <f>IF(E1939="","",E1939+IF(F1939="",IFERROR(VLOOKUP(C1939,Parametros!$E:$F,2,0),0),F1939))</f>
        <v/>
      </c>
      <c r="M1939" s="21">
        <f>IF(E1939="","",IF(G1939="",IF(TODAY()&gt;L1939,"Atrasada","Em aberto"),IF(G1939&lt;=L1939,"No prazo","Com atraso")))</f>
        <v/>
      </c>
      <c r="N1939" s="18">
        <f>IF(E1939="","",MAX(0,IF(G1939="",TODAY(),G1939)-L1939))</f>
        <v/>
      </c>
    </row>
    <row r="1940">
      <c r="E1940" s="22" t="n"/>
      <c r="G1940" s="22" t="n"/>
      <c r="I1940" s="22" t="n"/>
      <c r="L1940" s="20">
        <f>IF(E1940="","",E1940+IF(F1940="",IFERROR(VLOOKUP(C1940,Parametros!$E:$F,2,0),0),F1940))</f>
        <v/>
      </c>
      <c r="M1940" s="21">
        <f>IF(E1940="","",IF(G1940="",IF(TODAY()&gt;L1940,"Atrasada","Em aberto"),IF(G1940&lt;=L1940,"No prazo","Com atraso")))</f>
        <v/>
      </c>
      <c r="N1940" s="18">
        <f>IF(E1940="","",MAX(0,IF(G1940="",TODAY(),G1940)-L1940))</f>
        <v/>
      </c>
    </row>
    <row r="1941">
      <c r="E1941" s="22" t="n"/>
      <c r="G1941" s="22" t="n"/>
      <c r="I1941" s="22" t="n"/>
      <c r="L1941" s="20">
        <f>IF(E1941="","",E1941+IF(F1941="",IFERROR(VLOOKUP(C1941,Parametros!$E:$F,2,0),0),F1941))</f>
        <v/>
      </c>
      <c r="M1941" s="21">
        <f>IF(E1941="","",IF(G1941="",IF(TODAY()&gt;L1941,"Atrasada","Em aberto"),IF(G1941&lt;=L1941,"No prazo","Com atraso")))</f>
        <v/>
      </c>
      <c r="N1941" s="18">
        <f>IF(E1941="","",MAX(0,IF(G1941="",TODAY(),G1941)-L1941))</f>
        <v/>
      </c>
    </row>
    <row r="1942">
      <c r="E1942" s="22" t="n"/>
      <c r="G1942" s="22" t="n"/>
      <c r="I1942" s="22" t="n"/>
      <c r="L1942" s="20">
        <f>IF(E1942="","",E1942+IF(F1942="",IFERROR(VLOOKUP(C1942,Parametros!$E:$F,2,0),0),F1942))</f>
        <v/>
      </c>
      <c r="M1942" s="21">
        <f>IF(E1942="","",IF(G1942="",IF(TODAY()&gt;L1942,"Atrasada","Em aberto"),IF(G1942&lt;=L1942,"No prazo","Com atraso")))</f>
        <v/>
      </c>
      <c r="N1942" s="18">
        <f>IF(E1942="","",MAX(0,IF(G1942="",TODAY(),G1942)-L1942))</f>
        <v/>
      </c>
    </row>
    <row r="1943">
      <c r="E1943" s="22" t="n"/>
      <c r="G1943" s="22" t="n"/>
      <c r="I1943" s="22" t="n"/>
      <c r="L1943" s="20">
        <f>IF(E1943="","",E1943+IF(F1943="",IFERROR(VLOOKUP(C1943,Parametros!$E:$F,2,0),0),F1943))</f>
        <v/>
      </c>
      <c r="M1943" s="21">
        <f>IF(E1943="","",IF(G1943="",IF(TODAY()&gt;L1943,"Atrasada","Em aberto"),IF(G1943&lt;=L1943,"No prazo","Com atraso")))</f>
        <v/>
      </c>
      <c r="N1943" s="18">
        <f>IF(E1943="","",MAX(0,IF(G1943="",TODAY(),G1943)-L1943))</f>
        <v/>
      </c>
    </row>
    <row r="1944">
      <c r="E1944" s="22" t="n"/>
      <c r="G1944" s="22" t="n"/>
      <c r="I1944" s="22" t="n"/>
      <c r="L1944" s="20">
        <f>IF(E1944="","",E1944+IF(F1944="",IFERROR(VLOOKUP(C1944,Parametros!$E:$F,2,0),0),F1944))</f>
        <v/>
      </c>
      <c r="M1944" s="21">
        <f>IF(E1944="","",IF(G1944="",IF(TODAY()&gt;L1944,"Atrasada","Em aberto"),IF(G1944&lt;=L1944,"No prazo","Com atraso")))</f>
        <v/>
      </c>
      <c r="N1944" s="18">
        <f>IF(E1944="","",MAX(0,IF(G1944="",TODAY(),G1944)-L1944))</f>
        <v/>
      </c>
    </row>
    <row r="1945">
      <c r="E1945" s="22" t="n"/>
      <c r="G1945" s="22" t="n"/>
      <c r="I1945" s="22" t="n"/>
      <c r="L1945" s="20">
        <f>IF(E1945="","",E1945+IF(F1945="",IFERROR(VLOOKUP(C1945,Parametros!$E:$F,2,0),0),F1945))</f>
        <v/>
      </c>
      <c r="M1945" s="21">
        <f>IF(E1945="","",IF(G1945="",IF(TODAY()&gt;L1945,"Atrasada","Em aberto"),IF(G1945&lt;=L1945,"No prazo","Com atraso")))</f>
        <v/>
      </c>
      <c r="N1945" s="18">
        <f>IF(E1945="","",MAX(0,IF(G1945="",TODAY(),G1945)-L1945))</f>
        <v/>
      </c>
    </row>
    <row r="1946">
      <c r="E1946" s="22" t="n"/>
      <c r="G1946" s="22" t="n"/>
      <c r="I1946" s="22" t="n"/>
      <c r="L1946" s="20">
        <f>IF(E1946="","",E1946+IF(F1946="",IFERROR(VLOOKUP(C1946,Parametros!$E:$F,2,0),0),F1946))</f>
        <v/>
      </c>
      <c r="M1946" s="21">
        <f>IF(E1946="","",IF(G1946="",IF(TODAY()&gt;L1946,"Atrasada","Em aberto"),IF(G1946&lt;=L1946,"No prazo","Com atraso")))</f>
        <v/>
      </c>
      <c r="N1946" s="18">
        <f>IF(E1946="","",MAX(0,IF(G1946="",TODAY(),G1946)-L1946))</f>
        <v/>
      </c>
    </row>
    <row r="1947">
      <c r="E1947" s="22" t="n"/>
      <c r="G1947" s="22" t="n"/>
      <c r="I1947" s="22" t="n"/>
      <c r="L1947" s="20">
        <f>IF(E1947="","",E1947+IF(F1947="",IFERROR(VLOOKUP(C1947,Parametros!$E:$F,2,0),0),F1947))</f>
        <v/>
      </c>
      <c r="M1947" s="21">
        <f>IF(E1947="","",IF(G1947="",IF(TODAY()&gt;L1947,"Atrasada","Em aberto"),IF(G1947&lt;=L1947,"No prazo","Com atraso")))</f>
        <v/>
      </c>
      <c r="N1947" s="18">
        <f>IF(E1947="","",MAX(0,IF(G1947="",TODAY(),G1947)-L1947))</f>
        <v/>
      </c>
    </row>
    <row r="1948">
      <c r="E1948" s="22" t="n"/>
      <c r="G1948" s="22" t="n"/>
      <c r="I1948" s="22" t="n"/>
      <c r="L1948" s="20">
        <f>IF(E1948="","",E1948+IF(F1948="",IFERROR(VLOOKUP(C1948,Parametros!$E:$F,2,0),0),F1948))</f>
        <v/>
      </c>
      <c r="M1948" s="21">
        <f>IF(E1948="","",IF(G1948="",IF(TODAY()&gt;L1948,"Atrasada","Em aberto"),IF(G1948&lt;=L1948,"No prazo","Com atraso")))</f>
        <v/>
      </c>
      <c r="N1948" s="18">
        <f>IF(E1948="","",MAX(0,IF(G1948="",TODAY(),G1948)-L1948))</f>
        <v/>
      </c>
    </row>
    <row r="1949">
      <c r="E1949" s="22" t="n"/>
      <c r="G1949" s="22" t="n"/>
      <c r="I1949" s="22" t="n"/>
      <c r="L1949" s="20">
        <f>IF(E1949="","",E1949+IF(F1949="",IFERROR(VLOOKUP(C1949,Parametros!$E:$F,2,0),0),F1949))</f>
        <v/>
      </c>
      <c r="M1949" s="21">
        <f>IF(E1949="","",IF(G1949="",IF(TODAY()&gt;L1949,"Atrasada","Em aberto"),IF(G1949&lt;=L1949,"No prazo","Com atraso")))</f>
        <v/>
      </c>
      <c r="N1949" s="18">
        <f>IF(E1949="","",MAX(0,IF(G1949="",TODAY(),G1949)-L1949))</f>
        <v/>
      </c>
    </row>
    <row r="1950">
      <c r="E1950" s="22" t="n"/>
      <c r="G1950" s="22" t="n"/>
      <c r="I1950" s="22" t="n"/>
      <c r="L1950" s="20">
        <f>IF(E1950="","",E1950+IF(F1950="",IFERROR(VLOOKUP(C1950,Parametros!$E:$F,2,0),0),F1950))</f>
        <v/>
      </c>
      <c r="M1950" s="21">
        <f>IF(E1950="","",IF(G1950="",IF(TODAY()&gt;L1950,"Atrasada","Em aberto"),IF(G1950&lt;=L1950,"No prazo","Com atraso")))</f>
        <v/>
      </c>
      <c r="N1950" s="18">
        <f>IF(E1950="","",MAX(0,IF(G1950="",TODAY(),G1950)-L1950))</f>
        <v/>
      </c>
    </row>
    <row r="1951">
      <c r="E1951" s="22" t="n"/>
      <c r="G1951" s="22" t="n"/>
      <c r="I1951" s="22" t="n"/>
      <c r="L1951" s="20">
        <f>IF(E1951="","",E1951+IF(F1951="",IFERROR(VLOOKUP(C1951,Parametros!$E:$F,2,0),0),F1951))</f>
        <v/>
      </c>
      <c r="M1951" s="21">
        <f>IF(E1951="","",IF(G1951="",IF(TODAY()&gt;L1951,"Atrasada","Em aberto"),IF(G1951&lt;=L1951,"No prazo","Com atraso")))</f>
        <v/>
      </c>
      <c r="N1951" s="18">
        <f>IF(E1951="","",MAX(0,IF(G1951="",TODAY(),G1951)-L1951))</f>
        <v/>
      </c>
    </row>
    <row r="1952">
      <c r="E1952" s="22" t="n"/>
      <c r="G1952" s="22" t="n"/>
      <c r="I1952" s="22" t="n"/>
      <c r="L1952" s="20">
        <f>IF(E1952="","",E1952+IF(F1952="",IFERROR(VLOOKUP(C1952,Parametros!$E:$F,2,0),0),F1952))</f>
        <v/>
      </c>
      <c r="M1952" s="21">
        <f>IF(E1952="","",IF(G1952="",IF(TODAY()&gt;L1952,"Atrasada","Em aberto"),IF(G1952&lt;=L1952,"No prazo","Com atraso")))</f>
        <v/>
      </c>
      <c r="N1952" s="18">
        <f>IF(E1952="","",MAX(0,IF(G1952="",TODAY(),G1952)-L1952))</f>
        <v/>
      </c>
    </row>
    <row r="1953">
      <c r="E1953" s="22" t="n"/>
      <c r="G1953" s="22" t="n"/>
      <c r="I1953" s="22" t="n"/>
      <c r="L1953" s="20">
        <f>IF(E1953="","",E1953+IF(F1953="",IFERROR(VLOOKUP(C1953,Parametros!$E:$F,2,0),0),F1953))</f>
        <v/>
      </c>
      <c r="M1953" s="21">
        <f>IF(E1953="","",IF(G1953="",IF(TODAY()&gt;L1953,"Atrasada","Em aberto"),IF(G1953&lt;=L1953,"No prazo","Com atraso")))</f>
        <v/>
      </c>
      <c r="N1953" s="18">
        <f>IF(E1953="","",MAX(0,IF(G1953="",TODAY(),G1953)-L1953))</f>
        <v/>
      </c>
    </row>
    <row r="1954">
      <c r="E1954" s="22" t="n"/>
      <c r="G1954" s="22" t="n"/>
      <c r="I1954" s="22" t="n"/>
      <c r="L1954" s="20">
        <f>IF(E1954="","",E1954+IF(F1954="",IFERROR(VLOOKUP(C1954,Parametros!$E:$F,2,0),0),F1954))</f>
        <v/>
      </c>
      <c r="M1954" s="21">
        <f>IF(E1954="","",IF(G1954="",IF(TODAY()&gt;L1954,"Atrasada","Em aberto"),IF(G1954&lt;=L1954,"No prazo","Com atraso")))</f>
        <v/>
      </c>
      <c r="N1954" s="18">
        <f>IF(E1954="","",MAX(0,IF(G1954="",TODAY(),G1954)-L1954))</f>
        <v/>
      </c>
    </row>
    <row r="1955">
      <c r="E1955" s="22" t="n"/>
      <c r="G1955" s="22" t="n"/>
      <c r="I1955" s="22" t="n"/>
      <c r="L1955" s="20">
        <f>IF(E1955="","",E1955+IF(F1955="",IFERROR(VLOOKUP(C1955,Parametros!$E:$F,2,0),0),F1955))</f>
        <v/>
      </c>
      <c r="M1955" s="21">
        <f>IF(E1955="","",IF(G1955="",IF(TODAY()&gt;L1955,"Atrasada","Em aberto"),IF(G1955&lt;=L1955,"No prazo","Com atraso")))</f>
        <v/>
      </c>
      <c r="N1955" s="18">
        <f>IF(E1955="","",MAX(0,IF(G1955="",TODAY(),G1955)-L1955))</f>
        <v/>
      </c>
    </row>
    <row r="1956">
      <c r="E1956" s="22" t="n"/>
      <c r="G1956" s="22" t="n"/>
      <c r="I1956" s="22" t="n"/>
      <c r="L1956" s="20">
        <f>IF(E1956="","",E1956+IF(F1956="",IFERROR(VLOOKUP(C1956,Parametros!$E:$F,2,0),0),F1956))</f>
        <v/>
      </c>
      <c r="M1956" s="21">
        <f>IF(E1956="","",IF(G1956="",IF(TODAY()&gt;L1956,"Atrasada","Em aberto"),IF(G1956&lt;=L1956,"No prazo","Com atraso")))</f>
        <v/>
      </c>
      <c r="N1956" s="18">
        <f>IF(E1956="","",MAX(0,IF(G1956="",TODAY(),G1956)-L1956))</f>
        <v/>
      </c>
    </row>
    <row r="1957">
      <c r="E1957" s="22" t="n"/>
      <c r="G1957" s="22" t="n"/>
      <c r="I1957" s="22" t="n"/>
      <c r="L1957" s="20">
        <f>IF(E1957="","",E1957+IF(F1957="",IFERROR(VLOOKUP(C1957,Parametros!$E:$F,2,0),0),F1957))</f>
        <v/>
      </c>
      <c r="M1957" s="21">
        <f>IF(E1957="","",IF(G1957="",IF(TODAY()&gt;L1957,"Atrasada","Em aberto"),IF(G1957&lt;=L1957,"No prazo","Com atraso")))</f>
        <v/>
      </c>
      <c r="N1957" s="18">
        <f>IF(E1957="","",MAX(0,IF(G1957="",TODAY(),G1957)-L1957))</f>
        <v/>
      </c>
    </row>
    <row r="1958">
      <c r="E1958" s="22" t="n"/>
      <c r="G1958" s="22" t="n"/>
      <c r="I1958" s="22" t="n"/>
      <c r="L1958" s="20">
        <f>IF(E1958="","",E1958+IF(F1958="",IFERROR(VLOOKUP(C1958,Parametros!$E:$F,2,0),0),F1958))</f>
        <v/>
      </c>
      <c r="M1958" s="21">
        <f>IF(E1958="","",IF(G1958="",IF(TODAY()&gt;L1958,"Atrasada","Em aberto"),IF(G1958&lt;=L1958,"No prazo","Com atraso")))</f>
        <v/>
      </c>
      <c r="N1958" s="18">
        <f>IF(E1958="","",MAX(0,IF(G1958="",TODAY(),G1958)-L1958))</f>
        <v/>
      </c>
    </row>
    <row r="1959">
      <c r="E1959" s="22" t="n"/>
      <c r="G1959" s="22" t="n"/>
      <c r="I1959" s="22" t="n"/>
      <c r="L1959" s="20">
        <f>IF(E1959="","",E1959+IF(F1959="",IFERROR(VLOOKUP(C1959,Parametros!$E:$F,2,0),0),F1959))</f>
        <v/>
      </c>
      <c r="M1959" s="21">
        <f>IF(E1959="","",IF(G1959="",IF(TODAY()&gt;L1959,"Atrasada","Em aberto"),IF(G1959&lt;=L1959,"No prazo","Com atraso")))</f>
        <v/>
      </c>
      <c r="N1959" s="18">
        <f>IF(E1959="","",MAX(0,IF(G1959="",TODAY(),G1959)-L1959))</f>
        <v/>
      </c>
    </row>
    <row r="1960">
      <c r="E1960" s="22" t="n"/>
      <c r="G1960" s="22" t="n"/>
      <c r="I1960" s="22" t="n"/>
      <c r="L1960" s="20">
        <f>IF(E1960="","",E1960+IF(F1960="",IFERROR(VLOOKUP(C1960,Parametros!$E:$F,2,0),0),F1960))</f>
        <v/>
      </c>
      <c r="M1960" s="21">
        <f>IF(E1960="","",IF(G1960="",IF(TODAY()&gt;L1960,"Atrasada","Em aberto"),IF(G1960&lt;=L1960,"No prazo","Com atraso")))</f>
        <v/>
      </c>
      <c r="N1960" s="18">
        <f>IF(E1960="","",MAX(0,IF(G1960="",TODAY(),G1960)-L1960))</f>
        <v/>
      </c>
    </row>
    <row r="1961">
      <c r="E1961" s="22" t="n"/>
      <c r="G1961" s="22" t="n"/>
      <c r="I1961" s="22" t="n"/>
      <c r="L1961" s="20">
        <f>IF(E1961="","",E1961+IF(F1961="",IFERROR(VLOOKUP(C1961,Parametros!$E:$F,2,0),0),F1961))</f>
        <v/>
      </c>
      <c r="M1961" s="21">
        <f>IF(E1961="","",IF(G1961="",IF(TODAY()&gt;L1961,"Atrasada","Em aberto"),IF(G1961&lt;=L1961,"No prazo","Com atraso")))</f>
        <v/>
      </c>
      <c r="N1961" s="18">
        <f>IF(E1961="","",MAX(0,IF(G1961="",TODAY(),G1961)-L1961))</f>
        <v/>
      </c>
    </row>
    <row r="1962">
      <c r="E1962" s="22" t="n"/>
      <c r="G1962" s="22" t="n"/>
      <c r="I1962" s="22" t="n"/>
      <c r="L1962" s="20">
        <f>IF(E1962="","",E1962+IF(F1962="",IFERROR(VLOOKUP(C1962,Parametros!$E:$F,2,0),0),F1962))</f>
        <v/>
      </c>
      <c r="M1962" s="21">
        <f>IF(E1962="","",IF(G1962="",IF(TODAY()&gt;L1962,"Atrasada","Em aberto"),IF(G1962&lt;=L1962,"No prazo","Com atraso")))</f>
        <v/>
      </c>
      <c r="N1962" s="18">
        <f>IF(E1962="","",MAX(0,IF(G1962="",TODAY(),G1962)-L1962))</f>
        <v/>
      </c>
    </row>
    <row r="1963">
      <c r="E1963" s="22" t="n"/>
      <c r="G1963" s="22" t="n"/>
      <c r="I1963" s="22" t="n"/>
      <c r="L1963" s="20">
        <f>IF(E1963="","",E1963+IF(F1963="",IFERROR(VLOOKUP(C1963,Parametros!$E:$F,2,0),0),F1963))</f>
        <v/>
      </c>
      <c r="M1963" s="21">
        <f>IF(E1963="","",IF(G1963="",IF(TODAY()&gt;L1963,"Atrasada","Em aberto"),IF(G1963&lt;=L1963,"No prazo","Com atraso")))</f>
        <v/>
      </c>
      <c r="N1963" s="18">
        <f>IF(E1963="","",MAX(0,IF(G1963="",TODAY(),G1963)-L1963))</f>
        <v/>
      </c>
    </row>
    <row r="1964">
      <c r="E1964" s="22" t="n"/>
      <c r="G1964" s="22" t="n"/>
      <c r="I1964" s="22" t="n"/>
      <c r="L1964" s="20">
        <f>IF(E1964="","",E1964+IF(F1964="",IFERROR(VLOOKUP(C1964,Parametros!$E:$F,2,0),0),F1964))</f>
        <v/>
      </c>
      <c r="M1964" s="21">
        <f>IF(E1964="","",IF(G1964="",IF(TODAY()&gt;L1964,"Atrasada","Em aberto"),IF(G1964&lt;=L1964,"No prazo","Com atraso")))</f>
        <v/>
      </c>
      <c r="N1964" s="18">
        <f>IF(E1964="","",MAX(0,IF(G1964="",TODAY(),G1964)-L1964))</f>
        <v/>
      </c>
    </row>
    <row r="1965">
      <c r="E1965" s="22" t="n"/>
      <c r="G1965" s="22" t="n"/>
      <c r="I1965" s="22" t="n"/>
      <c r="L1965" s="20">
        <f>IF(E1965="","",E1965+IF(F1965="",IFERROR(VLOOKUP(C1965,Parametros!$E:$F,2,0),0),F1965))</f>
        <v/>
      </c>
      <c r="M1965" s="21">
        <f>IF(E1965="","",IF(G1965="",IF(TODAY()&gt;L1965,"Atrasada","Em aberto"),IF(G1965&lt;=L1965,"No prazo","Com atraso")))</f>
        <v/>
      </c>
      <c r="N1965" s="18">
        <f>IF(E1965="","",MAX(0,IF(G1965="",TODAY(),G1965)-L1965))</f>
        <v/>
      </c>
    </row>
    <row r="1966">
      <c r="E1966" s="22" t="n"/>
      <c r="G1966" s="22" t="n"/>
      <c r="I1966" s="22" t="n"/>
      <c r="L1966" s="20">
        <f>IF(E1966="","",E1966+IF(F1966="",IFERROR(VLOOKUP(C1966,Parametros!$E:$F,2,0),0),F1966))</f>
        <v/>
      </c>
      <c r="M1966" s="21">
        <f>IF(E1966="","",IF(G1966="",IF(TODAY()&gt;L1966,"Atrasada","Em aberto"),IF(G1966&lt;=L1966,"No prazo","Com atraso")))</f>
        <v/>
      </c>
      <c r="N1966" s="18">
        <f>IF(E1966="","",MAX(0,IF(G1966="",TODAY(),G1966)-L1966))</f>
        <v/>
      </c>
    </row>
    <row r="1967">
      <c r="E1967" s="22" t="n"/>
      <c r="G1967" s="22" t="n"/>
      <c r="I1967" s="22" t="n"/>
      <c r="L1967" s="20">
        <f>IF(E1967="","",E1967+IF(F1967="",IFERROR(VLOOKUP(C1967,Parametros!$E:$F,2,0),0),F1967))</f>
        <v/>
      </c>
      <c r="M1967" s="21">
        <f>IF(E1967="","",IF(G1967="",IF(TODAY()&gt;L1967,"Atrasada","Em aberto"),IF(G1967&lt;=L1967,"No prazo","Com atraso")))</f>
        <v/>
      </c>
      <c r="N1967" s="18">
        <f>IF(E1967="","",MAX(0,IF(G1967="",TODAY(),G1967)-L1967))</f>
        <v/>
      </c>
    </row>
    <row r="1968">
      <c r="E1968" s="22" t="n"/>
      <c r="G1968" s="22" t="n"/>
      <c r="I1968" s="22" t="n"/>
      <c r="L1968" s="20">
        <f>IF(E1968="","",E1968+IF(F1968="",IFERROR(VLOOKUP(C1968,Parametros!$E:$F,2,0),0),F1968))</f>
        <v/>
      </c>
      <c r="M1968" s="21">
        <f>IF(E1968="","",IF(G1968="",IF(TODAY()&gt;L1968,"Atrasada","Em aberto"),IF(G1968&lt;=L1968,"No prazo","Com atraso")))</f>
        <v/>
      </c>
      <c r="N1968" s="18">
        <f>IF(E1968="","",MAX(0,IF(G1968="",TODAY(),G1968)-L1968))</f>
        <v/>
      </c>
    </row>
    <row r="1969">
      <c r="E1969" s="22" t="n"/>
      <c r="G1969" s="22" t="n"/>
      <c r="I1969" s="22" t="n"/>
      <c r="L1969" s="20">
        <f>IF(E1969="","",E1969+IF(F1969="",IFERROR(VLOOKUP(C1969,Parametros!$E:$F,2,0),0),F1969))</f>
        <v/>
      </c>
      <c r="M1969" s="21">
        <f>IF(E1969="","",IF(G1969="",IF(TODAY()&gt;L1969,"Atrasada","Em aberto"),IF(G1969&lt;=L1969,"No prazo","Com atraso")))</f>
        <v/>
      </c>
      <c r="N1969" s="18">
        <f>IF(E1969="","",MAX(0,IF(G1969="",TODAY(),G1969)-L1969))</f>
        <v/>
      </c>
    </row>
    <row r="1970">
      <c r="E1970" s="22" t="n"/>
      <c r="G1970" s="22" t="n"/>
      <c r="I1970" s="22" t="n"/>
      <c r="L1970" s="20">
        <f>IF(E1970="","",E1970+IF(F1970="",IFERROR(VLOOKUP(C1970,Parametros!$E:$F,2,0),0),F1970))</f>
        <v/>
      </c>
      <c r="M1970" s="21">
        <f>IF(E1970="","",IF(G1970="",IF(TODAY()&gt;L1970,"Atrasada","Em aberto"),IF(G1970&lt;=L1970,"No prazo","Com atraso")))</f>
        <v/>
      </c>
      <c r="N1970" s="18">
        <f>IF(E1970="","",MAX(0,IF(G1970="",TODAY(),G1970)-L1970))</f>
        <v/>
      </c>
    </row>
    <row r="1971">
      <c r="E1971" s="22" t="n"/>
      <c r="G1971" s="22" t="n"/>
      <c r="I1971" s="22" t="n"/>
      <c r="L1971" s="20">
        <f>IF(E1971="","",E1971+IF(F1971="",IFERROR(VLOOKUP(C1971,Parametros!$E:$F,2,0),0),F1971))</f>
        <v/>
      </c>
      <c r="M1971" s="21">
        <f>IF(E1971="","",IF(G1971="",IF(TODAY()&gt;L1971,"Atrasada","Em aberto"),IF(G1971&lt;=L1971,"No prazo","Com atraso")))</f>
        <v/>
      </c>
      <c r="N1971" s="18">
        <f>IF(E1971="","",MAX(0,IF(G1971="",TODAY(),G1971)-L1971))</f>
        <v/>
      </c>
    </row>
    <row r="1972">
      <c r="E1972" s="22" t="n"/>
      <c r="G1972" s="22" t="n"/>
      <c r="I1972" s="22" t="n"/>
      <c r="L1972" s="20">
        <f>IF(E1972="","",E1972+IF(F1972="",IFERROR(VLOOKUP(C1972,Parametros!$E:$F,2,0),0),F1972))</f>
        <v/>
      </c>
      <c r="M1972" s="21">
        <f>IF(E1972="","",IF(G1972="",IF(TODAY()&gt;L1972,"Atrasada","Em aberto"),IF(G1972&lt;=L1972,"No prazo","Com atraso")))</f>
        <v/>
      </c>
      <c r="N1972" s="18">
        <f>IF(E1972="","",MAX(0,IF(G1972="",TODAY(),G1972)-L1972))</f>
        <v/>
      </c>
    </row>
    <row r="1973">
      <c r="E1973" s="22" t="n"/>
      <c r="G1973" s="22" t="n"/>
      <c r="I1973" s="22" t="n"/>
      <c r="L1973" s="20">
        <f>IF(E1973="","",E1973+IF(F1973="",IFERROR(VLOOKUP(C1973,Parametros!$E:$F,2,0),0),F1973))</f>
        <v/>
      </c>
      <c r="M1973" s="21">
        <f>IF(E1973="","",IF(G1973="",IF(TODAY()&gt;L1973,"Atrasada","Em aberto"),IF(G1973&lt;=L1973,"No prazo","Com atraso")))</f>
        <v/>
      </c>
      <c r="N1973" s="18">
        <f>IF(E1973="","",MAX(0,IF(G1973="",TODAY(),G1973)-L1973))</f>
        <v/>
      </c>
    </row>
    <row r="1974">
      <c r="E1974" s="22" t="n"/>
      <c r="G1974" s="22" t="n"/>
      <c r="I1974" s="22" t="n"/>
      <c r="L1974" s="20">
        <f>IF(E1974="","",E1974+IF(F1974="",IFERROR(VLOOKUP(C1974,Parametros!$E:$F,2,0),0),F1974))</f>
        <v/>
      </c>
      <c r="M1974" s="21">
        <f>IF(E1974="","",IF(G1974="",IF(TODAY()&gt;L1974,"Atrasada","Em aberto"),IF(G1974&lt;=L1974,"No prazo","Com atraso")))</f>
        <v/>
      </c>
      <c r="N1974" s="18">
        <f>IF(E1974="","",MAX(0,IF(G1974="",TODAY(),G1974)-L1974))</f>
        <v/>
      </c>
    </row>
    <row r="1975">
      <c r="E1975" s="22" t="n"/>
      <c r="G1975" s="22" t="n"/>
      <c r="I1975" s="22" t="n"/>
      <c r="L1975" s="20">
        <f>IF(E1975="","",E1975+IF(F1975="",IFERROR(VLOOKUP(C1975,Parametros!$E:$F,2,0),0),F1975))</f>
        <v/>
      </c>
      <c r="M1975" s="21">
        <f>IF(E1975="","",IF(G1975="",IF(TODAY()&gt;L1975,"Atrasada","Em aberto"),IF(G1975&lt;=L1975,"No prazo","Com atraso")))</f>
        <v/>
      </c>
      <c r="N1975" s="18">
        <f>IF(E1975="","",MAX(0,IF(G1975="",TODAY(),G1975)-L1975))</f>
        <v/>
      </c>
    </row>
    <row r="1976">
      <c r="E1976" s="22" t="n"/>
      <c r="G1976" s="22" t="n"/>
      <c r="I1976" s="22" t="n"/>
      <c r="L1976" s="20">
        <f>IF(E1976="","",E1976+IF(F1976="",IFERROR(VLOOKUP(C1976,Parametros!$E:$F,2,0),0),F1976))</f>
        <v/>
      </c>
      <c r="M1976" s="21">
        <f>IF(E1976="","",IF(G1976="",IF(TODAY()&gt;L1976,"Atrasada","Em aberto"),IF(G1976&lt;=L1976,"No prazo","Com atraso")))</f>
        <v/>
      </c>
      <c r="N1976" s="18">
        <f>IF(E1976="","",MAX(0,IF(G1976="",TODAY(),G1976)-L1976))</f>
        <v/>
      </c>
    </row>
    <row r="1977">
      <c r="E1977" s="22" t="n"/>
      <c r="G1977" s="22" t="n"/>
      <c r="I1977" s="22" t="n"/>
      <c r="L1977" s="20">
        <f>IF(E1977="","",E1977+IF(F1977="",IFERROR(VLOOKUP(C1977,Parametros!$E:$F,2,0),0),F1977))</f>
        <v/>
      </c>
      <c r="M1977" s="21">
        <f>IF(E1977="","",IF(G1977="",IF(TODAY()&gt;L1977,"Atrasada","Em aberto"),IF(G1977&lt;=L1977,"No prazo","Com atraso")))</f>
        <v/>
      </c>
      <c r="N1977" s="18">
        <f>IF(E1977="","",MAX(0,IF(G1977="",TODAY(),G1977)-L1977))</f>
        <v/>
      </c>
    </row>
    <row r="1978">
      <c r="E1978" s="22" t="n"/>
      <c r="G1978" s="22" t="n"/>
      <c r="I1978" s="22" t="n"/>
      <c r="L1978" s="20">
        <f>IF(E1978="","",E1978+IF(F1978="",IFERROR(VLOOKUP(C1978,Parametros!$E:$F,2,0),0),F1978))</f>
        <v/>
      </c>
      <c r="M1978" s="21">
        <f>IF(E1978="","",IF(G1978="",IF(TODAY()&gt;L1978,"Atrasada","Em aberto"),IF(G1978&lt;=L1978,"No prazo","Com atraso")))</f>
        <v/>
      </c>
      <c r="N1978" s="18">
        <f>IF(E1978="","",MAX(0,IF(G1978="",TODAY(),G1978)-L1978))</f>
        <v/>
      </c>
    </row>
    <row r="1979">
      <c r="E1979" s="22" t="n"/>
      <c r="G1979" s="22" t="n"/>
      <c r="I1979" s="22" t="n"/>
      <c r="L1979" s="20">
        <f>IF(E1979="","",E1979+IF(F1979="",IFERROR(VLOOKUP(C1979,Parametros!$E:$F,2,0),0),F1979))</f>
        <v/>
      </c>
      <c r="M1979" s="21">
        <f>IF(E1979="","",IF(G1979="",IF(TODAY()&gt;L1979,"Atrasada","Em aberto"),IF(G1979&lt;=L1979,"No prazo","Com atraso")))</f>
        <v/>
      </c>
      <c r="N1979" s="18">
        <f>IF(E1979="","",MAX(0,IF(G1979="",TODAY(),G1979)-L1979))</f>
        <v/>
      </c>
    </row>
    <row r="1980">
      <c r="E1980" s="22" t="n"/>
      <c r="G1980" s="22" t="n"/>
      <c r="I1980" s="22" t="n"/>
      <c r="L1980" s="20">
        <f>IF(E1980="","",E1980+IF(F1980="",IFERROR(VLOOKUP(C1980,Parametros!$E:$F,2,0),0),F1980))</f>
        <v/>
      </c>
      <c r="M1980" s="21">
        <f>IF(E1980="","",IF(G1980="",IF(TODAY()&gt;L1980,"Atrasada","Em aberto"),IF(G1980&lt;=L1980,"No prazo","Com atraso")))</f>
        <v/>
      </c>
      <c r="N1980" s="18">
        <f>IF(E1980="","",MAX(0,IF(G1980="",TODAY(),G1980)-L1980))</f>
        <v/>
      </c>
    </row>
    <row r="1981">
      <c r="E1981" s="22" t="n"/>
      <c r="G1981" s="22" t="n"/>
      <c r="I1981" s="22" t="n"/>
      <c r="L1981" s="20">
        <f>IF(E1981="","",E1981+IF(F1981="",IFERROR(VLOOKUP(C1981,Parametros!$E:$F,2,0),0),F1981))</f>
        <v/>
      </c>
      <c r="M1981" s="21">
        <f>IF(E1981="","",IF(G1981="",IF(TODAY()&gt;L1981,"Atrasada","Em aberto"),IF(G1981&lt;=L1981,"No prazo","Com atraso")))</f>
        <v/>
      </c>
      <c r="N1981" s="18">
        <f>IF(E1981="","",MAX(0,IF(G1981="",TODAY(),G1981)-L1981))</f>
        <v/>
      </c>
    </row>
    <row r="1982">
      <c r="E1982" s="22" t="n"/>
      <c r="G1982" s="22" t="n"/>
      <c r="I1982" s="22" t="n"/>
      <c r="L1982" s="20">
        <f>IF(E1982="","",E1982+IF(F1982="",IFERROR(VLOOKUP(C1982,Parametros!$E:$F,2,0),0),F1982))</f>
        <v/>
      </c>
      <c r="M1982" s="21">
        <f>IF(E1982="","",IF(G1982="",IF(TODAY()&gt;L1982,"Atrasada","Em aberto"),IF(G1982&lt;=L1982,"No prazo","Com atraso")))</f>
        <v/>
      </c>
      <c r="N1982" s="18">
        <f>IF(E1982="","",MAX(0,IF(G1982="",TODAY(),G1982)-L1982))</f>
        <v/>
      </c>
    </row>
    <row r="1983">
      <c r="E1983" s="22" t="n"/>
      <c r="G1983" s="22" t="n"/>
      <c r="I1983" s="22" t="n"/>
      <c r="L1983" s="20">
        <f>IF(E1983="","",E1983+IF(F1983="",IFERROR(VLOOKUP(C1983,Parametros!$E:$F,2,0),0),F1983))</f>
        <v/>
      </c>
      <c r="M1983" s="21">
        <f>IF(E1983="","",IF(G1983="",IF(TODAY()&gt;L1983,"Atrasada","Em aberto"),IF(G1983&lt;=L1983,"No prazo","Com atraso")))</f>
        <v/>
      </c>
      <c r="N1983" s="18">
        <f>IF(E1983="","",MAX(0,IF(G1983="",TODAY(),G1983)-L1983))</f>
        <v/>
      </c>
    </row>
    <row r="1984">
      <c r="E1984" s="22" t="n"/>
      <c r="G1984" s="22" t="n"/>
      <c r="I1984" s="22" t="n"/>
      <c r="L1984" s="20">
        <f>IF(E1984="","",E1984+IF(F1984="",IFERROR(VLOOKUP(C1984,Parametros!$E:$F,2,0),0),F1984))</f>
        <v/>
      </c>
      <c r="M1984" s="21">
        <f>IF(E1984="","",IF(G1984="",IF(TODAY()&gt;L1984,"Atrasada","Em aberto"),IF(G1984&lt;=L1984,"No prazo","Com atraso")))</f>
        <v/>
      </c>
      <c r="N1984" s="18">
        <f>IF(E1984="","",MAX(0,IF(G1984="",TODAY(),G1984)-L1984))</f>
        <v/>
      </c>
    </row>
    <row r="1985">
      <c r="E1985" s="22" t="n"/>
      <c r="G1985" s="22" t="n"/>
      <c r="I1985" s="22" t="n"/>
      <c r="L1985" s="20">
        <f>IF(E1985="","",E1985+IF(F1985="",IFERROR(VLOOKUP(C1985,Parametros!$E:$F,2,0),0),F1985))</f>
        <v/>
      </c>
      <c r="M1985" s="21">
        <f>IF(E1985="","",IF(G1985="",IF(TODAY()&gt;L1985,"Atrasada","Em aberto"),IF(G1985&lt;=L1985,"No prazo","Com atraso")))</f>
        <v/>
      </c>
      <c r="N1985" s="18">
        <f>IF(E1985="","",MAX(0,IF(G1985="",TODAY(),G1985)-L1985))</f>
        <v/>
      </c>
    </row>
    <row r="1986">
      <c r="E1986" s="22" t="n"/>
      <c r="G1986" s="22" t="n"/>
      <c r="I1986" s="22" t="n"/>
      <c r="L1986" s="20">
        <f>IF(E1986="","",E1986+IF(F1986="",IFERROR(VLOOKUP(C1986,Parametros!$E:$F,2,0),0),F1986))</f>
        <v/>
      </c>
      <c r="M1986" s="21">
        <f>IF(E1986="","",IF(G1986="",IF(TODAY()&gt;L1986,"Atrasada","Em aberto"),IF(G1986&lt;=L1986,"No prazo","Com atraso")))</f>
        <v/>
      </c>
      <c r="N1986" s="18">
        <f>IF(E1986="","",MAX(0,IF(G1986="",TODAY(),G1986)-L1986))</f>
        <v/>
      </c>
    </row>
    <row r="1987">
      <c r="E1987" s="22" t="n"/>
      <c r="G1987" s="22" t="n"/>
      <c r="I1987" s="22" t="n"/>
      <c r="L1987" s="20">
        <f>IF(E1987="","",E1987+IF(F1987="",IFERROR(VLOOKUP(C1987,Parametros!$E:$F,2,0),0),F1987))</f>
        <v/>
      </c>
      <c r="M1987" s="21">
        <f>IF(E1987="","",IF(G1987="",IF(TODAY()&gt;L1987,"Atrasada","Em aberto"),IF(G1987&lt;=L1987,"No prazo","Com atraso")))</f>
        <v/>
      </c>
      <c r="N1987" s="18">
        <f>IF(E1987="","",MAX(0,IF(G1987="",TODAY(),G1987)-L1987))</f>
        <v/>
      </c>
    </row>
    <row r="1988">
      <c r="E1988" s="22" t="n"/>
      <c r="G1988" s="22" t="n"/>
      <c r="I1988" s="22" t="n"/>
      <c r="L1988" s="20">
        <f>IF(E1988="","",E1988+IF(F1988="",IFERROR(VLOOKUP(C1988,Parametros!$E:$F,2,0),0),F1988))</f>
        <v/>
      </c>
      <c r="M1988" s="21">
        <f>IF(E1988="","",IF(G1988="",IF(TODAY()&gt;L1988,"Atrasada","Em aberto"),IF(G1988&lt;=L1988,"No prazo","Com atraso")))</f>
        <v/>
      </c>
      <c r="N1988" s="18">
        <f>IF(E1988="","",MAX(0,IF(G1988="",TODAY(),G1988)-L1988))</f>
        <v/>
      </c>
    </row>
    <row r="1989">
      <c r="E1989" s="22" t="n"/>
      <c r="G1989" s="22" t="n"/>
      <c r="I1989" s="22" t="n"/>
      <c r="L1989" s="20">
        <f>IF(E1989="","",E1989+IF(F1989="",IFERROR(VLOOKUP(C1989,Parametros!$E:$F,2,0),0),F1989))</f>
        <v/>
      </c>
      <c r="M1989" s="21">
        <f>IF(E1989="","",IF(G1989="",IF(TODAY()&gt;L1989,"Atrasada","Em aberto"),IF(G1989&lt;=L1989,"No prazo","Com atraso")))</f>
        <v/>
      </c>
      <c r="N1989" s="18">
        <f>IF(E1989="","",MAX(0,IF(G1989="",TODAY(),G1989)-L1989))</f>
        <v/>
      </c>
    </row>
    <row r="1990">
      <c r="E1990" s="22" t="n"/>
      <c r="G1990" s="22" t="n"/>
      <c r="I1990" s="22" t="n"/>
      <c r="L1990" s="20">
        <f>IF(E1990="","",E1990+IF(F1990="",IFERROR(VLOOKUP(C1990,Parametros!$E:$F,2,0),0),F1990))</f>
        <v/>
      </c>
      <c r="M1990" s="21">
        <f>IF(E1990="","",IF(G1990="",IF(TODAY()&gt;L1990,"Atrasada","Em aberto"),IF(G1990&lt;=L1990,"No prazo","Com atraso")))</f>
        <v/>
      </c>
      <c r="N1990" s="18">
        <f>IF(E1990="","",MAX(0,IF(G1990="",TODAY(),G1990)-L1990))</f>
        <v/>
      </c>
    </row>
    <row r="1991">
      <c r="E1991" s="22" t="n"/>
      <c r="G1991" s="22" t="n"/>
      <c r="I1991" s="22" t="n"/>
      <c r="L1991" s="20">
        <f>IF(E1991="","",E1991+IF(F1991="",IFERROR(VLOOKUP(C1991,Parametros!$E:$F,2,0),0),F1991))</f>
        <v/>
      </c>
      <c r="M1991" s="21">
        <f>IF(E1991="","",IF(G1991="",IF(TODAY()&gt;L1991,"Atrasada","Em aberto"),IF(G1991&lt;=L1991,"No prazo","Com atraso")))</f>
        <v/>
      </c>
      <c r="N1991" s="18">
        <f>IF(E1991="","",MAX(0,IF(G1991="",TODAY(),G1991)-L1991))</f>
        <v/>
      </c>
    </row>
    <row r="1992">
      <c r="E1992" s="22" t="n"/>
      <c r="G1992" s="22" t="n"/>
      <c r="I1992" s="22" t="n"/>
      <c r="L1992" s="20">
        <f>IF(E1992="","",E1992+IF(F1992="",IFERROR(VLOOKUP(C1992,Parametros!$E:$F,2,0),0),F1992))</f>
        <v/>
      </c>
      <c r="M1992" s="21">
        <f>IF(E1992="","",IF(G1992="",IF(TODAY()&gt;L1992,"Atrasada","Em aberto"),IF(G1992&lt;=L1992,"No prazo","Com atraso")))</f>
        <v/>
      </c>
      <c r="N1992" s="18">
        <f>IF(E1992="","",MAX(0,IF(G1992="",TODAY(),G1992)-L1992))</f>
        <v/>
      </c>
    </row>
    <row r="1993">
      <c r="E1993" s="22" t="n"/>
      <c r="G1993" s="22" t="n"/>
      <c r="I1993" s="22" t="n"/>
      <c r="L1993" s="20">
        <f>IF(E1993="","",E1993+IF(F1993="",IFERROR(VLOOKUP(C1993,Parametros!$E:$F,2,0),0),F1993))</f>
        <v/>
      </c>
      <c r="M1993" s="21">
        <f>IF(E1993="","",IF(G1993="",IF(TODAY()&gt;L1993,"Atrasada","Em aberto"),IF(G1993&lt;=L1993,"No prazo","Com atraso")))</f>
        <v/>
      </c>
      <c r="N1993" s="18">
        <f>IF(E1993="","",MAX(0,IF(G1993="",TODAY(),G1993)-L1993))</f>
        <v/>
      </c>
    </row>
    <row r="1994">
      <c r="E1994" s="22" t="n"/>
      <c r="G1994" s="22" t="n"/>
      <c r="I1994" s="22" t="n"/>
      <c r="L1994" s="20">
        <f>IF(E1994="","",E1994+IF(F1994="",IFERROR(VLOOKUP(C1994,Parametros!$E:$F,2,0),0),F1994))</f>
        <v/>
      </c>
      <c r="M1994" s="21">
        <f>IF(E1994="","",IF(G1994="",IF(TODAY()&gt;L1994,"Atrasada","Em aberto"),IF(G1994&lt;=L1994,"No prazo","Com atraso")))</f>
        <v/>
      </c>
      <c r="N1994" s="18">
        <f>IF(E1994="","",MAX(0,IF(G1994="",TODAY(),G1994)-L1994))</f>
        <v/>
      </c>
    </row>
    <row r="1995">
      <c r="E1995" s="22" t="n"/>
      <c r="G1995" s="22" t="n"/>
      <c r="I1995" s="22" t="n"/>
      <c r="L1995" s="20">
        <f>IF(E1995="","",E1995+IF(F1995="",IFERROR(VLOOKUP(C1995,Parametros!$E:$F,2,0),0),F1995))</f>
        <v/>
      </c>
      <c r="M1995" s="21">
        <f>IF(E1995="","",IF(G1995="",IF(TODAY()&gt;L1995,"Atrasada","Em aberto"),IF(G1995&lt;=L1995,"No prazo","Com atraso")))</f>
        <v/>
      </c>
      <c r="N1995" s="18">
        <f>IF(E1995="","",MAX(0,IF(G1995="",TODAY(),G1995)-L1995))</f>
        <v/>
      </c>
    </row>
    <row r="1996">
      <c r="E1996" s="22" t="n"/>
      <c r="G1996" s="22" t="n"/>
      <c r="I1996" s="22" t="n"/>
      <c r="L1996" s="20">
        <f>IF(E1996="","",E1996+IF(F1996="",IFERROR(VLOOKUP(C1996,Parametros!$E:$F,2,0),0),F1996))</f>
        <v/>
      </c>
      <c r="M1996" s="21">
        <f>IF(E1996="","",IF(G1996="",IF(TODAY()&gt;L1996,"Atrasada","Em aberto"),IF(G1996&lt;=L1996,"No prazo","Com atraso")))</f>
        <v/>
      </c>
      <c r="N1996" s="18">
        <f>IF(E1996="","",MAX(0,IF(G1996="",TODAY(),G1996)-L1996))</f>
        <v/>
      </c>
    </row>
    <row r="1997">
      <c r="E1997" s="22" t="n"/>
      <c r="G1997" s="22" t="n"/>
      <c r="I1997" s="22" t="n"/>
      <c r="L1997" s="20">
        <f>IF(E1997="","",E1997+IF(F1997="",IFERROR(VLOOKUP(C1997,Parametros!$E:$F,2,0),0),F1997))</f>
        <v/>
      </c>
      <c r="M1997" s="21">
        <f>IF(E1997="","",IF(G1997="",IF(TODAY()&gt;L1997,"Atrasada","Em aberto"),IF(G1997&lt;=L1997,"No prazo","Com atraso")))</f>
        <v/>
      </c>
      <c r="N1997" s="18">
        <f>IF(E1997="","",MAX(0,IF(G1997="",TODAY(),G1997)-L1997))</f>
        <v/>
      </c>
    </row>
    <row r="1998">
      <c r="E1998" s="22" t="n"/>
      <c r="G1998" s="22" t="n"/>
      <c r="I1998" s="22" t="n"/>
      <c r="L1998" s="20">
        <f>IF(E1998="","",E1998+IF(F1998="",IFERROR(VLOOKUP(C1998,Parametros!$E:$F,2,0),0),F1998))</f>
        <v/>
      </c>
      <c r="M1998" s="21">
        <f>IF(E1998="","",IF(G1998="",IF(TODAY()&gt;L1998,"Atrasada","Em aberto"),IF(G1998&lt;=L1998,"No prazo","Com atraso")))</f>
        <v/>
      </c>
      <c r="N1998" s="18">
        <f>IF(E1998="","",MAX(0,IF(G1998="",TODAY(),G1998)-L1998))</f>
        <v/>
      </c>
    </row>
    <row r="1999">
      <c r="E1999" s="22" t="n"/>
      <c r="G1999" s="22" t="n"/>
      <c r="I1999" s="22" t="n"/>
      <c r="L1999" s="20">
        <f>IF(E1999="","",E1999+IF(F1999="",IFERROR(VLOOKUP(C1999,Parametros!$E:$F,2,0),0),F1999))</f>
        <v/>
      </c>
      <c r="M1999" s="21">
        <f>IF(E1999="","",IF(G1999="",IF(TODAY()&gt;L1999,"Atrasada","Em aberto"),IF(G1999&lt;=L1999,"No prazo","Com atraso")))</f>
        <v/>
      </c>
      <c r="N1999" s="18">
        <f>IF(E1999="","",MAX(0,IF(G1999="",TODAY(),G1999)-L1999))</f>
        <v/>
      </c>
    </row>
    <row r="2000">
      <c r="E2000" s="22" t="n"/>
      <c r="G2000" s="22" t="n"/>
      <c r="I2000" s="22" t="n"/>
      <c r="L2000" s="20">
        <f>IF(E2000="","",E2000+IF(F2000="",IFERROR(VLOOKUP(C2000,Parametros!$E:$F,2,0),0),F2000))</f>
        <v/>
      </c>
      <c r="M2000" s="21">
        <f>IF(E2000="","",IF(G2000="",IF(TODAY()&gt;L2000,"Atrasada","Em aberto"),IF(G2000&lt;=L2000,"No prazo","Com atraso")))</f>
        <v/>
      </c>
      <c r="N2000" s="18">
        <f>IF(E2000="","",MAX(0,IF(G2000="",TODAY(),G2000)-L2000))</f>
        <v/>
      </c>
    </row>
    <row r="2001">
      <c r="E2001" s="22" t="n"/>
      <c r="G2001" s="22" t="n"/>
      <c r="I2001" s="22" t="n"/>
      <c r="L2001" s="20">
        <f>IF(E2001="","",E2001+IF(F2001="",IFERROR(VLOOKUP(C2001,Parametros!$E:$F,2,0),0),F2001))</f>
        <v/>
      </c>
      <c r="M2001" s="21">
        <f>IF(E2001="","",IF(G2001="",IF(TODAY()&gt;L2001,"Atrasada","Em aberto"),IF(G2001&lt;=L2001,"No prazo","Com atraso")))</f>
        <v/>
      </c>
      <c r="N2001" s="18">
        <f>IF(E2001="","",MAX(0,IF(G2001="",TODAY(),G2001)-L2001))</f>
        <v/>
      </c>
    </row>
  </sheetData>
  <autoFilter ref="A1:N1"/>
  <conditionalFormatting sqref="M2:M2001">
    <cfRule type="expression" priority="1" dxfId="0">
      <formula>M2="Atrasada"</formula>
    </cfRule>
    <cfRule type="expression" priority="2" dxfId="0">
      <formula>M2="Com atraso"</formula>
    </cfRule>
    <cfRule type="expression" priority="3" dxfId="1">
      <formula>M2="No prazo"</formula>
    </cfRule>
  </conditionalFormatting>
  <dataValidations count="1">
    <dataValidation sqref="C2:C2001" showDropDown="0" showInputMessage="0" showErrorMessage="0" allowBlank="1" type="list">
      <formula1>=Listas!$G$2:$G$9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50" customWidth="1" min="3" max="3"/>
    <col width="17" customWidth="1" min="4" max="4"/>
    <col width="28" customWidth="1" min="5" max="5"/>
    <col width="24" customWidth="1" min="6" max="6"/>
    <col width="13" customWidth="1" min="7" max="7"/>
    <col width="15" customWidth="1" min="8" max="8"/>
    <col width="17" customWidth="1" min="9" max="9"/>
  </cols>
  <sheetData>
    <row r="1" ht="34" customHeight="1">
      <c r="A1" s="16" t="inlineStr">
        <is>
          <t>Mês ref.</t>
        </is>
      </c>
      <c r="B1" s="16" t="inlineStr">
        <is>
          <t>Categoria</t>
        </is>
      </c>
      <c r="C1" s="16" t="inlineStr">
        <is>
          <t>Descrição da ação</t>
        </is>
      </c>
      <c r="D1" s="16" t="inlineStr">
        <is>
          <t>Tipo de ganho</t>
        </is>
      </c>
      <c r="E1" s="16" t="inlineStr">
        <is>
          <t>Custo de referência (R$)</t>
        </is>
      </c>
      <c r="F1" s="16" t="inlineStr">
        <is>
          <t>Custo realizado (R$)</t>
        </is>
      </c>
      <c r="G1" s="16" t="inlineStr">
        <is>
          <t>Evidência</t>
        </is>
      </c>
      <c r="H1" s="16" t="inlineStr">
        <is>
          <t>Responsável</t>
        </is>
      </c>
      <c r="I1" s="17" t="inlineStr">
        <is>
          <t>Economia (R$)</t>
        </is>
      </c>
    </row>
    <row r="2">
      <c r="A2" s="14" t="n">
        <v>46266</v>
      </c>
      <c r="B2" t="inlineStr">
        <is>
          <t>Amostras</t>
        </is>
      </c>
      <c r="C2" t="inlineStr">
        <is>
          <t>Cliente C004 pagou o courier das amostras (antes por nossa conta)</t>
        </is>
      </c>
      <c r="D2" t="inlineStr">
        <is>
          <t>Custo transferido ao cliente</t>
        </is>
      </c>
      <c r="E2" s="24" t="n">
        <v>850</v>
      </c>
      <c r="F2" s="24" t="n">
        <v>0</v>
      </c>
      <c r="G2" t="inlineStr">
        <is>
          <t>E-mail 12/09</t>
        </is>
      </c>
      <c r="H2" t="inlineStr">
        <is>
          <t>Gerente Comex</t>
        </is>
      </c>
      <c r="I2" s="25">
        <f>IF(AND(E2="",F2=""),"",E2-F2)</f>
        <v/>
      </c>
    </row>
    <row r="3">
      <c r="A3" s="14" t="n">
        <v>46266</v>
      </c>
      <c r="B3" t="inlineStr">
        <is>
          <t>Inspeções</t>
        </is>
      </c>
      <c r="C3" t="inlineStr">
        <is>
          <t>Inspeção de dois pedidos (C002 e C009) feita na mesma visita</t>
        </is>
      </c>
      <c r="D3" t="inlineStr">
        <is>
          <t>Custo evitado</t>
        </is>
      </c>
      <c r="E3" s="24" t="n">
        <v>3200</v>
      </c>
      <c r="F3" s="24" t="n">
        <v>1600</v>
      </c>
      <c r="G3" t="inlineStr">
        <is>
          <t>Agenda da certificadora</t>
        </is>
      </c>
      <c r="H3" t="inlineStr">
        <is>
          <t>Gerente Comex</t>
        </is>
      </c>
      <c r="I3" s="25">
        <f>IF(AND(E3="",F3=""),"",E3-F3)</f>
        <v/>
      </c>
    </row>
    <row r="4">
      <c r="A4" s="14" t="n">
        <v>46266</v>
      </c>
      <c r="B4" t="inlineStr">
        <is>
          <t>Impressões / documentos</t>
        </is>
      </c>
      <c r="C4" t="inlineStr">
        <is>
          <t>Documentos de embarque enviados só em PDF</t>
        </is>
      </c>
      <c r="D4" t="inlineStr">
        <is>
          <t>Economia direta</t>
        </is>
      </c>
      <c r="E4" s="24" t="n">
        <v>420</v>
      </c>
      <c r="F4" s="24" t="n">
        <v>90</v>
      </c>
      <c r="G4" t="inlineStr">
        <is>
          <t>Controle de impressões</t>
        </is>
      </c>
      <c r="H4" t="inlineStr">
        <is>
          <t>Gerente Comex</t>
        </is>
      </c>
      <c r="I4" s="25">
        <f>IF(AND(E4="",F4=""),"",E4-F4)</f>
        <v/>
      </c>
    </row>
    <row r="5">
      <c r="A5" s="14" t="n">
        <v>46266</v>
      </c>
      <c r="B5" t="inlineStr">
        <is>
          <t>Viagens internacionais</t>
        </is>
      </c>
      <c r="C5" t="inlineStr">
        <is>
          <t>Visita ao cliente C011 substituída por reunião on-line</t>
        </is>
      </c>
      <c r="D5" t="inlineStr">
        <is>
          <t>Custo evitado</t>
        </is>
      </c>
      <c r="E5" s="24" t="n">
        <v>14500</v>
      </c>
      <c r="F5" s="24" t="n">
        <v>0</v>
      </c>
      <c r="G5" t="inlineStr">
        <is>
          <t>Orçamento da agência</t>
        </is>
      </c>
      <c r="H5" t="inlineStr">
        <is>
          <t>Gerente Comex</t>
        </is>
      </c>
      <c r="I5" s="25">
        <f>IF(AND(E5="",F5=""),"",E5-F5)</f>
        <v/>
      </c>
    </row>
    <row r="6">
      <c r="A6" s="14" t="n"/>
      <c r="E6" s="24" t="n"/>
      <c r="F6" s="24" t="n"/>
      <c r="I6" s="25">
        <f>IF(AND(E6="",F6=""),"",E6-F6)</f>
        <v/>
      </c>
    </row>
    <row r="7">
      <c r="A7" s="14" t="n"/>
      <c r="E7" s="24" t="n"/>
      <c r="F7" s="24" t="n"/>
      <c r="I7" s="25">
        <f>IF(AND(E7="",F7=""),"",E7-F7)</f>
        <v/>
      </c>
    </row>
    <row r="8">
      <c r="A8" s="14" t="n"/>
      <c r="E8" s="24" t="n"/>
      <c r="F8" s="24" t="n"/>
      <c r="I8" s="25">
        <f>IF(AND(E8="",F8=""),"",E8-F8)</f>
        <v/>
      </c>
    </row>
    <row r="9">
      <c r="A9" s="14" t="n"/>
      <c r="E9" s="24" t="n"/>
      <c r="F9" s="24" t="n"/>
      <c r="I9" s="25">
        <f>IF(AND(E9="",F9=""),"",E9-F9)</f>
        <v/>
      </c>
    </row>
    <row r="10">
      <c r="A10" s="14" t="n"/>
      <c r="E10" s="24" t="n"/>
      <c r="F10" s="24" t="n"/>
      <c r="I10" s="25">
        <f>IF(AND(E10="",F10=""),"",E10-F10)</f>
        <v/>
      </c>
    </row>
    <row r="11">
      <c r="A11" s="14" t="n"/>
      <c r="E11" s="24" t="n"/>
      <c r="F11" s="24" t="n"/>
      <c r="I11" s="25">
        <f>IF(AND(E11="",F11=""),"",E11-F11)</f>
        <v/>
      </c>
    </row>
    <row r="12">
      <c r="A12" s="14" t="n"/>
      <c r="E12" s="24" t="n"/>
      <c r="F12" s="24" t="n"/>
      <c r="I12" s="25">
        <f>IF(AND(E12="",F12=""),"",E12-F12)</f>
        <v/>
      </c>
    </row>
    <row r="13">
      <c r="A13" s="14" t="n"/>
      <c r="E13" s="24" t="n"/>
      <c r="F13" s="24" t="n"/>
      <c r="I13" s="25">
        <f>IF(AND(E13="",F13=""),"",E13-F13)</f>
        <v/>
      </c>
    </row>
    <row r="14">
      <c r="A14" s="14" t="n"/>
      <c r="E14" s="24" t="n"/>
      <c r="F14" s="24" t="n"/>
      <c r="I14" s="25">
        <f>IF(AND(E14="",F14=""),"",E14-F14)</f>
        <v/>
      </c>
    </row>
    <row r="15">
      <c r="A15" s="14" t="n"/>
      <c r="E15" s="24" t="n"/>
      <c r="F15" s="24" t="n"/>
      <c r="I15" s="25">
        <f>IF(AND(E15="",F15=""),"",E15-F15)</f>
        <v/>
      </c>
    </row>
    <row r="16">
      <c r="A16" s="14" t="n"/>
      <c r="E16" s="24" t="n"/>
      <c r="F16" s="24" t="n"/>
      <c r="I16" s="25">
        <f>IF(AND(E16="",F16=""),"",E16-F16)</f>
        <v/>
      </c>
    </row>
    <row r="17">
      <c r="A17" s="14" t="n"/>
      <c r="E17" s="24" t="n"/>
      <c r="F17" s="24" t="n"/>
      <c r="I17" s="25">
        <f>IF(AND(E17="",F17=""),"",E17-F17)</f>
        <v/>
      </c>
    </row>
    <row r="18">
      <c r="A18" s="14" t="n"/>
      <c r="E18" s="24" t="n"/>
      <c r="F18" s="24" t="n"/>
      <c r="I18" s="25">
        <f>IF(AND(E18="",F18=""),"",E18-F18)</f>
        <v/>
      </c>
    </row>
    <row r="19">
      <c r="A19" s="14" t="n"/>
      <c r="E19" s="24" t="n"/>
      <c r="F19" s="24" t="n"/>
      <c r="I19" s="25">
        <f>IF(AND(E19="",F19=""),"",E19-F19)</f>
        <v/>
      </c>
    </row>
    <row r="20">
      <c r="A20" s="14" t="n"/>
      <c r="E20" s="24" t="n"/>
      <c r="F20" s="24" t="n"/>
      <c r="I20" s="25">
        <f>IF(AND(E20="",F20=""),"",E20-F20)</f>
        <v/>
      </c>
    </row>
    <row r="21">
      <c r="A21" s="14" t="n"/>
      <c r="E21" s="24" t="n"/>
      <c r="F21" s="24" t="n"/>
      <c r="I21" s="25">
        <f>IF(AND(E21="",F21=""),"",E21-F21)</f>
        <v/>
      </c>
    </row>
    <row r="22">
      <c r="A22" s="14" t="n"/>
      <c r="E22" s="24" t="n"/>
      <c r="F22" s="24" t="n"/>
      <c r="I22" s="25">
        <f>IF(AND(E22="",F22=""),"",E22-F22)</f>
        <v/>
      </c>
    </row>
    <row r="23">
      <c r="A23" s="14" t="n"/>
      <c r="E23" s="24" t="n"/>
      <c r="F23" s="24" t="n"/>
      <c r="I23" s="25">
        <f>IF(AND(E23="",F23=""),"",E23-F23)</f>
        <v/>
      </c>
    </row>
    <row r="24">
      <c r="A24" s="14" t="n"/>
      <c r="E24" s="24" t="n"/>
      <c r="F24" s="24" t="n"/>
      <c r="I24" s="25">
        <f>IF(AND(E24="",F24=""),"",E24-F24)</f>
        <v/>
      </c>
    </row>
    <row r="25">
      <c r="A25" s="14" t="n"/>
      <c r="E25" s="24" t="n"/>
      <c r="F25" s="24" t="n"/>
      <c r="I25" s="25">
        <f>IF(AND(E25="",F25=""),"",E25-F25)</f>
        <v/>
      </c>
    </row>
    <row r="26">
      <c r="A26" s="14" t="n"/>
      <c r="E26" s="24" t="n"/>
      <c r="F26" s="24" t="n"/>
      <c r="I26" s="25">
        <f>IF(AND(E26="",F26=""),"",E26-F26)</f>
        <v/>
      </c>
    </row>
    <row r="27">
      <c r="A27" s="14" t="n"/>
      <c r="E27" s="24" t="n"/>
      <c r="F27" s="24" t="n"/>
      <c r="I27" s="25">
        <f>IF(AND(E27="",F27=""),"",E27-F27)</f>
        <v/>
      </c>
    </row>
    <row r="28">
      <c r="A28" s="14" t="n"/>
      <c r="E28" s="24" t="n"/>
      <c r="F28" s="24" t="n"/>
      <c r="I28" s="25">
        <f>IF(AND(E28="",F28=""),"",E28-F28)</f>
        <v/>
      </c>
    </row>
    <row r="29">
      <c r="A29" s="14" t="n"/>
      <c r="E29" s="24" t="n"/>
      <c r="F29" s="24" t="n"/>
      <c r="I29" s="25">
        <f>IF(AND(E29="",F29=""),"",E29-F29)</f>
        <v/>
      </c>
    </row>
    <row r="30">
      <c r="A30" s="14" t="n"/>
      <c r="E30" s="24" t="n"/>
      <c r="F30" s="24" t="n"/>
      <c r="I30" s="25">
        <f>IF(AND(E30="",F30=""),"",E30-F30)</f>
        <v/>
      </c>
    </row>
    <row r="31">
      <c r="A31" s="14" t="n"/>
      <c r="E31" s="24" t="n"/>
      <c r="F31" s="24" t="n"/>
      <c r="I31" s="25">
        <f>IF(AND(E31="",F31=""),"",E31-F31)</f>
        <v/>
      </c>
    </row>
    <row r="32">
      <c r="A32" s="14" t="n"/>
      <c r="E32" s="24" t="n"/>
      <c r="F32" s="24" t="n"/>
      <c r="I32" s="25">
        <f>IF(AND(E32="",F32=""),"",E32-F32)</f>
        <v/>
      </c>
    </row>
    <row r="33">
      <c r="A33" s="14" t="n"/>
      <c r="E33" s="24" t="n"/>
      <c r="F33" s="24" t="n"/>
      <c r="I33" s="25">
        <f>IF(AND(E33="",F33=""),"",E33-F33)</f>
        <v/>
      </c>
    </row>
    <row r="34">
      <c r="A34" s="14" t="n"/>
      <c r="E34" s="24" t="n"/>
      <c r="F34" s="24" t="n"/>
      <c r="I34" s="25">
        <f>IF(AND(E34="",F34=""),"",E34-F34)</f>
        <v/>
      </c>
    </row>
    <row r="35">
      <c r="A35" s="14" t="n"/>
      <c r="E35" s="24" t="n"/>
      <c r="F35" s="24" t="n"/>
      <c r="I35" s="25">
        <f>IF(AND(E35="",F35=""),"",E35-F35)</f>
        <v/>
      </c>
    </row>
    <row r="36">
      <c r="A36" s="14" t="n"/>
      <c r="E36" s="24" t="n"/>
      <c r="F36" s="24" t="n"/>
      <c r="I36" s="25">
        <f>IF(AND(E36="",F36=""),"",E36-F36)</f>
        <v/>
      </c>
    </row>
    <row r="37">
      <c r="A37" s="14" t="n"/>
      <c r="E37" s="24" t="n"/>
      <c r="F37" s="24" t="n"/>
      <c r="I37" s="25">
        <f>IF(AND(E37="",F37=""),"",E37-F37)</f>
        <v/>
      </c>
    </row>
    <row r="38">
      <c r="A38" s="14" t="n"/>
      <c r="E38" s="24" t="n"/>
      <c r="F38" s="24" t="n"/>
      <c r="I38" s="25">
        <f>IF(AND(E38="",F38=""),"",E38-F38)</f>
        <v/>
      </c>
    </row>
    <row r="39">
      <c r="A39" s="14" t="n"/>
      <c r="E39" s="24" t="n"/>
      <c r="F39" s="24" t="n"/>
      <c r="I39" s="25">
        <f>IF(AND(E39="",F39=""),"",E39-F39)</f>
        <v/>
      </c>
    </row>
    <row r="40">
      <c r="A40" s="14" t="n"/>
      <c r="E40" s="24" t="n"/>
      <c r="F40" s="24" t="n"/>
      <c r="I40" s="25">
        <f>IF(AND(E40="",F40=""),"",E40-F40)</f>
        <v/>
      </c>
    </row>
    <row r="41">
      <c r="A41" s="14" t="n"/>
      <c r="E41" s="24" t="n"/>
      <c r="F41" s="24" t="n"/>
      <c r="I41" s="25">
        <f>IF(AND(E41="",F41=""),"",E41-F41)</f>
        <v/>
      </c>
    </row>
    <row r="42">
      <c r="A42" s="14" t="n"/>
      <c r="E42" s="24" t="n"/>
      <c r="F42" s="24" t="n"/>
      <c r="I42" s="25">
        <f>IF(AND(E42="",F42=""),"",E42-F42)</f>
        <v/>
      </c>
    </row>
    <row r="43">
      <c r="A43" s="14" t="n"/>
      <c r="E43" s="24" t="n"/>
      <c r="F43" s="24" t="n"/>
      <c r="I43" s="25">
        <f>IF(AND(E43="",F43=""),"",E43-F43)</f>
        <v/>
      </c>
    </row>
    <row r="44">
      <c r="A44" s="14" t="n"/>
      <c r="E44" s="24" t="n"/>
      <c r="F44" s="24" t="n"/>
      <c r="I44" s="25">
        <f>IF(AND(E44="",F44=""),"",E44-F44)</f>
        <v/>
      </c>
    </row>
    <row r="45">
      <c r="A45" s="14" t="n"/>
      <c r="E45" s="24" t="n"/>
      <c r="F45" s="24" t="n"/>
      <c r="I45" s="25">
        <f>IF(AND(E45="",F45=""),"",E45-F45)</f>
        <v/>
      </c>
    </row>
    <row r="46">
      <c r="A46" s="14" t="n"/>
      <c r="E46" s="24" t="n"/>
      <c r="F46" s="24" t="n"/>
      <c r="I46" s="25">
        <f>IF(AND(E46="",F46=""),"",E46-F46)</f>
        <v/>
      </c>
    </row>
    <row r="47">
      <c r="A47" s="14" t="n"/>
      <c r="E47" s="24" t="n"/>
      <c r="F47" s="24" t="n"/>
      <c r="I47" s="25">
        <f>IF(AND(E47="",F47=""),"",E47-F47)</f>
        <v/>
      </c>
    </row>
    <row r="48">
      <c r="A48" s="14" t="n"/>
      <c r="E48" s="24" t="n"/>
      <c r="F48" s="24" t="n"/>
      <c r="I48" s="25">
        <f>IF(AND(E48="",F48=""),"",E48-F48)</f>
        <v/>
      </c>
    </row>
    <row r="49">
      <c r="A49" s="14" t="n"/>
      <c r="E49" s="24" t="n"/>
      <c r="F49" s="24" t="n"/>
      <c r="I49" s="25">
        <f>IF(AND(E49="",F49=""),"",E49-F49)</f>
        <v/>
      </c>
    </row>
    <row r="50">
      <c r="A50" s="14" t="n"/>
      <c r="E50" s="24" t="n"/>
      <c r="F50" s="24" t="n"/>
      <c r="I50" s="25">
        <f>IF(AND(E50="",F50=""),"",E50-F50)</f>
        <v/>
      </c>
    </row>
    <row r="51">
      <c r="A51" s="14" t="n"/>
      <c r="E51" s="24" t="n"/>
      <c r="F51" s="24" t="n"/>
      <c r="I51" s="25">
        <f>IF(AND(E51="",F51=""),"",E51-F51)</f>
        <v/>
      </c>
    </row>
    <row r="52">
      <c r="A52" s="14" t="n"/>
      <c r="E52" s="24" t="n"/>
      <c r="F52" s="24" t="n"/>
      <c r="I52" s="25">
        <f>IF(AND(E52="",F52=""),"",E52-F52)</f>
        <v/>
      </c>
    </row>
    <row r="53">
      <c r="A53" s="14" t="n"/>
      <c r="E53" s="24" t="n"/>
      <c r="F53" s="24" t="n"/>
      <c r="I53" s="25">
        <f>IF(AND(E53="",F53=""),"",E53-F53)</f>
        <v/>
      </c>
    </row>
    <row r="54">
      <c r="A54" s="14" t="n"/>
      <c r="E54" s="24" t="n"/>
      <c r="F54" s="24" t="n"/>
      <c r="I54" s="25">
        <f>IF(AND(E54="",F54=""),"",E54-F54)</f>
        <v/>
      </c>
    </row>
    <row r="55">
      <c r="A55" s="14" t="n"/>
      <c r="E55" s="24" t="n"/>
      <c r="F55" s="24" t="n"/>
      <c r="I55" s="25">
        <f>IF(AND(E55="",F55=""),"",E55-F55)</f>
        <v/>
      </c>
    </row>
    <row r="56">
      <c r="A56" s="14" t="n"/>
      <c r="E56" s="24" t="n"/>
      <c r="F56" s="24" t="n"/>
      <c r="I56" s="25">
        <f>IF(AND(E56="",F56=""),"",E56-F56)</f>
        <v/>
      </c>
    </row>
    <row r="57">
      <c r="A57" s="14" t="n"/>
      <c r="E57" s="24" t="n"/>
      <c r="F57" s="24" t="n"/>
      <c r="I57" s="25">
        <f>IF(AND(E57="",F57=""),"",E57-F57)</f>
        <v/>
      </c>
    </row>
    <row r="58">
      <c r="A58" s="14" t="n"/>
      <c r="E58" s="24" t="n"/>
      <c r="F58" s="24" t="n"/>
      <c r="I58" s="25">
        <f>IF(AND(E58="",F58=""),"",E58-F58)</f>
        <v/>
      </c>
    </row>
    <row r="59">
      <c r="A59" s="14" t="n"/>
      <c r="E59" s="24" t="n"/>
      <c r="F59" s="24" t="n"/>
      <c r="I59" s="25">
        <f>IF(AND(E59="",F59=""),"",E59-F59)</f>
        <v/>
      </c>
    </row>
    <row r="60">
      <c r="A60" s="14" t="n"/>
      <c r="E60" s="24" t="n"/>
      <c r="F60" s="24" t="n"/>
      <c r="I60" s="25">
        <f>IF(AND(E60="",F60=""),"",E60-F60)</f>
        <v/>
      </c>
    </row>
    <row r="61">
      <c r="A61" s="14" t="n"/>
      <c r="E61" s="24" t="n"/>
      <c r="F61" s="24" t="n"/>
      <c r="I61" s="25">
        <f>IF(AND(E61="",F61=""),"",E61-F61)</f>
        <v/>
      </c>
    </row>
    <row r="62">
      <c r="A62" s="14" t="n"/>
      <c r="E62" s="24" t="n"/>
      <c r="F62" s="24" t="n"/>
      <c r="I62" s="25">
        <f>IF(AND(E62="",F62=""),"",E62-F62)</f>
        <v/>
      </c>
    </row>
    <row r="63">
      <c r="A63" s="14" t="n"/>
      <c r="E63" s="24" t="n"/>
      <c r="F63" s="24" t="n"/>
      <c r="I63" s="25">
        <f>IF(AND(E63="",F63=""),"",E63-F63)</f>
        <v/>
      </c>
    </row>
    <row r="64">
      <c r="A64" s="14" t="n"/>
      <c r="E64" s="24" t="n"/>
      <c r="F64" s="24" t="n"/>
      <c r="I64" s="25">
        <f>IF(AND(E64="",F64=""),"",E64-F64)</f>
        <v/>
      </c>
    </row>
    <row r="65">
      <c r="A65" s="14" t="n"/>
      <c r="E65" s="24" t="n"/>
      <c r="F65" s="24" t="n"/>
      <c r="I65" s="25">
        <f>IF(AND(E65="",F65=""),"",E65-F65)</f>
        <v/>
      </c>
    </row>
    <row r="66">
      <c r="A66" s="14" t="n"/>
      <c r="E66" s="24" t="n"/>
      <c r="F66" s="24" t="n"/>
      <c r="I66" s="25">
        <f>IF(AND(E66="",F66=""),"",E66-F66)</f>
        <v/>
      </c>
    </row>
    <row r="67">
      <c r="A67" s="14" t="n"/>
      <c r="E67" s="24" t="n"/>
      <c r="F67" s="24" t="n"/>
      <c r="I67" s="25">
        <f>IF(AND(E67="",F67=""),"",E67-F67)</f>
        <v/>
      </c>
    </row>
    <row r="68">
      <c r="A68" s="14" t="n"/>
      <c r="E68" s="24" t="n"/>
      <c r="F68" s="24" t="n"/>
      <c r="I68" s="25">
        <f>IF(AND(E68="",F68=""),"",E68-F68)</f>
        <v/>
      </c>
    </row>
    <row r="69">
      <c r="A69" s="14" t="n"/>
      <c r="E69" s="24" t="n"/>
      <c r="F69" s="24" t="n"/>
      <c r="I69" s="25">
        <f>IF(AND(E69="",F69=""),"",E69-F69)</f>
        <v/>
      </c>
    </row>
    <row r="70">
      <c r="A70" s="14" t="n"/>
      <c r="E70" s="24" t="n"/>
      <c r="F70" s="24" t="n"/>
      <c r="I70" s="25">
        <f>IF(AND(E70="",F70=""),"",E70-F70)</f>
        <v/>
      </c>
    </row>
    <row r="71">
      <c r="A71" s="14" t="n"/>
      <c r="E71" s="24" t="n"/>
      <c r="F71" s="24" t="n"/>
      <c r="I71" s="25">
        <f>IF(AND(E71="",F71=""),"",E71-F71)</f>
        <v/>
      </c>
    </row>
    <row r="72">
      <c r="A72" s="14" t="n"/>
      <c r="E72" s="24" t="n"/>
      <c r="F72" s="24" t="n"/>
      <c r="I72" s="25">
        <f>IF(AND(E72="",F72=""),"",E72-F72)</f>
        <v/>
      </c>
    </row>
    <row r="73">
      <c r="A73" s="14" t="n"/>
      <c r="E73" s="24" t="n"/>
      <c r="F73" s="24" t="n"/>
      <c r="I73" s="25">
        <f>IF(AND(E73="",F73=""),"",E73-F73)</f>
        <v/>
      </c>
    </row>
    <row r="74">
      <c r="A74" s="14" t="n"/>
      <c r="E74" s="24" t="n"/>
      <c r="F74" s="24" t="n"/>
      <c r="I74" s="25">
        <f>IF(AND(E74="",F74=""),"",E74-F74)</f>
        <v/>
      </c>
    </row>
    <row r="75">
      <c r="A75" s="14" t="n"/>
      <c r="E75" s="24" t="n"/>
      <c r="F75" s="24" t="n"/>
      <c r="I75" s="25">
        <f>IF(AND(E75="",F75=""),"",E75-F75)</f>
        <v/>
      </c>
    </row>
    <row r="76">
      <c r="A76" s="14" t="n"/>
      <c r="E76" s="24" t="n"/>
      <c r="F76" s="24" t="n"/>
      <c r="I76" s="25">
        <f>IF(AND(E76="",F76=""),"",E76-F76)</f>
        <v/>
      </c>
    </row>
    <row r="77">
      <c r="A77" s="14" t="n"/>
      <c r="E77" s="24" t="n"/>
      <c r="F77" s="24" t="n"/>
      <c r="I77" s="25">
        <f>IF(AND(E77="",F77=""),"",E77-F77)</f>
        <v/>
      </c>
    </row>
    <row r="78">
      <c r="A78" s="14" t="n"/>
      <c r="E78" s="24" t="n"/>
      <c r="F78" s="24" t="n"/>
      <c r="I78" s="25">
        <f>IF(AND(E78="",F78=""),"",E78-F78)</f>
        <v/>
      </c>
    </row>
    <row r="79">
      <c r="A79" s="14" t="n"/>
      <c r="E79" s="24" t="n"/>
      <c r="F79" s="24" t="n"/>
      <c r="I79" s="25">
        <f>IF(AND(E79="",F79=""),"",E79-F79)</f>
        <v/>
      </c>
    </row>
    <row r="80">
      <c r="A80" s="14" t="n"/>
      <c r="E80" s="24" t="n"/>
      <c r="F80" s="24" t="n"/>
      <c r="I80" s="25">
        <f>IF(AND(E80="",F80=""),"",E80-F80)</f>
        <v/>
      </c>
    </row>
    <row r="81">
      <c r="A81" s="14" t="n"/>
      <c r="E81" s="24" t="n"/>
      <c r="F81" s="24" t="n"/>
      <c r="I81" s="25">
        <f>IF(AND(E81="",F81=""),"",E81-F81)</f>
        <v/>
      </c>
    </row>
    <row r="82">
      <c r="A82" s="14" t="n"/>
      <c r="E82" s="24" t="n"/>
      <c r="F82" s="24" t="n"/>
      <c r="I82" s="25">
        <f>IF(AND(E82="",F82=""),"",E82-F82)</f>
        <v/>
      </c>
    </row>
    <row r="83">
      <c r="A83" s="14" t="n"/>
      <c r="E83" s="24" t="n"/>
      <c r="F83" s="24" t="n"/>
      <c r="I83" s="25">
        <f>IF(AND(E83="",F83=""),"",E83-F83)</f>
        <v/>
      </c>
    </row>
    <row r="84">
      <c r="A84" s="14" t="n"/>
      <c r="E84" s="24" t="n"/>
      <c r="F84" s="24" t="n"/>
      <c r="I84" s="25">
        <f>IF(AND(E84="",F84=""),"",E84-F84)</f>
        <v/>
      </c>
    </row>
    <row r="85">
      <c r="A85" s="14" t="n"/>
      <c r="E85" s="24" t="n"/>
      <c r="F85" s="24" t="n"/>
      <c r="I85" s="25">
        <f>IF(AND(E85="",F85=""),"",E85-F85)</f>
        <v/>
      </c>
    </row>
    <row r="86">
      <c r="A86" s="14" t="n"/>
      <c r="E86" s="24" t="n"/>
      <c r="F86" s="24" t="n"/>
      <c r="I86" s="25">
        <f>IF(AND(E86="",F86=""),"",E86-F86)</f>
        <v/>
      </c>
    </row>
    <row r="87">
      <c r="A87" s="14" t="n"/>
      <c r="E87" s="24" t="n"/>
      <c r="F87" s="24" t="n"/>
      <c r="I87" s="25">
        <f>IF(AND(E87="",F87=""),"",E87-F87)</f>
        <v/>
      </c>
    </row>
    <row r="88">
      <c r="A88" s="14" t="n"/>
      <c r="E88" s="24" t="n"/>
      <c r="F88" s="24" t="n"/>
      <c r="I88" s="25">
        <f>IF(AND(E88="",F88=""),"",E88-F88)</f>
        <v/>
      </c>
    </row>
    <row r="89">
      <c r="A89" s="14" t="n"/>
      <c r="E89" s="24" t="n"/>
      <c r="F89" s="24" t="n"/>
      <c r="I89" s="25">
        <f>IF(AND(E89="",F89=""),"",E89-F89)</f>
        <v/>
      </c>
    </row>
    <row r="90">
      <c r="A90" s="14" t="n"/>
      <c r="E90" s="24" t="n"/>
      <c r="F90" s="24" t="n"/>
      <c r="I90" s="25">
        <f>IF(AND(E90="",F90=""),"",E90-F90)</f>
        <v/>
      </c>
    </row>
    <row r="91">
      <c r="A91" s="14" t="n"/>
      <c r="E91" s="24" t="n"/>
      <c r="F91" s="24" t="n"/>
      <c r="I91" s="25">
        <f>IF(AND(E91="",F91=""),"",E91-F91)</f>
        <v/>
      </c>
    </row>
    <row r="92">
      <c r="A92" s="14" t="n"/>
      <c r="E92" s="24" t="n"/>
      <c r="F92" s="24" t="n"/>
      <c r="I92" s="25">
        <f>IF(AND(E92="",F92=""),"",E92-F92)</f>
        <v/>
      </c>
    </row>
    <row r="93">
      <c r="A93" s="14" t="n"/>
      <c r="E93" s="24" t="n"/>
      <c r="F93" s="24" t="n"/>
      <c r="I93" s="25">
        <f>IF(AND(E93="",F93=""),"",E93-F93)</f>
        <v/>
      </c>
    </row>
    <row r="94">
      <c r="A94" s="14" t="n"/>
      <c r="E94" s="24" t="n"/>
      <c r="F94" s="24" t="n"/>
      <c r="I94" s="25">
        <f>IF(AND(E94="",F94=""),"",E94-F94)</f>
        <v/>
      </c>
    </row>
    <row r="95">
      <c r="A95" s="14" t="n"/>
      <c r="E95" s="24" t="n"/>
      <c r="F95" s="24" t="n"/>
      <c r="I95" s="25">
        <f>IF(AND(E95="",F95=""),"",E95-F95)</f>
        <v/>
      </c>
    </row>
    <row r="96">
      <c r="A96" s="14" t="n"/>
      <c r="E96" s="24" t="n"/>
      <c r="F96" s="24" t="n"/>
      <c r="I96" s="25">
        <f>IF(AND(E96="",F96=""),"",E96-F96)</f>
        <v/>
      </c>
    </row>
    <row r="97">
      <c r="A97" s="14" t="n"/>
      <c r="E97" s="24" t="n"/>
      <c r="F97" s="24" t="n"/>
      <c r="I97" s="25">
        <f>IF(AND(E97="",F97=""),"",E97-F97)</f>
        <v/>
      </c>
    </row>
    <row r="98">
      <c r="A98" s="14" t="n"/>
      <c r="E98" s="24" t="n"/>
      <c r="F98" s="24" t="n"/>
      <c r="I98" s="25">
        <f>IF(AND(E98="",F98=""),"",E98-F98)</f>
        <v/>
      </c>
    </row>
    <row r="99">
      <c r="A99" s="14" t="n"/>
      <c r="E99" s="24" t="n"/>
      <c r="F99" s="24" t="n"/>
      <c r="I99" s="25">
        <f>IF(AND(E99="",F99=""),"",E99-F99)</f>
        <v/>
      </c>
    </row>
    <row r="100">
      <c r="A100" s="14" t="n"/>
      <c r="E100" s="24" t="n"/>
      <c r="F100" s="24" t="n"/>
      <c r="I100" s="25">
        <f>IF(AND(E100="",F100=""),"",E100-F100)</f>
        <v/>
      </c>
    </row>
    <row r="101">
      <c r="A101" s="14" t="n"/>
      <c r="E101" s="24" t="n"/>
      <c r="F101" s="24" t="n"/>
      <c r="I101" s="25">
        <f>IF(AND(E101="",F101=""),"",E101-F101)</f>
        <v/>
      </c>
    </row>
    <row r="102">
      <c r="A102" s="14" t="n"/>
      <c r="E102" s="24" t="n"/>
      <c r="F102" s="24" t="n"/>
      <c r="I102" s="25">
        <f>IF(AND(E102="",F102=""),"",E102-F102)</f>
        <v/>
      </c>
    </row>
    <row r="103">
      <c r="A103" s="14" t="n"/>
      <c r="E103" s="24" t="n"/>
      <c r="F103" s="24" t="n"/>
      <c r="I103" s="25">
        <f>IF(AND(E103="",F103=""),"",E103-F103)</f>
        <v/>
      </c>
    </row>
    <row r="104">
      <c r="A104" s="14" t="n"/>
      <c r="E104" s="24" t="n"/>
      <c r="F104" s="24" t="n"/>
      <c r="I104" s="25">
        <f>IF(AND(E104="",F104=""),"",E104-F104)</f>
        <v/>
      </c>
    </row>
    <row r="105">
      <c r="A105" s="14" t="n"/>
      <c r="E105" s="24" t="n"/>
      <c r="F105" s="24" t="n"/>
      <c r="I105" s="25">
        <f>IF(AND(E105="",F105=""),"",E105-F105)</f>
        <v/>
      </c>
    </row>
    <row r="106">
      <c r="A106" s="14" t="n"/>
      <c r="E106" s="24" t="n"/>
      <c r="F106" s="24" t="n"/>
      <c r="I106" s="25">
        <f>IF(AND(E106="",F106=""),"",E106-F106)</f>
        <v/>
      </c>
    </row>
    <row r="107">
      <c r="A107" s="14" t="n"/>
      <c r="E107" s="24" t="n"/>
      <c r="F107" s="24" t="n"/>
      <c r="I107" s="25">
        <f>IF(AND(E107="",F107=""),"",E107-F107)</f>
        <v/>
      </c>
    </row>
    <row r="108">
      <c r="A108" s="14" t="n"/>
      <c r="E108" s="24" t="n"/>
      <c r="F108" s="24" t="n"/>
      <c r="I108" s="25">
        <f>IF(AND(E108="",F108=""),"",E108-F108)</f>
        <v/>
      </c>
    </row>
    <row r="109">
      <c r="A109" s="14" t="n"/>
      <c r="E109" s="24" t="n"/>
      <c r="F109" s="24" t="n"/>
      <c r="I109" s="25">
        <f>IF(AND(E109="",F109=""),"",E109-F109)</f>
        <v/>
      </c>
    </row>
    <row r="110">
      <c r="A110" s="14" t="n"/>
      <c r="E110" s="24" t="n"/>
      <c r="F110" s="24" t="n"/>
      <c r="I110" s="25">
        <f>IF(AND(E110="",F110=""),"",E110-F110)</f>
        <v/>
      </c>
    </row>
    <row r="111">
      <c r="A111" s="14" t="n"/>
      <c r="E111" s="24" t="n"/>
      <c r="F111" s="24" t="n"/>
      <c r="I111" s="25">
        <f>IF(AND(E111="",F111=""),"",E111-F111)</f>
        <v/>
      </c>
    </row>
    <row r="112">
      <c r="A112" s="14" t="n"/>
      <c r="E112" s="24" t="n"/>
      <c r="F112" s="24" t="n"/>
      <c r="I112" s="25">
        <f>IF(AND(E112="",F112=""),"",E112-F112)</f>
        <v/>
      </c>
    </row>
    <row r="113">
      <c r="A113" s="14" t="n"/>
      <c r="E113" s="24" t="n"/>
      <c r="F113" s="24" t="n"/>
      <c r="I113" s="25">
        <f>IF(AND(E113="",F113=""),"",E113-F113)</f>
        <v/>
      </c>
    </row>
    <row r="114">
      <c r="A114" s="14" t="n"/>
      <c r="E114" s="24" t="n"/>
      <c r="F114" s="24" t="n"/>
      <c r="I114" s="25">
        <f>IF(AND(E114="",F114=""),"",E114-F114)</f>
        <v/>
      </c>
    </row>
    <row r="115">
      <c r="A115" s="14" t="n"/>
      <c r="E115" s="24" t="n"/>
      <c r="F115" s="24" t="n"/>
      <c r="I115" s="25">
        <f>IF(AND(E115="",F115=""),"",E115-F115)</f>
        <v/>
      </c>
    </row>
    <row r="116">
      <c r="A116" s="14" t="n"/>
      <c r="E116" s="24" t="n"/>
      <c r="F116" s="24" t="n"/>
      <c r="I116" s="25">
        <f>IF(AND(E116="",F116=""),"",E116-F116)</f>
        <v/>
      </c>
    </row>
    <row r="117">
      <c r="A117" s="14" t="n"/>
      <c r="E117" s="24" t="n"/>
      <c r="F117" s="24" t="n"/>
      <c r="I117" s="25">
        <f>IF(AND(E117="",F117=""),"",E117-F117)</f>
        <v/>
      </c>
    </row>
    <row r="118">
      <c r="A118" s="14" t="n"/>
      <c r="E118" s="24" t="n"/>
      <c r="F118" s="24" t="n"/>
      <c r="I118" s="25">
        <f>IF(AND(E118="",F118=""),"",E118-F118)</f>
        <v/>
      </c>
    </row>
    <row r="119">
      <c r="A119" s="14" t="n"/>
      <c r="E119" s="24" t="n"/>
      <c r="F119" s="24" t="n"/>
      <c r="I119" s="25">
        <f>IF(AND(E119="",F119=""),"",E119-F119)</f>
        <v/>
      </c>
    </row>
    <row r="120">
      <c r="A120" s="14" t="n"/>
      <c r="E120" s="24" t="n"/>
      <c r="F120" s="24" t="n"/>
      <c r="I120" s="25">
        <f>IF(AND(E120="",F120=""),"",E120-F120)</f>
        <v/>
      </c>
    </row>
    <row r="121">
      <c r="A121" s="14" t="n"/>
      <c r="E121" s="24" t="n"/>
      <c r="F121" s="24" t="n"/>
      <c r="I121" s="25">
        <f>IF(AND(E121="",F121=""),"",E121-F121)</f>
        <v/>
      </c>
    </row>
    <row r="122">
      <c r="A122" s="14" t="n"/>
      <c r="E122" s="24" t="n"/>
      <c r="F122" s="24" t="n"/>
      <c r="I122" s="25">
        <f>IF(AND(E122="",F122=""),"",E122-F122)</f>
        <v/>
      </c>
    </row>
    <row r="123">
      <c r="A123" s="14" t="n"/>
      <c r="E123" s="24" t="n"/>
      <c r="F123" s="24" t="n"/>
      <c r="I123" s="25">
        <f>IF(AND(E123="",F123=""),"",E123-F123)</f>
        <v/>
      </c>
    </row>
    <row r="124">
      <c r="A124" s="14" t="n"/>
      <c r="E124" s="24" t="n"/>
      <c r="F124" s="24" t="n"/>
      <c r="I124" s="25">
        <f>IF(AND(E124="",F124=""),"",E124-F124)</f>
        <v/>
      </c>
    </row>
    <row r="125">
      <c r="A125" s="14" t="n"/>
      <c r="E125" s="24" t="n"/>
      <c r="F125" s="24" t="n"/>
      <c r="I125" s="25">
        <f>IF(AND(E125="",F125=""),"",E125-F125)</f>
        <v/>
      </c>
    </row>
    <row r="126">
      <c r="A126" s="14" t="n"/>
      <c r="E126" s="24" t="n"/>
      <c r="F126" s="24" t="n"/>
      <c r="I126" s="25">
        <f>IF(AND(E126="",F126=""),"",E126-F126)</f>
        <v/>
      </c>
    </row>
    <row r="127">
      <c r="A127" s="14" t="n"/>
      <c r="E127" s="24" t="n"/>
      <c r="F127" s="24" t="n"/>
      <c r="I127" s="25">
        <f>IF(AND(E127="",F127=""),"",E127-F127)</f>
        <v/>
      </c>
    </row>
    <row r="128">
      <c r="A128" s="14" t="n"/>
      <c r="E128" s="24" t="n"/>
      <c r="F128" s="24" t="n"/>
      <c r="I128" s="25">
        <f>IF(AND(E128="",F128=""),"",E128-F128)</f>
        <v/>
      </c>
    </row>
    <row r="129">
      <c r="A129" s="14" t="n"/>
      <c r="E129" s="24" t="n"/>
      <c r="F129" s="24" t="n"/>
      <c r="I129" s="25">
        <f>IF(AND(E129="",F129=""),"",E129-F129)</f>
        <v/>
      </c>
    </row>
    <row r="130">
      <c r="A130" s="14" t="n"/>
      <c r="E130" s="24" t="n"/>
      <c r="F130" s="24" t="n"/>
      <c r="I130" s="25">
        <f>IF(AND(E130="",F130=""),"",E130-F130)</f>
        <v/>
      </c>
    </row>
    <row r="131">
      <c r="A131" s="14" t="n"/>
      <c r="E131" s="24" t="n"/>
      <c r="F131" s="24" t="n"/>
      <c r="I131" s="25">
        <f>IF(AND(E131="",F131=""),"",E131-F131)</f>
        <v/>
      </c>
    </row>
    <row r="132">
      <c r="A132" s="14" t="n"/>
      <c r="E132" s="24" t="n"/>
      <c r="F132" s="24" t="n"/>
      <c r="I132" s="25">
        <f>IF(AND(E132="",F132=""),"",E132-F132)</f>
        <v/>
      </c>
    </row>
    <row r="133">
      <c r="A133" s="14" t="n"/>
      <c r="E133" s="24" t="n"/>
      <c r="F133" s="24" t="n"/>
      <c r="I133" s="25">
        <f>IF(AND(E133="",F133=""),"",E133-F133)</f>
        <v/>
      </c>
    </row>
    <row r="134">
      <c r="A134" s="14" t="n"/>
      <c r="E134" s="24" t="n"/>
      <c r="F134" s="24" t="n"/>
      <c r="I134" s="25">
        <f>IF(AND(E134="",F134=""),"",E134-F134)</f>
        <v/>
      </c>
    </row>
    <row r="135">
      <c r="A135" s="14" t="n"/>
      <c r="E135" s="24" t="n"/>
      <c r="F135" s="24" t="n"/>
      <c r="I135" s="25">
        <f>IF(AND(E135="",F135=""),"",E135-F135)</f>
        <v/>
      </c>
    </row>
    <row r="136">
      <c r="A136" s="14" t="n"/>
      <c r="E136" s="24" t="n"/>
      <c r="F136" s="24" t="n"/>
      <c r="I136" s="25">
        <f>IF(AND(E136="",F136=""),"",E136-F136)</f>
        <v/>
      </c>
    </row>
    <row r="137">
      <c r="A137" s="14" t="n"/>
      <c r="E137" s="24" t="n"/>
      <c r="F137" s="24" t="n"/>
      <c r="I137" s="25">
        <f>IF(AND(E137="",F137=""),"",E137-F137)</f>
        <v/>
      </c>
    </row>
    <row r="138">
      <c r="A138" s="14" t="n"/>
      <c r="E138" s="24" t="n"/>
      <c r="F138" s="24" t="n"/>
      <c r="I138" s="25">
        <f>IF(AND(E138="",F138=""),"",E138-F138)</f>
        <v/>
      </c>
    </row>
    <row r="139">
      <c r="A139" s="14" t="n"/>
      <c r="E139" s="24" t="n"/>
      <c r="F139" s="24" t="n"/>
      <c r="I139" s="25">
        <f>IF(AND(E139="",F139=""),"",E139-F139)</f>
        <v/>
      </c>
    </row>
    <row r="140">
      <c r="A140" s="14" t="n"/>
      <c r="E140" s="24" t="n"/>
      <c r="F140" s="24" t="n"/>
      <c r="I140" s="25">
        <f>IF(AND(E140="",F140=""),"",E140-F140)</f>
        <v/>
      </c>
    </row>
    <row r="141">
      <c r="A141" s="14" t="n"/>
      <c r="E141" s="24" t="n"/>
      <c r="F141" s="24" t="n"/>
      <c r="I141" s="25">
        <f>IF(AND(E141="",F141=""),"",E141-F141)</f>
        <v/>
      </c>
    </row>
    <row r="142">
      <c r="A142" s="14" t="n"/>
      <c r="E142" s="24" t="n"/>
      <c r="F142" s="24" t="n"/>
      <c r="I142" s="25">
        <f>IF(AND(E142="",F142=""),"",E142-F142)</f>
        <v/>
      </c>
    </row>
    <row r="143">
      <c r="A143" s="14" t="n"/>
      <c r="E143" s="24" t="n"/>
      <c r="F143" s="24" t="n"/>
      <c r="I143" s="25">
        <f>IF(AND(E143="",F143=""),"",E143-F143)</f>
        <v/>
      </c>
    </row>
    <row r="144">
      <c r="A144" s="14" t="n"/>
      <c r="E144" s="24" t="n"/>
      <c r="F144" s="24" t="n"/>
      <c r="I144" s="25">
        <f>IF(AND(E144="",F144=""),"",E144-F144)</f>
        <v/>
      </c>
    </row>
    <row r="145">
      <c r="A145" s="14" t="n"/>
      <c r="E145" s="24" t="n"/>
      <c r="F145" s="24" t="n"/>
      <c r="I145" s="25">
        <f>IF(AND(E145="",F145=""),"",E145-F145)</f>
        <v/>
      </c>
    </row>
    <row r="146">
      <c r="A146" s="14" t="n"/>
      <c r="E146" s="24" t="n"/>
      <c r="F146" s="24" t="n"/>
      <c r="I146" s="25">
        <f>IF(AND(E146="",F146=""),"",E146-F146)</f>
        <v/>
      </c>
    </row>
    <row r="147">
      <c r="A147" s="14" t="n"/>
      <c r="E147" s="24" t="n"/>
      <c r="F147" s="24" t="n"/>
      <c r="I147" s="25">
        <f>IF(AND(E147="",F147=""),"",E147-F147)</f>
        <v/>
      </c>
    </row>
    <row r="148">
      <c r="A148" s="14" t="n"/>
      <c r="E148" s="24" t="n"/>
      <c r="F148" s="24" t="n"/>
      <c r="I148" s="25">
        <f>IF(AND(E148="",F148=""),"",E148-F148)</f>
        <v/>
      </c>
    </row>
    <row r="149">
      <c r="A149" s="14" t="n"/>
      <c r="E149" s="24" t="n"/>
      <c r="F149" s="24" t="n"/>
      <c r="I149" s="25">
        <f>IF(AND(E149="",F149=""),"",E149-F149)</f>
        <v/>
      </c>
    </row>
    <row r="150">
      <c r="A150" s="14" t="n"/>
      <c r="E150" s="24" t="n"/>
      <c r="F150" s="24" t="n"/>
      <c r="I150" s="25">
        <f>IF(AND(E150="",F150=""),"",E150-F150)</f>
        <v/>
      </c>
    </row>
    <row r="151">
      <c r="A151" s="14" t="n"/>
      <c r="E151" s="24" t="n"/>
      <c r="F151" s="24" t="n"/>
      <c r="I151" s="25">
        <f>IF(AND(E151="",F151=""),"",E151-F151)</f>
        <v/>
      </c>
    </row>
    <row r="152">
      <c r="A152" s="14" t="n"/>
      <c r="E152" s="24" t="n"/>
      <c r="F152" s="24" t="n"/>
      <c r="I152" s="25">
        <f>IF(AND(E152="",F152=""),"",E152-F152)</f>
        <v/>
      </c>
    </row>
    <row r="153">
      <c r="A153" s="14" t="n"/>
      <c r="E153" s="24" t="n"/>
      <c r="F153" s="24" t="n"/>
      <c r="I153" s="25">
        <f>IF(AND(E153="",F153=""),"",E153-F153)</f>
        <v/>
      </c>
    </row>
    <row r="154">
      <c r="A154" s="14" t="n"/>
      <c r="E154" s="24" t="n"/>
      <c r="F154" s="24" t="n"/>
      <c r="I154" s="25">
        <f>IF(AND(E154="",F154=""),"",E154-F154)</f>
        <v/>
      </c>
    </row>
    <row r="155">
      <c r="A155" s="14" t="n"/>
      <c r="E155" s="24" t="n"/>
      <c r="F155" s="24" t="n"/>
      <c r="I155" s="25">
        <f>IF(AND(E155="",F155=""),"",E155-F155)</f>
        <v/>
      </c>
    </row>
    <row r="156">
      <c r="A156" s="14" t="n"/>
      <c r="E156" s="24" t="n"/>
      <c r="F156" s="24" t="n"/>
      <c r="I156" s="25">
        <f>IF(AND(E156="",F156=""),"",E156-F156)</f>
        <v/>
      </c>
    </row>
    <row r="157">
      <c r="A157" s="14" t="n"/>
      <c r="E157" s="24" t="n"/>
      <c r="F157" s="24" t="n"/>
      <c r="I157" s="25">
        <f>IF(AND(E157="",F157=""),"",E157-F157)</f>
        <v/>
      </c>
    </row>
    <row r="158">
      <c r="A158" s="14" t="n"/>
      <c r="E158" s="24" t="n"/>
      <c r="F158" s="24" t="n"/>
      <c r="I158" s="25">
        <f>IF(AND(E158="",F158=""),"",E158-F158)</f>
        <v/>
      </c>
    </row>
    <row r="159">
      <c r="A159" s="14" t="n"/>
      <c r="E159" s="24" t="n"/>
      <c r="F159" s="24" t="n"/>
      <c r="I159" s="25">
        <f>IF(AND(E159="",F159=""),"",E159-F159)</f>
        <v/>
      </c>
    </row>
    <row r="160">
      <c r="A160" s="14" t="n"/>
      <c r="E160" s="24" t="n"/>
      <c r="F160" s="24" t="n"/>
      <c r="I160" s="25">
        <f>IF(AND(E160="",F160=""),"",E160-F160)</f>
        <v/>
      </c>
    </row>
    <row r="161">
      <c r="A161" s="14" t="n"/>
      <c r="E161" s="24" t="n"/>
      <c r="F161" s="24" t="n"/>
      <c r="I161" s="25">
        <f>IF(AND(E161="",F161=""),"",E161-F161)</f>
        <v/>
      </c>
    </row>
    <row r="162">
      <c r="A162" s="14" t="n"/>
      <c r="E162" s="24" t="n"/>
      <c r="F162" s="24" t="n"/>
      <c r="I162" s="25">
        <f>IF(AND(E162="",F162=""),"",E162-F162)</f>
        <v/>
      </c>
    </row>
    <row r="163">
      <c r="A163" s="14" t="n"/>
      <c r="E163" s="24" t="n"/>
      <c r="F163" s="24" t="n"/>
      <c r="I163" s="25">
        <f>IF(AND(E163="",F163=""),"",E163-F163)</f>
        <v/>
      </c>
    </row>
    <row r="164">
      <c r="A164" s="14" t="n"/>
      <c r="E164" s="24" t="n"/>
      <c r="F164" s="24" t="n"/>
      <c r="I164" s="25">
        <f>IF(AND(E164="",F164=""),"",E164-F164)</f>
        <v/>
      </c>
    </row>
    <row r="165">
      <c r="A165" s="14" t="n"/>
      <c r="E165" s="24" t="n"/>
      <c r="F165" s="24" t="n"/>
      <c r="I165" s="25">
        <f>IF(AND(E165="",F165=""),"",E165-F165)</f>
        <v/>
      </c>
    </row>
    <row r="166">
      <c r="A166" s="14" t="n"/>
      <c r="E166" s="24" t="n"/>
      <c r="F166" s="24" t="n"/>
      <c r="I166" s="25">
        <f>IF(AND(E166="",F166=""),"",E166-F166)</f>
        <v/>
      </c>
    </row>
    <row r="167">
      <c r="A167" s="14" t="n"/>
      <c r="E167" s="24" t="n"/>
      <c r="F167" s="24" t="n"/>
      <c r="I167" s="25">
        <f>IF(AND(E167="",F167=""),"",E167-F167)</f>
        <v/>
      </c>
    </row>
    <row r="168">
      <c r="A168" s="14" t="n"/>
      <c r="E168" s="24" t="n"/>
      <c r="F168" s="24" t="n"/>
      <c r="I168" s="25">
        <f>IF(AND(E168="",F168=""),"",E168-F168)</f>
        <v/>
      </c>
    </row>
    <row r="169">
      <c r="A169" s="14" t="n"/>
      <c r="E169" s="24" t="n"/>
      <c r="F169" s="24" t="n"/>
      <c r="I169" s="25">
        <f>IF(AND(E169="",F169=""),"",E169-F169)</f>
        <v/>
      </c>
    </row>
    <row r="170">
      <c r="A170" s="14" t="n"/>
      <c r="E170" s="24" t="n"/>
      <c r="F170" s="24" t="n"/>
      <c r="I170" s="25">
        <f>IF(AND(E170="",F170=""),"",E170-F170)</f>
        <v/>
      </c>
    </row>
    <row r="171">
      <c r="A171" s="14" t="n"/>
      <c r="E171" s="24" t="n"/>
      <c r="F171" s="24" t="n"/>
      <c r="I171" s="25">
        <f>IF(AND(E171="",F171=""),"",E171-F171)</f>
        <v/>
      </c>
    </row>
    <row r="172">
      <c r="A172" s="14" t="n"/>
      <c r="E172" s="24" t="n"/>
      <c r="F172" s="24" t="n"/>
      <c r="I172" s="25">
        <f>IF(AND(E172="",F172=""),"",E172-F172)</f>
        <v/>
      </c>
    </row>
    <row r="173">
      <c r="A173" s="14" t="n"/>
      <c r="E173" s="24" t="n"/>
      <c r="F173" s="24" t="n"/>
      <c r="I173" s="25">
        <f>IF(AND(E173="",F173=""),"",E173-F173)</f>
        <v/>
      </c>
    </row>
    <row r="174">
      <c r="A174" s="14" t="n"/>
      <c r="E174" s="24" t="n"/>
      <c r="F174" s="24" t="n"/>
      <c r="I174" s="25">
        <f>IF(AND(E174="",F174=""),"",E174-F174)</f>
        <v/>
      </c>
    </row>
    <row r="175">
      <c r="A175" s="14" t="n"/>
      <c r="E175" s="24" t="n"/>
      <c r="F175" s="24" t="n"/>
      <c r="I175" s="25">
        <f>IF(AND(E175="",F175=""),"",E175-F175)</f>
        <v/>
      </c>
    </row>
    <row r="176">
      <c r="A176" s="14" t="n"/>
      <c r="E176" s="24" t="n"/>
      <c r="F176" s="24" t="n"/>
      <c r="I176" s="25">
        <f>IF(AND(E176="",F176=""),"",E176-F176)</f>
        <v/>
      </c>
    </row>
    <row r="177">
      <c r="A177" s="14" t="n"/>
      <c r="E177" s="24" t="n"/>
      <c r="F177" s="24" t="n"/>
      <c r="I177" s="25">
        <f>IF(AND(E177="",F177=""),"",E177-F177)</f>
        <v/>
      </c>
    </row>
    <row r="178">
      <c r="A178" s="14" t="n"/>
      <c r="E178" s="24" t="n"/>
      <c r="F178" s="24" t="n"/>
      <c r="I178" s="25">
        <f>IF(AND(E178="",F178=""),"",E178-F178)</f>
        <v/>
      </c>
    </row>
    <row r="179">
      <c r="A179" s="14" t="n"/>
      <c r="E179" s="24" t="n"/>
      <c r="F179" s="24" t="n"/>
      <c r="I179" s="25">
        <f>IF(AND(E179="",F179=""),"",E179-F179)</f>
        <v/>
      </c>
    </row>
    <row r="180">
      <c r="A180" s="14" t="n"/>
      <c r="E180" s="24" t="n"/>
      <c r="F180" s="24" t="n"/>
      <c r="I180" s="25">
        <f>IF(AND(E180="",F180=""),"",E180-F180)</f>
        <v/>
      </c>
    </row>
    <row r="181">
      <c r="A181" s="14" t="n"/>
      <c r="E181" s="24" t="n"/>
      <c r="F181" s="24" t="n"/>
      <c r="I181" s="25">
        <f>IF(AND(E181="",F181=""),"",E181-F181)</f>
        <v/>
      </c>
    </row>
    <row r="182">
      <c r="A182" s="14" t="n"/>
      <c r="E182" s="24" t="n"/>
      <c r="F182" s="24" t="n"/>
      <c r="I182" s="25">
        <f>IF(AND(E182="",F182=""),"",E182-F182)</f>
        <v/>
      </c>
    </row>
    <row r="183">
      <c r="A183" s="14" t="n"/>
      <c r="E183" s="24" t="n"/>
      <c r="F183" s="24" t="n"/>
      <c r="I183" s="25">
        <f>IF(AND(E183="",F183=""),"",E183-F183)</f>
        <v/>
      </c>
    </row>
    <row r="184">
      <c r="A184" s="14" t="n"/>
      <c r="E184" s="24" t="n"/>
      <c r="F184" s="24" t="n"/>
      <c r="I184" s="25">
        <f>IF(AND(E184="",F184=""),"",E184-F184)</f>
        <v/>
      </c>
    </row>
    <row r="185">
      <c r="A185" s="14" t="n"/>
      <c r="E185" s="24" t="n"/>
      <c r="F185" s="24" t="n"/>
      <c r="I185" s="25">
        <f>IF(AND(E185="",F185=""),"",E185-F185)</f>
        <v/>
      </c>
    </row>
    <row r="186">
      <c r="A186" s="14" t="n"/>
      <c r="E186" s="24" t="n"/>
      <c r="F186" s="24" t="n"/>
      <c r="I186" s="25">
        <f>IF(AND(E186="",F186=""),"",E186-F186)</f>
        <v/>
      </c>
    </row>
    <row r="187">
      <c r="A187" s="14" t="n"/>
      <c r="E187" s="24" t="n"/>
      <c r="F187" s="24" t="n"/>
      <c r="I187" s="25">
        <f>IF(AND(E187="",F187=""),"",E187-F187)</f>
        <v/>
      </c>
    </row>
    <row r="188">
      <c r="A188" s="14" t="n"/>
      <c r="E188" s="24" t="n"/>
      <c r="F188" s="24" t="n"/>
      <c r="I188" s="25">
        <f>IF(AND(E188="",F188=""),"",E188-F188)</f>
        <v/>
      </c>
    </row>
    <row r="189">
      <c r="A189" s="14" t="n"/>
      <c r="E189" s="24" t="n"/>
      <c r="F189" s="24" t="n"/>
      <c r="I189" s="25">
        <f>IF(AND(E189="",F189=""),"",E189-F189)</f>
        <v/>
      </c>
    </row>
    <row r="190">
      <c r="A190" s="14" t="n"/>
      <c r="E190" s="24" t="n"/>
      <c r="F190" s="24" t="n"/>
      <c r="I190" s="25">
        <f>IF(AND(E190="",F190=""),"",E190-F190)</f>
        <v/>
      </c>
    </row>
    <row r="191">
      <c r="A191" s="14" t="n"/>
      <c r="E191" s="24" t="n"/>
      <c r="F191" s="24" t="n"/>
      <c r="I191" s="25">
        <f>IF(AND(E191="",F191=""),"",E191-F191)</f>
        <v/>
      </c>
    </row>
    <row r="192">
      <c r="A192" s="14" t="n"/>
      <c r="E192" s="24" t="n"/>
      <c r="F192" s="24" t="n"/>
      <c r="I192" s="25">
        <f>IF(AND(E192="",F192=""),"",E192-F192)</f>
        <v/>
      </c>
    </row>
    <row r="193">
      <c r="A193" s="14" t="n"/>
      <c r="E193" s="24" t="n"/>
      <c r="F193" s="24" t="n"/>
      <c r="I193" s="25">
        <f>IF(AND(E193="",F193=""),"",E193-F193)</f>
        <v/>
      </c>
    </row>
    <row r="194">
      <c r="A194" s="14" t="n"/>
      <c r="E194" s="24" t="n"/>
      <c r="F194" s="24" t="n"/>
      <c r="I194" s="25">
        <f>IF(AND(E194="",F194=""),"",E194-F194)</f>
        <v/>
      </c>
    </row>
    <row r="195">
      <c r="A195" s="14" t="n"/>
      <c r="E195" s="24" t="n"/>
      <c r="F195" s="24" t="n"/>
      <c r="I195" s="25">
        <f>IF(AND(E195="",F195=""),"",E195-F195)</f>
        <v/>
      </c>
    </row>
    <row r="196">
      <c r="A196" s="14" t="n"/>
      <c r="E196" s="24" t="n"/>
      <c r="F196" s="24" t="n"/>
      <c r="I196" s="25">
        <f>IF(AND(E196="",F196=""),"",E196-F196)</f>
        <v/>
      </c>
    </row>
    <row r="197">
      <c r="A197" s="14" t="n"/>
      <c r="E197" s="24" t="n"/>
      <c r="F197" s="24" t="n"/>
      <c r="I197" s="25">
        <f>IF(AND(E197="",F197=""),"",E197-F197)</f>
        <v/>
      </c>
    </row>
    <row r="198">
      <c r="A198" s="14" t="n"/>
      <c r="E198" s="24" t="n"/>
      <c r="F198" s="24" t="n"/>
      <c r="I198" s="25">
        <f>IF(AND(E198="",F198=""),"",E198-F198)</f>
        <v/>
      </c>
    </row>
    <row r="199">
      <c r="A199" s="14" t="n"/>
      <c r="E199" s="24" t="n"/>
      <c r="F199" s="24" t="n"/>
      <c r="I199" s="25">
        <f>IF(AND(E199="",F199=""),"",E199-F199)</f>
        <v/>
      </c>
    </row>
    <row r="200">
      <c r="A200" s="14" t="n"/>
      <c r="E200" s="24" t="n"/>
      <c r="F200" s="24" t="n"/>
      <c r="I200" s="25">
        <f>IF(AND(E200="",F200=""),"",E200-F200)</f>
        <v/>
      </c>
    </row>
    <row r="201">
      <c r="A201" s="14" t="n"/>
      <c r="E201" s="24" t="n"/>
      <c r="F201" s="24" t="n"/>
      <c r="I201" s="25">
        <f>IF(AND(E201="",F201=""),"",E201-F201)</f>
        <v/>
      </c>
    </row>
    <row r="202">
      <c r="A202" s="14" t="n"/>
      <c r="E202" s="24" t="n"/>
      <c r="F202" s="24" t="n"/>
      <c r="I202" s="25">
        <f>IF(AND(E202="",F202=""),"",E202-F202)</f>
        <v/>
      </c>
    </row>
    <row r="203">
      <c r="A203" s="14" t="n"/>
      <c r="E203" s="24" t="n"/>
      <c r="F203" s="24" t="n"/>
      <c r="I203" s="25">
        <f>IF(AND(E203="",F203=""),"",E203-F203)</f>
        <v/>
      </c>
    </row>
    <row r="204">
      <c r="A204" s="14" t="n"/>
      <c r="E204" s="24" t="n"/>
      <c r="F204" s="24" t="n"/>
      <c r="I204" s="25">
        <f>IF(AND(E204="",F204=""),"",E204-F204)</f>
        <v/>
      </c>
    </row>
    <row r="205">
      <c r="A205" s="14" t="n"/>
      <c r="E205" s="24" t="n"/>
      <c r="F205" s="24" t="n"/>
      <c r="I205" s="25">
        <f>IF(AND(E205="",F205=""),"",E205-F205)</f>
        <v/>
      </c>
    </row>
    <row r="206">
      <c r="A206" s="14" t="n"/>
      <c r="E206" s="24" t="n"/>
      <c r="F206" s="24" t="n"/>
      <c r="I206" s="25">
        <f>IF(AND(E206="",F206=""),"",E206-F206)</f>
        <v/>
      </c>
    </row>
    <row r="207">
      <c r="A207" s="14" t="n"/>
      <c r="E207" s="24" t="n"/>
      <c r="F207" s="24" t="n"/>
      <c r="I207" s="25">
        <f>IF(AND(E207="",F207=""),"",E207-F207)</f>
        <v/>
      </c>
    </row>
    <row r="208">
      <c r="A208" s="14" t="n"/>
      <c r="E208" s="24" t="n"/>
      <c r="F208" s="24" t="n"/>
      <c r="I208" s="25">
        <f>IF(AND(E208="",F208=""),"",E208-F208)</f>
        <v/>
      </c>
    </row>
    <row r="209">
      <c r="A209" s="14" t="n"/>
      <c r="E209" s="24" t="n"/>
      <c r="F209" s="24" t="n"/>
      <c r="I209" s="25">
        <f>IF(AND(E209="",F209=""),"",E209-F209)</f>
        <v/>
      </c>
    </row>
    <row r="210">
      <c r="A210" s="14" t="n"/>
      <c r="E210" s="24" t="n"/>
      <c r="F210" s="24" t="n"/>
      <c r="I210" s="25">
        <f>IF(AND(E210="",F210=""),"",E210-F210)</f>
        <v/>
      </c>
    </row>
    <row r="211">
      <c r="A211" s="14" t="n"/>
      <c r="E211" s="24" t="n"/>
      <c r="F211" s="24" t="n"/>
      <c r="I211" s="25">
        <f>IF(AND(E211="",F211=""),"",E211-F211)</f>
        <v/>
      </c>
    </row>
    <row r="212">
      <c r="A212" s="14" t="n"/>
      <c r="E212" s="24" t="n"/>
      <c r="F212" s="24" t="n"/>
      <c r="I212" s="25">
        <f>IF(AND(E212="",F212=""),"",E212-F212)</f>
        <v/>
      </c>
    </row>
    <row r="213">
      <c r="A213" s="14" t="n"/>
      <c r="E213" s="24" t="n"/>
      <c r="F213" s="24" t="n"/>
      <c r="I213" s="25">
        <f>IF(AND(E213="",F213=""),"",E213-F213)</f>
        <v/>
      </c>
    </row>
    <row r="214">
      <c r="A214" s="14" t="n"/>
      <c r="E214" s="24" t="n"/>
      <c r="F214" s="24" t="n"/>
      <c r="I214" s="25">
        <f>IF(AND(E214="",F214=""),"",E214-F214)</f>
        <v/>
      </c>
    </row>
    <row r="215">
      <c r="A215" s="14" t="n"/>
      <c r="E215" s="24" t="n"/>
      <c r="F215" s="24" t="n"/>
      <c r="I215" s="25">
        <f>IF(AND(E215="",F215=""),"",E215-F215)</f>
        <v/>
      </c>
    </row>
    <row r="216">
      <c r="A216" s="14" t="n"/>
      <c r="E216" s="24" t="n"/>
      <c r="F216" s="24" t="n"/>
      <c r="I216" s="25">
        <f>IF(AND(E216="",F216=""),"",E216-F216)</f>
        <v/>
      </c>
    </row>
    <row r="217">
      <c r="A217" s="14" t="n"/>
      <c r="E217" s="24" t="n"/>
      <c r="F217" s="24" t="n"/>
      <c r="I217" s="25">
        <f>IF(AND(E217="",F217=""),"",E217-F217)</f>
        <v/>
      </c>
    </row>
    <row r="218">
      <c r="A218" s="14" t="n"/>
      <c r="E218" s="24" t="n"/>
      <c r="F218" s="24" t="n"/>
      <c r="I218" s="25">
        <f>IF(AND(E218="",F218=""),"",E218-F218)</f>
        <v/>
      </c>
    </row>
    <row r="219">
      <c r="A219" s="14" t="n"/>
      <c r="E219" s="24" t="n"/>
      <c r="F219" s="24" t="n"/>
      <c r="I219" s="25">
        <f>IF(AND(E219="",F219=""),"",E219-F219)</f>
        <v/>
      </c>
    </row>
    <row r="220">
      <c r="A220" s="14" t="n"/>
      <c r="E220" s="24" t="n"/>
      <c r="F220" s="24" t="n"/>
      <c r="I220" s="25">
        <f>IF(AND(E220="",F220=""),"",E220-F220)</f>
        <v/>
      </c>
    </row>
    <row r="221">
      <c r="A221" s="14" t="n"/>
      <c r="E221" s="24" t="n"/>
      <c r="F221" s="24" t="n"/>
      <c r="I221" s="25">
        <f>IF(AND(E221="",F221=""),"",E221-F221)</f>
        <v/>
      </c>
    </row>
    <row r="222">
      <c r="A222" s="14" t="n"/>
      <c r="E222" s="24" t="n"/>
      <c r="F222" s="24" t="n"/>
      <c r="I222" s="25">
        <f>IF(AND(E222="",F222=""),"",E222-F222)</f>
        <v/>
      </c>
    </row>
    <row r="223">
      <c r="A223" s="14" t="n"/>
      <c r="E223" s="24" t="n"/>
      <c r="F223" s="24" t="n"/>
      <c r="I223" s="25">
        <f>IF(AND(E223="",F223=""),"",E223-F223)</f>
        <v/>
      </c>
    </row>
    <row r="224">
      <c r="A224" s="14" t="n"/>
      <c r="E224" s="24" t="n"/>
      <c r="F224" s="24" t="n"/>
      <c r="I224" s="25">
        <f>IF(AND(E224="",F224=""),"",E224-F224)</f>
        <v/>
      </c>
    </row>
    <row r="225">
      <c r="A225" s="14" t="n"/>
      <c r="E225" s="24" t="n"/>
      <c r="F225" s="24" t="n"/>
      <c r="I225" s="25">
        <f>IF(AND(E225="",F225=""),"",E225-F225)</f>
        <v/>
      </c>
    </row>
    <row r="226">
      <c r="A226" s="14" t="n"/>
      <c r="E226" s="24" t="n"/>
      <c r="F226" s="24" t="n"/>
      <c r="I226" s="25">
        <f>IF(AND(E226="",F226=""),"",E226-F226)</f>
        <v/>
      </c>
    </row>
    <row r="227">
      <c r="A227" s="14" t="n"/>
      <c r="E227" s="24" t="n"/>
      <c r="F227" s="24" t="n"/>
      <c r="I227" s="25">
        <f>IF(AND(E227="",F227=""),"",E227-F227)</f>
        <v/>
      </c>
    </row>
    <row r="228">
      <c r="A228" s="14" t="n"/>
      <c r="E228" s="24" t="n"/>
      <c r="F228" s="24" t="n"/>
      <c r="I228" s="25">
        <f>IF(AND(E228="",F228=""),"",E228-F228)</f>
        <v/>
      </c>
    </row>
    <row r="229">
      <c r="A229" s="14" t="n"/>
      <c r="E229" s="24" t="n"/>
      <c r="F229" s="24" t="n"/>
      <c r="I229" s="25">
        <f>IF(AND(E229="",F229=""),"",E229-F229)</f>
        <v/>
      </c>
    </row>
    <row r="230">
      <c r="A230" s="14" t="n"/>
      <c r="E230" s="24" t="n"/>
      <c r="F230" s="24" t="n"/>
      <c r="I230" s="25">
        <f>IF(AND(E230="",F230=""),"",E230-F230)</f>
        <v/>
      </c>
    </row>
    <row r="231">
      <c r="A231" s="14" t="n"/>
      <c r="E231" s="24" t="n"/>
      <c r="F231" s="24" t="n"/>
      <c r="I231" s="25">
        <f>IF(AND(E231="",F231=""),"",E231-F231)</f>
        <v/>
      </c>
    </row>
    <row r="232">
      <c r="A232" s="14" t="n"/>
      <c r="E232" s="24" t="n"/>
      <c r="F232" s="24" t="n"/>
      <c r="I232" s="25">
        <f>IF(AND(E232="",F232=""),"",E232-F232)</f>
        <v/>
      </c>
    </row>
    <row r="233">
      <c r="A233" s="14" t="n"/>
      <c r="E233" s="24" t="n"/>
      <c r="F233" s="24" t="n"/>
      <c r="I233" s="25">
        <f>IF(AND(E233="",F233=""),"",E233-F233)</f>
        <v/>
      </c>
    </row>
    <row r="234">
      <c r="A234" s="14" t="n"/>
      <c r="E234" s="24" t="n"/>
      <c r="F234" s="24" t="n"/>
      <c r="I234" s="25">
        <f>IF(AND(E234="",F234=""),"",E234-F234)</f>
        <v/>
      </c>
    </row>
    <row r="235">
      <c r="A235" s="14" t="n"/>
      <c r="E235" s="24" t="n"/>
      <c r="F235" s="24" t="n"/>
      <c r="I235" s="25">
        <f>IF(AND(E235="",F235=""),"",E235-F235)</f>
        <v/>
      </c>
    </row>
    <row r="236">
      <c r="A236" s="14" t="n"/>
      <c r="E236" s="24" t="n"/>
      <c r="F236" s="24" t="n"/>
      <c r="I236" s="25">
        <f>IF(AND(E236="",F236=""),"",E236-F236)</f>
        <v/>
      </c>
    </row>
    <row r="237">
      <c r="A237" s="14" t="n"/>
      <c r="E237" s="24" t="n"/>
      <c r="F237" s="24" t="n"/>
      <c r="I237" s="25">
        <f>IF(AND(E237="",F237=""),"",E237-F237)</f>
        <v/>
      </c>
    </row>
    <row r="238">
      <c r="A238" s="14" t="n"/>
      <c r="E238" s="24" t="n"/>
      <c r="F238" s="24" t="n"/>
      <c r="I238" s="25">
        <f>IF(AND(E238="",F238=""),"",E238-F238)</f>
        <v/>
      </c>
    </row>
    <row r="239">
      <c r="A239" s="14" t="n"/>
      <c r="E239" s="24" t="n"/>
      <c r="F239" s="24" t="n"/>
      <c r="I239" s="25">
        <f>IF(AND(E239="",F239=""),"",E239-F239)</f>
        <v/>
      </c>
    </row>
    <row r="240">
      <c r="A240" s="14" t="n"/>
      <c r="E240" s="24" t="n"/>
      <c r="F240" s="24" t="n"/>
      <c r="I240" s="25">
        <f>IF(AND(E240="",F240=""),"",E240-F240)</f>
        <v/>
      </c>
    </row>
    <row r="241">
      <c r="A241" s="14" t="n"/>
      <c r="E241" s="24" t="n"/>
      <c r="F241" s="24" t="n"/>
      <c r="I241" s="25">
        <f>IF(AND(E241="",F241=""),"",E241-F241)</f>
        <v/>
      </c>
    </row>
    <row r="242">
      <c r="A242" s="14" t="n"/>
      <c r="E242" s="24" t="n"/>
      <c r="F242" s="24" t="n"/>
      <c r="I242" s="25">
        <f>IF(AND(E242="",F242=""),"",E242-F242)</f>
        <v/>
      </c>
    </row>
    <row r="243">
      <c r="A243" s="14" t="n"/>
      <c r="E243" s="24" t="n"/>
      <c r="F243" s="24" t="n"/>
      <c r="I243" s="25">
        <f>IF(AND(E243="",F243=""),"",E243-F243)</f>
        <v/>
      </c>
    </row>
    <row r="244">
      <c r="A244" s="14" t="n"/>
      <c r="E244" s="24" t="n"/>
      <c r="F244" s="24" t="n"/>
      <c r="I244" s="25">
        <f>IF(AND(E244="",F244=""),"",E244-F244)</f>
        <v/>
      </c>
    </row>
    <row r="245">
      <c r="A245" s="14" t="n"/>
      <c r="E245" s="24" t="n"/>
      <c r="F245" s="24" t="n"/>
      <c r="I245" s="25">
        <f>IF(AND(E245="",F245=""),"",E245-F245)</f>
        <v/>
      </c>
    </row>
    <row r="246">
      <c r="A246" s="14" t="n"/>
      <c r="E246" s="24" t="n"/>
      <c r="F246" s="24" t="n"/>
      <c r="I246" s="25">
        <f>IF(AND(E246="",F246=""),"",E246-F246)</f>
        <v/>
      </c>
    </row>
    <row r="247">
      <c r="A247" s="14" t="n"/>
      <c r="E247" s="24" t="n"/>
      <c r="F247" s="24" t="n"/>
      <c r="I247" s="25">
        <f>IF(AND(E247="",F247=""),"",E247-F247)</f>
        <v/>
      </c>
    </row>
    <row r="248">
      <c r="A248" s="14" t="n"/>
      <c r="E248" s="24" t="n"/>
      <c r="F248" s="24" t="n"/>
      <c r="I248" s="25">
        <f>IF(AND(E248="",F248=""),"",E248-F248)</f>
        <v/>
      </c>
    </row>
    <row r="249">
      <c r="A249" s="14" t="n"/>
      <c r="E249" s="24" t="n"/>
      <c r="F249" s="24" t="n"/>
      <c r="I249" s="25">
        <f>IF(AND(E249="",F249=""),"",E249-F249)</f>
        <v/>
      </c>
    </row>
    <row r="250">
      <c r="A250" s="14" t="n"/>
      <c r="E250" s="24" t="n"/>
      <c r="F250" s="24" t="n"/>
      <c r="I250" s="25">
        <f>IF(AND(E250="",F250=""),"",E250-F250)</f>
        <v/>
      </c>
    </row>
    <row r="251">
      <c r="A251" s="14" t="n"/>
      <c r="E251" s="24" t="n"/>
      <c r="F251" s="24" t="n"/>
      <c r="I251" s="25">
        <f>IF(AND(E251="",F251=""),"",E251-F251)</f>
        <v/>
      </c>
    </row>
    <row r="252">
      <c r="A252" s="14" t="n"/>
      <c r="E252" s="24" t="n"/>
      <c r="F252" s="24" t="n"/>
      <c r="I252" s="25">
        <f>IF(AND(E252="",F252=""),"",E252-F252)</f>
        <v/>
      </c>
    </row>
    <row r="253">
      <c r="A253" s="14" t="n"/>
      <c r="E253" s="24" t="n"/>
      <c r="F253" s="24" t="n"/>
      <c r="I253" s="25">
        <f>IF(AND(E253="",F253=""),"",E253-F253)</f>
        <v/>
      </c>
    </row>
    <row r="254">
      <c r="A254" s="14" t="n"/>
      <c r="E254" s="24" t="n"/>
      <c r="F254" s="24" t="n"/>
      <c r="I254" s="25">
        <f>IF(AND(E254="",F254=""),"",E254-F254)</f>
        <v/>
      </c>
    </row>
    <row r="255">
      <c r="A255" s="14" t="n"/>
      <c r="E255" s="24" t="n"/>
      <c r="F255" s="24" t="n"/>
      <c r="I255" s="25">
        <f>IF(AND(E255="",F255=""),"",E255-F255)</f>
        <v/>
      </c>
    </row>
    <row r="256">
      <c r="A256" s="14" t="n"/>
      <c r="E256" s="24" t="n"/>
      <c r="F256" s="24" t="n"/>
      <c r="I256" s="25">
        <f>IF(AND(E256="",F256=""),"",E256-F256)</f>
        <v/>
      </c>
    </row>
    <row r="257">
      <c r="A257" s="14" t="n"/>
      <c r="E257" s="24" t="n"/>
      <c r="F257" s="24" t="n"/>
      <c r="I257" s="25">
        <f>IF(AND(E257="",F257=""),"",E257-F257)</f>
        <v/>
      </c>
    </row>
    <row r="258">
      <c r="A258" s="14" t="n"/>
      <c r="E258" s="24" t="n"/>
      <c r="F258" s="24" t="n"/>
      <c r="I258" s="25">
        <f>IF(AND(E258="",F258=""),"",E258-F258)</f>
        <v/>
      </c>
    </row>
    <row r="259">
      <c r="A259" s="14" t="n"/>
      <c r="E259" s="24" t="n"/>
      <c r="F259" s="24" t="n"/>
      <c r="I259" s="25">
        <f>IF(AND(E259="",F259=""),"",E259-F259)</f>
        <v/>
      </c>
    </row>
    <row r="260">
      <c r="A260" s="14" t="n"/>
      <c r="E260" s="24" t="n"/>
      <c r="F260" s="24" t="n"/>
      <c r="I260" s="25">
        <f>IF(AND(E260="",F260=""),"",E260-F260)</f>
        <v/>
      </c>
    </row>
    <row r="261">
      <c r="A261" s="14" t="n"/>
      <c r="E261" s="24" t="n"/>
      <c r="F261" s="24" t="n"/>
      <c r="I261" s="25">
        <f>IF(AND(E261="",F261=""),"",E261-F261)</f>
        <v/>
      </c>
    </row>
    <row r="262">
      <c r="A262" s="14" t="n"/>
      <c r="E262" s="24" t="n"/>
      <c r="F262" s="24" t="n"/>
      <c r="I262" s="25">
        <f>IF(AND(E262="",F262=""),"",E262-F262)</f>
        <v/>
      </c>
    </row>
    <row r="263">
      <c r="A263" s="14" t="n"/>
      <c r="E263" s="24" t="n"/>
      <c r="F263" s="24" t="n"/>
      <c r="I263" s="25">
        <f>IF(AND(E263="",F263=""),"",E263-F263)</f>
        <v/>
      </c>
    </row>
    <row r="264">
      <c r="A264" s="14" t="n"/>
      <c r="E264" s="24" t="n"/>
      <c r="F264" s="24" t="n"/>
      <c r="I264" s="25">
        <f>IF(AND(E264="",F264=""),"",E264-F264)</f>
        <v/>
      </c>
    </row>
    <row r="265">
      <c r="A265" s="14" t="n"/>
      <c r="E265" s="24" t="n"/>
      <c r="F265" s="24" t="n"/>
      <c r="I265" s="25">
        <f>IF(AND(E265="",F265=""),"",E265-F265)</f>
        <v/>
      </c>
    </row>
    <row r="266">
      <c r="A266" s="14" t="n"/>
      <c r="E266" s="24" t="n"/>
      <c r="F266" s="24" t="n"/>
      <c r="I266" s="25">
        <f>IF(AND(E266="",F266=""),"",E266-F266)</f>
        <v/>
      </c>
    </row>
    <row r="267">
      <c r="A267" s="14" t="n"/>
      <c r="E267" s="24" t="n"/>
      <c r="F267" s="24" t="n"/>
      <c r="I267" s="25">
        <f>IF(AND(E267="",F267=""),"",E267-F267)</f>
        <v/>
      </c>
    </row>
    <row r="268">
      <c r="A268" s="14" t="n"/>
      <c r="E268" s="24" t="n"/>
      <c r="F268" s="24" t="n"/>
      <c r="I268" s="25">
        <f>IF(AND(E268="",F268=""),"",E268-F268)</f>
        <v/>
      </c>
    </row>
    <row r="269">
      <c r="A269" s="14" t="n"/>
      <c r="E269" s="24" t="n"/>
      <c r="F269" s="24" t="n"/>
      <c r="I269" s="25">
        <f>IF(AND(E269="",F269=""),"",E269-F269)</f>
        <v/>
      </c>
    </row>
    <row r="270">
      <c r="A270" s="14" t="n"/>
      <c r="E270" s="24" t="n"/>
      <c r="F270" s="24" t="n"/>
      <c r="I270" s="25">
        <f>IF(AND(E270="",F270=""),"",E270-F270)</f>
        <v/>
      </c>
    </row>
    <row r="271">
      <c r="A271" s="14" t="n"/>
      <c r="E271" s="24" t="n"/>
      <c r="F271" s="24" t="n"/>
      <c r="I271" s="25">
        <f>IF(AND(E271="",F271=""),"",E271-F271)</f>
        <v/>
      </c>
    </row>
    <row r="272">
      <c r="A272" s="14" t="n"/>
      <c r="E272" s="24" t="n"/>
      <c r="F272" s="24" t="n"/>
      <c r="I272" s="25">
        <f>IF(AND(E272="",F272=""),"",E272-F272)</f>
        <v/>
      </c>
    </row>
    <row r="273">
      <c r="A273" s="14" t="n"/>
      <c r="E273" s="24" t="n"/>
      <c r="F273" s="24" t="n"/>
      <c r="I273" s="25">
        <f>IF(AND(E273="",F273=""),"",E273-F273)</f>
        <v/>
      </c>
    </row>
    <row r="274">
      <c r="A274" s="14" t="n"/>
      <c r="E274" s="24" t="n"/>
      <c r="F274" s="24" t="n"/>
      <c r="I274" s="25">
        <f>IF(AND(E274="",F274=""),"",E274-F274)</f>
        <v/>
      </c>
    </row>
    <row r="275">
      <c r="A275" s="14" t="n"/>
      <c r="E275" s="24" t="n"/>
      <c r="F275" s="24" t="n"/>
      <c r="I275" s="25">
        <f>IF(AND(E275="",F275=""),"",E275-F275)</f>
        <v/>
      </c>
    </row>
    <row r="276">
      <c r="A276" s="14" t="n"/>
      <c r="E276" s="24" t="n"/>
      <c r="F276" s="24" t="n"/>
      <c r="I276" s="25">
        <f>IF(AND(E276="",F276=""),"",E276-F276)</f>
        <v/>
      </c>
    </row>
    <row r="277">
      <c r="A277" s="14" t="n"/>
      <c r="E277" s="24" t="n"/>
      <c r="F277" s="24" t="n"/>
      <c r="I277" s="25">
        <f>IF(AND(E277="",F277=""),"",E277-F277)</f>
        <v/>
      </c>
    </row>
    <row r="278">
      <c r="A278" s="14" t="n"/>
      <c r="E278" s="24" t="n"/>
      <c r="F278" s="24" t="n"/>
      <c r="I278" s="25">
        <f>IF(AND(E278="",F278=""),"",E278-F278)</f>
        <v/>
      </c>
    </row>
    <row r="279">
      <c r="A279" s="14" t="n"/>
      <c r="E279" s="24" t="n"/>
      <c r="F279" s="24" t="n"/>
      <c r="I279" s="25">
        <f>IF(AND(E279="",F279=""),"",E279-F279)</f>
        <v/>
      </c>
    </row>
    <row r="280">
      <c r="A280" s="14" t="n"/>
      <c r="E280" s="24" t="n"/>
      <c r="F280" s="24" t="n"/>
      <c r="I280" s="25">
        <f>IF(AND(E280="",F280=""),"",E280-F280)</f>
        <v/>
      </c>
    </row>
    <row r="281">
      <c r="A281" s="14" t="n"/>
      <c r="E281" s="24" t="n"/>
      <c r="F281" s="24" t="n"/>
      <c r="I281" s="25">
        <f>IF(AND(E281="",F281=""),"",E281-F281)</f>
        <v/>
      </c>
    </row>
    <row r="282">
      <c r="A282" s="14" t="n"/>
      <c r="E282" s="24" t="n"/>
      <c r="F282" s="24" t="n"/>
      <c r="I282" s="25">
        <f>IF(AND(E282="",F282=""),"",E282-F282)</f>
        <v/>
      </c>
    </row>
    <row r="283">
      <c r="A283" s="14" t="n"/>
      <c r="E283" s="24" t="n"/>
      <c r="F283" s="24" t="n"/>
      <c r="I283" s="25">
        <f>IF(AND(E283="",F283=""),"",E283-F283)</f>
        <v/>
      </c>
    </row>
    <row r="284">
      <c r="A284" s="14" t="n"/>
      <c r="E284" s="24" t="n"/>
      <c r="F284" s="24" t="n"/>
      <c r="I284" s="25">
        <f>IF(AND(E284="",F284=""),"",E284-F284)</f>
        <v/>
      </c>
    </row>
    <row r="285">
      <c r="A285" s="14" t="n"/>
      <c r="E285" s="24" t="n"/>
      <c r="F285" s="24" t="n"/>
      <c r="I285" s="25">
        <f>IF(AND(E285="",F285=""),"",E285-F285)</f>
        <v/>
      </c>
    </row>
    <row r="286">
      <c r="A286" s="14" t="n"/>
      <c r="E286" s="24" t="n"/>
      <c r="F286" s="24" t="n"/>
      <c r="I286" s="25">
        <f>IF(AND(E286="",F286=""),"",E286-F286)</f>
        <v/>
      </c>
    </row>
    <row r="287">
      <c r="A287" s="14" t="n"/>
      <c r="E287" s="24" t="n"/>
      <c r="F287" s="24" t="n"/>
      <c r="I287" s="25">
        <f>IF(AND(E287="",F287=""),"",E287-F287)</f>
        <v/>
      </c>
    </row>
    <row r="288">
      <c r="A288" s="14" t="n"/>
      <c r="E288" s="24" t="n"/>
      <c r="F288" s="24" t="n"/>
      <c r="I288" s="25">
        <f>IF(AND(E288="",F288=""),"",E288-F288)</f>
        <v/>
      </c>
    </row>
    <row r="289">
      <c r="A289" s="14" t="n"/>
      <c r="E289" s="24" t="n"/>
      <c r="F289" s="24" t="n"/>
      <c r="I289" s="25">
        <f>IF(AND(E289="",F289=""),"",E289-F289)</f>
        <v/>
      </c>
    </row>
    <row r="290">
      <c r="A290" s="14" t="n"/>
      <c r="E290" s="24" t="n"/>
      <c r="F290" s="24" t="n"/>
      <c r="I290" s="25">
        <f>IF(AND(E290="",F290=""),"",E290-F290)</f>
        <v/>
      </c>
    </row>
    <row r="291">
      <c r="A291" s="14" t="n"/>
      <c r="E291" s="24" t="n"/>
      <c r="F291" s="24" t="n"/>
      <c r="I291" s="25">
        <f>IF(AND(E291="",F291=""),"",E291-F291)</f>
        <v/>
      </c>
    </row>
    <row r="292">
      <c r="A292" s="14" t="n"/>
      <c r="E292" s="24" t="n"/>
      <c r="F292" s="24" t="n"/>
      <c r="I292" s="25">
        <f>IF(AND(E292="",F292=""),"",E292-F292)</f>
        <v/>
      </c>
    </row>
    <row r="293">
      <c r="A293" s="14" t="n"/>
      <c r="E293" s="24" t="n"/>
      <c r="F293" s="24" t="n"/>
      <c r="I293" s="25">
        <f>IF(AND(E293="",F293=""),"",E293-F293)</f>
        <v/>
      </c>
    </row>
    <row r="294">
      <c r="A294" s="14" t="n"/>
      <c r="E294" s="24" t="n"/>
      <c r="F294" s="24" t="n"/>
      <c r="I294" s="25">
        <f>IF(AND(E294="",F294=""),"",E294-F294)</f>
        <v/>
      </c>
    </row>
    <row r="295">
      <c r="A295" s="14" t="n"/>
      <c r="E295" s="24" t="n"/>
      <c r="F295" s="24" t="n"/>
      <c r="I295" s="25">
        <f>IF(AND(E295="",F295=""),"",E295-F295)</f>
        <v/>
      </c>
    </row>
    <row r="296">
      <c r="A296" s="14" t="n"/>
      <c r="E296" s="24" t="n"/>
      <c r="F296" s="24" t="n"/>
      <c r="I296" s="25">
        <f>IF(AND(E296="",F296=""),"",E296-F296)</f>
        <v/>
      </c>
    </row>
    <row r="297">
      <c r="A297" s="14" t="n"/>
      <c r="E297" s="24" t="n"/>
      <c r="F297" s="24" t="n"/>
      <c r="I297" s="25">
        <f>IF(AND(E297="",F297=""),"",E297-F297)</f>
        <v/>
      </c>
    </row>
    <row r="298">
      <c r="A298" s="14" t="n"/>
      <c r="E298" s="24" t="n"/>
      <c r="F298" s="24" t="n"/>
      <c r="I298" s="25">
        <f>IF(AND(E298="",F298=""),"",E298-F298)</f>
        <v/>
      </c>
    </row>
    <row r="299">
      <c r="A299" s="14" t="n"/>
      <c r="E299" s="24" t="n"/>
      <c r="F299" s="24" t="n"/>
      <c r="I299" s="25">
        <f>IF(AND(E299="",F299=""),"",E299-F299)</f>
        <v/>
      </c>
    </row>
    <row r="300">
      <c r="A300" s="14" t="n"/>
      <c r="E300" s="24" t="n"/>
      <c r="F300" s="24" t="n"/>
      <c r="I300" s="25">
        <f>IF(AND(E300="",F300=""),"",E300-F300)</f>
        <v/>
      </c>
    </row>
    <row r="301">
      <c r="A301" s="14" t="n"/>
      <c r="E301" s="24" t="n"/>
      <c r="F301" s="24" t="n"/>
      <c r="I301" s="25">
        <f>IF(AND(E301="",F301=""),"",E301-F301)</f>
        <v/>
      </c>
    </row>
  </sheetData>
  <autoFilter ref="A1:I1"/>
  <dataValidations count="2">
    <dataValidation sqref="B2:B301" showDropDown="0" showInputMessage="0" showErrorMessage="0" allowBlank="1" type="list">
      <formula1>=Listas!$H$2:$H$11</formula1>
    </dataValidation>
    <dataValidation sqref="D2:D301" showDropDown="0" showInputMessage="0" showErrorMessage="0" allowBlank="1" type="list">
      <formula1>=Listas!$I$2:$I$5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7" customWidth="1" min="4" max="4"/>
    <col width="12" customWidth="1" min="5" max="5"/>
    <col width="20" customWidth="1" min="6" max="6"/>
    <col width="16" customWidth="1" min="7" max="7"/>
    <col width="18" customWidth="1" min="8" max="8"/>
    <col width="12" customWidth="1" min="9" max="9"/>
    <col width="20" customWidth="1" min="10" max="10"/>
    <col width="19" customWidth="1" min="11" max="11"/>
    <col width="12" customWidth="1" min="12" max="12"/>
    <col width="15" customWidth="1" min="13" max="13"/>
    <col width="14" customWidth="1" min="14" max="14"/>
    <col width="25" customWidth="1" min="15" max="15"/>
    <col width="17" customWidth="1" min="16" max="16"/>
    <col width="20" customWidth="1" min="17" max="17"/>
  </cols>
  <sheetData>
    <row r="1" ht="34" customHeight="1">
      <c r="A1" s="16" t="inlineStr">
        <is>
          <t>Código</t>
        </is>
      </c>
      <c r="B1" s="16" t="inlineStr">
        <is>
          <t>Descrição</t>
        </is>
      </c>
      <c r="C1" s="16" t="inlineStr">
        <is>
          <t>Tipo</t>
        </is>
      </c>
      <c r="D1" s="16" t="inlineStr">
        <is>
          <t>Produto/linha</t>
        </is>
      </c>
      <c r="E1" s="16" t="inlineStr">
        <is>
          <t>Idioma</t>
        </is>
      </c>
      <c r="F1" s="16" t="inlineStr">
        <is>
          <t>Mercado original</t>
        </is>
      </c>
      <c r="G1" s="16" t="inlineStr">
        <is>
          <t>Medidas (cm)</t>
        </is>
      </c>
      <c r="H1" s="16" t="inlineStr">
        <is>
          <t>Qtd em estoque</t>
        </is>
      </c>
      <c r="I1" s="16" t="inlineStr">
        <is>
          <t>Unidade</t>
        </is>
      </c>
      <c r="J1" s="16" t="inlineStr">
        <is>
          <t>Custo unit. (R$)</t>
        </is>
      </c>
      <c r="K1" s="16" t="inlineStr">
        <is>
          <t>Data de entrada</t>
        </is>
      </c>
      <c r="L1" s="16" t="inlineStr">
        <is>
          <t>Status</t>
        </is>
      </c>
      <c r="M1" s="16" t="inlineStr">
        <is>
          <t>Localização</t>
        </is>
      </c>
      <c r="N1" s="16" t="inlineStr">
        <is>
          <t>Observação</t>
        </is>
      </c>
      <c r="O1" s="17" t="inlineStr">
        <is>
          <t>Valor em estoque (R$)</t>
        </is>
      </c>
      <c r="P1" s="17" t="inlineStr">
        <is>
          <t>Idade (meses)</t>
        </is>
      </c>
      <c r="Q1" s="17" t="inlineStr">
        <is>
          <t>Qtd já utilizada</t>
        </is>
      </c>
    </row>
    <row r="2">
      <c r="A2" t="inlineStr">
        <is>
          <t>EMB-101</t>
        </is>
      </c>
      <c r="B2" t="inlineStr">
        <is>
          <t>Caixa master Produto A - espanhol (layout 2021)</t>
        </is>
      </c>
      <c r="C2" t="inlineStr">
        <is>
          <t>Caixa master</t>
        </is>
      </c>
      <c r="D2" t="inlineStr">
        <is>
          <t>Produto A</t>
        </is>
      </c>
      <c r="E2" t="inlineStr">
        <is>
          <t>Espanhol</t>
        </is>
      </c>
      <c r="F2" t="inlineStr">
        <is>
          <t>Paraguai</t>
        </is>
      </c>
      <c r="G2" t="inlineStr">
        <is>
          <t>40x30x25</t>
        </is>
      </c>
      <c r="H2" s="26" t="n">
        <v>3200</v>
      </c>
      <c r="I2" t="inlineStr">
        <is>
          <t>un</t>
        </is>
      </c>
      <c r="J2" s="24" t="n">
        <v>3.8</v>
      </c>
      <c r="K2" s="22" t="n">
        <v>44326</v>
      </c>
      <c r="L2" t="inlineStr">
        <is>
          <t>Obsoleta</t>
        </is>
      </c>
      <c r="M2" t="inlineStr">
        <is>
          <t>Galpão 2</t>
        </is>
      </c>
      <c r="N2" t="inlineStr"/>
      <c r="O2" s="25">
        <f>IF(A2="","",H2*J2)</f>
        <v/>
      </c>
      <c r="P2" s="18">
        <f>IF(K2="","",DATEDIF(K2,TODAY(),"m"))</f>
        <v/>
      </c>
      <c r="Q2" s="27">
        <f>IF(A2="","",SUMIFS(Uso_Embalagens!$E:$E,Uso_Embalagens!$D:$D,A2))</f>
        <v/>
      </c>
    </row>
    <row r="3">
      <c r="A3" t="inlineStr">
        <is>
          <t>EMB-102</t>
        </is>
      </c>
      <c r="B3" t="inlineStr">
        <is>
          <t>Cartucho Produto A - inglês (EUA, 2020)</t>
        </is>
      </c>
      <c r="C3" t="inlineStr">
        <is>
          <t>Cartucho</t>
        </is>
      </c>
      <c r="D3" t="inlineStr">
        <is>
          <t>Produto A</t>
        </is>
      </c>
      <c r="E3" t="inlineStr">
        <is>
          <t>Inglês</t>
        </is>
      </c>
      <c r="F3" t="inlineStr">
        <is>
          <t>Estados Unidos</t>
        </is>
      </c>
      <c r="G3" t="inlineStr">
        <is>
          <t>15x10x5</t>
        </is>
      </c>
      <c r="H3" s="26" t="n">
        <v>18000</v>
      </c>
      <c r="I3" t="inlineStr">
        <is>
          <t>un</t>
        </is>
      </c>
      <c r="J3" s="24" t="n">
        <v>0.65</v>
      </c>
      <c r="K3" s="22" t="n">
        <v>44138</v>
      </c>
      <c r="L3" t="inlineStr">
        <is>
          <t>Obsoleta</t>
        </is>
      </c>
      <c r="M3" t="inlineStr">
        <is>
          <t>Galpão 2</t>
        </is>
      </c>
      <c r="N3" t="inlineStr">
        <is>
          <t>Tabela nutricional antiga</t>
        </is>
      </c>
      <c r="O3" s="25">
        <f>IF(A3="","",H3*J3)</f>
        <v/>
      </c>
      <c r="P3" s="18">
        <f>IF(K3="","",DATEDIF(K3,TODAY(),"m"))</f>
        <v/>
      </c>
      <c r="Q3" s="27">
        <f>IF(A3="","",SUMIFS(Uso_Embalagens!$E:$E,Uso_Embalagens!$D:$D,A3))</f>
        <v/>
      </c>
    </row>
    <row r="4">
      <c r="A4" t="inlineStr">
        <is>
          <t>EMB-103</t>
        </is>
      </c>
      <c r="B4" t="inlineStr">
        <is>
          <t>Caixa master Produto B - árabe/inglês</t>
        </is>
      </c>
      <c r="C4" t="inlineStr">
        <is>
          <t>Caixa master</t>
        </is>
      </c>
      <c r="D4" t="inlineStr">
        <is>
          <t>Produto B</t>
        </is>
      </c>
      <c r="E4" t="inlineStr">
        <is>
          <t>Inglês/Árabe</t>
        </is>
      </c>
      <c r="F4" t="inlineStr">
        <is>
          <t>Emirados Árabes</t>
        </is>
      </c>
      <c r="G4" t="inlineStr">
        <is>
          <t>50x35x30</t>
        </is>
      </c>
      <c r="H4" s="26" t="n">
        <v>1500</v>
      </c>
      <c r="I4" t="inlineStr">
        <is>
          <t>un</t>
        </is>
      </c>
      <c r="J4" s="24" t="n">
        <v>5.2</v>
      </c>
      <c r="K4" s="22" t="n">
        <v>44606</v>
      </c>
      <c r="L4" t="inlineStr">
        <is>
          <t>Obsoleta</t>
        </is>
      </c>
      <c r="M4" t="inlineStr">
        <is>
          <t>Galpão 1</t>
        </is>
      </c>
      <c r="N4" t="inlineStr"/>
      <c r="O4" s="25">
        <f>IF(A4="","",H4*J4)</f>
        <v/>
      </c>
      <c r="P4" s="18">
        <f>IF(K4="","",DATEDIF(K4,TODAY(),"m"))</f>
        <v/>
      </c>
      <c r="Q4" s="27">
        <f>IF(A4="","",SUMIFS(Uso_Embalagens!$E:$E,Uso_Embalagens!$D:$D,A4))</f>
        <v/>
      </c>
    </row>
    <row r="5">
      <c r="A5" t="inlineStr">
        <is>
          <t>EMB-104</t>
        </is>
      </c>
      <c r="B5" t="inlineStr">
        <is>
          <t>Caixa master neutra sem impressão</t>
        </is>
      </c>
      <c r="C5" t="inlineStr">
        <is>
          <t>Caixa master</t>
        </is>
      </c>
      <c r="D5" t="inlineStr">
        <is>
          <t>Geral</t>
        </is>
      </c>
      <c r="E5" t="inlineStr">
        <is>
          <t>Neutra</t>
        </is>
      </c>
      <c r="F5" t="inlineStr"/>
      <c r="G5" t="inlineStr">
        <is>
          <t>40x30x25</t>
        </is>
      </c>
      <c r="H5" s="26" t="n">
        <v>900</v>
      </c>
      <c r="I5" t="inlineStr">
        <is>
          <t>un</t>
        </is>
      </c>
      <c r="J5" s="24" t="n">
        <v>3.1</v>
      </c>
      <c r="K5" s="22" t="n">
        <v>45108</v>
      </c>
      <c r="L5" t="inlineStr">
        <is>
          <t>Ativa</t>
        </is>
      </c>
      <c r="M5" t="inlineStr">
        <is>
          <t>Galpão 1</t>
        </is>
      </c>
      <c r="N5" t="inlineStr"/>
      <c r="O5" s="25">
        <f>IF(A5="","",H5*J5)</f>
        <v/>
      </c>
      <c r="P5" s="18">
        <f>IF(K5="","",DATEDIF(K5,TODAY(),"m"))</f>
        <v/>
      </c>
      <c r="Q5" s="27">
        <f>IF(A5="","",SUMIFS(Uso_Embalagens!$E:$E,Uso_Embalagens!$D:$D,A5))</f>
        <v/>
      </c>
    </row>
    <row r="6">
      <c r="A6" t="inlineStr">
        <is>
          <t>EMB-105</t>
        </is>
      </c>
      <c r="B6" t="inlineStr">
        <is>
          <t>Saco 25kg - japonês</t>
        </is>
      </c>
      <c r="C6" t="inlineStr">
        <is>
          <t>Saco/filme</t>
        </is>
      </c>
      <c r="D6" t="inlineStr">
        <is>
          <t>Produto C</t>
        </is>
      </c>
      <c r="E6" t="inlineStr">
        <is>
          <t>Japonês</t>
        </is>
      </c>
      <c r="F6" t="inlineStr">
        <is>
          <t>Japão</t>
        </is>
      </c>
      <c r="G6" t="inlineStr"/>
      <c r="H6" s="26" t="n">
        <v>2400</v>
      </c>
      <c r="I6" t="inlineStr">
        <is>
          <t>un</t>
        </is>
      </c>
      <c r="J6" s="24" t="n">
        <v>2.1</v>
      </c>
      <c r="K6" s="22" t="n">
        <v>44459</v>
      </c>
      <c r="L6" t="inlineStr">
        <is>
          <t>Obsoleta</t>
        </is>
      </c>
      <c r="M6" t="inlineStr">
        <is>
          <t>Galpão 3</t>
        </is>
      </c>
      <c r="N6" t="inlineStr"/>
      <c r="O6" s="25">
        <f>IF(A6="","",H6*J6)</f>
        <v/>
      </c>
      <c r="P6" s="18">
        <f>IF(K6="","",DATEDIF(K6,TODAY(),"m"))</f>
        <v/>
      </c>
      <c r="Q6" s="27">
        <f>IF(A6="","",SUMIFS(Uso_Embalagens!$E:$E,Uso_Embalagens!$D:$D,A6))</f>
        <v/>
      </c>
    </row>
    <row r="7">
      <c r="A7" t="inlineStr">
        <is>
          <t>EMB-106</t>
        </is>
      </c>
      <c r="B7" t="inlineStr">
        <is>
          <t>Divisória papelão ondulado</t>
        </is>
      </c>
      <c r="C7" t="inlineStr">
        <is>
          <t>Divisória/reforço</t>
        </is>
      </c>
      <c r="D7" t="inlineStr">
        <is>
          <t>Geral</t>
        </is>
      </c>
      <c r="E7" t="inlineStr">
        <is>
          <t>Neutra</t>
        </is>
      </c>
      <c r="F7" t="inlineStr"/>
      <c r="G7" t="inlineStr">
        <is>
          <t>38x28</t>
        </is>
      </c>
      <c r="H7" s="26" t="n">
        <v>6000</v>
      </c>
      <c r="I7" t="inlineStr">
        <is>
          <t>un</t>
        </is>
      </c>
      <c r="J7" s="24" t="n">
        <v>0.4</v>
      </c>
      <c r="K7" s="22" t="n">
        <v>44655</v>
      </c>
      <c r="L7" t="inlineStr">
        <is>
          <t>Obsoleta</t>
        </is>
      </c>
      <c r="M7" t="inlineStr">
        <is>
          <t>Galpão 3</t>
        </is>
      </c>
      <c r="N7" t="inlineStr"/>
      <c r="O7" s="25">
        <f>IF(A7="","",H7*J7)</f>
        <v/>
      </c>
      <c r="P7" s="18">
        <f>IF(K7="","",DATEDIF(K7,TODAY(),"m"))</f>
        <v/>
      </c>
      <c r="Q7" s="27">
        <f>IF(A7="","",SUMIFS(Uso_Embalagens!$E:$E,Uso_Embalagens!$D:$D,A7))</f>
        <v/>
      </c>
    </row>
    <row r="8">
      <c r="A8" t="inlineStr">
        <is>
          <t>EMB-107</t>
        </is>
      </c>
      <c r="B8" t="inlineStr">
        <is>
          <t>Caixa master Produto B - português (Angola 2019)</t>
        </is>
      </c>
      <c r="C8" t="inlineStr">
        <is>
          <t>Caixa master</t>
        </is>
      </c>
      <c r="D8" t="inlineStr">
        <is>
          <t>Produto B</t>
        </is>
      </c>
      <c r="E8" t="inlineStr">
        <is>
          <t>Português</t>
        </is>
      </c>
      <c r="F8" t="inlineStr">
        <is>
          <t>Angola</t>
        </is>
      </c>
      <c r="G8" t="inlineStr">
        <is>
          <t>50x35x30</t>
        </is>
      </c>
      <c r="H8" s="26" t="n">
        <v>2100</v>
      </c>
      <c r="I8" t="inlineStr">
        <is>
          <t>un</t>
        </is>
      </c>
      <c r="J8" s="24" t="n">
        <v>5</v>
      </c>
      <c r="K8" s="22" t="n">
        <v>43707</v>
      </c>
      <c r="L8" t="inlineStr">
        <is>
          <t>Obsoleta</t>
        </is>
      </c>
      <c r="M8" t="inlineStr">
        <is>
          <t>Galpão 2</t>
        </is>
      </c>
      <c r="N8" t="inlineStr">
        <is>
          <t>Logo antigo</t>
        </is>
      </c>
      <c r="O8" s="25">
        <f>IF(A8="","",H8*J8)</f>
        <v/>
      </c>
      <c r="P8" s="18">
        <f>IF(K8="","",DATEDIF(K8,TODAY(),"m"))</f>
        <v/>
      </c>
      <c r="Q8" s="27">
        <f>IF(A8="","",SUMIFS(Uso_Embalagens!$E:$E,Uso_Embalagens!$D:$D,A8))</f>
        <v/>
      </c>
    </row>
    <row r="9">
      <c r="H9" s="26" t="n"/>
      <c r="J9" s="24" t="n"/>
      <c r="K9" s="22" t="n"/>
      <c r="O9" s="25">
        <f>IF(A9="","",H9*J9)</f>
        <v/>
      </c>
      <c r="P9" s="18">
        <f>IF(K9="","",DATEDIF(K9,TODAY(),"m"))</f>
        <v/>
      </c>
      <c r="Q9" s="27">
        <f>IF(A9="","",SUMIFS(Uso_Embalagens!$E:$E,Uso_Embalagens!$D:$D,A9))</f>
        <v/>
      </c>
    </row>
    <row r="10">
      <c r="H10" s="26" t="n"/>
      <c r="J10" s="24" t="n"/>
      <c r="K10" s="22" t="n"/>
      <c r="O10" s="25">
        <f>IF(A10="","",H10*J10)</f>
        <v/>
      </c>
      <c r="P10" s="18">
        <f>IF(K10="","",DATEDIF(K10,TODAY(),"m"))</f>
        <v/>
      </c>
      <c r="Q10" s="27">
        <f>IF(A10="","",SUMIFS(Uso_Embalagens!$E:$E,Uso_Embalagens!$D:$D,A10))</f>
        <v/>
      </c>
    </row>
    <row r="11">
      <c r="H11" s="26" t="n"/>
      <c r="J11" s="24" t="n"/>
      <c r="K11" s="22" t="n"/>
      <c r="O11" s="25">
        <f>IF(A11="","",H11*J11)</f>
        <v/>
      </c>
      <c r="P11" s="18">
        <f>IF(K11="","",DATEDIF(K11,TODAY(),"m"))</f>
        <v/>
      </c>
      <c r="Q11" s="27">
        <f>IF(A11="","",SUMIFS(Uso_Embalagens!$E:$E,Uso_Embalagens!$D:$D,A11))</f>
        <v/>
      </c>
    </row>
    <row r="12">
      <c r="H12" s="26" t="n"/>
      <c r="J12" s="24" t="n"/>
      <c r="K12" s="22" t="n"/>
      <c r="O12" s="25">
        <f>IF(A12="","",H12*J12)</f>
        <v/>
      </c>
      <c r="P12" s="18">
        <f>IF(K12="","",DATEDIF(K12,TODAY(),"m"))</f>
        <v/>
      </c>
      <c r="Q12" s="27">
        <f>IF(A12="","",SUMIFS(Uso_Embalagens!$E:$E,Uso_Embalagens!$D:$D,A12))</f>
        <v/>
      </c>
    </row>
    <row r="13">
      <c r="H13" s="26" t="n"/>
      <c r="J13" s="24" t="n"/>
      <c r="K13" s="22" t="n"/>
      <c r="O13" s="25">
        <f>IF(A13="","",H13*J13)</f>
        <v/>
      </c>
      <c r="P13" s="18">
        <f>IF(K13="","",DATEDIF(K13,TODAY(),"m"))</f>
        <v/>
      </c>
      <c r="Q13" s="27">
        <f>IF(A13="","",SUMIFS(Uso_Embalagens!$E:$E,Uso_Embalagens!$D:$D,A13))</f>
        <v/>
      </c>
    </row>
    <row r="14">
      <c r="H14" s="26" t="n"/>
      <c r="J14" s="24" t="n"/>
      <c r="K14" s="22" t="n"/>
      <c r="O14" s="25">
        <f>IF(A14="","",H14*J14)</f>
        <v/>
      </c>
      <c r="P14" s="18">
        <f>IF(K14="","",DATEDIF(K14,TODAY(),"m"))</f>
        <v/>
      </c>
      <c r="Q14" s="27">
        <f>IF(A14="","",SUMIFS(Uso_Embalagens!$E:$E,Uso_Embalagens!$D:$D,A14))</f>
        <v/>
      </c>
    </row>
    <row r="15">
      <c r="H15" s="26" t="n"/>
      <c r="J15" s="24" t="n"/>
      <c r="K15" s="22" t="n"/>
      <c r="O15" s="25">
        <f>IF(A15="","",H15*J15)</f>
        <v/>
      </c>
      <c r="P15" s="18">
        <f>IF(K15="","",DATEDIF(K15,TODAY(),"m"))</f>
        <v/>
      </c>
      <c r="Q15" s="27">
        <f>IF(A15="","",SUMIFS(Uso_Embalagens!$E:$E,Uso_Embalagens!$D:$D,A15))</f>
        <v/>
      </c>
    </row>
    <row r="16">
      <c r="H16" s="26" t="n"/>
      <c r="J16" s="24" t="n"/>
      <c r="K16" s="22" t="n"/>
      <c r="O16" s="25">
        <f>IF(A16="","",H16*J16)</f>
        <v/>
      </c>
      <c r="P16" s="18">
        <f>IF(K16="","",DATEDIF(K16,TODAY(),"m"))</f>
        <v/>
      </c>
      <c r="Q16" s="27">
        <f>IF(A16="","",SUMIFS(Uso_Embalagens!$E:$E,Uso_Embalagens!$D:$D,A16))</f>
        <v/>
      </c>
    </row>
    <row r="17">
      <c r="H17" s="26" t="n"/>
      <c r="J17" s="24" t="n"/>
      <c r="K17" s="22" t="n"/>
      <c r="O17" s="25">
        <f>IF(A17="","",H17*J17)</f>
        <v/>
      </c>
      <c r="P17" s="18">
        <f>IF(K17="","",DATEDIF(K17,TODAY(),"m"))</f>
        <v/>
      </c>
      <c r="Q17" s="27">
        <f>IF(A17="","",SUMIFS(Uso_Embalagens!$E:$E,Uso_Embalagens!$D:$D,A17))</f>
        <v/>
      </c>
    </row>
    <row r="18">
      <c r="H18" s="26" t="n"/>
      <c r="J18" s="24" t="n"/>
      <c r="K18" s="22" t="n"/>
      <c r="O18" s="25">
        <f>IF(A18="","",H18*J18)</f>
        <v/>
      </c>
      <c r="P18" s="18">
        <f>IF(K18="","",DATEDIF(K18,TODAY(),"m"))</f>
        <v/>
      </c>
      <c r="Q18" s="27">
        <f>IF(A18="","",SUMIFS(Uso_Embalagens!$E:$E,Uso_Embalagens!$D:$D,A18))</f>
        <v/>
      </c>
    </row>
    <row r="19">
      <c r="H19" s="26" t="n"/>
      <c r="J19" s="24" t="n"/>
      <c r="K19" s="22" t="n"/>
      <c r="O19" s="25">
        <f>IF(A19="","",H19*J19)</f>
        <v/>
      </c>
      <c r="P19" s="18">
        <f>IF(K19="","",DATEDIF(K19,TODAY(),"m"))</f>
        <v/>
      </c>
      <c r="Q19" s="27">
        <f>IF(A19="","",SUMIFS(Uso_Embalagens!$E:$E,Uso_Embalagens!$D:$D,A19))</f>
        <v/>
      </c>
    </row>
    <row r="20">
      <c r="H20" s="26" t="n"/>
      <c r="J20" s="24" t="n"/>
      <c r="K20" s="22" t="n"/>
      <c r="O20" s="25">
        <f>IF(A20="","",H20*J20)</f>
        <v/>
      </c>
      <c r="P20" s="18">
        <f>IF(K20="","",DATEDIF(K20,TODAY(),"m"))</f>
        <v/>
      </c>
      <c r="Q20" s="27">
        <f>IF(A20="","",SUMIFS(Uso_Embalagens!$E:$E,Uso_Embalagens!$D:$D,A20))</f>
        <v/>
      </c>
    </row>
    <row r="21">
      <c r="H21" s="26" t="n"/>
      <c r="J21" s="24" t="n"/>
      <c r="K21" s="22" t="n"/>
      <c r="O21" s="25">
        <f>IF(A21="","",H21*J21)</f>
        <v/>
      </c>
      <c r="P21" s="18">
        <f>IF(K21="","",DATEDIF(K21,TODAY(),"m"))</f>
        <v/>
      </c>
      <c r="Q21" s="27">
        <f>IF(A21="","",SUMIFS(Uso_Embalagens!$E:$E,Uso_Embalagens!$D:$D,A21))</f>
        <v/>
      </c>
    </row>
    <row r="22">
      <c r="H22" s="26" t="n"/>
      <c r="J22" s="24" t="n"/>
      <c r="K22" s="22" t="n"/>
      <c r="O22" s="25">
        <f>IF(A22="","",H22*J22)</f>
        <v/>
      </c>
      <c r="P22" s="18">
        <f>IF(K22="","",DATEDIF(K22,TODAY(),"m"))</f>
        <v/>
      </c>
      <c r="Q22" s="27">
        <f>IF(A22="","",SUMIFS(Uso_Embalagens!$E:$E,Uso_Embalagens!$D:$D,A22))</f>
        <v/>
      </c>
    </row>
    <row r="23">
      <c r="H23" s="26" t="n"/>
      <c r="J23" s="24" t="n"/>
      <c r="K23" s="22" t="n"/>
      <c r="O23" s="25">
        <f>IF(A23="","",H23*J23)</f>
        <v/>
      </c>
      <c r="P23" s="18">
        <f>IF(K23="","",DATEDIF(K23,TODAY(),"m"))</f>
        <v/>
      </c>
      <c r="Q23" s="27">
        <f>IF(A23="","",SUMIFS(Uso_Embalagens!$E:$E,Uso_Embalagens!$D:$D,A23))</f>
        <v/>
      </c>
    </row>
    <row r="24">
      <c r="H24" s="26" t="n"/>
      <c r="J24" s="24" t="n"/>
      <c r="K24" s="22" t="n"/>
      <c r="O24" s="25">
        <f>IF(A24="","",H24*J24)</f>
        <v/>
      </c>
      <c r="P24" s="18">
        <f>IF(K24="","",DATEDIF(K24,TODAY(),"m"))</f>
        <v/>
      </c>
      <c r="Q24" s="27">
        <f>IF(A24="","",SUMIFS(Uso_Embalagens!$E:$E,Uso_Embalagens!$D:$D,A24))</f>
        <v/>
      </c>
    </row>
    <row r="25">
      <c r="H25" s="26" t="n"/>
      <c r="J25" s="24" t="n"/>
      <c r="K25" s="22" t="n"/>
      <c r="O25" s="25">
        <f>IF(A25="","",H25*J25)</f>
        <v/>
      </c>
      <c r="P25" s="18">
        <f>IF(K25="","",DATEDIF(K25,TODAY(),"m"))</f>
        <v/>
      </c>
      <c r="Q25" s="27">
        <f>IF(A25="","",SUMIFS(Uso_Embalagens!$E:$E,Uso_Embalagens!$D:$D,A25))</f>
        <v/>
      </c>
    </row>
    <row r="26">
      <c r="H26" s="26" t="n"/>
      <c r="J26" s="24" t="n"/>
      <c r="K26" s="22" t="n"/>
      <c r="O26" s="25">
        <f>IF(A26="","",H26*J26)</f>
        <v/>
      </c>
      <c r="P26" s="18">
        <f>IF(K26="","",DATEDIF(K26,TODAY(),"m"))</f>
        <v/>
      </c>
      <c r="Q26" s="27">
        <f>IF(A26="","",SUMIFS(Uso_Embalagens!$E:$E,Uso_Embalagens!$D:$D,A26))</f>
        <v/>
      </c>
    </row>
    <row r="27">
      <c r="H27" s="26" t="n"/>
      <c r="J27" s="24" t="n"/>
      <c r="K27" s="22" t="n"/>
      <c r="O27" s="25">
        <f>IF(A27="","",H27*J27)</f>
        <v/>
      </c>
      <c r="P27" s="18">
        <f>IF(K27="","",DATEDIF(K27,TODAY(),"m"))</f>
        <v/>
      </c>
      <c r="Q27" s="27">
        <f>IF(A27="","",SUMIFS(Uso_Embalagens!$E:$E,Uso_Embalagens!$D:$D,A27))</f>
        <v/>
      </c>
    </row>
    <row r="28">
      <c r="H28" s="26" t="n"/>
      <c r="J28" s="24" t="n"/>
      <c r="K28" s="22" t="n"/>
      <c r="O28" s="25">
        <f>IF(A28="","",H28*J28)</f>
        <v/>
      </c>
      <c r="P28" s="18">
        <f>IF(K28="","",DATEDIF(K28,TODAY(),"m"))</f>
        <v/>
      </c>
      <c r="Q28" s="27">
        <f>IF(A28="","",SUMIFS(Uso_Embalagens!$E:$E,Uso_Embalagens!$D:$D,A28))</f>
        <v/>
      </c>
    </row>
    <row r="29">
      <c r="H29" s="26" t="n"/>
      <c r="J29" s="24" t="n"/>
      <c r="K29" s="22" t="n"/>
      <c r="O29" s="25">
        <f>IF(A29="","",H29*J29)</f>
        <v/>
      </c>
      <c r="P29" s="18">
        <f>IF(K29="","",DATEDIF(K29,TODAY(),"m"))</f>
        <v/>
      </c>
      <c r="Q29" s="27">
        <f>IF(A29="","",SUMIFS(Uso_Embalagens!$E:$E,Uso_Embalagens!$D:$D,A29))</f>
        <v/>
      </c>
    </row>
    <row r="30">
      <c r="H30" s="26" t="n"/>
      <c r="J30" s="24" t="n"/>
      <c r="K30" s="22" t="n"/>
      <c r="O30" s="25">
        <f>IF(A30="","",H30*J30)</f>
        <v/>
      </c>
      <c r="P30" s="18">
        <f>IF(K30="","",DATEDIF(K30,TODAY(),"m"))</f>
        <v/>
      </c>
      <c r="Q30" s="27">
        <f>IF(A30="","",SUMIFS(Uso_Embalagens!$E:$E,Uso_Embalagens!$D:$D,A30))</f>
        <v/>
      </c>
    </row>
    <row r="31">
      <c r="H31" s="26" t="n"/>
      <c r="J31" s="24" t="n"/>
      <c r="K31" s="22" t="n"/>
      <c r="O31" s="25">
        <f>IF(A31="","",H31*J31)</f>
        <v/>
      </c>
      <c r="P31" s="18">
        <f>IF(K31="","",DATEDIF(K31,TODAY(),"m"))</f>
        <v/>
      </c>
      <c r="Q31" s="27">
        <f>IF(A31="","",SUMIFS(Uso_Embalagens!$E:$E,Uso_Embalagens!$D:$D,A31))</f>
        <v/>
      </c>
    </row>
    <row r="32">
      <c r="H32" s="26" t="n"/>
      <c r="J32" s="24" t="n"/>
      <c r="K32" s="22" t="n"/>
      <c r="O32" s="25">
        <f>IF(A32="","",H32*J32)</f>
        <v/>
      </c>
      <c r="P32" s="18">
        <f>IF(K32="","",DATEDIF(K32,TODAY(),"m"))</f>
        <v/>
      </c>
      <c r="Q32" s="27">
        <f>IF(A32="","",SUMIFS(Uso_Embalagens!$E:$E,Uso_Embalagens!$D:$D,A32))</f>
        <v/>
      </c>
    </row>
    <row r="33">
      <c r="H33" s="26" t="n"/>
      <c r="J33" s="24" t="n"/>
      <c r="K33" s="22" t="n"/>
      <c r="O33" s="25">
        <f>IF(A33="","",H33*J33)</f>
        <v/>
      </c>
      <c r="P33" s="18">
        <f>IF(K33="","",DATEDIF(K33,TODAY(),"m"))</f>
        <v/>
      </c>
      <c r="Q33" s="27">
        <f>IF(A33="","",SUMIFS(Uso_Embalagens!$E:$E,Uso_Embalagens!$D:$D,A33))</f>
        <v/>
      </c>
    </row>
    <row r="34">
      <c r="H34" s="26" t="n"/>
      <c r="J34" s="24" t="n"/>
      <c r="K34" s="22" t="n"/>
      <c r="O34" s="25">
        <f>IF(A34="","",H34*J34)</f>
        <v/>
      </c>
      <c r="P34" s="18">
        <f>IF(K34="","",DATEDIF(K34,TODAY(),"m"))</f>
        <v/>
      </c>
      <c r="Q34" s="27">
        <f>IF(A34="","",SUMIFS(Uso_Embalagens!$E:$E,Uso_Embalagens!$D:$D,A34))</f>
        <v/>
      </c>
    </row>
    <row r="35">
      <c r="H35" s="26" t="n"/>
      <c r="J35" s="24" t="n"/>
      <c r="K35" s="22" t="n"/>
      <c r="O35" s="25">
        <f>IF(A35="","",H35*J35)</f>
        <v/>
      </c>
      <c r="P35" s="18">
        <f>IF(K35="","",DATEDIF(K35,TODAY(),"m"))</f>
        <v/>
      </c>
      <c r="Q35" s="27">
        <f>IF(A35="","",SUMIFS(Uso_Embalagens!$E:$E,Uso_Embalagens!$D:$D,A35))</f>
        <v/>
      </c>
    </row>
    <row r="36">
      <c r="H36" s="26" t="n"/>
      <c r="J36" s="24" t="n"/>
      <c r="K36" s="22" t="n"/>
      <c r="O36" s="25">
        <f>IF(A36="","",H36*J36)</f>
        <v/>
      </c>
      <c r="P36" s="18">
        <f>IF(K36="","",DATEDIF(K36,TODAY(),"m"))</f>
        <v/>
      </c>
      <c r="Q36" s="27">
        <f>IF(A36="","",SUMIFS(Uso_Embalagens!$E:$E,Uso_Embalagens!$D:$D,A36))</f>
        <v/>
      </c>
    </row>
    <row r="37">
      <c r="H37" s="26" t="n"/>
      <c r="J37" s="24" t="n"/>
      <c r="K37" s="22" t="n"/>
      <c r="O37" s="25">
        <f>IF(A37="","",H37*J37)</f>
        <v/>
      </c>
      <c r="P37" s="18">
        <f>IF(K37="","",DATEDIF(K37,TODAY(),"m"))</f>
        <v/>
      </c>
      <c r="Q37" s="27">
        <f>IF(A37="","",SUMIFS(Uso_Embalagens!$E:$E,Uso_Embalagens!$D:$D,A37))</f>
        <v/>
      </c>
    </row>
    <row r="38">
      <c r="H38" s="26" t="n"/>
      <c r="J38" s="24" t="n"/>
      <c r="K38" s="22" t="n"/>
      <c r="O38" s="25">
        <f>IF(A38="","",H38*J38)</f>
        <v/>
      </c>
      <c r="P38" s="18">
        <f>IF(K38="","",DATEDIF(K38,TODAY(),"m"))</f>
        <v/>
      </c>
      <c r="Q38" s="27">
        <f>IF(A38="","",SUMIFS(Uso_Embalagens!$E:$E,Uso_Embalagens!$D:$D,A38))</f>
        <v/>
      </c>
    </row>
    <row r="39">
      <c r="H39" s="26" t="n"/>
      <c r="J39" s="24" t="n"/>
      <c r="K39" s="22" t="n"/>
      <c r="O39" s="25">
        <f>IF(A39="","",H39*J39)</f>
        <v/>
      </c>
      <c r="P39" s="18">
        <f>IF(K39="","",DATEDIF(K39,TODAY(),"m"))</f>
        <v/>
      </c>
      <c r="Q39" s="27">
        <f>IF(A39="","",SUMIFS(Uso_Embalagens!$E:$E,Uso_Embalagens!$D:$D,A39))</f>
        <v/>
      </c>
    </row>
    <row r="40">
      <c r="H40" s="26" t="n"/>
      <c r="J40" s="24" t="n"/>
      <c r="K40" s="22" t="n"/>
      <c r="O40" s="25">
        <f>IF(A40="","",H40*J40)</f>
        <v/>
      </c>
      <c r="P40" s="18">
        <f>IF(K40="","",DATEDIF(K40,TODAY(),"m"))</f>
        <v/>
      </c>
      <c r="Q40" s="27">
        <f>IF(A40="","",SUMIFS(Uso_Embalagens!$E:$E,Uso_Embalagens!$D:$D,A40))</f>
        <v/>
      </c>
    </row>
    <row r="41">
      <c r="H41" s="26" t="n"/>
      <c r="J41" s="24" t="n"/>
      <c r="K41" s="22" t="n"/>
      <c r="O41" s="25">
        <f>IF(A41="","",H41*J41)</f>
        <v/>
      </c>
      <c r="P41" s="18">
        <f>IF(K41="","",DATEDIF(K41,TODAY(),"m"))</f>
        <v/>
      </c>
      <c r="Q41" s="27">
        <f>IF(A41="","",SUMIFS(Uso_Embalagens!$E:$E,Uso_Embalagens!$D:$D,A41))</f>
        <v/>
      </c>
    </row>
    <row r="42">
      <c r="H42" s="26" t="n"/>
      <c r="J42" s="24" t="n"/>
      <c r="K42" s="22" t="n"/>
      <c r="O42" s="25">
        <f>IF(A42="","",H42*J42)</f>
        <v/>
      </c>
      <c r="P42" s="18">
        <f>IF(K42="","",DATEDIF(K42,TODAY(),"m"))</f>
        <v/>
      </c>
      <c r="Q42" s="27">
        <f>IF(A42="","",SUMIFS(Uso_Embalagens!$E:$E,Uso_Embalagens!$D:$D,A42))</f>
        <v/>
      </c>
    </row>
    <row r="43">
      <c r="H43" s="26" t="n"/>
      <c r="J43" s="24" t="n"/>
      <c r="K43" s="22" t="n"/>
      <c r="O43" s="25">
        <f>IF(A43="","",H43*J43)</f>
        <v/>
      </c>
      <c r="P43" s="18">
        <f>IF(K43="","",DATEDIF(K43,TODAY(),"m"))</f>
        <v/>
      </c>
      <c r="Q43" s="27">
        <f>IF(A43="","",SUMIFS(Uso_Embalagens!$E:$E,Uso_Embalagens!$D:$D,A43))</f>
        <v/>
      </c>
    </row>
    <row r="44">
      <c r="H44" s="26" t="n"/>
      <c r="J44" s="24" t="n"/>
      <c r="K44" s="22" t="n"/>
      <c r="O44" s="25">
        <f>IF(A44="","",H44*J44)</f>
        <v/>
      </c>
      <c r="P44" s="18">
        <f>IF(K44="","",DATEDIF(K44,TODAY(),"m"))</f>
        <v/>
      </c>
      <c r="Q44" s="27">
        <f>IF(A44="","",SUMIFS(Uso_Embalagens!$E:$E,Uso_Embalagens!$D:$D,A44))</f>
        <v/>
      </c>
    </row>
    <row r="45">
      <c r="H45" s="26" t="n"/>
      <c r="J45" s="24" t="n"/>
      <c r="K45" s="22" t="n"/>
      <c r="O45" s="25">
        <f>IF(A45="","",H45*J45)</f>
        <v/>
      </c>
      <c r="P45" s="18">
        <f>IF(K45="","",DATEDIF(K45,TODAY(),"m"))</f>
        <v/>
      </c>
      <c r="Q45" s="27">
        <f>IF(A45="","",SUMIFS(Uso_Embalagens!$E:$E,Uso_Embalagens!$D:$D,A45))</f>
        <v/>
      </c>
    </row>
    <row r="46">
      <c r="H46" s="26" t="n"/>
      <c r="J46" s="24" t="n"/>
      <c r="K46" s="22" t="n"/>
      <c r="O46" s="25">
        <f>IF(A46="","",H46*J46)</f>
        <v/>
      </c>
      <c r="P46" s="18">
        <f>IF(K46="","",DATEDIF(K46,TODAY(),"m"))</f>
        <v/>
      </c>
      <c r="Q46" s="27">
        <f>IF(A46="","",SUMIFS(Uso_Embalagens!$E:$E,Uso_Embalagens!$D:$D,A46))</f>
        <v/>
      </c>
    </row>
    <row r="47">
      <c r="H47" s="26" t="n"/>
      <c r="J47" s="24" t="n"/>
      <c r="K47" s="22" t="n"/>
      <c r="O47" s="25">
        <f>IF(A47="","",H47*J47)</f>
        <v/>
      </c>
      <c r="P47" s="18">
        <f>IF(K47="","",DATEDIF(K47,TODAY(),"m"))</f>
        <v/>
      </c>
      <c r="Q47" s="27">
        <f>IF(A47="","",SUMIFS(Uso_Embalagens!$E:$E,Uso_Embalagens!$D:$D,A47))</f>
        <v/>
      </c>
    </row>
    <row r="48">
      <c r="H48" s="26" t="n"/>
      <c r="J48" s="24" t="n"/>
      <c r="K48" s="22" t="n"/>
      <c r="O48" s="25">
        <f>IF(A48="","",H48*J48)</f>
        <v/>
      </c>
      <c r="P48" s="18">
        <f>IF(K48="","",DATEDIF(K48,TODAY(),"m"))</f>
        <v/>
      </c>
      <c r="Q48" s="27">
        <f>IF(A48="","",SUMIFS(Uso_Embalagens!$E:$E,Uso_Embalagens!$D:$D,A48))</f>
        <v/>
      </c>
    </row>
    <row r="49">
      <c r="H49" s="26" t="n"/>
      <c r="J49" s="24" t="n"/>
      <c r="K49" s="22" t="n"/>
      <c r="O49" s="25">
        <f>IF(A49="","",H49*J49)</f>
        <v/>
      </c>
      <c r="P49" s="18">
        <f>IF(K49="","",DATEDIF(K49,TODAY(),"m"))</f>
        <v/>
      </c>
      <c r="Q49" s="27">
        <f>IF(A49="","",SUMIFS(Uso_Embalagens!$E:$E,Uso_Embalagens!$D:$D,A49))</f>
        <v/>
      </c>
    </row>
    <row r="50">
      <c r="H50" s="26" t="n"/>
      <c r="J50" s="24" t="n"/>
      <c r="K50" s="22" t="n"/>
      <c r="O50" s="25">
        <f>IF(A50="","",H50*J50)</f>
        <v/>
      </c>
      <c r="P50" s="18">
        <f>IF(K50="","",DATEDIF(K50,TODAY(),"m"))</f>
        <v/>
      </c>
      <c r="Q50" s="27">
        <f>IF(A50="","",SUMIFS(Uso_Embalagens!$E:$E,Uso_Embalagens!$D:$D,A50))</f>
        <v/>
      </c>
    </row>
    <row r="51">
      <c r="H51" s="26" t="n"/>
      <c r="J51" s="24" t="n"/>
      <c r="K51" s="22" t="n"/>
      <c r="O51" s="25">
        <f>IF(A51="","",H51*J51)</f>
        <v/>
      </c>
      <c r="P51" s="18">
        <f>IF(K51="","",DATEDIF(K51,TODAY(),"m"))</f>
        <v/>
      </c>
      <c r="Q51" s="27">
        <f>IF(A51="","",SUMIFS(Uso_Embalagens!$E:$E,Uso_Embalagens!$D:$D,A51))</f>
        <v/>
      </c>
    </row>
    <row r="52">
      <c r="H52" s="26" t="n"/>
      <c r="J52" s="24" t="n"/>
      <c r="K52" s="22" t="n"/>
      <c r="O52" s="25">
        <f>IF(A52="","",H52*J52)</f>
        <v/>
      </c>
      <c r="P52" s="18">
        <f>IF(K52="","",DATEDIF(K52,TODAY(),"m"))</f>
        <v/>
      </c>
      <c r="Q52" s="27">
        <f>IF(A52="","",SUMIFS(Uso_Embalagens!$E:$E,Uso_Embalagens!$D:$D,A52))</f>
        <v/>
      </c>
    </row>
    <row r="53">
      <c r="H53" s="26" t="n"/>
      <c r="J53" s="24" t="n"/>
      <c r="K53" s="22" t="n"/>
      <c r="O53" s="25">
        <f>IF(A53="","",H53*J53)</f>
        <v/>
      </c>
      <c r="P53" s="18">
        <f>IF(K53="","",DATEDIF(K53,TODAY(),"m"))</f>
        <v/>
      </c>
      <c r="Q53" s="27">
        <f>IF(A53="","",SUMIFS(Uso_Embalagens!$E:$E,Uso_Embalagens!$D:$D,A53))</f>
        <v/>
      </c>
    </row>
    <row r="54">
      <c r="H54" s="26" t="n"/>
      <c r="J54" s="24" t="n"/>
      <c r="K54" s="22" t="n"/>
      <c r="O54" s="25">
        <f>IF(A54="","",H54*J54)</f>
        <v/>
      </c>
      <c r="P54" s="18">
        <f>IF(K54="","",DATEDIF(K54,TODAY(),"m"))</f>
        <v/>
      </c>
      <c r="Q54" s="27">
        <f>IF(A54="","",SUMIFS(Uso_Embalagens!$E:$E,Uso_Embalagens!$D:$D,A54))</f>
        <v/>
      </c>
    </row>
    <row r="55">
      <c r="H55" s="26" t="n"/>
      <c r="J55" s="24" t="n"/>
      <c r="K55" s="22" t="n"/>
      <c r="O55" s="25">
        <f>IF(A55="","",H55*J55)</f>
        <v/>
      </c>
      <c r="P55" s="18">
        <f>IF(K55="","",DATEDIF(K55,TODAY(),"m"))</f>
        <v/>
      </c>
      <c r="Q55" s="27">
        <f>IF(A55="","",SUMIFS(Uso_Embalagens!$E:$E,Uso_Embalagens!$D:$D,A55))</f>
        <v/>
      </c>
    </row>
    <row r="56">
      <c r="H56" s="26" t="n"/>
      <c r="J56" s="24" t="n"/>
      <c r="K56" s="22" t="n"/>
      <c r="O56" s="25">
        <f>IF(A56="","",H56*J56)</f>
        <v/>
      </c>
      <c r="P56" s="18">
        <f>IF(K56="","",DATEDIF(K56,TODAY(),"m"))</f>
        <v/>
      </c>
      <c r="Q56" s="27">
        <f>IF(A56="","",SUMIFS(Uso_Embalagens!$E:$E,Uso_Embalagens!$D:$D,A56))</f>
        <v/>
      </c>
    </row>
    <row r="57">
      <c r="H57" s="26" t="n"/>
      <c r="J57" s="24" t="n"/>
      <c r="K57" s="22" t="n"/>
      <c r="O57" s="25">
        <f>IF(A57="","",H57*J57)</f>
        <v/>
      </c>
      <c r="P57" s="18">
        <f>IF(K57="","",DATEDIF(K57,TODAY(),"m"))</f>
        <v/>
      </c>
      <c r="Q57" s="27">
        <f>IF(A57="","",SUMIFS(Uso_Embalagens!$E:$E,Uso_Embalagens!$D:$D,A57))</f>
        <v/>
      </c>
    </row>
    <row r="58">
      <c r="H58" s="26" t="n"/>
      <c r="J58" s="24" t="n"/>
      <c r="K58" s="22" t="n"/>
      <c r="O58" s="25">
        <f>IF(A58="","",H58*J58)</f>
        <v/>
      </c>
      <c r="P58" s="18">
        <f>IF(K58="","",DATEDIF(K58,TODAY(),"m"))</f>
        <v/>
      </c>
      <c r="Q58" s="27">
        <f>IF(A58="","",SUMIFS(Uso_Embalagens!$E:$E,Uso_Embalagens!$D:$D,A58))</f>
        <v/>
      </c>
    </row>
    <row r="59">
      <c r="H59" s="26" t="n"/>
      <c r="J59" s="24" t="n"/>
      <c r="K59" s="22" t="n"/>
      <c r="O59" s="25">
        <f>IF(A59="","",H59*J59)</f>
        <v/>
      </c>
      <c r="P59" s="18">
        <f>IF(K59="","",DATEDIF(K59,TODAY(),"m"))</f>
        <v/>
      </c>
      <c r="Q59" s="27">
        <f>IF(A59="","",SUMIFS(Uso_Embalagens!$E:$E,Uso_Embalagens!$D:$D,A59))</f>
        <v/>
      </c>
    </row>
    <row r="60">
      <c r="H60" s="26" t="n"/>
      <c r="J60" s="24" t="n"/>
      <c r="K60" s="22" t="n"/>
      <c r="O60" s="25">
        <f>IF(A60="","",H60*J60)</f>
        <v/>
      </c>
      <c r="P60" s="18">
        <f>IF(K60="","",DATEDIF(K60,TODAY(),"m"))</f>
        <v/>
      </c>
      <c r="Q60" s="27">
        <f>IF(A60="","",SUMIFS(Uso_Embalagens!$E:$E,Uso_Embalagens!$D:$D,A60))</f>
        <v/>
      </c>
    </row>
    <row r="61">
      <c r="H61" s="26" t="n"/>
      <c r="J61" s="24" t="n"/>
      <c r="K61" s="22" t="n"/>
      <c r="O61" s="25">
        <f>IF(A61="","",H61*J61)</f>
        <v/>
      </c>
      <c r="P61" s="18">
        <f>IF(K61="","",DATEDIF(K61,TODAY(),"m"))</f>
        <v/>
      </c>
      <c r="Q61" s="27">
        <f>IF(A61="","",SUMIFS(Uso_Embalagens!$E:$E,Uso_Embalagens!$D:$D,A61))</f>
        <v/>
      </c>
    </row>
    <row r="62">
      <c r="H62" s="26" t="n"/>
      <c r="J62" s="24" t="n"/>
      <c r="K62" s="22" t="n"/>
      <c r="O62" s="25">
        <f>IF(A62="","",H62*J62)</f>
        <v/>
      </c>
      <c r="P62" s="18">
        <f>IF(K62="","",DATEDIF(K62,TODAY(),"m"))</f>
        <v/>
      </c>
      <c r="Q62" s="27">
        <f>IF(A62="","",SUMIFS(Uso_Embalagens!$E:$E,Uso_Embalagens!$D:$D,A62))</f>
        <v/>
      </c>
    </row>
    <row r="63">
      <c r="H63" s="26" t="n"/>
      <c r="J63" s="24" t="n"/>
      <c r="K63" s="22" t="n"/>
      <c r="O63" s="25">
        <f>IF(A63="","",H63*J63)</f>
        <v/>
      </c>
      <c r="P63" s="18">
        <f>IF(K63="","",DATEDIF(K63,TODAY(),"m"))</f>
        <v/>
      </c>
      <c r="Q63" s="27">
        <f>IF(A63="","",SUMIFS(Uso_Embalagens!$E:$E,Uso_Embalagens!$D:$D,A63))</f>
        <v/>
      </c>
    </row>
    <row r="64">
      <c r="H64" s="26" t="n"/>
      <c r="J64" s="24" t="n"/>
      <c r="K64" s="22" t="n"/>
      <c r="O64" s="25">
        <f>IF(A64="","",H64*J64)</f>
        <v/>
      </c>
      <c r="P64" s="18">
        <f>IF(K64="","",DATEDIF(K64,TODAY(),"m"))</f>
        <v/>
      </c>
      <c r="Q64" s="27">
        <f>IF(A64="","",SUMIFS(Uso_Embalagens!$E:$E,Uso_Embalagens!$D:$D,A64))</f>
        <v/>
      </c>
    </row>
    <row r="65">
      <c r="H65" s="26" t="n"/>
      <c r="J65" s="24" t="n"/>
      <c r="K65" s="22" t="n"/>
      <c r="O65" s="25">
        <f>IF(A65="","",H65*J65)</f>
        <v/>
      </c>
      <c r="P65" s="18">
        <f>IF(K65="","",DATEDIF(K65,TODAY(),"m"))</f>
        <v/>
      </c>
      <c r="Q65" s="27">
        <f>IF(A65="","",SUMIFS(Uso_Embalagens!$E:$E,Uso_Embalagens!$D:$D,A65))</f>
        <v/>
      </c>
    </row>
    <row r="66">
      <c r="H66" s="26" t="n"/>
      <c r="J66" s="24" t="n"/>
      <c r="K66" s="22" t="n"/>
      <c r="O66" s="25">
        <f>IF(A66="","",H66*J66)</f>
        <v/>
      </c>
      <c r="P66" s="18">
        <f>IF(K66="","",DATEDIF(K66,TODAY(),"m"))</f>
        <v/>
      </c>
      <c r="Q66" s="27">
        <f>IF(A66="","",SUMIFS(Uso_Embalagens!$E:$E,Uso_Embalagens!$D:$D,A66))</f>
        <v/>
      </c>
    </row>
    <row r="67">
      <c r="H67" s="26" t="n"/>
      <c r="J67" s="24" t="n"/>
      <c r="K67" s="22" t="n"/>
      <c r="O67" s="25">
        <f>IF(A67="","",H67*J67)</f>
        <v/>
      </c>
      <c r="P67" s="18">
        <f>IF(K67="","",DATEDIF(K67,TODAY(),"m"))</f>
        <v/>
      </c>
      <c r="Q67" s="27">
        <f>IF(A67="","",SUMIFS(Uso_Embalagens!$E:$E,Uso_Embalagens!$D:$D,A67))</f>
        <v/>
      </c>
    </row>
    <row r="68">
      <c r="H68" s="26" t="n"/>
      <c r="J68" s="24" t="n"/>
      <c r="K68" s="22" t="n"/>
      <c r="O68" s="25">
        <f>IF(A68="","",H68*J68)</f>
        <v/>
      </c>
      <c r="P68" s="18">
        <f>IF(K68="","",DATEDIF(K68,TODAY(),"m"))</f>
        <v/>
      </c>
      <c r="Q68" s="27">
        <f>IF(A68="","",SUMIFS(Uso_Embalagens!$E:$E,Uso_Embalagens!$D:$D,A68))</f>
        <v/>
      </c>
    </row>
    <row r="69">
      <c r="H69" s="26" t="n"/>
      <c r="J69" s="24" t="n"/>
      <c r="K69" s="22" t="n"/>
      <c r="O69" s="25">
        <f>IF(A69="","",H69*J69)</f>
        <v/>
      </c>
      <c r="P69" s="18">
        <f>IF(K69="","",DATEDIF(K69,TODAY(),"m"))</f>
        <v/>
      </c>
      <c r="Q69" s="27">
        <f>IF(A69="","",SUMIFS(Uso_Embalagens!$E:$E,Uso_Embalagens!$D:$D,A69))</f>
        <v/>
      </c>
    </row>
    <row r="70">
      <c r="H70" s="26" t="n"/>
      <c r="J70" s="24" t="n"/>
      <c r="K70" s="22" t="n"/>
      <c r="O70" s="25">
        <f>IF(A70="","",H70*J70)</f>
        <v/>
      </c>
      <c r="P70" s="18">
        <f>IF(K70="","",DATEDIF(K70,TODAY(),"m"))</f>
        <v/>
      </c>
      <c r="Q70" s="27">
        <f>IF(A70="","",SUMIFS(Uso_Embalagens!$E:$E,Uso_Embalagens!$D:$D,A70))</f>
        <v/>
      </c>
    </row>
    <row r="71">
      <c r="H71" s="26" t="n"/>
      <c r="J71" s="24" t="n"/>
      <c r="K71" s="22" t="n"/>
      <c r="O71" s="25">
        <f>IF(A71="","",H71*J71)</f>
        <v/>
      </c>
      <c r="P71" s="18">
        <f>IF(K71="","",DATEDIF(K71,TODAY(),"m"))</f>
        <v/>
      </c>
      <c r="Q71" s="27">
        <f>IF(A71="","",SUMIFS(Uso_Embalagens!$E:$E,Uso_Embalagens!$D:$D,A71))</f>
        <v/>
      </c>
    </row>
    <row r="72">
      <c r="H72" s="26" t="n"/>
      <c r="J72" s="24" t="n"/>
      <c r="K72" s="22" t="n"/>
      <c r="O72" s="25">
        <f>IF(A72="","",H72*J72)</f>
        <v/>
      </c>
      <c r="P72" s="18">
        <f>IF(K72="","",DATEDIF(K72,TODAY(),"m"))</f>
        <v/>
      </c>
      <c r="Q72" s="27">
        <f>IF(A72="","",SUMIFS(Uso_Embalagens!$E:$E,Uso_Embalagens!$D:$D,A72))</f>
        <v/>
      </c>
    </row>
    <row r="73">
      <c r="H73" s="26" t="n"/>
      <c r="J73" s="24" t="n"/>
      <c r="K73" s="22" t="n"/>
      <c r="O73" s="25">
        <f>IF(A73="","",H73*J73)</f>
        <v/>
      </c>
      <c r="P73" s="18">
        <f>IF(K73="","",DATEDIF(K73,TODAY(),"m"))</f>
        <v/>
      </c>
      <c r="Q73" s="27">
        <f>IF(A73="","",SUMIFS(Uso_Embalagens!$E:$E,Uso_Embalagens!$D:$D,A73))</f>
        <v/>
      </c>
    </row>
    <row r="74">
      <c r="H74" s="26" t="n"/>
      <c r="J74" s="24" t="n"/>
      <c r="K74" s="22" t="n"/>
      <c r="O74" s="25">
        <f>IF(A74="","",H74*J74)</f>
        <v/>
      </c>
      <c r="P74" s="18">
        <f>IF(K74="","",DATEDIF(K74,TODAY(),"m"))</f>
        <v/>
      </c>
      <c r="Q74" s="27">
        <f>IF(A74="","",SUMIFS(Uso_Embalagens!$E:$E,Uso_Embalagens!$D:$D,A74))</f>
        <v/>
      </c>
    </row>
    <row r="75">
      <c r="H75" s="26" t="n"/>
      <c r="J75" s="24" t="n"/>
      <c r="K75" s="22" t="n"/>
      <c r="O75" s="25">
        <f>IF(A75="","",H75*J75)</f>
        <v/>
      </c>
      <c r="P75" s="18">
        <f>IF(K75="","",DATEDIF(K75,TODAY(),"m"))</f>
        <v/>
      </c>
      <c r="Q75" s="27">
        <f>IF(A75="","",SUMIFS(Uso_Embalagens!$E:$E,Uso_Embalagens!$D:$D,A75))</f>
        <v/>
      </c>
    </row>
    <row r="76">
      <c r="H76" s="26" t="n"/>
      <c r="J76" s="24" t="n"/>
      <c r="K76" s="22" t="n"/>
      <c r="O76" s="25">
        <f>IF(A76="","",H76*J76)</f>
        <v/>
      </c>
      <c r="P76" s="18">
        <f>IF(K76="","",DATEDIF(K76,TODAY(),"m"))</f>
        <v/>
      </c>
      <c r="Q76" s="27">
        <f>IF(A76="","",SUMIFS(Uso_Embalagens!$E:$E,Uso_Embalagens!$D:$D,A76))</f>
        <v/>
      </c>
    </row>
    <row r="77">
      <c r="H77" s="26" t="n"/>
      <c r="J77" s="24" t="n"/>
      <c r="K77" s="22" t="n"/>
      <c r="O77" s="25">
        <f>IF(A77="","",H77*J77)</f>
        <v/>
      </c>
      <c r="P77" s="18">
        <f>IF(K77="","",DATEDIF(K77,TODAY(),"m"))</f>
        <v/>
      </c>
      <c r="Q77" s="27">
        <f>IF(A77="","",SUMIFS(Uso_Embalagens!$E:$E,Uso_Embalagens!$D:$D,A77))</f>
        <v/>
      </c>
    </row>
    <row r="78">
      <c r="H78" s="26" t="n"/>
      <c r="J78" s="24" t="n"/>
      <c r="K78" s="22" t="n"/>
      <c r="O78" s="25">
        <f>IF(A78="","",H78*J78)</f>
        <v/>
      </c>
      <c r="P78" s="18">
        <f>IF(K78="","",DATEDIF(K78,TODAY(),"m"))</f>
        <v/>
      </c>
      <c r="Q78" s="27">
        <f>IF(A78="","",SUMIFS(Uso_Embalagens!$E:$E,Uso_Embalagens!$D:$D,A78))</f>
        <v/>
      </c>
    </row>
    <row r="79">
      <c r="H79" s="26" t="n"/>
      <c r="J79" s="24" t="n"/>
      <c r="K79" s="22" t="n"/>
      <c r="O79" s="25">
        <f>IF(A79="","",H79*J79)</f>
        <v/>
      </c>
      <c r="P79" s="18">
        <f>IF(K79="","",DATEDIF(K79,TODAY(),"m"))</f>
        <v/>
      </c>
      <c r="Q79" s="27">
        <f>IF(A79="","",SUMIFS(Uso_Embalagens!$E:$E,Uso_Embalagens!$D:$D,A79))</f>
        <v/>
      </c>
    </row>
    <row r="80">
      <c r="H80" s="26" t="n"/>
      <c r="J80" s="24" t="n"/>
      <c r="K80" s="22" t="n"/>
      <c r="O80" s="25">
        <f>IF(A80="","",H80*J80)</f>
        <v/>
      </c>
      <c r="P80" s="18">
        <f>IF(K80="","",DATEDIF(K80,TODAY(),"m"))</f>
        <v/>
      </c>
      <c r="Q80" s="27">
        <f>IF(A80="","",SUMIFS(Uso_Embalagens!$E:$E,Uso_Embalagens!$D:$D,A80))</f>
        <v/>
      </c>
    </row>
    <row r="81">
      <c r="H81" s="26" t="n"/>
      <c r="J81" s="24" t="n"/>
      <c r="K81" s="22" t="n"/>
      <c r="O81" s="25">
        <f>IF(A81="","",H81*J81)</f>
        <v/>
      </c>
      <c r="P81" s="18">
        <f>IF(K81="","",DATEDIF(K81,TODAY(),"m"))</f>
        <v/>
      </c>
      <c r="Q81" s="27">
        <f>IF(A81="","",SUMIFS(Uso_Embalagens!$E:$E,Uso_Embalagens!$D:$D,A81))</f>
        <v/>
      </c>
    </row>
    <row r="82">
      <c r="H82" s="26" t="n"/>
      <c r="J82" s="24" t="n"/>
      <c r="K82" s="22" t="n"/>
      <c r="O82" s="25">
        <f>IF(A82="","",H82*J82)</f>
        <v/>
      </c>
      <c r="P82" s="18">
        <f>IF(K82="","",DATEDIF(K82,TODAY(),"m"))</f>
        <v/>
      </c>
      <c r="Q82" s="27">
        <f>IF(A82="","",SUMIFS(Uso_Embalagens!$E:$E,Uso_Embalagens!$D:$D,A82))</f>
        <v/>
      </c>
    </row>
    <row r="83">
      <c r="H83" s="26" t="n"/>
      <c r="J83" s="24" t="n"/>
      <c r="K83" s="22" t="n"/>
      <c r="O83" s="25">
        <f>IF(A83="","",H83*J83)</f>
        <v/>
      </c>
      <c r="P83" s="18">
        <f>IF(K83="","",DATEDIF(K83,TODAY(),"m"))</f>
        <v/>
      </c>
      <c r="Q83" s="27">
        <f>IF(A83="","",SUMIFS(Uso_Embalagens!$E:$E,Uso_Embalagens!$D:$D,A83))</f>
        <v/>
      </c>
    </row>
    <row r="84">
      <c r="H84" s="26" t="n"/>
      <c r="J84" s="24" t="n"/>
      <c r="K84" s="22" t="n"/>
      <c r="O84" s="25">
        <f>IF(A84="","",H84*J84)</f>
        <v/>
      </c>
      <c r="P84" s="18">
        <f>IF(K84="","",DATEDIF(K84,TODAY(),"m"))</f>
        <v/>
      </c>
      <c r="Q84" s="27">
        <f>IF(A84="","",SUMIFS(Uso_Embalagens!$E:$E,Uso_Embalagens!$D:$D,A84))</f>
        <v/>
      </c>
    </row>
    <row r="85">
      <c r="H85" s="26" t="n"/>
      <c r="J85" s="24" t="n"/>
      <c r="K85" s="22" t="n"/>
      <c r="O85" s="25">
        <f>IF(A85="","",H85*J85)</f>
        <v/>
      </c>
      <c r="P85" s="18">
        <f>IF(K85="","",DATEDIF(K85,TODAY(),"m"))</f>
        <v/>
      </c>
      <c r="Q85" s="27">
        <f>IF(A85="","",SUMIFS(Uso_Embalagens!$E:$E,Uso_Embalagens!$D:$D,A85))</f>
        <v/>
      </c>
    </row>
    <row r="86">
      <c r="H86" s="26" t="n"/>
      <c r="J86" s="24" t="n"/>
      <c r="K86" s="22" t="n"/>
      <c r="O86" s="25">
        <f>IF(A86="","",H86*J86)</f>
        <v/>
      </c>
      <c r="P86" s="18">
        <f>IF(K86="","",DATEDIF(K86,TODAY(),"m"))</f>
        <v/>
      </c>
      <c r="Q86" s="27">
        <f>IF(A86="","",SUMIFS(Uso_Embalagens!$E:$E,Uso_Embalagens!$D:$D,A86))</f>
        <v/>
      </c>
    </row>
    <row r="87">
      <c r="H87" s="26" t="n"/>
      <c r="J87" s="24" t="n"/>
      <c r="K87" s="22" t="n"/>
      <c r="O87" s="25">
        <f>IF(A87="","",H87*J87)</f>
        <v/>
      </c>
      <c r="P87" s="18">
        <f>IF(K87="","",DATEDIF(K87,TODAY(),"m"))</f>
        <v/>
      </c>
      <c r="Q87" s="27">
        <f>IF(A87="","",SUMIFS(Uso_Embalagens!$E:$E,Uso_Embalagens!$D:$D,A87))</f>
        <v/>
      </c>
    </row>
    <row r="88">
      <c r="H88" s="26" t="n"/>
      <c r="J88" s="24" t="n"/>
      <c r="K88" s="22" t="n"/>
      <c r="O88" s="25">
        <f>IF(A88="","",H88*J88)</f>
        <v/>
      </c>
      <c r="P88" s="18">
        <f>IF(K88="","",DATEDIF(K88,TODAY(),"m"))</f>
        <v/>
      </c>
      <c r="Q88" s="27">
        <f>IF(A88="","",SUMIFS(Uso_Embalagens!$E:$E,Uso_Embalagens!$D:$D,A88))</f>
        <v/>
      </c>
    </row>
    <row r="89">
      <c r="H89" s="26" t="n"/>
      <c r="J89" s="24" t="n"/>
      <c r="K89" s="22" t="n"/>
      <c r="O89" s="25">
        <f>IF(A89="","",H89*J89)</f>
        <v/>
      </c>
      <c r="P89" s="18">
        <f>IF(K89="","",DATEDIF(K89,TODAY(),"m"))</f>
        <v/>
      </c>
      <c r="Q89" s="27">
        <f>IF(A89="","",SUMIFS(Uso_Embalagens!$E:$E,Uso_Embalagens!$D:$D,A89))</f>
        <v/>
      </c>
    </row>
    <row r="90">
      <c r="H90" s="26" t="n"/>
      <c r="J90" s="24" t="n"/>
      <c r="K90" s="22" t="n"/>
      <c r="O90" s="25">
        <f>IF(A90="","",H90*J90)</f>
        <v/>
      </c>
      <c r="P90" s="18">
        <f>IF(K90="","",DATEDIF(K90,TODAY(),"m"))</f>
        <v/>
      </c>
      <c r="Q90" s="27">
        <f>IF(A90="","",SUMIFS(Uso_Embalagens!$E:$E,Uso_Embalagens!$D:$D,A90))</f>
        <v/>
      </c>
    </row>
    <row r="91">
      <c r="H91" s="26" t="n"/>
      <c r="J91" s="24" t="n"/>
      <c r="K91" s="22" t="n"/>
      <c r="O91" s="25">
        <f>IF(A91="","",H91*J91)</f>
        <v/>
      </c>
      <c r="P91" s="18">
        <f>IF(K91="","",DATEDIF(K91,TODAY(),"m"))</f>
        <v/>
      </c>
      <c r="Q91" s="27">
        <f>IF(A91="","",SUMIFS(Uso_Embalagens!$E:$E,Uso_Embalagens!$D:$D,A91))</f>
        <v/>
      </c>
    </row>
    <row r="92">
      <c r="H92" s="26" t="n"/>
      <c r="J92" s="24" t="n"/>
      <c r="K92" s="22" t="n"/>
      <c r="O92" s="25">
        <f>IF(A92="","",H92*J92)</f>
        <v/>
      </c>
      <c r="P92" s="18">
        <f>IF(K92="","",DATEDIF(K92,TODAY(),"m"))</f>
        <v/>
      </c>
      <c r="Q92" s="27">
        <f>IF(A92="","",SUMIFS(Uso_Embalagens!$E:$E,Uso_Embalagens!$D:$D,A92))</f>
        <v/>
      </c>
    </row>
    <row r="93">
      <c r="H93" s="26" t="n"/>
      <c r="J93" s="24" t="n"/>
      <c r="K93" s="22" t="n"/>
      <c r="O93" s="25">
        <f>IF(A93="","",H93*J93)</f>
        <v/>
      </c>
      <c r="P93" s="18">
        <f>IF(K93="","",DATEDIF(K93,TODAY(),"m"))</f>
        <v/>
      </c>
      <c r="Q93" s="27">
        <f>IF(A93="","",SUMIFS(Uso_Embalagens!$E:$E,Uso_Embalagens!$D:$D,A93))</f>
        <v/>
      </c>
    </row>
    <row r="94">
      <c r="H94" s="26" t="n"/>
      <c r="J94" s="24" t="n"/>
      <c r="K94" s="22" t="n"/>
      <c r="O94" s="25">
        <f>IF(A94="","",H94*J94)</f>
        <v/>
      </c>
      <c r="P94" s="18">
        <f>IF(K94="","",DATEDIF(K94,TODAY(),"m"))</f>
        <v/>
      </c>
      <c r="Q94" s="27">
        <f>IF(A94="","",SUMIFS(Uso_Embalagens!$E:$E,Uso_Embalagens!$D:$D,A94))</f>
        <v/>
      </c>
    </row>
    <row r="95">
      <c r="H95" s="26" t="n"/>
      <c r="J95" s="24" t="n"/>
      <c r="K95" s="22" t="n"/>
      <c r="O95" s="25">
        <f>IF(A95="","",H95*J95)</f>
        <v/>
      </c>
      <c r="P95" s="18">
        <f>IF(K95="","",DATEDIF(K95,TODAY(),"m"))</f>
        <v/>
      </c>
      <c r="Q95" s="27">
        <f>IF(A95="","",SUMIFS(Uso_Embalagens!$E:$E,Uso_Embalagens!$D:$D,A95))</f>
        <v/>
      </c>
    </row>
    <row r="96">
      <c r="H96" s="26" t="n"/>
      <c r="J96" s="24" t="n"/>
      <c r="K96" s="22" t="n"/>
      <c r="O96" s="25">
        <f>IF(A96="","",H96*J96)</f>
        <v/>
      </c>
      <c r="P96" s="18">
        <f>IF(K96="","",DATEDIF(K96,TODAY(),"m"))</f>
        <v/>
      </c>
      <c r="Q96" s="27">
        <f>IF(A96="","",SUMIFS(Uso_Embalagens!$E:$E,Uso_Embalagens!$D:$D,A96))</f>
        <v/>
      </c>
    </row>
    <row r="97">
      <c r="H97" s="26" t="n"/>
      <c r="J97" s="24" t="n"/>
      <c r="K97" s="22" t="n"/>
      <c r="O97" s="25">
        <f>IF(A97="","",H97*J97)</f>
        <v/>
      </c>
      <c r="P97" s="18">
        <f>IF(K97="","",DATEDIF(K97,TODAY(),"m"))</f>
        <v/>
      </c>
      <c r="Q97" s="27">
        <f>IF(A97="","",SUMIFS(Uso_Embalagens!$E:$E,Uso_Embalagens!$D:$D,A97))</f>
        <v/>
      </c>
    </row>
    <row r="98">
      <c r="H98" s="26" t="n"/>
      <c r="J98" s="24" t="n"/>
      <c r="K98" s="22" t="n"/>
      <c r="O98" s="25">
        <f>IF(A98="","",H98*J98)</f>
        <v/>
      </c>
      <c r="P98" s="18">
        <f>IF(K98="","",DATEDIF(K98,TODAY(),"m"))</f>
        <v/>
      </c>
      <c r="Q98" s="27">
        <f>IF(A98="","",SUMIFS(Uso_Embalagens!$E:$E,Uso_Embalagens!$D:$D,A98))</f>
        <v/>
      </c>
    </row>
    <row r="99">
      <c r="H99" s="26" t="n"/>
      <c r="J99" s="24" t="n"/>
      <c r="K99" s="22" t="n"/>
      <c r="O99" s="25">
        <f>IF(A99="","",H99*J99)</f>
        <v/>
      </c>
      <c r="P99" s="18">
        <f>IF(K99="","",DATEDIF(K99,TODAY(),"m"))</f>
        <v/>
      </c>
      <c r="Q99" s="27">
        <f>IF(A99="","",SUMIFS(Uso_Embalagens!$E:$E,Uso_Embalagens!$D:$D,A99))</f>
        <v/>
      </c>
    </row>
    <row r="100">
      <c r="H100" s="26" t="n"/>
      <c r="J100" s="24" t="n"/>
      <c r="K100" s="22" t="n"/>
      <c r="O100" s="25">
        <f>IF(A100="","",H100*J100)</f>
        <v/>
      </c>
      <c r="P100" s="18">
        <f>IF(K100="","",DATEDIF(K100,TODAY(),"m"))</f>
        <v/>
      </c>
      <c r="Q100" s="27">
        <f>IF(A100="","",SUMIFS(Uso_Embalagens!$E:$E,Uso_Embalagens!$D:$D,A100))</f>
        <v/>
      </c>
    </row>
    <row r="101">
      <c r="H101" s="26" t="n"/>
      <c r="J101" s="24" t="n"/>
      <c r="K101" s="22" t="n"/>
      <c r="O101" s="25">
        <f>IF(A101="","",H101*J101)</f>
        <v/>
      </c>
      <c r="P101" s="18">
        <f>IF(K101="","",DATEDIF(K101,TODAY(),"m"))</f>
        <v/>
      </c>
      <c r="Q101" s="27">
        <f>IF(A101="","",SUMIFS(Uso_Embalagens!$E:$E,Uso_Embalagens!$D:$D,A101))</f>
        <v/>
      </c>
    </row>
    <row r="102">
      <c r="H102" s="26" t="n"/>
      <c r="J102" s="24" t="n"/>
      <c r="K102" s="22" t="n"/>
      <c r="O102" s="25">
        <f>IF(A102="","",H102*J102)</f>
        <v/>
      </c>
      <c r="P102" s="18">
        <f>IF(K102="","",DATEDIF(K102,TODAY(),"m"))</f>
        <v/>
      </c>
      <c r="Q102" s="27">
        <f>IF(A102="","",SUMIFS(Uso_Embalagens!$E:$E,Uso_Embalagens!$D:$D,A102))</f>
        <v/>
      </c>
    </row>
    <row r="103">
      <c r="H103" s="26" t="n"/>
      <c r="J103" s="24" t="n"/>
      <c r="K103" s="22" t="n"/>
      <c r="O103" s="25">
        <f>IF(A103="","",H103*J103)</f>
        <v/>
      </c>
      <c r="P103" s="18">
        <f>IF(K103="","",DATEDIF(K103,TODAY(),"m"))</f>
        <v/>
      </c>
      <c r="Q103" s="27">
        <f>IF(A103="","",SUMIFS(Uso_Embalagens!$E:$E,Uso_Embalagens!$D:$D,A103))</f>
        <v/>
      </c>
    </row>
    <row r="104">
      <c r="H104" s="26" t="n"/>
      <c r="J104" s="24" t="n"/>
      <c r="K104" s="22" t="n"/>
      <c r="O104" s="25">
        <f>IF(A104="","",H104*J104)</f>
        <v/>
      </c>
      <c r="P104" s="18">
        <f>IF(K104="","",DATEDIF(K104,TODAY(),"m"))</f>
        <v/>
      </c>
      <c r="Q104" s="27">
        <f>IF(A104="","",SUMIFS(Uso_Embalagens!$E:$E,Uso_Embalagens!$D:$D,A104))</f>
        <v/>
      </c>
    </row>
    <row r="105">
      <c r="H105" s="26" t="n"/>
      <c r="J105" s="24" t="n"/>
      <c r="K105" s="22" t="n"/>
      <c r="O105" s="25">
        <f>IF(A105="","",H105*J105)</f>
        <v/>
      </c>
      <c r="P105" s="18">
        <f>IF(K105="","",DATEDIF(K105,TODAY(),"m"))</f>
        <v/>
      </c>
      <c r="Q105" s="27">
        <f>IF(A105="","",SUMIFS(Uso_Embalagens!$E:$E,Uso_Embalagens!$D:$D,A105))</f>
        <v/>
      </c>
    </row>
    <row r="106">
      <c r="H106" s="26" t="n"/>
      <c r="J106" s="24" t="n"/>
      <c r="K106" s="22" t="n"/>
      <c r="O106" s="25">
        <f>IF(A106="","",H106*J106)</f>
        <v/>
      </c>
      <c r="P106" s="18">
        <f>IF(K106="","",DATEDIF(K106,TODAY(),"m"))</f>
        <v/>
      </c>
      <c r="Q106" s="27">
        <f>IF(A106="","",SUMIFS(Uso_Embalagens!$E:$E,Uso_Embalagens!$D:$D,A106))</f>
        <v/>
      </c>
    </row>
    <row r="107">
      <c r="H107" s="26" t="n"/>
      <c r="J107" s="24" t="n"/>
      <c r="K107" s="22" t="n"/>
      <c r="O107" s="25">
        <f>IF(A107="","",H107*J107)</f>
        <v/>
      </c>
      <c r="P107" s="18">
        <f>IF(K107="","",DATEDIF(K107,TODAY(),"m"))</f>
        <v/>
      </c>
      <c r="Q107" s="27">
        <f>IF(A107="","",SUMIFS(Uso_Embalagens!$E:$E,Uso_Embalagens!$D:$D,A107))</f>
        <v/>
      </c>
    </row>
    <row r="108">
      <c r="H108" s="26" t="n"/>
      <c r="J108" s="24" t="n"/>
      <c r="K108" s="22" t="n"/>
      <c r="O108" s="25">
        <f>IF(A108="","",H108*J108)</f>
        <v/>
      </c>
      <c r="P108" s="18">
        <f>IF(K108="","",DATEDIF(K108,TODAY(),"m"))</f>
        <v/>
      </c>
      <c r="Q108" s="27">
        <f>IF(A108="","",SUMIFS(Uso_Embalagens!$E:$E,Uso_Embalagens!$D:$D,A108))</f>
        <v/>
      </c>
    </row>
    <row r="109">
      <c r="H109" s="26" t="n"/>
      <c r="J109" s="24" t="n"/>
      <c r="K109" s="22" t="n"/>
      <c r="O109" s="25">
        <f>IF(A109="","",H109*J109)</f>
        <v/>
      </c>
      <c r="P109" s="18">
        <f>IF(K109="","",DATEDIF(K109,TODAY(),"m"))</f>
        <v/>
      </c>
      <c r="Q109" s="27">
        <f>IF(A109="","",SUMIFS(Uso_Embalagens!$E:$E,Uso_Embalagens!$D:$D,A109))</f>
        <v/>
      </c>
    </row>
    <row r="110">
      <c r="H110" s="26" t="n"/>
      <c r="J110" s="24" t="n"/>
      <c r="K110" s="22" t="n"/>
      <c r="O110" s="25">
        <f>IF(A110="","",H110*J110)</f>
        <v/>
      </c>
      <c r="P110" s="18">
        <f>IF(K110="","",DATEDIF(K110,TODAY(),"m"))</f>
        <v/>
      </c>
      <c r="Q110" s="27">
        <f>IF(A110="","",SUMIFS(Uso_Embalagens!$E:$E,Uso_Embalagens!$D:$D,A110))</f>
        <v/>
      </c>
    </row>
    <row r="111">
      <c r="H111" s="26" t="n"/>
      <c r="J111" s="24" t="n"/>
      <c r="K111" s="22" t="n"/>
      <c r="O111" s="25">
        <f>IF(A111="","",H111*J111)</f>
        <v/>
      </c>
      <c r="P111" s="18">
        <f>IF(K111="","",DATEDIF(K111,TODAY(),"m"))</f>
        <v/>
      </c>
      <c r="Q111" s="27">
        <f>IF(A111="","",SUMIFS(Uso_Embalagens!$E:$E,Uso_Embalagens!$D:$D,A111))</f>
        <v/>
      </c>
    </row>
    <row r="112">
      <c r="H112" s="26" t="n"/>
      <c r="J112" s="24" t="n"/>
      <c r="K112" s="22" t="n"/>
      <c r="O112" s="25">
        <f>IF(A112="","",H112*J112)</f>
        <v/>
      </c>
      <c r="P112" s="18">
        <f>IF(K112="","",DATEDIF(K112,TODAY(),"m"))</f>
        <v/>
      </c>
      <c r="Q112" s="27">
        <f>IF(A112="","",SUMIFS(Uso_Embalagens!$E:$E,Uso_Embalagens!$D:$D,A112))</f>
        <v/>
      </c>
    </row>
    <row r="113">
      <c r="H113" s="26" t="n"/>
      <c r="J113" s="24" t="n"/>
      <c r="K113" s="22" t="n"/>
      <c r="O113" s="25">
        <f>IF(A113="","",H113*J113)</f>
        <v/>
      </c>
      <c r="P113" s="18">
        <f>IF(K113="","",DATEDIF(K113,TODAY(),"m"))</f>
        <v/>
      </c>
      <c r="Q113" s="27">
        <f>IF(A113="","",SUMIFS(Uso_Embalagens!$E:$E,Uso_Embalagens!$D:$D,A113))</f>
        <v/>
      </c>
    </row>
    <row r="114">
      <c r="H114" s="26" t="n"/>
      <c r="J114" s="24" t="n"/>
      <c r="K114" s="22" t="n"/>
      <c r="O114" s="25">
        <f>IF(A114="","",H114*J114)</f>
        <v/>
      </c>
      <c r="P114" s="18">
        <f>IF(K114="","",DATEDIF(K114,TODAY(),"m"))</f>
        <v/>
      </c>
      <c r="Q114" s="27">
        <f>IF(A114="","",SUMIFS(Uso_Embalagens!$E:$E,Uso_Embalagens!$D:$D,A114))</f>
        <v/>
      </c>
    </row>
    <row r="115">
      <c r="H115" s="26" t="n"/>
      <c r="J115" s="24" t="n"/>
      <c r="K115" s="22" t="n"/>
      <c r="O115" s="25">
        <f>IF(A115="","",H115*J115)</f>
        <v/>
      </c>
      <c r="P115" s="18">
        <f>IF(K115="","",DATEDIF(K115,TODAY(),"m"))</f>
        <v/>
      </c>
      <c r="Q115" s="27">
        <f>IF(A115="","",SUMIFS(Uso_Embalagens!$E:$E,Uso_Embalagens!$D:$D,A115))</f>
        <v/>
      </c>
    </row>
    <row r="116">
      <c r="H116" s="26" t="n"/>
      <c r="J116" s="24" t="n"/>
      <c r="K116" s="22" t="n"/>
      <c r="O116" s="25">
        <f>IF(A116="","",H116*J116)</f>
        <v/>
      </c>
      <c r="P116" s="18">
        <f>IF(K116="","",DATEDIF(K116,TODAY(),"m"))</f>
        <v/>
      </c>
      <c r="Q116" s="27">
        <f>IF(A116="","",SUMIFS(Uso_Embalagens!$E:$E,Uso_Embalagens!$D:$D,A116))</f>
        <v/>
      </c>
    </row>
    <row r="117">
      <c r="H117" s="26" t="n"/>
      <c r="J117" s="24" t="n"/>
      <c r="K117" s="22" t="n"/>
      <c r="O117" s="25">
        <f>IF(A117="","",H117*J117)</f>
        <v/>
      </c>
      <c r="P117" s="18">
        <f>IF(K117="","",DATEDIF(K117,TODAY(),"m"))</f>
        <v/>
      </c>
      <c r="Q117" s="27">
        <f>IF(A117="","",SUMIFS(Uso_Embalagens!$E:$E,Uso_Embalagens!$D:$D,A117))</f>
        <v/>
      </c>
    </row>
    <row r="118">
      <c r="H118" s="26" t="n"/>
      <c r="J118" s="24" t="n"/>
      <c r="K118" s="22" t="n"/>
      <c r="O118" s="25">
        <f>IF(A118="","",H118*J118)</f>
        <v/>
      </c>
      <c r="P118" s="18">
        <f>IF(K118="","",DATEDIF(K118,TODAY(),"m"))</f>
        <v/>
      </c>
      <c r="Q118" s="27">
        <f>IF(A118="","",SUMIFS(Uso_Embalagens!$E:$E,Uso_Embalagens!$D:$D,A118))</f>
        <v/>
      </c>
    </row>
    <row r="119">
      <c r="H119" s="26" t="n"/>
      <c r="J119" s="24" t="n"/>
      <c r="K119" s="22" t="n"/>
      <c r="O119" s="25">
        <f>IF(A119="","",H119*J119)</f>
        <v/>
      </c>
      <c r="P119" s="18">
        <f>IF(K119="","",DATEDIF(K119,TODAY(),"m"))</f>
        <v/>
      </c>
      <c r="Q119" s="27">
        <f>IF(A119="","",SUMIFS(Uso_Embalagens!$E:$E,Uso_Embalagens!$D:$D,A119))</f>
        <v/>
      </c>
    </row>
    <row r="120">
      <c r="H120" s="26" t="n"/>
      <c r="J120" s="24" t="n"/>
      <c r="K120" s="22" t="n"/>
      <c r="O120" s="25">
        <f>IF(A120="","",H120*J120)</f>
        <v/>
      </c>
      <c r="P120" s="18">
        <f>IF(K120="","",DATEDIF(K120,TODAY(),"m"))</f>
        <v/>
      </c>
      <c r="Q120" s="27">
        <f>IF(A120="","",SUMIFS(Uso_Embalagens!$E:$E,Uso_Embalagens!$D:$D,A120))</f>
        <v/>
      </c>
    </row>
    <row r="121">
      <c r="H121" s="26" t="n"/>
      <c r="J121" s="24" t="n"/>
      <c r="K121" s="22" t="n"/>
      <c r="O121" s="25">
        <f>IF(A121="","",H121*J121)</f>
        <v/>
      </c>
      <c r="P121" s="18">
        <f>IF(K121="","",DATEDIF(K121,TODAY(),"m"))</f>
        <v/>
      </c>
      <c r="Q121" s="27">
        <f>IF(A121="","",SUMIFS(Uso_Embalagens!$E:$E,Uso_Embalagens!$D:$D,A121))</f>
        <v/>
      </c>
    </row>
    <row r="122">
      <c r="H122" s="26" t="n"/>
      <c r="J122" s="24" t="n"/>
      <c r="K122" s="22" t="n"/>
      <c r="O122" s="25">
        <f>IF(A122="","",H122*J122)</f>
        <v/>
      </c>
      <c r="P122" s="18">
        <f>IF(K122="","",DATEDIF(K122,TODAY(),"m"))</f>
        <v/>
      </c>
      <c r="Q122" s="27">
        <f>IF(A122="","",SUMIFS(Uso_Embalagens!$E:$E,Uso_Embalagens!$D:$D,A122))</f>
        <v/>
      </c>
    </row>
    <row r="123">
      <c r="H123" s="26" t="n"/>
      <c r="J123" s="24" t="n"/>
      <c r="K123" s="22" t="n"/>
      <c r="O123" s="25">
        <f>IF(A123="","",H123*J123)</f>
        <v/>
      </c>
      <c r="P123" s="18">
        <f>IF(K123="","",DATEDIF(K123,TODAY(),"m"))</f>
        <v/>
      </c>
      <c r="Q123" s="27">
        <f>IF(A123="","",SUMIFS(Uso_Embalagens!$E:$E,Uso_Embalagens!$D:$D,A123))</f>
        <v/>
      </c>
    </row>
    <row r="124">
      <c r="H124" s="26" t="n"/>
      <c r="J124" s="24" t="n"/>
      <c r="K124" s="22" t="n"/>
      <c r="O124" s="25">
        <f>IF(A124="","",H124*J124)</f>
        <v/>
      </c>
      <c r="P124" s="18">
        <f>IF(K124="","",DATEDIF(K124,TODAY(),"m"))</f>
        <v/>
      </c>
      <c r="Q124" s="27">
        <f>IF(A124="","",SUMIFS(Uso_Embalagens!$E:$E,Uso_Embalagens!$D:$D,A124))</f>
        <v/>
      </c>
    </row>
    <row r="125">
      <c r="H125" s="26" t="n"/>
      <c r="J125" s="24" t="n"/>
      <c r="K125" s="22" t="n"/>
      <c r="O125" s="25">
        <f>IF(A125="","",H125*J125)</f>
        <v/>
      </c>
      <c r="P125" s="18">
        <f>IF(K125="","",DATEDIF(K125,TODAY(),"m"))</f>
        <v/>
      </c>
      <c r="Q125" s="27">
        <f>IF(A125="","",SUMIFS(Uso_Embalagens!$E:$E,Uso_Embalagens!$D:$D,A125))</f>
        <v/>
      </c>
    </row>
    <row r="126">
      <c r="H126" s="26" t="n"/>
      <c r="J126" s="24" t="n"/>
      <c r="K126" s="22" t="n"/>
      <c r="O126" s="25">
        <f>IF(A126="","",H126*J126)</f>
        <v/>
      </c>
      <c r="P126" s="18">
        <f>IF(K126="","",DATEDIF(K126,TODAY(),"m"))</f>
        <v/>
      </c>
      <c r="Q126" s="27">
        <f>IF(A126="","",SUMIFS(Uso_Embalagens!$E:$E,Uso_Embalagens!$D:$D,A126))</f>
        <v/>
      </c>
    </row>
    <row r="127">
      <c r="H127" s="26" t="n"/>
      <c r="J127" s="24" t="n"/>
      <c r="K127" s="22" t="n"/>
      <c r="O127" s="25">
        <f>IF(A127="","",H127*J127)</f>
        <v/>
      </c>
      <c r="P127" s="18">
        <f>IF(K127="","",DATEDIF(K127,TODAY(),"m"))</f>
        <v/>
      </c>
      <c r="Q127" s="27">
        <f>IF(A127="","",SUMIFS(Uso_Embalagens!$E:$E,Uso_Embalagens!$D:$D,A127))</f>
        <v/>
      </c>
    </row>
    <row r="128">
      <c r="H128" s="26" t="n"/>
      <c r="J128" s="24" t="n"/>
      <c r="K128" s="22" t="n"/>
      <c r="O128" s="25">
        <f>IF(A128="","",H128*J128)</f>
        <v/>
      </c>
      <c r="P128" s="18">
        <f>IF(K128="","",DATEDIF(K128,TODAY(),"m"))</f>
        <v/>
      </c>
      <c r="Q128" s="27">
        <f>IF(A128="","",SUMIFS(Uso_Embalagens!$E:$E,Uso_Embalagens!$D:$D,A128))</f>
        <v/>
      </c>
    </row>
    <row r="129">
      <c r="H129" s="26" t="n"/>
      <c r="J129" s="24" t="n"/>
      <c r="K129" s="22" t="n"/>
      <c r="O129" s="25">
        <f>IF(A129="","",H129*J129)</f>
        <v/>
      </c>
      <c r="P129" s="18">
        <f>IF(K129="","",DATEDIF(K129,TODAY(),"m"))</f>
        <v/>
      </c>
      <c r="Q129" s="27">
        <f>IF(A129="","",SUMIFS(Uso_Embalagens!$E:$E,Uso_Embalagens!$D:$D,A129))</f>
        <v/>
      </c>
    </row>
    <row r="130">
      <c r="H130" s="26" t="n"/>
      <c r="J130" s="24" t="n"/>
      <c r="K130" s="22" t="n"/>
      <c r="O130" s="25">
        <f>IF(A130="","",H130*J130)</f>
        <v/>
      </c>
      <c r="P130" s="18">
        <f>IF(K130="","",DATEDIF(K130,TODAY(),"m"))</f>
        <v/>
      </c>
      <c r="Q130" s="27">
        <f>IF(A130="","",SUMIFS(Uso_Embalagens!$E:$E,Uso_Embalagens!$D:$D,A130))</f>
        <v/>
      </c>
    </row>
    <row r="131">
      <c r="H131" s="26" t="n"/>
      <c r="J131" s="24" t="n"/>
      <c r="K131" s="22" t="n"/>
      <c r="O131" s="25">
        <f>IF(A131="","",H131*J131)</f>
        <v/>
      </c>
      <c r="P131" s="18">
        <f>IF(K131="","",DATEDIF(K131,TODAY(),"m"))</f>
        <v/>
      </c>
      <c r="Q131" s="27">
        <f>IF(A131="","",SUMIFS(Uso_Embalagens!$E:$E,Uso_Embalagens!$D:$D,A131))</f>
        <v/>
      </c>
    </row>
    <row r="132">
      <c r="H132" s="26" t="n"/>
      <c r="J132" s="24" t="n"/>
      <c r="K132" s="22" t="n"/>
      <c r="O132" s="25">
        <f>IF(A132="","",H132*J132)</f>
        <v/>
      </c>
      <c r="P132" s="18">
        <f>IF(K132="","",DATEDIF(K132,TODAY(),"m"))</f>
        <v/>
      </c>
      <c r="Q132" s="27">
        <f>IF(A132="","",SUMIFS(Uso_Embalagens!$E:$E,Uso_Embalagens!$D:$D,A132))</f>
        <v/>
      </c>
    </row>
    <row r="133">
      <c r="H133" s="26" t="n"/>
      <c r="J133" s="24" t="n"/>
      <c r="K133" s="22" t="n"/>
      <c r="O133" s="25">
        <f>IF(A133="","",H133*J133)</f>
        <v/>
      </c>
      <c r="P133" s="18">
        <f>IF(K133="","",DATEDIF(K133,TODAY(),"m"))</f>
        <v/>
      </c>
      <c r="Q133" s="27">
        <f>IF(A133="","",SUMIFS(Uso_Embalagens!$E:$E,Uso_Embalagens!$D:$D,A133))</f>
        <v/>
      </c>
    </row>
    <row r="134">
      <c r="H134" s="26" t="n"/>
      <c r="J134" s="24" t="n"/>
      <c r="K134" s="22" t="n"/>
      <c r="O134" s="25">
        <f>IF(A134="","",H134*J134)</f>
        <v/>
      </c>
      <c r="P134" s="18">
        <f>IF(K134="","",DATEDIF(K134,TODAY(),"m"))</f>
        <v/>
      </c>
      <c r="Q134" s="27">
        <f>IF(A134="","",SUMIFS(Uso_Embalagens!$E:$E,Uso_Embalagens!$D:$D,A134))</f>
        <v/>
      </c>
    </row>
    <row r="135">
      <c r="H135" s="26" t="n"/>
      <c r="J135" s="24" t="n"/>
      <c r="K135" s="22" t="n"/>
      <c r="O135" s="25">
        <f>IF(A135="","",H135*J135)</f>
        <v/>
      </c>
      <c r="P135" s="18">
        <f>IF(K135="","",DATEDIF(K135,TODAY(),"m"))</f>
        <v/>
      </c>
      <c r="Q135" s="27">
        <f>IF(A135="","",SUMIFS(Uso_Embalagens!$E:$E,Uso_Embalagens!$D:$D,A135))</f>
        <v/>
      </c>
    </row>
    <row r="136">
      <c r="H136" s="26" t="n"/>
      <c r="J136" s="24" t="n"/>
      <c r="K136" s="22" t="n"/>
      <c r="O136" s="25">
        <f>IF(A136="","",H136*J136)</f>
        <v/>
      </c>
      <c r="P136" s="18">
        <f>IF(K136="","",DATEDIF(K136,TODAY(),"m"))</f>
        <v/>
      </c>
      <c r="Q136" s="27">
        <f>IF(A136="","",SUMIFS(Uso_Embalagens!$E:$E,Uso_Embalagens!$D:$D,A136))</f>
        <v/>
      </c>
    </row>
    <row r="137">
      <c r="H137" s="26" t="n"/>
      <c r="J137" s="24" t="n"/>
      <c r="K137" s="22" t="n"/>
      <c r="O137" s="25">
        <f>IF(A137="","",H137*J137)</f>
        <v/>
      </c>
      <c r="P137" s="18">
        <f>IF(K137="","",DATEDIF(K137,TODAY(),"m"))</f>
        <v/>
      </c>
      <c r="Q137" s="27">
        <f>IF(A137="","",SUMIFS(Uso_Embalagens!$E:$E,Uso_Embalagens!$D:$D,A137))</f>
        <v/>
      </c>
    </row>
    <row r="138">
      <c r="H138" s="26" t="n"/>
      <c r="J138" s="24" t="n"/>
      <c r="K138" s="22" t="n"/>
      <c r="O138" s="25">
        <f>IF(A138="","",H138*J138)</f>
        <v/>
      </c>
      <c r="P138" s="18">
        <f>IF(K138="","",DATEDIF(K138,TODAY(),"m"))</f>
        <v/>
      </c>
      <c r="Q138" s="27">
        <f>IF(A138="","",SUMIFS(Uso_Embalagens!$E:$E,Uso_Embalagens!$D:$D,A138))</f>
        <v/>
      </c>
    </row>
    <row r="139">
      <c r="H139" s="26" t="n"/>
      <c r="J139" s="24" t="n"/>
      <c r="K139" s="22" t="n"/>
      <c r="O139" s="25">
        <f>IF(A139="","",H139*J139)</f>
        <v/>
      </c>
      <c r="P139" s="18">
        <f>IF(K139="","",DATEDIF(K139,TODAY(),"m"))</f>
        <v/>
      </c>
      <c r="Q139" s="27">
        <f>IF(A139="","",SUMIFS(Uso_Embalagens!$E:$E,Uso_Embalagens!$D:$D,A139))</f>
        <v/>
      </c>
    </row>
    <row r="140">
      <c r="H140" s="26" t="n"/>
      <c r="J140" s="24" t="n"/>
      <c r="K140" s="22" t="n"/>
      <c r="O140" s="25">
        <f>IF(A140="","",H140*J140)</f>
        <v/>
      </c>
      <c r="P140" s="18">
        <f>IF(K140="","",DATEDIF(K140,TODAY(),"m"))</f>
        <v/>
      </c>
      <c r="Q140" s="27">
        <f>IF(A140="","",SUMIFS(Uso_Embalagens!$E:$E,Uso_Embalagens!$D:$D,A140))</f>
        <v/>
      </c>
    </row>
    <row r="141">
      <c r="H141" s="26" t="n"/>
      <c r="J141" s="24" t="n"/>
      <c r="K141" s="22" t="n"/>
      <c r="O141" s="25">
        <f>IF(A141="","",H141*J141)</f>
        <v/>
      </c>
      <c r="P141" s="18">
        <f>IF(K141="","",DATEDIF(K141,TODAY(),"m"))</f>
        <v/>
      </c>
      <c r="Q141" s="27">
        <f>IF(A141="","",SUMIFS(Uso_Embalagens!$E:$E,Uso_Embalagens!$D:$D,A141))</f>
        <v/>
      </c>
    </row>
    <row r="142">
      <c r="H142" s="26" t="n"/>
      <c r="J142" s="24" t="n"/>
      <c r="K142" s="22" t="n"/>
      <c r="O142" s="25">
        <f>IF(A142="","",H142*J142)</f>
        <v/>
      </c>
      <c r="P142" s="18">
        <f>IF(K142="","",DATEDIF(K142,TODAY(),"m"))</f>
        <v/>
      </c>
      <c r="Q142" s="27">
        <f>IF(A142="","",SUMIFS(Uso_Embalagens!$E:$E,Uso_Embalagens!$D:$D,A142))</f>
        <v/>
      </c>
    </row>
    <row r="143">
      <c r="H143" s="26" t="n"/>
      <c r="J143" s="24" t="n"/>
      <c r="K143" s="22" t="n"/>
      <c r="O143" s="25">
        <f>IF(A143="","",H143*J143)</f>
        <v/>
      </c>
      <c r="P143" s="18">
        <f>IF(K143="","",DATEDIF(K143,TODAY(),"m"))</f>
        <v/>
      </c>
      <c r="Q143" s="27">
        <f>IF(A143="","",SUMIFS(Uso_Embalagens!$E:$E,Uso_Embalagens!$D:$D,A143))</f>
        <v/>
      </c>
    </row>
    <row r="144">
      <c r="H144" s="26" t="n"/>
      <c r="J144" s="24" t="n"/>
      <c r="K144" s="22" t="n"/>
      <c r="O144" s="25">
        <f>IF(A144="","",H144*J144)</f>
        <v/>
      </c>
      <c r="P144" s="18">
        <f>IF(K144="","",DATEDIF(K144,TODAY(),"m"))</f>
        <v/>
      </c>
      <c r="Q144" s="27">
        <f>IF(A144="","",SUMIFS(Uso_Embalagens!$E:$E,Uso_Embalagens!$D:$D,A144))</f>
        <v/>
      </c>
    </row>
    <row r="145">
      <c r="H145" s="26" t="n"/>
      <c r="J145" s="24" t="n"/>
      <c r="K145" s="22" t="n"/>
      <c r="O145" s="25">
        <f>IF(A145="","",H145*J145)</f>
        <v/>
      </c>
      <c r="P145" s="18">
        <f>IF(K145="","",DATEDIF(K145,TODAY(),"m"))</f>
        <v/>
      </c>
      <c r="Q145" s="27">
        <f>IF(A145="","",SUMIFS(Uso_Embalagens!$E:$E,Uso_Embalagens!$D:$D,A145))</f>
        <v/>
      </c>
    </row>
    <row r="146">
      <c r="H146" s="26" t="n"/>
      <c r="J146" s="24" t="n"/>
      <c r="K146" s="22" t="n"/>
      <c r="O146" s="25">
        <f>IF(A146="","",H146*J146)</f>
        <v/>
      </c>
      <c r="P146" s="18">
        <f>IF(K146="","",DATEDIF(K146,TODAY(),"m"))</f>
        <v/>
      </c>
      <c r="Q146" s="27">
        <f>IF(A146="","",SUMIFS(Uso_Embalagens!$E:$E,Uso_Embalagens!$D:$D,A146))</f>
        <v/>
      </c>
    </row>
    <row r="147">
      <c r="H147" s="26" t="n"/>
      <c r="J147" s="24" t="n"/>
      <c r="K147" s="22" t="n"/>
      <c r="O147" s="25">
        <f>IF(A147="","",H147*J147)</f>
        <v/>
      </c>
      <c r="P147" s="18">
        <f>IF(K147="","",DATEDIF(K147,TODAY(),"m"))</f>
        <v/>
      </c>
      <c r="Q147" s="27">
        <f>IF(A147="","",SUMIFS(Uso_Embalagens!$E:$E,Uso_Embalagens!$D:$D,A147))</f>
        <v/>
      </c>
    </row>
    <row r="148">
      <c r="H148" s="26" t="n"/>
      <c r="J148" s="24" t="n"/>
      <c r="K148" s="22" t="n"/>
      <c r="O148" s="25">
        <f>IF(A148="","",H148*J148)</f>
        <v/>
      </c>
      <c r="P148" s="18">
        <f>IF(K148="","",DATEDIF(K148,TODAY(),"m"))</f>
        <v/>
      </c>
      <c r="Q148" s="27">
        <f>IF(A148="","",SUMIFS(Uso_Embalagens!$E:$E,Uso_Embalagens!$D:$D,A148))</f>
        <v/>
      </c>
    </row>
    <row r="149">
      <c r="H149" s="26" t="n"/>
      <c r="J149" s="24" t="n"/>
      <c r="K149" s="22" t="n"/>
      <c r="O149" s="25">
        <f>IF(A149="","",H149*J149)</f>
        <v/>
      </c>
      <c r="P149" s="18">
        <f>IF(K149="","",DATEDIF(K149,TODAY(),"m"))</f>
        <v/>
      </c>
      <c r="Q149" s="27">
        <f>IF(A149="","",SUMIFS(Uso_Embalagens!$E:$E,Uso_Embalagens!$D:$D,A149))</f>
        <v/>
      </c>
    </row>
    <row r="150">
      <c r="H150" s="26" t="n"/>
      <c r="J150" s="24" t="n"/>
      <c r="K150" s="22" t="n"/>
      <c r="O150" s="25">
        <f>IF(A150="","",H150*J150)</f>
        <v/>
      </c>
      <c r="P150" s="18">
        <f>IF(K150="","",DATEDIF(K150,TODAY(),"m"))</f>
        <v/>
      </c>
      <c r="Q150" s="27">
        <f>IF(A150="","",SUMIFS(Uso_Embalagens!$E:$E,Uso_Embalagens!$D:$D,A150))</f>
        <v/>
      </c>
    </row>
    <row r="151">
      <c r="H151" s="26" t="n"/>
      <c r="J151" s="24" t="n"/>
      <c r="K151" s="22" t="n"/>
      <c r="O151" s="25">
        <f>IF(A151="","",H151*J151)</f>
        <v/>
      </c>
      <c r="P151" s="18">
        <f>IF(K151="","",DATEDIF(K151,TODAY(),"m"))</f>
        <v/>
      </c>
      <c r="Q151" s="27">
        <f>IF(A151="","",SUMIFS(Uso_Embalagens!$E:$E,Uso_Embalagens!$D:$D,A151))</f>
        <v/>
      </c>
    </row>
    <row r="152">
      <c r="H152" s="26" t="n"/>
      <c r="J152" s="24" t="n"/>
      <c r="K152" s="22" t="n"/>
      <c r="O152" s="25">
        <f>IF(A152="","",H152*J152)</f>
        <v/>
      </c>
      <c r="P152" s="18">
        <f>IF(K152="","",DATEDIF(K152,TODAY(),"m"))</f>
        <v/>
      </c>
      <c r="Q152" s="27">
        <f>IF(A152="","",SUMIFS(Uso_Embalagens!$E:$E,Uso_Embalagens!$D:$D,A152))</f>
        <v/>
      </c>
    </row>
    <row r="153">
      <c r="H153" s="26" t="n"/>
      <c r="J153" s="24" t="n"/>
      <c r="K153" s="22" t="n"/>
      <c r="O153" s="25">
        <f>IF(A153="","",H153*J153)</f>
        <v/>
      </c>
      <c r="P153" s="18">
        <f>IF(K153="","",DATEDIF(K153,TODAY(),"m"))</f>
        <v/>
      </c>
      <c r="Q153" s="27">
        <f>IF(A153="","",SUMIFS(Uso_Embalagens!$E:$E,Uso_Embalagens!$D:$D,A153))</f>
        <v/>
      </c>
    </row>
    <row r="154">
      <c r="H154" s="26" t="n"/>
      <c r="J154" s="24" t="n"/>
      <c r="K154" s="22" t="n"/>
      <c r="O154" s="25">
        <f>IF(A154="","",H154*J154)</f>
        <v/>
      </c>
      <c r="P154" s="18">
        <f>IF(K154="","",DATEDIF(K154,TODAY(),"m"))</f>
        <v/>
      </c>
      <c r="Q154" s="27">
        <f>IF(A154="","",SUMIFS(Uso_Embalagens!$E:$E,Uso_Embalagens!$D:$D,A154))</f>
        <v/>
      </c>
    </row>
    <row r="155">
      <c r="H155" s="26" t="n"/>
      <c r="J155" s="24" t="n"/>
      <c r="K155" s="22" t="n"/>
      <c r="O155" s="25">
        <f>IF(A155="","",H155*J155)</f>
        <v/>
      </c>
      <c r="P155" s="18">
        <f>IF(K155="","",DATEDIF(K155,TODAY(),"m"))</f>
        <v/>
      </c>
      <c r="Q155" s="27">
        <f>IF(A155="","",SUMIFS(Uso_Embalagens!$E:$E,Uso_Embalagens!$D:$D,A155))</f>
        <v/>
      </c>
    </row>
    <row r="156">
      <c r="H156" s="26" t="n"/>
      <c r="J156" s="24" t="n"/>
      <c r="K156" s="22" t="n"/>
      <c r="O156" s="25">
        <f>IF(A156="","",H156*J156)</f>
        <v/>
      </c>
      <c r="P156" s="18">
        <f>IF(K156="","",DATEDIF(K156,TODAY(),"m"))</f>
        <v/>
      </c>
      <c r="Q156" s="27">
        <f>IF(A156="","",SUMIFS(Uso_Embalagens!$E:$E,Uso_Embalagens!$D:$D,A156))</f>
        <v/>
      </c>
    </row>
    <row r="157">
      <c r="H157" s="26" t="n"/>
      <c r="J157" s="24" t="n"/>
      <c r="K157" s="22" t="n"/>
      <c r="O157" s="25">
        <f>IF(A157="","",H157*J157)</f>
        <v/>
      </c>
      <c r="P157" s="18">
        <f>IF(K157="","",DATEDIF(K157,TODAY(),"m"))</f>
        <v/>
      </c>
      <c r="Q157" s="27">
        <f>IF(A157="","",SUMIFS(Uso_Embalagens!$E:$E,Uso_Embalagens!$D:$D,A157))</f>
        <v/>
      </c>
    </row>
    <row r="158">
      <c r="H158" s="26" t="n"/>
      <c r="J158" s="24" t="n"/>
      <c r="K158" s="22" t="n"/>
      <c r="O158" s="25">
        <f>IF(A158="","",H158*J158)</f>
        <v/>
      </c>
      <c r="P158" s="18">
        <f>IF(K158="","",DATEDIF(K158,TODAY(),"m"))</f>
        <v/>
      </c>
      <c r="Q158" s="27">
        <f>IF(A158="","",SUMIFS(Uso_Embalagens!$E:$E,Uso_Embalagens!$D:$D,A158))</f>
        <v/>
      </c>
    </row>
    <row r="159">
      <c r="H159" s="26" t="n"/>
      <c r="J159" s="24" t="n"/>
      <c r="K159" s="22" t="n"/>
      <c r="O159" s="25">
        <f>IF(A159="","",H159*J159)</f>
        <v/>
      </c>
      <c r="P159" s="18">
        <f>IF(K159="","",DATEDIF(K159,TODAY(),"m"))</f>
        <v/>
      </c>
      <c r="Q159" s="27">
        <f>IF(A159="","",SUMIFS(Uso_Embalagens!$E:$E,Uso_Embalagens!$D:$D,A159))</f>
        <v/>
      </c>
    </row>
    <row r="160">
      <c r="H160" s="26" t="n"/>
      <c r="J160" s="24" t="n"/>
      <c r="K160" s="22" t="n"/>
      <c r="O160" s="25">
        <f>IF(A160="","",H160*J160)</f>
        <v/>
      </c>
      <c r="P160" s="18">
        <f>IF(K160="","",DATEDIF(K160,TODAY(),"m"))</f>
        <v/>
      </c>
      <c r="Q160" s="27">
        <f>IF(A160="","",SUMIFS(Uso_Embalagens!$E:$E,Uso_Embalagens!$D:$D,A160))</f>
        <v/>
      </c>
    </row>
    <row r="161">
      <c r="H161" s="26" t="n"/>
      <c r="J161" s="24" t="n"/>
      <c r="K161" s="22" t="n"/>
      <c r="O161" s="25">
        <f>IF(A161="","",H161*J161)</f>
        <v/>
      </c>
      <c r="P161" s="18">
        <f>IF(K161="","",DATEDIF(K161,TODAY(),"m"))</f>
        <v/>
      </c>
      <c r="Q161" s="27">
        <f>IF(A161="","",SUMIFS(Uso_Embalagens!$E:$E,Uso_Embalagens!$D:$D,A161))</f>
        <v/>
      </c>
    </row>
    <row r="162">
      <c r="H162" s="26" t="n"/>
      <c r="J162" s="24" t="n"/>
      <c r="K162" s="22" t="n"/>
      <c r="O162" s="25">
        <f>IF(A162="","",H162*J162)</f>
        <v/>
      </c>
      <c r="P162" s="18">
        <f>IF(K162="","",DATEDIF(K162,TODAY(),"m"))</f>
        <v/>
      </c>
      <c r="Q162" s="27">
        <f>IF(A162="","",SUMIFS(Uso_Embalagens!$E:$E,Uso_Embalagens!$D:$D,A162))</f>
        <v/>
      </c>
    </row>
    <row r="163">
      <c r="H163" s="26" t="n"/>
      <c r="J163" s="24" t="n"/>
      <c r="K163" s="22" t="n"/>
      <c r="O163" s="25">
        <f>IF(A163="","",H163*J163)</f>
        <v/>
      </c>
      <c r="P163" s="18">
        <f>IF(K163="","",DATEDIF(K163,TODAY(),"m"))</f>
        <v/>
      </c>
      <c r="Q163" s="27">
        <f>IF(A163="","",SUMIFS(Uso_Embalagens!$E:$E,Uso_Embalagens!$D:$D,A163))</f>
        <v/>
      </c>
    </row>
    <row r="164">
      <c r="H164" s="26" t="n"/>
      <c r="J164" s="24" t="n"/>
      <c r="K164" s="22" t="n"/>
      <c r="O164" s="25">
        <f>IF(A164="","",H164*J164)</f>
        <v/>
      </c>
      <c r="P164" s="18">
        <f>IF(K164="","",DATEDIF(K164,TODAY(),"m"))</f>
        <v/>
      </c>
      <c r="Q164" s="27">
        <f>IF(A164="","",SUMIFS(Uso_Embalagens!$E:$E,Uso_Embalagens!$D:$D,A164))</f>
        <v/>
      </c>
    </row>
    <row r="165">
      <c r="H165" s="26" t="n"/>
      <c r="J165" s="24" t="n"/>
      <c r="K165" s="22" t="n"/>
      <c r="O165" s="25">
        <f>IF(A165="","",H165*J165)</f>
        <v/>
      </c>
      <c r="P165" s="18">
        <f>IF(K165="","",DATEDIF(K165,TODAY(),"m"))</f>
        <v/>
      </c>
      <c r="Q165" s="27">
        <f>IF(A165="","",SUMIFS(Uso_Embalagens!$E:$E,Uso_Embalagens!$D:$D,A165))</f>
        <v/>
      </c>
    </row>
    <row r="166">
      <c r="H166" s="26" t="n"/>
      <c r="J166" s="24" t="n"/>
      <c r="K166" s="22" t="n"/>
      <c r="O166" s="25">
        <f>IF(A166="","",H166*J166)</f>
        <v/>
      </c>
      <c r="P166" s="18">
        <f>IF(K166="","",DATEDIF(K166,TODAY(),"m"))</f>
        <v/>
      </c>
      <c r="Q166" s="27">
        <f>IF(A166="","",SUMIFS(Uso_Embalagens!$E:$E,Uso_Embalagens!$D:$D,A166))</f>
        <v/>
      </c>
    </row>
    <row r="167">
      <c r="H167" s="26" t="n"/>
      <c r="J167" s="24" t="n"/>
      <c r="K167" s="22" t="n"/>
      <c r="O167" s="25">
        <f>IF(A167="","",H167*J167)</f>
        <v/>
      </c>
      <c r="P167" s="18">
        <f>IF(K167="","",DATEDIF(K167,TODAY(),"m"))</f>
        <v/>
      </c>
      <c r="Q167" s="27">
        <f>IF(A167="","",SUMIFS(Uso_Embalagens!$E:$E,Uso_Embalagens!$D:$D,A167))</f>
        <v/>
      </c>
    </row>
    <row r="168">
      <c r="H168" s="26" t="n"/>
      <c r="J168" s="24" t="n"/>
      <c r="K168" s="22" t="n"/>
      <c r="O168" s="25">
        <f>IF(A168="","",H168*J168)</f>
        <v/>
      </c>
      <c r="P168" s="18">
        <f>IF(K168="","",DATEDIF(K168,TODAY(),"m"))</f>
        <v/>
      </c>
      <c r="Q168" s="27">
        <f>IF(A168="","",SUMIFS(Uso_Embalagens!$E:$E,Uso_Embalagens!$D:$D,A168))</f>
        <v/>
      </c>
    </row>
    <row r="169">
      <c r="H169" s="26" t="n"/>
      <c r="J169" s="24" t="n"/>
      <c r="K169" s="22" t="n"/>
      <c r="O169" s="25">
        <f>IF(A169="","",H169*J169)</f>
        <v/>
      </c>
      <c r="P169" s="18">
        <f>IF(K169="","",DATEDIF(K169,TODAY(),"m"))</f>
        <v/>
      </c>
      <c r="Q169" s="27">
        <f>IF(A169="","",SUMIFS(Uso_Embalagens!$E:$E,Uso_Embalagens!$D:$D,A169))</f>
        <v/>
      </c>
    </row>
    <row r="170">
      <c r="H170" s="26" t="n"/>
      <c r="J170" s="24" t="n"/>
      <c r="K170" s="22" t="n"/>
      <c r="O170" s="25">
        <f>IF(A170="","",H170*J170)</f>
        <v/>
      </c>
      <c r="P170" s="18">
        <f>IF(K170="","",DATEDIF(K170,TODAY(),"m"))</f>
        <v/>
      </c>
      <c r="Q170" s="27">
        <f>IF(A170="","",SUMIFS(Uso_Embalagens!$E:$E,Uso_Embalagens!$D:$D,A170))</f>
        <v/>
      </c>
    </row>
    <row r="171">
      <c r="H171" s="26" t="n"/>
      <c r="J171" s="24" t="n"/>
      <c r="K171" s="22" t="n"/>
      <c r="O171" s="25">
        <f>IF(A171="","",H171*J171)</f>
        <v/>
      </c>
      <c r="P171" s="18">
        <f>IF(K171="","",DATEDIF(K171,TODAY(),"m"))</f>
        <v/>
      </c>
      <c r="Q171" s="27">
        <f>IF(A171="","",SUMIFS(Uso_Embalagens!$E:$E,Uso_Embalagens!$D:$D,A171))</f>
        <v/>
      </c>
    </row>
    <row r="172">
      <c r="H172" s="26" t="n"/>
      <c r="J172" s="24" t="n"/>
      <c r="K172" s="22" t="n"/>
      <c r="O172" s="25">
        <f>IF(A172="","",H172*J172)</f>
        <v/>
      </c>
      <c r="P172" s="18">
        <f>IF(K172="","",DATEDIF(K172,TODAY(),"m"))</f>
        <v/>
      </c>
      <c r="Q172" s="27">
        <f>IF(A172="","",SUMIFS(Uso_Embalagens!$E:$E,Uso_Embalagens!$D:$D,A172))</f>
        <v/>
      </c>
    </row>
    <row r="173">
      <c r="H173" s="26" t="n"/>
      <c r="J173" s="24" t="n"/>
      <c r="K173" s="22" t="n"/>
      <c r="O173" s="25">
        <f>IF(A173="","",H173*J173)</f>
        <v/>
      </c>
      <c r="P173" s="18">
        <f>IF(K173="","",DATEDIF(K173,TODAY(),"m"))</f>
        <v/>
      </c>
      <c r="Q173" s="27">
        <f>IF(A173="","",SUMIFS(Uso_Embalagens!$E:$E,Uso_Embalagens!$D:$D,A173))</f>
        <v/>
      </c>
    </row>
    <row r="174">
      <c r="H174" s="26" t="n"/>
      <c r="J174" s="24" t="n"/>
      <c r="K174" s="22" t="n"/>
      <c r="O174" s="25">
        <f>IF(A174="","",H174*J174)</f>
        <v/>
      </c>
      <c r="P174" s="18">
        <f>IF(K174="","",DATEDIF(K174,TODAY(),"m"))</f>
        <v/>
      </c>
      <c r="Q174" s="27">
        <f>IF(A174="","",SUMIFS(Uso_Embalagens!$E:$E,Uso_Embalagens!$D:$D,A174))</f>
        <v/>
      </c>
    </row>
    <row r="175">
      <c r="H175" s="26" t="n"/>
      <c r="J175" s="24" t="n"/>
      <c r="K175" s="22" t="n"/>
      <c r="O175" s="25">
        <f>IF(A175="","",H175*J175)</f>
        <v/>
      </c>
      <c r="P175" s="18">
        <f>IF(K175="","",DATEDIF(K175,TODAY(),"m"))</f>
        <v/>
      </c>
      <c r="Q175" s="27">
        <f>IF(A175="","",SUMIFS(Uso_Embalagens!$E:$E,Uso_Embalagens!$D:$D,A175))</f>
        <v/>
      </c>
    </row>
    <row r="176">
      <c r="H176" s="26" t="n"/>
      <c r="J176" s="24" t="n"/>
      <c r="K176" s="22" t="n"/>
      <c r="O176" s="25">
        <f>IF(A176="","",H176*J176)</f>
        <v/>
      </c>
      <c r="P176" s="18">
        <f>IF(K176="","",DATEDIF(K176,TODAY(),"m"))</f>
        <v/>
      </c>
      <c r="Q176" s="27">
        <f>IF(A176="","",SUMIFS(Uso_Embalagens!$E:$E,Uso_Embalagens!$D:$D,A176))</f>
        <v/>
      </c>
    </row>
    <row r="177">
      <c r="H177" s="26" t="n"/>
      <c r="J177" s="24" t="n"/>
      <c r="K177" s="22" t="n"/>
      <c r="O177" s="25">
        <f>IF(A177="","",H177*J177)</f>
        <v/>
      </c>
      <c r="P177" s="18">
        <f>IF(K177="","",DATEDIF(K177,TODAY(),"m"))</f>
        <v/>
      </c>
      <c r="Q177" s="27">
        <f>IF(A177="","",SUMIFS(Uso_Embalagens!$E:$E,Uso_Embalagens!$D:$D,A177))</f>
        <v/>
      </c>
    </row>
    <row r="178">
      <c r="H178" s="26" t="n"/>
      <c r="J178" s="24" t="n"/>
      <c r="K178" s="22" t="n"/>
      <c r="O178" s="25">
        <f>IF(A178="","",H178*J178)</f>
        <v/>
      </c>
      <c r="P178" s="18">
        <f>IF(K178="","",DATEDIF(K178,TODAY(),"m"))</f>
        <v/>
      </c>
      <c r="Q178" s="27">
        <f>IF(A178="","",SUMIFS(Uso_Embalagens!$E:$E,Uso_Embalagens!$D:$D,A178))</f>
        <v/>
      </c>
    </row>
    <row r="179">
      <c r="H179" s="26" t="n"/>
      <c r="J179" s="24" t="n"/>
      <c r="K179" s="22" t="n"/>
      <c r="O179" s="25">
        <f>IF(A179="","",H179*J179)</f>
        <v/>
      </c>
      <c r="P179" s="18">
        <f>IF(K179="","",DATEDIF(K179,TODAY(),"m"))</f>
        <v/>
      </c>
      <c r="Q179" s="27">
        <f>IF(A179="","",SUMIFS(Uso_Embalagens!$E:$E,Uso_Embalagens!$D:$D,A179))</f>
        <v/>
      </c>
    </row>
    <row r="180">
      <c r="H180" s="26" t="n"/>
      <c r="J180" s="24" t="n"/>
      <c r="K180" s="22" t="n"/>
      <c r="O180" s="25">
        <f>IF(A180="","",H180*J180)</f>
        <v/>
      </c>
      <c r="P180" s="18">
        <f>IF(K180="","",DATEDIF(K180,TODAY(),"m"))</f>
        <v/>
      </c>
      <c r="Q180" s="27">
        <f>IF(A180="","",SUMIFS(Uso_Embalagens!$E:$E,Uso_Embalagens!$D:$D,A180))</f>
        <v/>
      </c>
    </row>
    <row r="181">
      <c r="H181" s="26" t="n"/>
      <c r="J181" s="24" t="n"/>
      <c r="K181" s="22" t="n"/>
      <c r="O181" s="25">
        <f>IF(A181="","",H181*J181)</f>
        <v/>
      </c>
      <c r="P181" s="18">
        <f>IF(K181="","",DATEDIF(K181,TODAY(),"m"))</f>
        <v/>
      </c>
      <c r="Q181" s="27">
        <f>IF(A181="","",SUMIFS(Uso_Embalagens!$E:$E,Uso_Embalagens!$D:$D,A181))</f>
        <v/>
      </c>
    </row>
    <row r="182">
      <c r="H182" s="26" t="n"/>
      <c r="J182" s="24" t="n"/>
      <c r="K182" s="22" t="n"/>
      <c r="O182" s="25">
        <f>IF(A182="","",H182*J182)</f>
        <v/>
      </c>
      <c r="P182" s="18">
        <f>IF(K182="","",DATEDIF(K182,TODAY(),"m"))</f>
        <v/>
      </c>
      <c r="Q182" s="27">
        <f>IF(A182="","",SUMIFS(Uso_Embalagens!$E:$E,Uso_Embalagens!$D:$D,A182))</f>
        <v/>
      </c>
    </row>
    <row r="183">
      <c r="H183" s="26" t="n"/>
      <c r="J183" s="24" t="n"/>
      <c r="K183" s="22" t="n"/>
      <c r="O183" s="25">
        <f>IF(A183="","",H183*J183)</f>
        <v/>
      </c>
      <c r="P183" s="18">
        <f>IF(K183="","",DATEDIF(K183,TODAY(),"m"))</f>
        <v/>
      </c>
      <c r="Q183" s="27">
        <f>IF(A183="","",SUMIFS(Uso_Embalagens!$E:$E,Uso_Embalagens!$D:$D,A183))</f>
        <v/>
      </c>
    </row>
    <row r="184">
      <c r="H184" s="26" t="n"/>
      <c r="J184" s="24" t="n"/>
      <c r="K184" s="22" t="n"/>
      <c r="O184" s="25">
        <f>IF(A184="","",H184*J184)</f>
        <v/>
      </c>
      <c r="P184" s="18">
        <f>IF(K184="","",DATEDIF(K184,TODAY(),"m"))</f>
        <v/>
      </c>
      <c r="Q184" s="27">
        <f>IF(A184="","",SUMIFS(Uso_Embalagens!$E:$E,Uso_Embalagens!$D:$D,A184))</f>
        <v/>
      </c>
    </row>
    <row r="185">
      <c r="H185" s="26" t="n"/>
      <c r="J185" s="24" t="n"/>
      <c r="K185" s="22" t="n"/>
      <c r="O185" s="25">
        <f>IF(A185="","",H185*J185)</f>
        <v/>
      </c>
      <c r="P185" s="18">
        <f>IF(K185="","",DATEDIF(K185,TODAY(),"m"))</f>
        <v/>
      </c>
      <c r="Q185" s="27">
        <f>IF(A185="","",SUMIFS(Uso_Embalagens!$E:$E,Uso_Embalagens!$D:$D,A185))</f>
        <v/>
      </c>
    </row>
    <row r="186">
      <c r="H186" s="26" t="n"/>
      <c r="J186" s="24" t="n"/>
      <c r="K186" s="22" t="n"/>
      <c r="O186" s="25">
        <f>IF(A186="","",H186*J186)</f>
        <v/>
      </c>
      <c r="P186" s="18">
        <f>IF(K186="","",DATEDIF(K186,TODAY(),"m"))</f>
        <v/>
      </c>
      <c r="Q186" s="27">
        <f>IF(A186="","",SUMIFS(Uso_Embalagens!$E:$E,Uso_Embalagens!$D:$D,A186))</f>
        <v/>
      </c>
    </row>
    <row r="187">
      <c r="H187" s="26" t="n"/>
      <c r="J187" s="24" t="n"/>
      <c r="K187" s="22" t="n"/>
      <c r="O187" s="25">
        <f>IF(A187="","",H187*J187)</f>
        <v/>
      </c>
      <c r="P187" s="18">
        <f>IF(K187="","",DATEDIF(K187,TODAY(),"m"))</f>
        <v/>
      </c>
      <c r="Q187" s="27">
        <f>IF(A187="","",SUMIFS(Uso_Embalagens!$E:$E,Uso_Embalagens!$D:$D,A187))</f>
        <v/>
      </c>
    </row>
    <row r="188">
      <c r="H188" s="26" t="n"/>
      <c r="J188" s="24" t="n"/>
      <c r="K188" s="22" t="n"/>
      <c r="O188" s="25">
        <f>IF(A188="","",H188*J188)</f>
        <v/>
      </c>
      <c r="P188" s="18">
        <f>IF(K188="","",DATEDIF(K188,TODAY(),"m"))</f>
        <v/>
      </c>
      <c r="Q188" s="27">
        <f>IF(A188="","",SUMIFS(Uso_Embalagens!$E:$E,Uso_Embalagens!$D:$D,A188))</f>
        <v/>
      </c>
    </row>
    <row r="189">
      <c r="H189" s="26" t="n"/>
      <c r="J189" s="24" t="n"/>
      <c r="K189" s="22" t="n"/>
      <c r="O189" s="25">
        <f>IF(A189="","",H189*J189)</f>
        <v/>
      </c>
      <c r="P189" s="18">
        <f>IF(K189="","",DATEDIF(K189,TODAY(),"m"))</f>
        <v/>
      </c>
      <c r="Q189" s="27">
        <f>IF(A189="","",SUMIFS(Uso_Embalagens!$E:$E,Uso_Embalagens!$D:$D,A189))</f>
        <v/>
      </c>
    </row>
    <row r="190">
      <c r="H190" s="26" t="n"/>
      <c r="J190" s="24" t="n"/>
      <c r="K190" s="22" t="n"/>
      <c r="O190" s="25">
        <f>IF(A190="","",H190*J190)</f>
        <v/>
      </c>
      <c r="P190" s="18">
        <f>IF(K190="","",DATEDIF(K190,TODAY(),"m"))</f>
        <v/>
      </c>
      <c r="Q190" s="27">
        <f>IF(A190="","",SUMIFS(Uso_Embalagens!$E:$E,Uso_Embalagens!$D:$D,A190))</f>
        <v/>
      </c>
    </row>
    <row r="191">
      <c r="H191" s="26" t="n"/>
      <c r="J191" s="24" t="n"/>
      <c r="K191" s="22" t="n"/>
      <c r="O191" s="25">
        <f>IF(A191="","",H191*J191)</f>
        <v/>
      </c>
      <c r="P191" s="18">
        <f>IF(K191="","",DATEDIF(K191,TODAY(),"m"))</f>
        <v/>
      </c>
      <c r="Q191" s="27">
        <f>IF(A191="","",SUMIFS(Uso_Embalagens!$E:$E,Uso_Embalagens!$D:$D,A191))</f>
        <v/>
      </c>
    </row>
    <row r="192">
      <c r="H192" s="26" t="n"/>
      <c r="J192" s="24" t="n"/>
      <c r="K192" s="22" t="n"/>
      <c r="O192" s="25">
        <f>IF(A192="","",H192*J192)</f>
        <v/>
      </c>
      <c r="P192" s="18">
        <f>IF(K192="","",DATEDIF(K192,TODAY(),"m"))</f>
        <v/>
      </c>
      <c r="Q192" s="27">
        <f>IF(A192="","",SUMIFS(Uso_Embalagens!$E:$E,Uso_Embalagens!$D:$D,A192))</f>
        <v/>
      </c>
    </row>
    <row r="193">
      <c r="H193" s="26" t="n"/>
      <c r="J193" s="24" t="n"/>
      <c r="K193" s="22" t="n"/>
      <c r="O193" s="25">
        <f>IF(A193="","",H193*J193)</f>
        <v/>
      </c>
      <c r="P193" s="18">
        <f>IF(K193="","",DATEDIF(K193,TODAY(),"m"))</f>
        <v/>
      </c>
      <c r="Q193" s="27">
        <f>IF(A193="","",SUMIFS(Uso_Embalagens!$E:$E,Uso_Embalagens!$D:$D,A193))</f>
        <v/>
      </c>
    </row>
    <row r="194">
      <c r="H194" s="26" t="n"/>
      <c r="J194" s="24" t="n"/>
      <c r="K194" s="22" t="n"/>
      <c r="O194" s="25">
        <f>IF(A194="","",H194*J194)</f>
        <v/>
      </c>
      <c r="P194" s="18">
        <f>IF(K194="","",DATEDIF(K194,TODAY(),"m"))</f>
        <v/>
      </c>
      <c r="Q194" s="27">
        <f>IF(A194="","",SUMIFS(Uso_Embalagens!$E:$E,Uso_Embalagens!$D:$D,A194))</f>
        <v/>
      </c>
    </row>
    <row r="195">
      <c r="H195" s="26" t="n"/>
      <c r="J195" s="24" t="n"/>
      <c r="K195" s="22" t="n"/>
      <c r="O195" s="25">
        <f>IF(A195="","",H195*J195)</f>
        <v/>
      </c>
      <c r="P195" s="18">
        <f>IF(K195="","",DATEDIF(K195,TODAY(),"m"))</f>
        <v/>
      </c>
      <c r="Q195" s="27">
        <f>IF(A195="","",SUMIFS(Uso_Embalagens!$E:$E,Uso_Embalagens!$D:$D,A195))</f>
        <v/>
      </c>
    </row>
    <row r="196">
      <c r="H196" s="26" t="n"/>
      <c r="J196" s="24" t="n"/>
      <c r="K196" s="22" t="n"/>
      <c r="O196" s="25">
        <f>IF(A196="","",H196*J196)</f>
        <v/>
      </c>
      <c r="P196" s="18">
        <f>IF(K196="","",DATEDIF(K196,TODAY(),"m"))</f>
        <v/>
      </c>
      <c r="Q196" s="27">
        <f>IF(A196="","",SUMIFS(Uso_Embalagens!$E:$E,Uso_Embalagens!$D:$D,A196))</f>
        <v/>
      </c>
    </row>
    <row r="197">
      <c r="H197" s="26" t="n"/>
      <c r="J197" s="24" t="n"/>
      <c r="K197" s="22" t="n"/>
      <c r="O197" s="25">
        <f>IF(A197="","",H197*J197)</f>
        <v/>
      </c>
      <c r="P197" s="18">
        <f>IF(K197="","",DATEDIF(K197,TODAY(),"m"))</f>
        <v/>
      </c>
      <c r="Q197" s="27">
        <f>IF(A197="","",SUMIFS(Uso_Embalagens!$E:$E,Uso_Embalagens!$D:$D,A197))</f>
        <v/>
      </c>
    </row>
    <row r="198">
      <c r="H198" s="26" t="n"/>
      <c r="J198" s="24" t="n"/>
      <c r="K198" s="22" t="n"/>
      <c r="O198" s="25">
        <f>IF(A198="","",H198*J198)</f>
        <v/>
      </c>
      <c r="P198" s="18">
        <f>IF(K198="","",DATEDIF(K198,TODAY(),"m"))</f>
        <v/>
      </c>
      <c r="Q198" s="27">
        <f>IF(A198="","",SUMIFS(Uso_Embalagens!$E:$E,Uso_Embalagens!$D:$D,A198))</f>
        <v/>
      </c>
    </row>
    <row r="199">
      <c r="H199" s="26" t="n"/>
      <c r="J199" s="24" t="n"/>
      <c r="K199" s="22" t="n"/>
      <c r="O199" s="25">
        <f>IF(A199="","",H199*J199)</f>
        <v/>
      </c>
      <c r="P199" s="18">
        <f>IF(K199="","",DATEDIF(K199,TODAY(),"m"))</f>
        <v/>
      </c>
      <c r="Q199" s="27">
        <f>IF(A199="","",SUMIFS(Uso_Embalagens!$E:$E,Uso_Embalagens!$D:$D,A199))</f>
        <v/>
      </c>
    </row>
    <row r="200">
      <c r="H200" s="26" t="n"/>
      <c r="J200" s="24" t="n"/>
      <c r="K200" s="22" t="n"/>
      <c r="O200" s="25">
        <f>IF(A200="","",H200*J200)</f>
        <v/>
      </c>
      <c r="P200" s="18">
        <f>IF(K200="","",DATEDIF(K200,TODAY(),"m"))</f>
        <v/>
      </c>
      <c r="Q200" s="27">
        <f>IF(A200="","",SUMIFS(Uso_Embalagens!$E:$E,Uso_Embalagens!$D:$D,A200))</f>
        <v/>
      </c>
    </row>
    <row r="201">
      <c r="H201" s="26" t="n"/>
      <c r="J201" s="24" t="n"/>
      <c r="K201" s="22" t="n"/>
      <c r="O201" s="25">
        <f>IF(A201="","",H201*J201)</f>
        <v/>
      </c>
      <c r="P201" s="18">
        <f>IF(K201="","",DATEDIF(K201,TODAY(),"m"))</f>
        <v/>
      </c>
      <c r="Q201" s="27">
        <f>IF(A201="","",SUMIFS(Uso_Embalagens!$E:$E,Uso_Embalagens!$D:$D,A201))</f>
        <v/>
      </c>
    </row>
    <row r="202">
      <c r="H202" s="26" t="n"/>
      <c r="J202" s="24" t="n"/>
      <c r="K202" s="22" t="n"/>
      <c r="O202" s="25">
        <f>IF(A202="","",H202*J202)</f>
        <v/>
      </c>
      <c r="P202" s="18">
        <f>IF(K202="","",DATEDIF(K202,TODAY(),"m"))</f>
        <v/>
      </c>
      <c r="Q202" s="27">
        <f>IF(A202="","",SUMIFS(Uso_Embalagens!$E:$E,Uso_Embalagens!$D:$D,A202))</f>
        <v/>
      </c>
    </row>
    <row r="203">
      <c r="H203" s="26" t="n"/>
      <c r="J203" s="24" t="n"/>
      <c r="K203" s="22" t="n"/>
      <c r="O203" s="25">
        <f>IF(A203="","",H203*J203)</f>
        <v/>
      </c>
      <c r="P203" s="18">
        <f>IF(K203="","",DATEDIF(K203,TODAY(),"m"))</f>
        <v/>
      </c>
      <c r="Q203" s="27">
        <f>IF(A203="","",SUMIFS(Uso_Embalagens!$E:$E,Uso_Embalagens!$D:$D,A203))</f>
        <v/>
      </c>
    </row>
    <row r="204">
      <c r="H204" s="26" t="n"/>
      <c r="J204" s="24" t="n"/>
      <c r="K204" s="22" t="n"/>
      <c r="O204" s="25">
        <f>IF(A204="","",H204*J204)</f>
        <v/>
      </c>
      <c r="P204" s="18">
        <f>IF(K204="","",DATEDIF(K204,TODAY(),"m"))</f>
        <v/>
      </c>
      <c r="Q204" s="27">
        <f>IF(A204="","",SUMIFS(Uso_Embalagens!$E:$E,Uso_Embalagens!$D:$D,A204))</f>
        <v/>
      </c>
    </row>
    <row r="205">
      <c r="H205" s="26" t="n"/>
      <c r="J205" s="24" t="n"/>
      <c r="K205" s="22" t="n"/>
      <c r="O205" s="25">
        <f>IF(A205="","",H205*J205)</f>
        <v/>
      </c>
      <c r="P205" s="18">
        <f>IF(K205="","",DATEDIF(K205,TODAY(),"m"))</f>
        <v/>
      </c>
      <c r="Q205" s="27">
        <f>IF(A205="","",SUMIFS(Uso_Embalagens!$E:$E,Uso_Embalagens!$D:$D,A205))</f>
        <v/>
      </c>
    </row>
    <row r="206">
      <c r="H206" s="26" t="n"/>
      <c r="J206" s="24" t="n"/>
      <c r="K206" s="22" t="n"/>
      <c r="O206" s="25">
        <f>IF(A206="","",H206*J206)</f>
        <v/>
      </c>
      <c r="P206" s="18">
        <f>IF(K206="","",DATEDIF(K206,TODAY(),"m"))</f>
        <v/>
      </c>
      <c r="Q206" s="27">
        <f>IF(A206="","",SUMIFS(Uso_Embalagens!$E:$E,Uso_Embalagens!$D:$D,A206))</f>
        <v/>
      </c>
    </row>
    <row r="207">
      <c r="H207" s="26" t="n"/>
      <c r="J207" s="24" t="n"/>
      <c r="K207" s="22" t="n"/>
      <c r="O207" s="25">
        <f>IF(A207="","",H207*J207)</f>
        <v/>
      </c>
      <c r="P207" s="18">
        <f>IF(K207="","",DATEDIF(K207,TODAY(),"m"))</f>
        <v/>
      </c>
      <c r="Q207" s="27">
        <f>IF(A207="","",SUMIFS(Uso_Embalagens!$E:$E,Uso_Embalagens!$D:$D,A207))</f>
        <v/>
      </c>
    </row>
    <row r="208">
      <c r="H208" s="26" t="n"/>
      <c r="J208" s="24" t="n"/>
      <c r="K208" s="22" t="n"/>
      <c r="O208" s="25">
        <f>IF(A208="","",H208*J208)</f>
        <v/>
      </c>
      <c r="P208" s="18">
        <f>IF(K208="","",DATEDIF(K208,TODAY(),"m"))</f>
        <v/>
      </c>
      <c r="Q208" s="27">
        <f>IF(A208="","",SUMIFS(Uso_Embalagens!$E:$E,Uso_Embalagens!$D:$D,A208))</f>
        <v/>
      </c>
    </row>
    <row r="209">
      <c r="H209" s="26" t="n"/>
      <c r="J209" s="24" t="n"/>
      <c r="K209" s="22" t="n"/>
      <c r="O209" s="25">
        <f>IF(A209="","",H209*J209)</f>
        <v/>
      </c>
      <c r="P209" s="18">
        <f>IF(K209="","",DATEDIF(K209,TODAY(),"m"))</f>
        <v/>
      </c>
      <c r="Q209" s="27">
        <f>IF(A209="","",SUMIFS(Uso_Embalagens!$E:$E,Uso_Embalagens!$D:$D,A209))</f>
        <v/>
      </c>
    </row>
    <row r="210">
      <c r="H210" s="26" t="n"/>
      <c r="J210" s="24" t="n"/>
      <c r="K210" s="22" t="n"/>
      <c r="O210" s="25">
        <f>IF(A210="","",H210*J210)</f>
        <v/>
      </c>
      <c r="P210" s="18">
        <f>IF(K210="","",DATEDIF(K210,TODAY(),"m"))</f>
        <v/>
      </c>
      <c r="Q210" s="27">
        <f>IF(A210="","",SUMIFS(Uso_Embalagens!$E:$E,Uso_Embalagens!$D:$D,A210))</f>
        <v/>
      </c>
    </row>
    <row r="211">
      <c r="H211" s="26" t="n"/>
      <c r="J211" s="24" t="n"/>
      <c r="K211" s="22" t="n"/>
      <c r="O211" s="25">
        <f>IF(A211="","",H211*J211)</f>
        <v/>
      </c>
      <c r="P211" s="18">
        <f>IF(K211="","",DATEDIF(K211,TODAY(),"m"))</f>
        <v/>
      </c>
      <c r="Q211" s="27">
        <f>IF(A211="","",SUMIFS(Uso_Embalagens!$E:$E,Uso_Embalagens!$D:$D,A211))</f>
        <v/>
      </c>
    </row>
    <row r="212">
      <c r="H212" s="26" t="n"/>
      <c r="J212" s="24" t="n"/>
      <c r="K212" s="22" t="n"/>
      <c r="O212" s="25">
        <f>IF(A212="","",H212*J212)</f>
        <v/>
      </c>
      <c r="P212" s="18">
        <f>IF(K212="","",DATEDIF(K212,TODAY(),"m"))</f>
        <v/>
      </c>
      <c r="Q212" s="27">
        <f>IF(A212="","",SUMIFS(Uso_Embalagens!$E:$E,Uso_Embalagens!$D:$D,A212))</f>
        <v/>
      </c>
    </row>
    <row r="213">
      <c r="H213" s="26" t="n"/>
      <c r="J213" s="24" t="n"/>
      <c r="K213" s="22" t="n"/>
      <c r="O213" s="25">
        <f>IF(A213="","",H213*J213)</f>
        <v/>
      </c>
      <c r="P213" s="18">
        <f>IF(K213="","",DATEDIF(K213,TODAY(),"m"))</f>
        <v/>
      </c>
      <c r="Q213" s="27">
        <f>IF(A213="","",SUMIFS(Uso_Embalagens!$E:$E,Uso_Embalagens!$D:$D,A213))</f>
        <v/>
      </c>
    </row>
    <row r="214">
      <c r="H214" s="26" t="n"/>
      <c r="J214" s="24" t="n"/>
      <c r="K214" s="22" t="n"/>
      <c r="O214" s="25">
        <f>IF(A214="","",H214*J214)</f>
        <v/>
      </c>
      <c r="P214" s="18">
        <f>IF(K214="","",DATEDIF(K214,TODAY(),"m"))</f>
        <v/>
      </c>
      <c r="Q214" s="27">
        <f>IF(A214="","",SUMIFS(Uso_Embalagens!$E:$E,Uso_Embalagens!$D:$D,A214))</f>
        <v/>
      </c>
    </row>
    <row r="215">
      <c r="H215" s="26" t="n"/>
      <c r="J215" s="24" t="n"/>
      <c r="K215" s="22" t="n"/>
      <c r="O215" s="25">
        <f>IF(A215="","",H215*J215)</f>
        <v/>
      </c>
      <c r="P215" s="18">
        <f>IF(K215="","",DATEDIF(K215,TODAY(),"m"))</f>
        <v/>
      </c>
      <c r="Q215" s="27">
        <f>IF(A215="","",SUMIFS(Uso_Embalagens!$E:$E,Uso_Embalagens!$D:$D,A215))</f>
        <v/>
      </c>
    </row>
    <row r="216">
      <c r="H216" s="26" t="n"/>
      <c r="J216" s="24" t="n"/>
      <c r="K216" s="22" t="n"/>
      <c r="O216" s="25">
        <f>IF(A216="","",H216*J216)</f>
        <v/>
      </c>
      <c r="P216" s="18">
        <f>IF(K216="","",DATEDIF(K216,TODAY(),"m"))</f>
        <v/>
      </c>
      <c r="Q216" s="27">
        <f>IF(A216="","",SUMIFS(Uso_Embalagens!$E:$E,Uso_Embalagens!$D:$D,A216))</f>
        <v/>
      </c>
    </row>
    <row r="217">
      <c r="H217" s="26" t="n"/>
      <c r="J217" s="24" t="n"/>
      <c r="K217" s="22" t="n"/>
      <c r="O217" s="25">
        <f>IF(A217="","",H217*J217)</f>
        <v/>
      </c>
      <c r="P217" s="18">
        <f>IF(K217="","",DATEDIF(K217,TODAY(),"m"))</f>
        <v/>
      </c>
      <c r="Q217" s="27">
        <f>IF(A217="","",SUMIFS(Uso_Embalagens!$E:$E,Uso_Embalagens!$D:$D,A217))</f>
        <v/>
      </c>
    </row>
    <row r="218">
      <c r="H218" s="26" t="n"/>
      <c r="J218" s="24" t="n"/>
      <c r="K218" s="22" t="n"/>
      <c r="O218" s="25">
        <f>IF(A218="","",H218*J218)</f>
        <v/>
      </c>
      <c r="P218" s="18">
        <f>IF(K218="","",DATEDIF(K218,TODAY(),"m"))</f>
        <v/>
      </c>
      <c r="Q218" s="27">
        <f>IF(A218="","",SUMIFS(Uso_Embalagens!$E:$E,Uso_Embalagens!$D:$D,A218))</f>
        <v/>
      </c>
    </row>
    <row r="219">
      <c r="H219" s="26" t="n"/>
      <c r="J219" s="24" t="n"/>
      <c r="K219" s="22" t="n"/>
      <c r="O219" s="25">
        <f>IF(A219="","",H219*J219)</f>
        <v/>
      </c>
      <c r="P219" s="18">
        <f>IF(K219="","",DATEDIF(K219,TODAY(),"m"))</f>
        <v/>
      </c>
      <c r="Q219" s="27">
        <f>IF(A219="","",SUMIFS(Uso_Embalagens!$E:$E,Uso_Embalagens!$D:$D,A219))</f>
        <v/>
      </c>
    </row>
    <row r="220">
      <c r="H220" s="26" t="n"/>
      <c r="J220" s="24" t="n"/>
      <c r="K220" s="22" t="n"/>
      <c r="O220" s="25">
        <f>IF(A220="","",H220*J220)</f>
        <v/>
      </c>
      <c r="P220" s="18">
        <f>IF(K220="","",DATEDIF(K220,TODAY(),"m"))</f>
        <v/>
      </c>
      <c r="Q220" s="27">
        <f>IF(A220="","",SUMIFS(Uso_Embalagens!$E:$E,Uso_Embalagens!$D:$D,A220))</f>
        <v/>
      </c>
    </row>
    <row r="221">
      <c r="H221" s="26" t="n"/>
      <c r="J221" s="24" t="n"/>
      <c r="K221" s="22" t="n"/>
      <c r="O221" s="25">
        <f>IF(A221="","",H221*J221)</f>
        <v/>
      </c>
      <c r="P221" s="18">
        <f>IF(K221="","",DATEDIF(K221,TODAY(),"m"))</f>
        <v/>
      </c>
      <c r="Q221" s="27">
        <f>IF(A221="","",SUMIFS(Uso_Embalagens!$E:$E,Uso_Embalagens!$D:$D,A221))</f>
        <v/>
      </c>
    </row>
    <row r="222">
      <c r="H222" s="26" t="n"/>
      <c r="J222" s="24" t="n"/>
      <c r="K222" s="22" t="n"/>
      <c r="O222" s="25">
        <f>IF(A222="","",H222*J222)</f>
        <v/>
      </c>
      <c r="P222" s="18">
        <f>IF(K222="","",DATEDIF(K222,TODAY(),"m"))</f>
        <v/>
      </c>
      <c r="Q222" s="27">
        <f>IF(A222="","",SUMIFS(Uso_Embalagens!$E:$E,Uso_Embalagens!$D:$D,A222))</f>
        <v/>
      </c>
    </row>
    <row r="223">
      <c r="H223" s="26" t="n"/>
      <c r="J223" s="24" t="n"/>
      <c r="K223" s="22" t="n"/>
      <c r="O223" s="25">
        <f>IF(A223="","",H223*J223)</f>
        <v/>
      </c>
      <c r="P223" s="18">
        <f>IF(K223="","",DATEDIF(K223,TODAY(),"m"))</f>
        <v/>
      </c>
      <c r="Q223" s="27">
        <f>IF(A223="","",SUMIFS(Uso_Embalagens!$E:$E,Uso_Embalagens!$D:$D,A223))</f>
        <v/>
      </c>
    </row>
    <row r="224">
      <c r="H224" s="26" t="n"/>
      <c r="J224" s="24" t="n"/>
      <c r="K224" s="22" t="n"/>
      <c r="O224" s="25">
        <f>IF(A224="","",H224*J224)</f>
        <v/>
      </c>
      <c r="P224" s="18">
        <f>IF(K224="","",DATEDIF(K224,TODAY(),"m"))</f>
        <v/>
      </c>
      <c r="Q224" s="27">
        <f>IF(A224="","",SUMIFS(Uso_Embalagens!$E:$E,Uso_Embalagens!$D:$D,A224))</f>
        <v/>
      </c>
    </row>
    <row r="225">
      <c r="H225" s="26" t="n"/>
      <c r="J225" s="24" t="n"/>
      <c r="K225" s="22" t="n"/>
      <c r="O225" s="25">
        <f>IF(A225="","",H225*J225)</f>
        <v/>
      </c>
      <c r="P225" s="18">
        <f>IF(K225="","",DATEDIF(K225,TODAY(),"m"))</f>
        <v/>
      </c>
      <c r="Q225" s="27">
        <f>IF(A225="","",SUMIFS(Uso_Embalagens!$E:$E,Uso_Embalagens!$D:$D,A225))</f>
        <v/>
      </c>
    </row>
    <row r="226">
      <c r="H226" s="26" t="n"/>
      <c r="J226" s="24" t="n"/>
      <c r="K226" s="22" t="n"/>
      <c r="O226" s="25">
        <f>IF(A226="","",H226*J226)</f>
        <v/>
      </c>
      <c r="P226" s="18">
        <f>IF(K226="","",DATEDIF(K226,TODAY(),"m"))</f>
        <v/>
      </c>
      <c r="Q226" s="27">
        <f>IF(A226="","",SUMIFS(Uso_Embalagens!$E:$E,Uso_Embalagens!$D:$D,A226))</f>
        <v/>
      </c>
    </row>
    <row r="227">
      <c r="H227" s="26" t="n"/>
      <c r="J227" s="24" t="n"/>
      <c r="K227" s="22" t="n"/>
      <c r="O227" s="25">
        <f>IF(A227="","",H227*J227)</f>
        <v/>
      </c>
      <c r="P227" s="18">
        <f>IF(K227="","",DATEDIF(K227,TODAY(),"m"))</f>
        <v/>
      </c>
      <c r="Q227" s="27">
        <f>IF(A227="","",SUMIFS(Uso_Embalagens!$E:$E,Uso_Embalagens!$D:$D,A227))</f>
        <v/>
      </c>
    </row>
    <row r="228">
      <c r="H228" s="26" t="n"/>
      <c r="J228" s="24" t="n"/>
      <c r="K228" s="22" t="n"/>
      <c r="O228" s="25">
        <f>IF(A228="","",H228*J228)</f>
        <v/>
      </c>
      <c r="P228" s="18">
        <f>IF(K228="","",DATEDIF(K228,TODAY(),"m"))</f>
        <v/>
      </c>
      <c r="Q228" s="27">
        <f>IF(A228="","",SUMIFS(Uso_Embalagens!$E:$E,Uso_Embalagens!$D:$D,A228))</f>
        <v/>
      </c>
    </row>
    <row r="229">
      <c r="H229" s="26" t="n"/>
      <c r="J229" s="24" t="n"/>
      <c r="K229" s="22" t="n"/>
      <c r="O229" s="25">
        <f>IF(A229="","",H229*J229)</f>
        <v/>
      </c>
      <c r="P229" s="18">
        <f>IF(K229="","",DATEDIF(K229,TODAY(),"m"))</f>
        <v/>
      </c>
      <c r="Q229" s="27">
        <f>IF(A229="","",SUMIFS(Uso_Embalagens!$E:$E,Uso_Embalagens!$D:$D,A229))</f>
        <v/>
      </c>
    </row>
    <row r="230">
      <c r="H230" s="26" t="n"/>
      <c r="J230" s="24" t="n"/>
      <c r="K230" s="22" t="n"/>
      <c r="O230" s="25">
        <f>IF(A230="","",H230*J230)</f>
        <v/>
      </c>
      <c r="P230" s="18">
        <f>IF(K230="","",DATEDIF(K230,TODAY(),"m"))</f>
        <v/>
      </c>
      <c r="Q230" s="27">
        <f>IF(A230="","",SUMIFS(Uso_Embalagens!$E:$E,Uso_Embalagens!$D:$D,A230))</f>
        <v/>
      </c>
    </row>
    <row r="231">
      <c r="H231" s="26" t="n"/>
      <c r="J231" s="24" t="n"/>
      <c r="K231" s="22" t="n"/>
      <c r="O231" s="25">
        <f>IF(A231="","",H231*J231)</f>
        <v/>
      </c>
      <c r="P231" s="18">
        <f>IF(K231="","",DATEDIF(K231,TODAY(),"m"))</f>
        <v/>
      </c>
      <c r="Q231" s="27">
        <f>IF(A231="","",SUMIFS(Uso_Embalagens!$E:$E,Uso_Embalagens!$D:$D,A231))</f>
        <v/>
      </c>
    </row>
    <row r="232">
      <c r="H232" s="26" t="n"/>
      <c r="J232" s="24" t="n"/>
      <c r="K232" s="22" t="n"/>
      <c r="O232" s="25">
        <f>IF(A232="","",H232*J232)</f>
        <v/>
      </c>
      <c r="P232" s="18">
        <f>IF(K232="","",DATEDIF(K232,TODAY(),"m"))</f>
        <v/>
      </c>
      <c r="Q232" s="27">
        <f>IF(A232="","",SUMIFS(Uso_Embalagens!$E:$E,Uso_Embalagens!$D:$D,A232))</f>
        <v/>
      </c>
    </row>
    <row r="233">
      <c r="H233" s="26" t="n"/>
      <c r="J233" s="24" t="n"/>
      <c r="K233" s="22" t="n"/>
      <c r="O233" s="25">
        <f>IF(A233="","",H233*J233)</f>
        <v/>
      </c>
      <c r="P233" s="18">
        <f>IF(K233="","",DATEDIF(K233,TODAY(),"m"))</f>
        <v/>
      </c>
      <c r="Q233" s="27">
        <f>IF(A233="","",SUMIFS(Uso_Embalagens!$E:$E,Uso_Embalagens!$D:$D,A233))</f>
        <v/>
      </c>
    </row>
    <row r="234">
      <c r="H234" s="26" t="n"/>
      <c r="J234" s="24" t="n"/>
      <c r="K234" s="22" t="n"/>
      <c r="O234" s="25">
        <f>IF(A234="","",H234*J234)</f>
        <v/>
      </c>
      <c r="P234" s="18">
        <f>IF(K234="","",DATEDIF(K234,TODAY(),"m"))</f>
        <v/>
      </c>
      <c r="Q234" s="27">
        <f>IF(A234="","",SUMIFS(Uso_Embalagens!$E:$E,Uso_Embalagens!$D:$D,A234))</f>
        <v/>
      </c>
    </row>
    <row r="235">
      <c r="H235" s="26" t="n"/>
      <c r="J235" s="24" t="n"/>
      <c r="K235" s="22" t="n"/>
      <c r="O235" s="25">
        <f>IF(A235="","",H235*J235)</f>
        <v/>
      </c>
      <c r="P235" s="18">
        <f>IF(K235="","",DATEDIF(K235,TODAY(),"m"))</f>
        <v/>
      </c>
      <c r="Q235" s="27">
        <f>IF(A235="","",SUMIFS(Uso_Embalagens!$E:$E,Uso_Embalagens!$D:$D,A235))</f>
        <v/>
      </c>
    </row>
    <row r="236">
      <c r="H236" s="26" t="n"/>
      <c r="J236" s="24" t="n"/>
      <c r="K236" s="22" t="n"/>
      <c r="O236" s="25">
        <f>IF(A236="","",H236*J236)</f>
        <v/>
      </c>
      <c r="P236" s="18">
        <f>IF(K236="","",DATEDIF(K236,TODAY(),"m"))</f>
        <v/>
      </c>
      <c r="Q236" s="27">
        <f>IF(A236="","",SUMIFS(Uso_Embalagens!$E:$E,Uso_Embalagens!$D:$D,A236))</f>
        <v/>
      </c>
    </row>
    <row r="237">
      <c r="H237" s="26" t="n"/>
      <c r="J237" s="24" t="n"/>
      <c r="K237" s="22" t="n"/>
      <c r="O237" s="25">
        <f>IF(A237="","",H237*J237)</f>
        <v/>
      </c>
      <c r="P237" s="18">
        <f>IF(K237="","",DATEDIF(K237,TODAY(),"m"))</f>
        <v/>
      </c>
      <c r="Q237" s="27">
        <f>IF(A237="","",SUMIFS(Uso_Embalagens!$E:$E,Uso_Embalagens!$D:$D,A237))</f>
        <v/>
      </c>
    </row>
    <row r="238">
      <c r="H238" s="26" t="n"/>
      <c r="J238" s="24" t="n"/>
      <c r="K238" s="22" t="n"/>
      <c r="O238" s="25">
        <f>IF(A238="","",H238*J238)</f>
        <v/>
      </c>
      <c r="P238" s="18">
        <f>IF(K238="","",DATEDIF(K238,TODAY(),"m"))</f>
        <v/>
      </c>
      <c r="Q238" s="27">
        <f>IF(A238="","",SUMIFS(Uso_Embalagens!$E:$E,Uso_Embalagens!$D:$D,A238))</f>
        <v/>
      </c>
    </row>
    <row r="239">
      <c r="H239" s="26" t="n"/>
      <c r="J239" s="24" t="n"/>
      <c r="K239" s="22" t="n"/>
      <c r="O239" s="25">
        <f>IF(A239="","",H239*J239)</f>
        <v/>
      </c>
      <c r="P239" s="18">
        <f>IF(K239="","",DATEDIF(K239,TODAY(),"m"))</f>
        <v/>
      </c>
      <c r="Q239" s="27">
        <f>IF(A239="","",SUMIFS(Uso_Embalagens!$E:$E,Uso_Embalagens!$D:$D,A239))</f>
        <v/>
      </c>
    </row>
    <row r="240">
      <c r="H240" s="26" t="n"/>
      <c r="J240" s="24" t="n"/>
      <c r="K240" s="22" t="n"/>
      <c r="O240" s="25">
        <f>IF(A240="","",H240*J240)</f>
        <v/>
      </c>
      <c r="P240" s="18">
        <f>IF(K240="","",DATEDIF(K240,TODAY(),"m"))</f>
        <v/>
      </c>
      <c r="Q240" s="27">
        <f>IF(A240="","",SUMIFS(Uso_Embalagens!$E:$E,Uso_Embalagens!$D:$D,A240))</f>
        <v/>
      </c>
    </row>
    <row r="241">
      <c r="H241" s="26" t="n"/>
      <c r="J241" s="24" t="n"/>
      <c r="K241" s="22" t="n"/>
      <c r="O241" s="25">
        <f>IF(A241="","",H241*J241)</f>
        <v/>
      </c>
      <c r="P241" s="18">
        <f>IF(K241="","",DATEDIF(K241,TODAY(),"m"))</f>
        <v/>
      </c>
      <c r="Q241" s="27">
        <f>IF(A241="","",SUMIFS(Uso_Embalagens!$E:$E,Uso_Embalagens!$D:$D,A241))</f>
        <v/>
      </c>
    </row>
    <row r="242">
      <c r="H242" s="26" t="n"/>
      <c r="J242" s="24" t="n"/>
      <c r="K242" s="22" t="n"/>
      <c r="O242" s="25">
        <f>IF(A242="","",H242*J242)</f>
        <v/>
      </c>
      <c r="P242" s="18">
        <f>IF(K242="","",DATEDIF(K242,TODAY(),"m"))</f>
        <v/>
      </c>
      <c r="Q242" s="27">
        <f>IF(A242="","",SUMIFS(Uso_Embalagens!$E:$E,Uso_Embalagens!$D:$D,A242))</f>
        <v/>
      </c>
    </row>
    <row r="243">
      <c r="H243" s="26" t="n"/>
      <c r="J243" s="24" t="n"/>
      <c r="K243" s="22" t="n"/>
      <c r="O243" s="25">
        <f>IF(A243="","",H243*J243)</f>
        <v/>
      </c>
      <c r="P243" s="18">
        <f>IF(K243="","",DATEDIF(K243,TODAY(),"m"))</f>
        <v/>
      </c>
      <c r="Q243" s="27">
        <f>IF(A243="","",SUMIFS(Uso_Embalagens!$E:$E,Uso_Embalagens!$D:$D,A243))</f>
        <v/>
      </c>
    </row>
    <row r="244">
      <c r="H244" s="26" t="n"/>
      <c r="J244" s="24" t="n"/>
      <c r="K244" s="22" t="n"/>
      <c r="O244" s="25">
        <f>IF(A244="","",H244*J244)</f>
        <v/>
      </c>
      <c r="P244" s="18">
        <f>IF(K244="","",DATEDIF(K244,TODAY(),"m"))</f>
        <v/>
      </c>
      <c r="Q244" s="27">
        <f>IF(A244="","",SUMIFS(Uso_Embalagens!$E:$E,Uso_Embalagens!$D:$D,A244))</f>
        <v/>
      </c>
    </row>
    <row r="245">
      <c r="H245" s="26" t="n"/>
      <c r="J245" s="24" t="n"/>
      <c r="K245" s="22" t="n"/>
      <c r="O245" s="25">
        <f>IF(A245="","",H245*J245)</f>
        <v/>
      </c>
      <c r="P245" s="18">
        <f>IF(K245="","",DATEDIF(K245,TODAY(),"m"))</f>
        <v/>
      </c>
      <c r="Q245" s="27">
        <f>IF(A245="","",SUMIFS(Uso_Embalagens!$E:$E,Uso_Embalagens!$D:$D,A245))</f>
        <v/>
      </c>
    </row>
    <row r="246">
      <c r="H246" s="26" t="n"/>
      <c r="J246" s="24" t="n"/>
      <c r="K246" s="22" t="n"/>
      <c r="O246" s="25">
        <f>IF(A246="","",H246*J246)</f>
        <v/>
      </c>
      <c r="P246" s="18">
        <f>IF(K246="","",DATEDIF(K246,TODAY(),"m"))</f>
        <v/>
      </c>
      <c r="Q246" s="27">
        <f>IF(A246="","",SUMIFS(Uso_Embalagens!$E:$E,Uso_Embalagens!$D:$D,A246))</f>
        <v/>
      </c>
    </row>
    <row r="247">
      <c r="H247" s="26" t="n"/>
      <c r="J247" s="24" t="n"/>
      <c r="K247" s="22" t="n"/>
      <c r="O247" s="25">
        <f>IF(A247="","",H247*J247)</f>
        <v/>
      </c>
      <c r="P247" s="18">
        <f>IF(K247="","",DATEDIF(K247,TODAY(),"m"))</f>
        <v/>
      </c>
      <c r="Q247" s="27">
        <f>IF(A247="","",SUMIFS(Uso_Embalagens!$E:$E,Uso_Embalagens!$D:$D,A247))</f>
        <v/>
      </c>
    </row>
    <row r="248">
      <c r="H248" s="26" t="n"/>
      <c r="J248" s="24" t="n"/>
      <c r="K248" s="22" t="n"/>
      <c r="O248" s="25">
        <f>IF(A248="","",H248*J248)</f>
        <v/>
      </c>
      <c r="P248" s="18">
        <f>IF(K248="","",DATEDIF(K248,TODAY(),"m"))</f>
        <v/>
      </c>
      <c r="Q248" s="27">
        <f>IF(A248="","",SUMIFS(Uso_Embalagens!$E:$E,Uso_Embalagens!$D:$D,A248))</f>
        <v/>
      </c>
    </row>
    <row r="249">
      <c r="H249" s="26" t="n"/>
      <c r="J249" s="24" t="n"/>
      <c r="K249" s="22" t="n"/>
      <c r="O249" s="25">
        <f>IF(A249="","",H249*J249)</f>
        <v/>
      </c>
      <c r="P249" s="18">
        <f>IF(K249="","",DATEDIF(K249,TODAY(),"m"))</f>
        <v/>
      </c>
      <c r="Q249" s="27">
        <f>IF(A249="","",SUMIFS(Uso_Embalagens!$E:$E,Uso_Embalagens!$D:$D,A249))</f>
        <v/>
      </c>
    </row>
    <row r="250">
      <c r="H250" s="26" t="n"/>
      <c r="J250" s="24" t="n"/>
      <c r="K250" s="22" t="n"/>
      <c r="O250" s="25">
        <f>IF(A250="","",H250*J250)</f>
        <v/>
      </c>
      <c r="P250" s="18">
        <f>IF(K250="","",DATEDIF(K250,TODAY(),"m"))</f>
        <v/>
      </c>
      <c r="Q250" s="27">
        <f>IF(A250="","",SUMIFS(Uso_Embalagens!$E:$E,Uso_Embalagens!$D:$D,A250))</f>
        <v/>
      </c>
    </row>
    <row r="251">
      <c r="H251" s="26" t="n"/>
      <c r="J251" s="24" t="n"/>
      <c r="K251" s="22" t="n"/>
      <c r="O251" s="25">
        <f>IF(A251="","",H251*J251)</f>
        <v/>
      </c>
      <c r="P251" s="18">
        <f>IF(K251="","",DATEDIF(K251,TODAY(),"m"))</f>
        <v/>
      </c>
      <c r="Q251" s="27">
        <f>IF(A251="","",SUMIFS(Uso_Embalagens!$E:$E,Uso_Embalagens!$D:$D,A251))</f>
        <v/>
      </c>
    </row>
    <row r="252">
      <c r="H252" s="26" t="n"/>
      <c r="J252" s="24" t="n"/>
      <c r="K252" s="22" t="n"/>
      <c r="O252" s="25">
        <f>IF(A252="","",H252*J252)</f>
        <v/>
      </c>
      <c r="P252" s="18">
        <f>IF(K252="","",DATEDIF(K252,TODAY(),"m"))</f>
        <v/>
      </c>
      <c r="Q252" s="27">
        <f>IF(A252="","",SUMIFS(Uso_Embalagens!$E:$E,Uso_Embalagens!$D:$D,A252))</f>
        <v/>
      </c>
    </row>
    <row r="253">
      <c r="H253" s="26" t="n"/>
      <c r="J253" s="24" t="n"/>
      <c r="K253" s="22" t="n"/>
      <c r="O253" s="25">
        <f>IF(A253="","",H253*J253)</f>
        <v/>
      </c>
      <c r="P253" s="18">
        <f>IF(K253="","",DATEDIF(K253,TODAY(),"m"))</f>
        <v/>
      </c>
      <c r="Q253" s="27">
        <f>IF(A253="","",SUMIFS(Uso_Embalagens!$E:$E,Uso_Embalagens!$D:$D,A253))</f>
        <v/>
      </c>
    </row>
    <row r="254">
      <c r="H254" s="26" t="n"/>
      <c r="J254" s="24" t="n"/>
      <c r="K254" s="22" t="n"/>
      <c r="O254" s="25">
        <f>IF(A254="","",H254*J254)</f>
        <v/>
      </c>
      <c r="P254" s="18">
        <f>IF(K254="","",DATEDIF(K254,TODAY(),"m"))</f>
        <v/>
      </c>
      <c r="Q254" s="27">
        <f>IF(A254="","",SUMIFS(Uso_Embalagens!$E:$E,Uso_Embalagens!$D:$D,A254))</f>
        <v/>
      </c>
    </row>
    <row r="255">
      <c r="H255" s="26" t="n"/>
      <c r="J255" s="24" t="n"/>
      <c r="K255" s="22" t="n"/>
      <c r="O255" s="25">
        <f>IF(A255="","",H255*J255)</f>
        <v/>
      </c>
      <c r="P255" s="18">
        <f>IF(K255="","",DATEDIF(K255,TODAY(),"m"))</f>
        <v/>
      </c>
      <c r="Q255" s="27">
        <f>IF(A255="","",SUMIFS(Uso_Embalagens!$E:$E,Uso_Embalagens!$D:$D,A255))</f>
        <v/>
      </c>
    </row>
    <row r="256">
      <c r="H256" s="26" t="n"/>
      <c r="J256" s="24" t="n"/>
      <c r="K256" s="22" t="n"/>
      <c r="O256" s="25">
        <f>IF(A256="","",H256*J256)</f>
        <v/>
      </c>
      <c r="P256" s="18">
        <f>IF(K256="","",DATEDIF(K256,TODAY(),"m"))</f>
        <v/>
      </c>
      <c r="Q256" s="27">
        <f>IF(A256="","",SUMIFS(Uso_Embalagens!$E:$E,Uso_Embalagens!$D:$D,A256))</f>
        <v/>
      </c>
    </row>
    <row r="257">
      <c r="H257" s="26" t="n"/>
      <c r="J257" s="24" t="n"/>
      <c r="K257" s="22" t="n"/>
      <c r="O257" s="25">
        <f>IF(A257="","",H257*J257)</f>
        <v/>
      </c>
      <c r="P257" s="18">
        <f>IF(K257="","",DATEDIF(K257,TODAY(),"m"))</f>
        <v/>
      </c>
      <c r="Q257" s="27">
        <f>IF(A257="","",SUMIFS(Uso_Embalagens!$E:$E,Uso_Embalagens!$D:$D,A257))</f>
        <v/>
      </c>
    </row>
    <row r="258">
      <c r="H258" s="26" t="n"/>
      <c r="J258" s="24" t="n"/>
      <c r="K258" s="22" t="n"/>
      <c r="O258" s="25">
        <f>IF(A258="","",H258*J258)</f>
        <v/>
      </c>
      <c r="P258" s="18">
        <f>IF(K258="","",DATEDIF(K258,TODAY(),"m"))</f>
        <v/>
      </c>
      <c r="Q258" s="27">
        <f>IF(A258="","",SUMIFS(Uso_Embalagens!$E:$E,Uso_Embalagens!$D:$D,A258))</f>
        <v/>
      </c>
    </row>
    <row r="259">
      <c r="H259" s="26" t="n"/>
      <c r="J259" s="24" t="n"/>
      <c r="K259" s="22" t="n"/>
      <c r="O259" s="25">
        <f>IF(A259="","",H259*J259)</f>
        <v/>
      </c>
      <c r="P259" s="18">
        <f>IF(K259="","",DATEDIF(K259,TODAY(),"m"))</f>
        <v/>
      </c>
      <c r="Q259" s="27">
        <f>IF(A259="","",SUMIFS(Uso_Embalagens!$E:$E,Uso_Embalagens!$D:$D,A259))</f>
        <v/>
      </c>
    </row>
    <row r="260">
      <c r="H260" s="26" t="n"/>
      <c r="J260" s="24" t="n"/>
      <c r="K260" s="22" t="n"/>
      <c r="O260" s="25">
        <f>IF(A260="","",H260*J260)</f>
        <v/>
      </c>
      <c r="P260" s="18">
        <f>IF(K260="","",DATEDIF(K260,TODAY(),"m"))</f>
        <v/>
      </c>
      <c r="Q260" s="27">
        <f>IF(A260="","",SUMIFS(Uso_Embalagens!$E:$E,Uso_Embalagens!$D:$D,A260))</f>
        <v/>
      </c>
    </row>
    <row r="261">
      <c r="H261" s="26" t="n"/>
      <c r="J261" s="24" t="n"/>
      <c r="K261" s="22" t="n"/>
      <c r="O261" s="25">
        <f>IF(A261="","",H261*J261)</f>
        <v/>
      </c>
      <c r="P261" s="18">
        <f>IF(K261="","",DATEDIF(K261,TODAY(),"m"))</f>
        <v/>
      </c>
      <c r="Q261" s="27">
        <f>IF(A261="","",SUMIFS(Uso_Embalagens!$E:$E,Uso_Embalagens!$D:$D,A261))</f>
        <v/>
      </c>
    </row>
    <row r="262">
      <c r="H262" s="26" t="n"/>
      <c r="J262" s="24" t="n"/>
      <c r="K262" s="22" t="n"/>
      <c r="O262" s="25">
        <f>IF(A262="","",H262*J262)</f>
        <v/>
      </c>
      <c r="P262" s="18">
        <f>IF(K262="","",DATEDIF(K262,TODAY(),"m"))</f>
        <v/>
      </c>
      <c r="Q262" s="27">
        <f>IF(A262="","",SUMIFS(Uso_Embalagens!$E:$E,Uso_Embalagens!$D:$D,A262))</f>
        <v/>
      </c>
    </row>
    <row r="263">
      <c r="H263" s="26" t="n"/>
      <c r="J263" s="24" t="n"/>
      <c r="K263" s="22" t="n"/>
      <c r="O263" s="25">
        <f>IF(A263="","",H263*J263)</f>
        <v/>
      </c>
      <c r="P263" s="18">
        <f>IF(K263="","",DATEDIF(K263,TODAY(),"m"))</f>
        <v/>
      </c>
      <c r="Q263" s="27">
        <f>IF(A263="","",SUMIFS(Uso_Embalagens!$E:$E,Uso_Embalagens!$D:$D,A263))</f>
        <v/>
      </c>
    </row>
    <row r="264">
      <c r="H264" s="26" t="n"/>
      <c r="J264" s="24" t="n"/>
      <c r="K264" s="22" t="n"/>
      <c r="O264" s="25">
        <f>IF(A264="","",H264*J264)</f>
        <v/>
      </c>
      <c r="P264" s="18">
        <f>IF(K264="","",DATEDIF(K264,TODAY(),"m"))</f>
        <v/>
      </c>
      <c r="Q264" s="27">
        <f>IF(A264="","",SUMIFS(Uso_Embalagens!$E:$E,Uso_Embalagens!$D:$D,A264))</f>
        <v/>
      </c>
    </row>
    <row r="265">
      <c r="H265" s="26" t="n"/>
      <c r="J265" s="24" t="n"/>
      <c r="K265" s="22" t="n"/>
      <c r="O265" s="25">
        <f>IF(A265="","",H265*J265)</f>
        <v/>
      </c>
      <c r="P265" s="18">
        <f>IF(K265="","",DATEDIF(K265,TODAY(),"m"))</f>
        <v/>
      </c>
      <c r="Q265" s="27">
        <f>IF(A265="","",SUMIFS(Uso_Embalagens!$E:$E,Uso_Embalagens!$D:$D,A265))</f>
        <v/>
      </c>
    </row>
    <row r="266">
      <c r="H266" s="26" t="n"/>
      <c r="J266" s="24" t="n"/>
      <c r="K266" s="22" t="n"/>
      <c r="O266" s="25">
        <f>IF(A266="","",H266*J266)</f>
        <v/>
      </c>
      <c r="P266" s="18">
        <f>IF(K266="","",DATEDIF(K266,TODAY(),"m"))</f>
        <v/>
      </c>
      <c r="Q266" s="27">
        <f>IF(A266="","",SUMIFS(Uso_Embalagens!$E:$E,Uso_Embalagens!$D:$D,A266))</f>
        <v/>
      </c>
    </row>
    <row r="267">
      <c r="H267" s="26" t="n"/>
      <c r="J267" s="24" t="n"/>
      <c r="K267" s="22" t="n"/>
      <c r="O267" s="25">
        <f>IF(A267="","",H267*J267)</f>
        <v/>
      </c>
      <c r="P267" s="18">
        <f>IF(K267="","",DATEDIF(K267,TODAY(),"m"))</f>
        <v/>
      </c>
      <c r="Q267" s="27">
        <f>IF(A267="","",SUMIFS(Uso_Embalagens!$E:$E,Uso_Embalagens!$D:$D,A267))</f>
        <v/>
      </c>
    </row>
    <row r="268">
      <c r="H268" s="26" t="n"/>
      <c r="J268" s="24" t="n"/>
      <c r="K268" s="22" t="n"/>
      <c r="O268" s="25">
        <f>IF(A268="","",H268*J268)</f>
        <v/>
      </c>
      <c r="P268" s="18">
        <f>IF(K268="","",DATEDIF(K268,TODAY(),"m"))</f>
        <v/>
      </c>
      <c r="Q268" s="27">
        <f>IF(A268="","",SUMIFS(Uso_Embalagens!$E:$E,Uso_Embalagens!$D:$D,A268))</f>
        <v/>
      </c>
    </row>
    <row r="269">
      <c r="H269" s="26" t="n"/>
      <c r="J269" s="24" t="n"/>
      <c r="K269" s="22" t="n"/>
      <c r="O269" s="25">
        <f>IF(A269="","",H269*J269)</f>
        <v/>
      </c>
      <c r="P269" s="18">
        <f>IF(K269="","",DATEDIF(K269,TODAY(),"m"))</f>
        <v/>
      </c>
      <c r="Q269" s="27">
        <f>IF(A269="","",SUMIFS(Uso_Embalagens!$E:$E,Uso_Embalagens!$D:$D,A269))</f>
        <v/>
      </c>
    </row>
    <row r="270">
      <c r="H270" s="26" t="n"/>
      <c r="J270" s="24" t="n"/>
      <c r="K270" s="22" t="n"/>
      <c r="O270" s="25">
        <f>IF(A270="","",H270*J270)</f>
        <v/>
      </c>
      <c r="P270" s="18">
        <f>IF(K270="","",DATEDIF(K270,TODAY(),"m"))</f>
        <v/>
      </c>
      <c r="Q270" s="27">
        <f>IF(A270="","",SUMIFS(Uso_Embalagens!$E:$E,Uso_Embalagens!$D:$D,A270))</f>
        <v/>
      </c>
    </row>
    <row r="271">
      <c r="H271" s="26" t="n"/>
      <c r="J271" s="24" t="n"/>
      <c r="K271" s="22" t="n"/>
      <c r="O271" s="25">
        <f>IF(A271="","",H271*J271)</f>
        <v/>
      </c>
      <c r="P271" s="18">
        <f>IF(K271="","",DATEDIF(K271,TODAY(),"m"))</f>
        <v/>
      </c>
      <c r="Q271" s="27">
        <f>IF(A271="","",SUMIFS(Uso_Embalagens!$E:$E,Uso_Embalagens!$D:$D,A271))</f>
        <v/>
      </c>
    </row>
    <row r="272">
      <c r="H272" s="26" t="n"/>
      <c r="J272" s="24" t="n"/>
      <c r="K272" s="22" t="n"/>
      <c r="O272" s="25">
        <f>IF(A272="","",H272*J272)</f>
        <v/>
      </c>
      <c r="P272" s="18">
        <f>IF(K272="","",DATEDIF(K272,TODAY(),"m"))</f>
        <v/>
      </c>
      <c r="Q272" s="27">
        <f>IF(A272="","",SUMIFS(Uso_Embalagens!$E:$E,Uso_Embalagens!$D:$D,A272))</f>
        <v/>
      </c>
    </row>
    <row r="273">
      <c r="H273" s="26" t="n"/>
      <c r="J273" s="24" t="n"/>
      <c r="K273" s="22" t="n"/>
      <c r="O273" s="25">
        <f>IF(A273="","",H273*J273)</f>
        <v/>
      </c>
      <c r="P273" s="18">
        <f>IF(K273="","",DATEDIF(K273,TODAY(),"m"))</f>
        <v/>
      </c>
      <c r="Q273" s="27">
        <f>IF(A273="","",SUMIFS(Uso_Embalagens!$E:$E,Uso_Embalagens!$D:$D,A273))</f>
        <v/>
      </c>
    </row>
    <row r="274">
      <c r="H274" s="26" t="n"/>
      <c r="J274" s="24" t="n"/>
      <c r="K274" s="22" t="n"/>
      <c r="O274" s="25">
        <f>IF(A274="","",H274*J274)</f>
        <v/>
      </c>
      <c r="P274" s="18">
        <f>IF(K274="","",DATEDIF(K274,TODAY(),"m"))</f>
        <v/>
      </c>
      <c r="Q274" s="27">
        <f>IF(A274="","",SUMIFS(Uso_Embalagens!$E:$E,Uso_Embalagens!$D:$D,A274))</f>
        <v/>
      </c>
    </row>
    <row r="275">
      <c r="H275" s="26" t="n"/>
      <c r="J275" s="24" t="n"/>
      <c r="K275" s="22" t="n"/>
      <c r="O275" s="25">
        <f>IF(A275="","",H275*J275)</f>
        <v/>
      </c>
      <c r="P275" s="18">
        <f>IF(K275="","",DATEDIF(K275,TODAY(),"m"))</f>
        <v/>
      </c>
      <c r="Q275" s="27">
        <f>IF(A275="","",SUMIFS(Uso_Embalagens!$E:$E,Uso_Embalagens!$D:$D,A275))</f>
        <v/>
      </c>
    </row>
    <row r="276">
      <c r="H276" s="26" t="n"/>
      <c r="J276" s="24" t="n"/>
      <c r="K276" s="22" t="n"/>
      <c r="O276" s="25">
        <f>IF(A276="","",H276*J276)</f>
        <v/>
      </c>
      <c r="P276" s="18">
        <f>IF(K276="","",DATEDIF(K276,TODAY(),"m"))</f>
        <v/>
      </c>
      <c r="Q276" s="27">
        <f>IF(A276="","",SUMIFS(Uso_Embalagens!$E:$E,Uso_Embalagens!$D:$D,A276))</f>
        <v/>
      </c>
    </row>
    <row r="277">
      <c r="H277" s="26" t="n"/>
      <c r="J277" s="24" t="n"/>
      <c r="K277" s="22" t="n"/>
      <c r="O277" s="25">
        <f>IF(A277="","",H277*J277)</f>
        <v/>
      </c>
      <c r="P277" s="18">
        <f>IF(K277="","",DATEDIF(K277,TODAY(),"m"))</f>
        <v/>
      </c>
      <c r="Q277" s="27">
        <f>IF(A277="","",SUMIFS(Uso_Embalagens!$E:$E,Uso_Embalagens!$D:$D,A277))</f>
        <v/>
      </c>
    </row>
    <row r="278">
      <c r="H278" s="26" t="n"/>
      <c r="J278" s="24" t="n"/>
      <c r="K278" s="22" t="n"/>
      <c r="O278" s="25">
        <f>IF(A278="","",H278*J278)</f>
        <v/>
      </c>
      <c r="P278" s="18">
        <f>IF(K278="","",DATEDIF(K278,TODAY(),"m"))</f>
        <v/>
      </c>
      <c r="Q278" s="27">
        <f>IF(A278="","",SUMIFS(Uso_Embalagens!$E:$E,Uso_Embalagens!$D:$D,A278))</f>
        <v/>
      </c>
    </row>
    <row r="279">
      <c r="H279" s="26" t="n"/>
      <c r="J279" s="24" t="n"/>
      <c r="K279" s="22" t="n"/>
      <c r="O279" s="25">
        <f>IF(A279="","",H279*J279)</f>
        <v/>
      </c>
      <c r="P279" s="18">
        <f>IF(K279="","",DATEDIF(K279,TODAY(),"m"))</f>
        <v/>
      </c>
      <c r="Q279" s="27">
        <f>IF(A279="","",SUMIFS(Uso_Embalagens!$E:$E,Uso_Embalagens!$D:$D,A279))</f>
        <v/>
      </c>
    </row>
    <row r="280">
      <c r="H280" s="26" t="n"/>
      <c r="J280" s="24" t="n"/>
      <c r="K280" s="22" t="n"/>
      <c r="O280" s="25">
        <f>IF(A280="","",H280*J280)</f>
        <v/>
      </c>
      <c r="P280" s="18">
        <f>IF(K280="","",DATEDIF(K280,TODAY(),"m"))</f>
        <v/>
      </c>
      <c r="Q280" s="27">
        <f>IF(A280="","",SUMIFS(Uso_Embalagens!$E:$E,Uso_Embalagens!$D:$D,A280))</f>
        <v/>
      </c>
    </row>
    <row r="281">
      <c r="H281" s="26" t="n"/>
      <c r="J281" s="24" t="n"/>
      <c r="K281" s="22" t="n"/>
      <c r="O281" s="25">
        <f>IF(A281="","",H281*J281)</f>
        <v/>
      </c>
      <c r="P281" s="18">
        <f>IF(K281="","",DATEDIF(K281,TODAY(),"m"))</f>
        <v/>
      </c>
      <c r="Q281" s="27">
        <f>IF(A281="","",SUMIFS(Uso_Embalagens!$E:$E,Uso_Embalagens!$D:$D,A281))</f>
        <v/>
      </c>
    </row>
    <row r="282">
      <c r="H282" s="26" t="n"/>
      <c r="J282" s="24" t="n"/>
      <c r="K282" s="22" t="n"/>
      <c r="O282" s="25">
        <f>IF(A282="","",H282*J282)</f>
        <v/>
      </c>
      <c r="P282" s="18">
        <f>IF(K282="","",DATEDIF(K282,TODAY(),"m"))</f>
        <v/>
      </c>
      <c r="Q282" s="27">
        <f>IF(A282="","",SUMIFS(Uso_Embalagens!$E:$E,Uso_Embalagens!$D:$D,A282))</f>
        <v/>
      </c>
    </row>
    <row r="283">
      <c r="H283" s="26" t="n"/>
      <c r="J283" s="24" t="n"/>
      <c r="K283" s="22" t="n"/>
      <c r="O283" s="25">
        <f>IF(A283="","",H283*J283)</f>
        <v/>
      </c>
      <c r="P283" s="18">
        <f>IF(K283="","",DATEDIF(K283,TODAY(),"m"))</f>
        <v/>
      </c>
      <c r="Q283" s="27">
        <f>IF(A283="","",SUMIFS(Uso_Embalagens!$E:$E,Uso_Embalagens!$D:$D,A283))</f>
        <v/>
      </c>
    </row>
    <row r="284">
      <c r="H284" s="26" t="n"/>
      <c r="J284" s="24" t="n"/>
      <c r="K284" s="22" t="n"/>
      <c r="O284" s="25">
        <f>IF(A284="","",H284*J284)</f>
        <v/>
      </c>
      <c r="P284" s="18">
        <f>IF(K284="","",DATEDIF(K284,TODAY(),"m"))</f>
        <v/>
      </c>
      <c r="Q284" s="27">
        <f>IF(A284="","",SUMIFS(Uso_Embalagens!$E:$E,Uso_Embalagens!$D:$D,A284))</f>
        <v/>
      </c>
    </row>
    <row r="285">
      <c r="H285" s="26" t="n"/>
      <c r="J285" s="24" t="n"/>
      <c r="K285" s="22" t="n"/>
      <c r="O285" s="25">
        <f>IF(A285="","",H285*J285)</f>
        <v/>
      </c>
      <c r="P285" s="18">
        <f>IF(K285="","",DATEDIF(K285,TODAY(),"m"))</f>
        <v/>
      </c>
      <c r="Q285" s="27">
        <f>IF(A285="","",SUMIFS(Uso_Embalagens!$E:$E,Uso_Embalagens!$D:$D,A285))</f>
        <v/>
      </c>
    </row>
    <row r="286">
      <c r="H286" s="26" t="n"/>
      <c r="J286" s="24" t="n"/>
      <c r="K286" s="22" t="n"/>
      <c r="O286" s="25">
        <f>IF(A286="","",H286*J286)</f>
        <v/>
      </c>
      <c r="P286" s="18">
        <f>IF(K286="","",DATEDIF(K286,TODAY(),"m"))</f>
        <v/>
      </c>
      <c r="Q286" s="27">
        <f>IF(A286="","",SUMIFS(Uso_Embalagens!$E:$E,Uso_Embalagens!$D:$D,A286))</f>
        <v/>
      </c>
    </row>
    <row r="287">
      <c r="H287" s="26" t="n"/>
      <c r="J287" s="24" t="n"/>
      <c r="K287" s="22" t="n"/>
      <c r="O287" s="25">
        <f>IF(A287="","",H287*J287)</f>
        <v/>
      </c>
      <c r="P287" s="18">
        <f>IF(K287="","",DATEDIF(K287,TODAY(),"m"))</f>
        <v/>
      </c>
      <c r="Q287" s="27">
        <f>IF(A287="","",SUMIFS(Uso_Embalagens!$E:$E,Uso_Embalagens!$D:$D,A287))</f>
        <v/>
      </c>
    </row>
    <row r="288">
      <c r="H288" s="26" t="n"/>
      <c r="J288" s="24" t="n"/>
      <c r="K288" s="22" t="n"/>
      <c r="O288" s="25">
        <f>IF(A288="","",H288*J288)</f>
        <v/>
      </c>
      <c r="P288" s="18">
        <f>IF(K288="","",DATEDIF(K288,TODAY(),"m"))</f>
        <v/>
      </c>
      <c r="Q288" s="27">
        <f>IF(A288="","",SUMIFS(Uso_Embalagens!$E:$E,Uso_Embalagens!$D:$D,A288))</f>
        <v/>
      </c>
    </row>
    <row r="289">
      <c r="H289" s="26" t="n"/>
      <c r="J289" s="24" t="n"/>
      <c r="K289" s="22" t="n"/>
      <c r="O289" s="25">
        <f>IF(A289="","",H289*J289)</f>
        <v/>
      </c>
      <c r="P289" s="18">
        <f>IF(K289="","",DATEDIF(K289,TODAY(),"m"))</f>
        <v/>
      </c>
      <c r="Q289" s="27">
        <f>IF(A289="","",SUMIFS(Uso_Embalagens!$E:$E,Uso_Embalagens!$D:$D,A289))</f>
        <v/>
      </c>
    </row>
    <row r="290">
      <c r="H290" s="26" t="n"/>
      <c r="J290" s="24" t="n"/>
      <c r="K290" s="22" t="n"/>
      <c r="O290" s="25">
        <f>IF(A290="","",H290*J290)</f>
        <v/>
      </c>
      <c r="P290" s="18">
        <f>IF(K290="","",DATEDIF(K290,TODAY(),"m"))</f>
        <v/>
      </c>
      <c r="Q290" s="27">
        <f>IF(A290="","",SUMIFS(Uso_Embalagens!$E:$E,Uso_Embalagens!$D:$D,A290))</f>
        <v/>
      </c>
    </row>
    <row r="291">
      <c r="H291" s="26" t="n"/>
      <c r="J291" s="24" t="n"/>
      <c r="K291" s="22" t="n"/>
      <c r="O291" s="25">
        <f>IF(A291="","",H291*J291)</f>
        <v/>
      </c>
      <c r="P291" s="18">
        <f>IF(K291="","",DATEDIF(K291,TODAY(),"m"))</f>
        <v/>
      </c>
      <c r="Q291" s="27">
        <f>IF(A291="","",SUMIFS(Uso_Embalagens!$E:$E,Uso_Embalagens!$D:$D,A291))</f>
        <v/>
      </c>
    </row>
    <row r="292">
      <c r="H292" s="26" t="n"/>
      <c r="J292" s="24" t="n"/>
      <c r="K292" s="22" t="n"/>
      <c r="O292" s="25">
        <f>IF(A292="","",H292*J292)</f>
        <v/>
      </c>
      <c r="P292" s="18">
        <f>IF(K292="","",DATEDIF(K292,TODAY(),"m"))</f>
        <v/>
      </c>
      <c r="Q292" s="27">
        <f>IF(A292="","",SUMIFS(Uso_Embalagens!$E:$E,Uso_Embalagens!$D:$D,A292))</f>
        <v/>
      </c>
    </row>
    <row r="293">
      <c r="H293" s="26" t="n"/>
      <c r="J293" s="24" t="n"/>
      <c r="K293" s="22" t="n"/>
      <c r="O293" s="25">
        <f>IF(A293="","",H293*J293)</f>
        <v/>
      </c>
      <c r="P293" s="18">
        <f>IF(K293="","",DATEDIF(K293,TODAY(),"m"))</f>
        <v/>
      </c>
      <c r="Q293" s="27">
        <f>IF(A293="","",SUMIFS(Uso_Embalagens!$E:$E,Uso_Embalagens!$D:$D,A293))</f>
        <v/>
      </c>
    </row>
    <row r="294">
      <c r="H294" s="26" t="n"/>
      <c r="J294" s="24" t="n"/>
      <c r="K294" s="22" t="n"/>
      <c r="O294" s="25">
        <f>IF(A294="","",H294*J294)</f>
        <v/>
      </c>
      <c r="P294" s="18">
        <f>IF(K294="","",DATEDIF(K294,TODAY(),"m"))</f>
        <v/>
      </c>
      <c r="Q294" s="27">
        <f>IF(A294="","",SUMIFS(Uso_Embalagens!$E:$E,Uso_Embalagens!$D:$D,A294))</f>
        <v/>
      </c>
    </row>
    <row r="295">
      <c r="H295" s="26" t="n"/>
      <c r="J295" s="24" t="n"/>
      <c r="K295" s="22" t="n"/>
      <c r="O295" s="25">
        <f>IF(A295="","",H295*J295)</f>
        <v/>
      </c>
      <c r="P295" s="18">
        <f>IF(K295="","",DATEDIF(K295,TODAY(),"m"))</f>
        <v/>
      </c>
      <c r="Q295" s="27">
        <f>IF(A295="","",SUMIFS(Uso_Embalagens!$E:$E,Uso_Embalagens!$D:$D,A295))</f>
        <v/>
      </c>
    </row>
    <row r="296">
      <c r="H296" s="26" t="n"/>
      <c r="J296" s="24" t="n"/>
      <c r="K296" s="22" t="n"/>
      <c r="O296" s="25">
        <f>IF(A296="","",H296*J296)</f>
        <v/>
      </c>
      <c r="P296" s="18">
        <f>IF(K296="","",DATEDIF(K296,TODAY(),"m"))</f>
        <v/>
      </c>
      <c r="Q296" s="27">
        <f>IF(A296="","",SUMIFS(Uso_Embalagens!$E:$E,Uso_Embalagens!$D:$D,A296))</f>
        <v/>
      </c>
    </row>
    <row r="297">
      <c r="H297" s="26" t="n"/>
      <c r="J297" s="24" t="n"/>
      <c r="K297" s="22" t="n"/>
      <c r="O297" s="25">
        <f>IF(A297="","",H297*J297)</f>
        <v/>
      </c>
      <c r="P297" s="18">
        <f>IF(K297="","",DATEDIF(K297,TODAY(),"m"))</f>
        <v/>
      </c>
      <c r="Q297" s="27">
        <f>IF(A297="","",SUMIFS(Uso_Embalagens!$E:$E,Uso_Embalagens!$D:$D,A297))</f>
        <v/>
      </c>
    </row>
    <row r="298">
      <c r="H298" s="26" t="n"/>
      <c r="J298" s="24" t="n"/>
      <c r="K298" s="22" t="n"/>
      <c r="O298" s="25">
        <f>IF(A298="","",H298*J298)</f>
        <v/>
      </c>
      <c r="P298" s="18">
        <f>IF(K298="","",DATEDIF(K298,TODAY(),"m"))</f>
        <v/>
      </c>
      <c r="Q298" s="27">
        <f>IF(A298="","",SUMIFS(Uso_Embalagens!$E:$E,Uso_Embalagens!$D:$D,A298))</f>
        <v/>
      </c>
    </row>
    <row r="299">
      <c r="H299" s="26" t="n"/>
      <c r="J299" s="24" t="n"/>
      <c r="K299" s="22" t="n"/>
      <c r="O299" s="25">
        <f>IF(A299="","",H299*J299)</f>
        <v/>
      </c>
      <c r="P299" s="18">
        <f>IF(K299="","",DATEDIF(K299,TODAY(),"m"))</f>
        <v/>
      </c>
      <c r="Q299" s="27">
        <f>IF(A299="","",SUMIFS(Uso_Embalagens!$E:$E,Uso_Embalagens!$D:$D,A299))</f>
        <v/>
      </c>
    </row>
    <row r="300">
      <c r="H300" s="26" t="n"/>
      <c r="J300" s="24" t="n"/>
      <c r="K300" s="22" t="n"/>
      <c r="O300" s="25">
        <f>IF(A300="","",H300*J300)</f>
        <v/>
      </c>
      <c r="P300" s="18">
        <f>IF(K300="","",DATEDIF(K300,TODAY(),"m"))</f>
        <v/>
      </c>
      <c r="Q300" s="27">
        <f>IF(A300="","",SUMIFS(Uso_Embalagens!$E:$E,Uso_Embalagens!$D:$D,A300))</f>
        <v/>
      </c>
    </row>
    <row r="301">
      <c r="H301" s="26" t="n"/>
      <c r="J301" s="24" t="n"/>
      <c r="K301" s="22" t="n"/>
      <c r="O301" s="25">
        <f>IF(A301="","",H301*J301)</f>
        <v/>
      </c>
      <c r="P301" s="18">
        <f>IF(K301="","",DATEDIF(K301,TODAY(),"m"))</f>
        <v/>
      </c>
      <c r="Q301" s="27">
        <f>IF(A301="","",SUMIFS(Uso_Embalagens!$E:$E,Uso_Embalagens!$D:$D,A301))</f>
        <v/>
      </c>
    </row>
    <row r="302">
      <c r="H302" s="26" t="n"/>
      <c r="J302" s="24" t="n"/>
      <c r="K302" s="22" t="n"/>
      <c r="O302" s="25">
        <f>IF(A302="","",H302*J302)</f>
        <v/>
      </c>
      <c r="P302" s="18">
        <f>IF(K302="","",DATEDIF(K302,TODAY(),"m"))</f>
        <v/>
      </c>
      <c r="Q302" s="27">
        <f>IF(A302="","",SUMIFS(Uso_Embalagens!$E:$E,Uso_Embalagens!$D:$D,A302))</f>
        <v/>
      </c>
    </row>
    <row r="303">
      <c r="H303" s="26" t="n"/>
      <c r="J303" s="24" t="n"/>
      <c r="K303" s="22" t="n"/>
      <c r="O303" s="25">
        <f>IF(A303="","",H303*J303)</f>
        <v/>
      </c>
      <c r="P303" s="18">
        <f>IF(K303="","",DATEDIF(K303,TODAY(),"m"))</f>
        <v/>
      </c>
      <c r="Q303" s="27">
        <f>IF(A303="","",SUMIFS(Uso_Embalagens!$E:$E,Uso_Embalagens!$D:$D,A303))</f>
        <v/>
      </c>
    </row>
    <row r="304">
      <c r="H304" s="26" t="n"/>
      <c r="J304" s="24" t="n"/>
      <c r="K304" s="22" t="n"/>
      <c r="O304" s="25">
        <f>IF(A304="","",H304*J304)</f>
        <v/>
      </c>
      <c r="P304" s="18">
        <f>IF(K304="","",DATEDIF(K304,TODAY(),"m"))</f>
        <v/>
      </c>
      <c r="Q304" s="27">
        <f>IF(A304="","",SUMIFS(Uso_Embalagens!$E:$E,Uso_Embalagens!$D:$D,A304))</f>
        <v/>
      </c>
    </row>
    <row r="305">
      <c r="H305" s="26" t="n"/>
      <c r="J305" s="24" t="n"/>
      <c r="K305" s="22" t="n"/>
      <c r="O305" s="25">
        <f>IF(A305="","",H305*J305)</f>
        <v/>
      </c>
      <c r="P305" s="18">
        <f>IF(K305="","",DATEDIF(K305,TODAY(),"m"))</f>
        <v/>
      </c>
      <c r="Q305" s="27">
        <f>IF(A305="","",SUMIFS(Uso_Embalagens!$E:$E,Uso_Embalagens!$D:$D,A305))</f>
        <v/>
      </c>
    </row>
    <row r="306">
      <c r="H306" s="26" t="n"/>
      <c r="J306" s="24" t="n"/>
      <c r="K306" s="22" t="n"/>
      <c r="O306" s="25">
        <f>IF(A306="","",H306*J306)</f>
        <v/>
      </c>
      <c r="P306" s="18">
        <f>IF(K306="","",DATEDIF(K306,TODAY(),"m"))</f>
        <v/>
      </c>
      <c r="Q306" s="27">
        <f>IF(A306="","",SUMIFS(Uso_Embalagens!$E:$E,Uso_Embalagens!$D:$D,A306))</f>
        <v/>
      </c>
    </row>
    <row r="307">
      <c r="H307" s="26" t="n"/>
      <c r="J307" s="24" t="n"/>
      <c r="K307" s="22" t="n"/>
      <c r="O307" s="25">
        <f>IF(A307="","",H307*J307)</f>
        <v/>
      </c>
      <c r="P307" s="18">
        <f>IF(K307="","",DATEDIF(K307,TODAY(),"m"))</f>
        <v/>
      </c>
      <c r="Q307" s="27">
        <f>IF(A307="","",SUMIFS(Uso_Embalagens!$E:$E,Uso_Embalagens!$D:$D,A307))</f>
        <v/>
      </c>
    </row>
    <row r="308">
      <c r="H308" s="26" t="n"/>
      <c r="J308" s="24" t="n"/>
      <c r="K308" s="22" t="n"/>
      <c r="O308" s="25">
        <f>IF(A308="","",H308*J308)</f>
        <v/>
      </c>
      <c r="P308" s="18">
        <f>IF(K308="","",DATEDIF(K308,TODAY(),"m"))</f>
        <v/>
      </c>
      <c r="Q308" s="27">
        <f>IF(A308="","",SUMIFS(Uso_Embalagens!$E:$E,Uso_Embalagens!$D:$D,A308))</f>
        <v/>
      </c>
    </row>
    <row r="309">
      <c r="H309" s="26" t="n"/>
      <c r="J309" s="24" t="n"/>
      <c r="K309" s="22" t="n"/>
      <c r="O309" s="25">
        <f>IF(A309="","",H309*J309)</f>
        <v/>
      </c>
      <c r="P309" s="18">
        <f>IF(K309="","",DATEDIF(K309,TODAY(),"m"))</f>
        <v/>
      </c>
      <c r="Q309" s="27">
        <f>IF(A309="","",SUMIFS(Uso_Embalagens!$E:$E,Uso_Embalagens!$D:$D,A309))</f>
        <v/>
      </c>
    </row>
    <row r="310">
      <c r="H310" s="26" t="n"/>
      <c r="J310" s="24" t="n"/>
      <c r="K310" s="22" t="n"/>
      <c r="O310" s="25">
        <f>IF(A310="","",H310*J310)</f>
        <v/>
      </c>
      <c r="P310" s="18">
        <f>IF(K310="","",DATEDIF(K310,TODAY(),"m"))</f>
        <v/>
      </c>
      <c r="Q310" s="27">
        <f>IF(A310="","",SUMIFS(Uso_Embalagens!$E:$E,Uso_Embalagens!$D:$D,A310))</f>
        <v/>
      </c>
    </row>
    <row r="311">
      <c r="H311" s="26" t="n"/>
      <c r="J311" s="24" t="n"/>
      <c r="K311" s="22" t="n"/>
      <c r="O311" s="25">
        <f>IF(A311="","",H311*J311)</f>
        <v/>
      </c>
      <c r="P311" s="18">
        <f>IF(K311="","",DATEDIF(K311,TODAY(),"m"))</f>
        <v/>
      </c>
      <c r="Q311" s="27">
        <f>IF(A311="","",SUMIFS(Uso_Embalagens!$E:$E,Uso_Embalagens!$D:$D,A311))</f>
        <v/>
      </c>
    </row>
    <row r="312">
      <c r="H312" s="26" t="n"/>
      <c r="J312" s="24" t="n"/>
      <c r="K312" s="22" t="n"/>
      <c r="O312" s="25">
        <f>IF(A312="","",H312*J312)</f>
        <v/>
      </c>
      <c r="P312" s="18">
        <f>IF(K312="","",DATEDIF(K312,TODAY(),"m"))</f>
        <v/>
      </c>
      <c r="Q312" s="27">
        <f>IF(A312="","",SUMIFS(Uso_Embalagens!$E:$E,Uso_Embalagens!$D:$D,A312))</f>
        <v/>
      </c>
    </row>
    <row r="313">
      <c r="H313" s="26" t="n"/>
      <c r="J313" s="24" t="n"/>
      <c r="K313" s="22" t="n"/>
      <c r="O313" s="25">
        <f>IF(A313="","",H313*J313)</f>
        <v/>
      </c>
      <c r="P313" s="18">
        <f>IF(K313="","",DATEDIF(K313,TODAY(),"m"))</f>
        <v/>
      </c>
      <c r="Q313" s="27">
        <f>IF(A313="","",SUMIFS(Uso_Embalagens!$E:$E,Uso_Embalagens!$D:$D,A313))</f>
        <v/>
      </c>
    </row>
    <row r="314">
      <c r="H314" s="26" t="n"/>
      <c r="J314" s="24" t="n"/>
      <c r="K314" s="22" t="n"/>
      <c r="O314" s="25">
        <f>IF(A314="","",H314*J314)</f>
        <v/>
      </c>
      <c r="P314" s="18">
        <f>IF(K314="","",DATEDIF(K314,TODAY(),"m"))</f>
        <v/>
      </c>
      <c r="Q314" s="27">
        <f>IF(A314="","",SUMIFS(Uso_Embalagens!$E:$E,Uso_Embalagens!$D:$D,A314))</f>
        <v/>
      </c>
    </row>
    <row r="315">
      <c r="H315" s="26" t="n"/>
      <c r="J315" s="24" t="n"/>
      <c r="K315" s="22" t="n"/>
      <c r="O315" s="25">
        <f>IF(A315="","",H315*J315)</f>
        <v/>
      </c>
      <c r="P315" s="18">
        <f>IF(K315="","",DATEDIF(K315,TODAY(),"m"))</f>
        <v/>
      </c>
      <c r="Q315" s="27">
        <f>IF(A315="","",SUMIFS(Uso_Embalagens!$E:$E,Uso_Embalagens!$D:$D,A315))</f>
        <v/>
      </c>
    </row>
    <row r="316">
      <c r="H316" s="26" t="n"/>
      <c r="J316" s="24" t="n"/>
      <c r="K316" s="22" t="n"/>
      <c r="O316" s="25">
        <f>IF(A316="","",H316*J316)</f>
        <v/>
      </c>
      <c r="P316" s="18">
        <f>IF(K316="","",DATEDIF(K316,TODAY(),"m"))</f>
        <v/>
      </c>
      <c r="Q316" s="27">
        <f>IF(A316="","",SUMIFS(Uso_Embalagens!$E:$E,Uso_Embalagens!$D:$D,A316))</f>
        <v/>
      </c>
    </row>
    <row r="317">
      <c r="H317" s="26" t="n"/>
      <c r="J317" s="24" t="n"/>
      <c r="K317" s="22" t="n"/>
      <c r="O317" s="25">
        <f>IF(A317="","",H317*J317)</f>
        <v/>
      </c>
      <c r="P317" s="18">
        <f>IF(K317="","",DATEDIF(K317,TODAY(),"m"))</f>
        <v/>
      </c>
      <c r="Q317" s="27">
        <f>IF(A317="","",SUMIFS(Uso_Embalagens!$E:$E,Uso_Embalagens!$D:$D,A317))</f>
        <v/>
      </c>
    </row>
    <row r="318">
      <c r="H318" s="26" t="n"/>
      <c r="J318" s="24" t="n"/>
      <c r="K318" s="22" t="n"/>
      <c r="O318" s="25">
        <f>IF(A318="","",H318*J318)</f>
        <v/>
      </c>
      <c r="P318" s="18">
        <f>IF(K318="","",DATEDIF(K318,TODAY(),"m"))</f>
        <v/>
      </c>
      <c r="Q318" s="27">
        <f>IF(A318="","",SUMIFS(Uso_Embalagens!$E:$E,Uso_Embalagens!$D:$D,A318))</f>
        <v/>
      </c>
    </row>
    <row r="319">
      <c r="H319" s="26" t="n"/>
      <c r="J319" s="24" t="n"/>
      <c r="K319" s="22" t="n"/>
      <c r="O319" s="25">
        <f>IF(A319="","",H319*J319)</f>
        <v/>
      </c>
      <c r="P319" s="18">
        <f>IF(K319="","",DATEDIF(K319,TODAY(),"m"))</f>
        <v/>
      </c>
      <c r="Q319" s="27">
        <f>IF(A319="","",SUMIFS(Uso_Embalagens!$E:$E,Uso_Embalagens!$D:$D,A319))</f>
        <v/>
      </c>
    </row>
    <row r="320">
      <c r="H320" s="26" t="n"/>
      <c r="J320" s="24" t="n"/>
      <c r="K320" s="22" t="n"/>
      <c r="O320" s="25">
        <f>IF(A320="","",H320*J320)</f>
        <v/>
      </c>
      <c r="P320" s="18">
        <f>IF(K320="","",DATEDIF(K320,TODAY(),"m"))</f>
        <v/>
      </c>
      <c r="Q320" s="27">
        <f>IF(A320="","",SUMIFS(Uso_Embalagens!$E:$E,Uso_Embalagens!$D:$D,A320))</f>
        <v/>
      </c>
    </row>
    <row r="321">
      <c r="H321" s="26" t="n"/>
      <c r="J321" s="24" t="n"/>
      <c r="K321" s="22" t="n"/>
      <c r="O321" s="25">
        <f>IF(A321="","",H321*J321)</f>
        <v/>
      </c>
      <c r="P321" s="18">
        <f>IF(K321="","",DATEDIF(K321,TODAY(),"m"))</f>
        <v/>
      </c>
      <c r="Q321" s="27">
        <f>IF(A321="","",SUMIFS(Uso_Embalagens!$E:$E,Uso_Embalagens!$D:$D,A321))</f>
        <v/>
      </c>
    </row>
    <row r="322">
      <c r="H322" s="26" t="n"/>
      <c r="J322" s="24" t="n"/>
      <c r="K322" s="22" t="n"/>
      <c r="O322" s="25">
        <f>IF(A322="","",H322*J322)</f>
        <v/>
      </c>
      <c r="P322" s="18">
        <f>IF(K322="","",DATEDIF(K322,TODAY(),"m"))</f>
        <v/>
      </c>
      <c r="Q322" s="27">
        <f>IF(A322="","",SUMIFS(Uso_Embalagens!$E:$E,Uso_Embalagens!$D:$D,A322))</f>
        <v/>
      </c>
    </row>
    <row r="323">
      <c r="H323" s="26" t="n"/>
      <c r="J323" s="24" t="n"/>
      <c r="K323" s="22" t="n"/>
      <c r="O323" s="25">
        <f>IF(A323="","",H323*J323)</f>
        <v/>
      </c>
      <c r="P323" s="18">
        <f>IF(K323="","",DATEDIF(K323,TODAY(),"m"))</f>
        <v/>
      </c>
      <c r="Q323" s="27">
        <f>IF(A323="","",SUMIFS(Uso_Embalagens!$E:$E,Uso_Embalagens!$D:$D,A323))</f>
        <v/>
      </c>
    </row>
    <row r="324">
      <c r="H324" s="26" t="n"/>
      <c r="J324" s="24" t="n"/>
      <c r="K324" s="22" t="n"/>
      <c r="O324" s="25">
        <f>IF(A324="","",H324*J324)</f>
        <v/>
      </c>
      <c r="P324" s="18">
        <f>IF(K324="","",DATEDIF(K324,TODAY(),"m"))</f>
        <v/>
      </c>
      <c r="Q324" s="27">
        <f>IF(A324="","",SUMIFS(Uso_Embalagens!$E:$E,Uso_Embalagens!$D:$D,A324))</f>
        <v/>
      </c>
    </row>
    <row r="325">
      <c r="H325" s="26" t="n"/>
      <c r="J325" s="24" t="n"/>
      <c r="K325" s="22" t="n"/>
      <c r="O325" s="25">
        <f>IF(A325="","",H325*J325)</f>
        <v/>
      </c>
      <c r="P325" s="18">
        <f>IF(K325="","",DATEDIF(K325,TODAY(),"m"))</f>
        <v/>
      </c>
      <c r="Q325" s="27">
        <f>IF(A325="","",SUMIFS(Uso_Embalagens!$E:$E,Uso_Embalagens!$D:$D,A325))</f>
        <v/>
      </c>
    </row>
    <row r="326">
      <c r="H326" s="26" t="n"/>
      <c r="J326" s="24" t="n"/>
      <c r="K326" s="22" t="n"/>
      <c r="O326" s="25">
        <f>IF(A326="","",H326*J326)</f>
        <v/>
      </c>
      <c r="P326" s="18">
        <f>IF(K326="","",DATEDIF(K326,TODAY(),"m"))</f>
        <v/>
      </c>
      <c r="Q326" s="27">
        <f>IF(A326="","",SUMIFS(Uso_Embalagens!$E:$E,Uso_Embalagens!$D:$D,A326))</f>
        <v/>
      </c>
    </row>
    <row r="327">
      <c r="H327" s="26" t="n"/>
      <c r="J327" s="24" t="n"/>
      <c r="K327" s="22" t="n"/>
      <c r="O327" s="25">
        <f>IF(A327="","",H327*J327)</f>
        <v/>
      </c>
      <c r="P327" s="18">
        <f>IF(K327="","",DATEDIF(K327,TODAY(),"m"))</f>
        <v/>
      </c>
      <c r="Q327" s="27">
        <f>IF(A327="","",SUMIFS(Uso_Embalagens!$E:$E,Uso_Embalagens!$D:$D,A327))</f>
        <v/>
      </c>
    </row>
    <row r="328">
      <c r="H328" s="26" t="n"/>
      <c r="J328" s="24" t="n"/>
      <c r="K328" s="22" t="n"/>
      <c r="O328" s="25">
        <f>IF(A328="","",H328*J328)</f>
        <v/>
      </c>
      <c r="P328" s="18">
        <f>IF(K328="","",DATEDIF(K328,TODAY(),"m"))</f>
        <v/>
      </c>
      <c r="Q328" s="27">
        <f>IF(A328="","",SUMIFS(Uso_Embalagens!$E:$E,Uso_Embalagens!$D:$D,A328))</f>
        <v/>
      </c>
    </row>
    <row r="329">
      <c r="H329" s="26" t="n"/>
      <c r="J329" s="24" t="n"/>
      <c r="K329" s="22" t="n"/>
      <c r="O329" s="25">
        <f>IF(A329="","",H329*J329)</f>
        <v/>
      </c>
      <c r="P329" s="18">
        <f>IF(K329="","",DATEDIF(K329,TODAY(),"m"))</f>
        <v/>
      </c>
      <c r="Q329" s="27">
        <f>IF(A329="","",SUMIFS(Uso_Embalagens!$E:$E,Uso_Embalagens!$D:$D,A329))</f>
        <v/>
      </c>
    </row>
    <row r="330">
      <c r="H330" s="26" t="n"/>
      <c r="J330" s="24" t="n"/>
      <c r="K330" s="22" t="n"/>
      <c r="O330" s="25">
        <f>IF(A330="","",H330*J330)</f>
        <v/>
      </c>
      <c r="P330" s="18">
        <f>IF(K330="","",DATEDIF(K330,TODAY(),"m"))</f>
        <v/>
      </c>
      <c r="Q330" s="27">
        <f>IF(A330="","",SUMIFS(Uso_Embalagens!$E:$E,Uso_Embalagens!$D:$D,A330))</f>
        <v/>
      </c>
    </row>
    <row r="331">
      <c r="H331" s="26" t="n"/>
      <c r="J331" s="24" t="n"/>
      <c r="K331" s="22" t="n"/>
      <c r="O331" s="25">
        <f>IF(A331="","",H331*J331)</f>
        <v/>
      </c>
      <c r="P331" s="18">
        <f>IF(K331="","",DATEDIF(K331,TODAY(),"m"))</f>
        <v/>
      </c>
      <c r="Q331" s="27">
        <f>IF(A331="","",SUMIFS(Uso_Embalagens!$E:$E,Uso_Embalagens!$D:$D,A331))</f>
        <v/>
      </c>
    </row>
    <row r="332">
      <c r="H332" s="26" t="n"/>
      <c r="J332" s="24" t="n"/>
      <c r="K332" s="22" t="n"/>
      <c r="O332" s="25">
        <f>IF(A332="","",H332*J332)</f>
        <v/>
      </c>
      <c r="P332" s="18">
        <f>IF(K332="","",DATEDIF(K332,TODAY(),"m"))</f>
        <v/>
      </c>
      <c r="Q332" s="27">
        <f>IF(A332="","",SUMIFS(Uso_Embalagens!$E:$E,Uso_Embalagens!$D:$D,A332))</f>
        <v/>
      </c>
    </row>
    <row r="333">
      <c r="H333" s="26" t="n"/>
      <c r="J333" s="24" t="n"/>
      <c r="K333" s="22" t="n"/>
      <c r="O333" s="25">
        <f>IF(A333="","",H333*J333)</f>
        <v/>
      </c>
      <c r="P333" s="18">
        <f>IF(K333="","",DATEDIF(K333,TODAY(),"m"))</f>
        <v/>
      </c>
      <c r="Q333" s="27">
        <f>IF(A333="","",SUMIFS(Uso_Embalagens!$E:$E,Uso_Embalagens!$D:$D,A333))</f>
        <v/>
      </c>
    </row>
    <row r="334">
      <c r="H334" s="26" t="n"/>
      <c r="J334" s="24" t="n"/>
      <c r="K334" s="22" t="n"/>
      <c r="O334" s="25">
        <f>IF(A334="","",H334*J334)</f>
        <v/>
      </c>
      <c r="P334" s="18">
        <f>IF(K334="","",DATEDIF(K334,TODAY(),"m"))</f>
        <v/>
      </c>
      <c r="Q334" s="27">
        <f>IF(A334="","",SUMIFS(Uso_Embalagens!$E:$E,Uso_Embalagens!$D:$D,A334))</f>
        <v/>
      </c>
    </row>
    <row r="335">
      <c r="H335" s="26" t="n"/>
      <c r="J335" s="24" t="n"/>
      <c r="K335" s="22" t="n"/>
      <c r="O335" s="25">
        <f>IF(A335="","",H335*J335)</f>
        <v/>
      </c>
      <c r="P335" s="18">
        <f>IF(K335="","",DATEDIF(K335,TODAY(),"m"))</f>
        <v/>
      </c>
      <c r="Q335" s="27">
        <f>IF(A335="","",SUMIFS(Uso_Embalagens!$E:$E,Uso_Embalagens!$D:$D,A335))</f>
        <v/>
      </c>
    </row>
    <row r="336">
      <c r="H336" s="26" t="n"/>
      <c r="J336" s="24" t="n"/>
      <c r="K336" s="22" t="n"/>
      <c r="O336" s="25">
        <f>IF(A336="","",H336*J336)</f>
        <v/>
      </c>
      <c r="P336" s="18">
        <f>IF(K336="","",DATEDIF(K336,TODAY(),"m"))</f>
        <v/>
      </c>
      <c r="Q336" s="27">
        <f>IF(A336="","",SUMIFS(Uso_Embalagens!$E:$E,Uso_Embalagens!$D:$D,A336))</f>
        <v/>
      </c>
    </row>
    <row r="337">
      <c r="H337" s="26" t="n"/>
      <c r="J337" s="24" t="n"/>
      <c r="K337" s="22" t="n"/>
      <c r="O337" s="25">
        <f>IF(A337="","",H337*J337)</f>
        <v/>
      </c>
      <c r="P337" s="18">
        <f>IF(K337="","",DATEDIF(K337,TODAY(),"m"))</f>
        <v/>
      </c>
      <c r="Q337" s="27">
        <f>IF(A337="","",SUMIFS(Uso_Embalagens!$E:$E,Uso_Embalagens!$D:$D,A337))</f>
        <v/>
      </c>
    </row>
    <row r="338">
      <c r="H338" s="26" t="n"/>
      <c r="J338" s="24" t="n"/>
      <c r="K338" s="22" t="n"/>
      <c r="O338" s="25">
        <f>IF(A338="","",H338*J338)</f>
        <v/>
      </c>
      <c r="P338" s="18">
        <f>IF(K338="","",DATEDIF(K338,TODAY(),"m"))</f>
        <v/>
      </c>
      <c r="Q338" s="27">
        <f>IF(A338="","",SUMIFS(Uso_Embalagens!$E:$E,Uso_Embalagens!$D:$D,A338))</f>
        <v/>
      </c>
    </row>
    <row r="339">
      <c r="H339" s="26" t="n"/>
      <c r="J339" s="24" t="n"/>
      <c r="K339" s="22" t="n"/>
      <c r="O339" s="25">
        <f>IF(A339="","",H339*J339)</f>
        <v/>
      </c>
      <c r="P339" s="18">
        <f>IF(K339="","",DATEDIF(K339,TODAY(),"m"))</f>
        <v/>
      </c>
      <c r="Q339" s="27">
        <f>IF(A339="","",SUMIFS(Uso_Embalagens!$E:$E,Uso_Embalagens!$D:$D,A339))</f>
        <v/>
      </c>
    </row>
    <row r="340">
      <c r="H340" s="26" t="n"/>
      <c r="J340" s="24" t="n"/>
      <c r="K340" s="22" t="n"/>
      <c r="O340" s="25">
        <f>IF(A340="","",H340*J340)</f>
        <v/>
      </c>
      <c r="P340" s="18">
        <f>IF(K340="","",DATEDIF(K340,TODAY(),"m"))</f>
        <v/>
      </c>
      <c r="Q340" s="27">
        <f>IF(A340="","",SUMIFS(Uso_Embalagens!$E:$E,Uso_Embalagens!$D:$D,A340))</f>
        <v/>
      </c>
    </row>
    <row r="341">
      <c r="H341" s="26" t="n"/>
      <c r="J341" s="24" t="n"/>
      <c r="K341" s="22" t="n"/>
      <c r="O341" s="25">
        <f>IF(A341="","",H341*J341)</f>
        <v/>
      </c>
      <c r="P341" s="18">
        <f>IF(K341="","",DATEDIF(K341,TODAY(),"m"))</f>
        <v/>
      </c>
      <c r="Q341" s="27">
        <f>IF(A341="","",SUMIFS(Uso_Embalagens!$E:$E,Uso_Embalagens!$D:$D,A341))</f>
        <v/>
      </c>
    </row>
    <row r="342">
      <c r="H342" s="26" t="n"/>
      <c r="J342" s="24" t="n"/>
      <c r="K342" s="22" t="n"/>
      <c r="O342" s="25">
        <f>IF(A342="","",H342*J342)</f>
        <v/>
      </c>
      <c r="P342" s="18">
        <f>IF(K342="","",DATEDIF(K342,TODAY(),"m"))</f>
        <v/>
      </c>
      <c r="Q342" s="27">
        <f>IF(A342="","",SUMIFS(Uso_Embalagens!$E:$E,Uso_Embalagens!$D:$D,A342))</f>
        <v/>
      </c>
    </row>
    <row r="343">
      <c r="H343" s="26" t="n"/>
      <c r="J343" s="24" t="n"/>
      <c r="K343" s="22" t="n"/>
      <c r="O343" s="25">
        <f>IF(A343="","",H343*J343)</f>
        <v/>
      </c>
      <c r="P343" s="18">
        <f>IF(K343="","",DATEDIF(K343,TODAY(),"m"))</f>
        <v/>
      </c>
      <c r="Q343" s="27">
        <f>IF(A343="","",SUMIFS(Uso_Embalagens!$E:$E,Uso_Embalagens!$D:$D,A343))</f>
        <v/>
      </c>
    </row>
    <row r="344">
      <c r="H344" s="26" t="n"/>
      <c r="J344" s="24" t="n"/>
      <c r="K344" s="22" t="n"/>
      <c r="O344" s="25">
        <f>IF(A344="","",H344*J344)</f>
        <v/>
      </c>
      <c r="P344" s="18">
        <f>IF(K344="","",DATEDIF(K344,TODAY(),"m"))</f>
        <v/>
      </c>
      <c r="Q344" s="27">
        <f>IF(A344="","",SUMIFS(Uso_Embalagens!$E:$E,Uso_Embalagens!$D:$D,A344))</f>
        <v/>
      </c>
    </row>
    <row r="345">
      <c r="H345" s="26" t="n"/>
      <c r="J345" s="24" t="n"/>
      <c r="K345" s="22" t="n"/>
      <c r="O345" s="25">
        <f>IF(A345="","",H345*J345)</f>
        <v/>
      </c>
      <c r="P345" s="18">
        <f>IF(K345="","",DATEDIF(K345,TODAY(),"m"))</f>
        <v/>
      </c>
      <c r="Q345" s="27">
        <f>IF(A345="","",SUMIFS(Uso_Embalagens!$E:$E,Uso_Embalagens!$D:$D,A345))</f>
        <v/>
      </c>
    </row>
    <row r="346">
      <c r="H346" s="26" t="n"/>
      <c r="J346" s="24" t="n"/>
      <c r="K346" s="22" t="n"/>
      <c r="O346" s="25">
        <f>IF(A346="","",H346*J346)</f>
        <v/>
      </c>
      <c r="P346" s="18">
        <f>IF(K346="","",DATEDIF(K346,TODAY(),"m"))</f>
        <v/>
      </c>
      <c r="Q346" s="27">
        <f>IF(A346="","",SUMIFS(Uso_Embalagens!$E:$E,Uso_Embalagens!$D:$D,A346))</f>
        <v/>
      </c>
    </row>
    <row r="347">
      <c r="H347" s="26" t="n"/>
      <c r="J347" s="24" t="n"/>
      <c r="K347" s="22" t="n"/>
      <c r="O347" s="25">
        <f>IF(A347="","",H347*J347)</f>
        <v/>
      </c>
      <c r="P347" s="18">
        <f>IF(K347="","",DATEDIF(K347,TODAY(),"m"))</f>
        <v/>
      </c>
      <c r="Q347" s="27">
        <f>IF(A347="","",SUMIFS(Uso_Embalagens!$E:$E,Uso_Embalagens!$D:$D,A347))</f>
        <v/>
      </c>
    </row>
    <row r="348">
      <c r="H348" s="26" t="n"/>
      <c r="J348" s="24" t="n"/>
      <c r="K348" s="22" t="n"/>
      <c r="O348" s="25">
        <f>IF(A348="","",H348*J348)</f>
        <v/>
      </c>
      <c r="P348" s="18">
        <f>IF(K348="","",DATEDIF(K348,TODAY(),"m"))</f>
        <v/>
      </c>
      <c r="Q348" s="27">
        <f>IF(A348="","",SUMIFS(Uso_Embalagens!$E:$E,Uso_Embalagens!$D:$D,A348))</f>
        <v/>
      </c>
    </row>
    <row r="349">
      <c r="H349" s="26" t="n"/>
      <c r="J349" s="24" t="n"/>
      <c r="K349" s="22" t="n"/>
      <c r="O349" s="25">
        <f>IF(A349="","",H349*J349)</f>
        <v/>
      </c>
      <c r="P349" s="18">
        <f>IF(K349="","",DATEDIF(K349,TODAY(),"m"))</f>
        <v/>
      </c>
      <c r="Q349" s="27">
        <f>IF(A349="","",SUMIFS(Uso_Embalagens!$E:$E,Uso_Embalagens!$D:$D,A349))</f>
        <v/>
      </c>
    </row>
    <row r="350">
      <c r="H350" s="26" t="n"/>
      <c r="J350" s="24" t="n"/>
      <c r="K350" s="22" t="n"/>
      <c r="O350" s="25">
        <f>IF(A350="","",H350*J350)</f>
        <v/>
      </c>
      <c r="P350" s="18">
        <f>IF(K350="","",DATEDIF(K350,TODAY(),"m"))</f>
        <v/>
      </c>
      <c r="Q350" s="27">
        <f>IF(A350="","",SUMIFS(Uso_Embalagens!$E:$E,Uso_Embalagens!$D:$D,A350))</f>
        <v/>
      </c>
    </row>
    <row r="351">
      <c r="H351" s="26" t="n"/>
      <c r="J351" s="24" t="n"/>
      <c r="K351" s="22" t="n"/>
      <c r="O351" s="25">
        <f>IF(A351="","",H351*J351)</f>
        <v/>
      </c>
      <c r="P351" s="18">
        <f>IF(K351="","",DATEDIF(K351,TODAY(),"m"))</f>
        <v/>
      </c>
      <c r="Q351" s="27">
        <f>IF(A351="","",SUMIFS(Uso_Embalagens!$E:$E,Uso_Embalagens!$D:$D,A351))</f>
        <v/>
      </c>
    </row>
    <row r="352">
      <c r="H352" s="26" t="n"/>
      <c r="J352" s="24" t="n"/>
      <c r="K352" s="22" t="n"/>
      <c r="O352" s="25">
        <f>IF(A352="","",H352*J352)</f>
        <v/>
      </c>
      <c r="P352" s="18">
        <f>IF(K352="","",DATEDIF(K352,TODAY(),"m"))</f>
        <v/>
      </c>
      <c r="Q352" s="27">
        <f>IF(A352="","",SUMIFS(Uso_Embalagens!$E:$E,Uso_Embalagens!$D:$D,A352))</f>
        <v/>
      </c>
    </row>
    <row r="353">
      <c r="H353" s="26" t="n"/>
      <c r="J353" s="24" t="n"/>
      <c r="K353" s="22" t="n"/>
      <c r="O353" s="25">
        <f>IF(A353="","",H353*J353)</f>
        <v/>
      </c>
      <c r="P353" s="18">
        <f>IF(K353="","",DATEDIF(K353,TODAY(),"m"))</f>
        <v/>
      </c>
      <c r="Q353" s="27">
        <f>IF(A353="","",SUMIFS(Uso_Embalagens!$E:$E,Uso_Embalagens!$D:$D,A353))</f>
        <v/>
      </c>
    </row>
    <row r="354">
      <c r="H354" s="26" t="n"/>
      <c r="J354" s="24" t="n"/>
      <c r="K354" s="22" t="n"/>
      <c r="O354" s="25">
        <f>IF(A354="","",H354*J354)</f>
        <v/>
      </c>
      <c r="P354" s="18">
        <f>IF(K354="","",DATEDIF(K354,TODAY(),"m"))</f>
        <v/>
      </c>
      <c r="Q354" s="27">
        <f>IF(A354="","",SUMIFS(Uso_Embalagens!$E:$E,Uso_Embalagens!$D:$D,A354))</f>
        <v/>
      </c>
    </row>
    <row r="355">
      <c r="H355" s="26" t="n"/>
      <c r="J355" s="24" t="n"/>
      <c r="K355" s="22" t="n"/>
      <c r="O355" s="25">
        <f>IF(A355="","",H355*J355)</f>
        <v/>
      </c>
      <c r="P355" s="18">
        <f>IF(K355="","",DATEDIF(K355,TODAY(),"m"))</f>
        <v/>
      </c>
      <c r="Q355" s="27">
        <f>IF(A355="","",SUMIFS(Uso_Embalagens!$E:$E,Uso_Embalagens!$D:$D,A355))</f>
        <v/>
      </c>
    </row>
    <row r="356">
      <c r="H356" s="26" t="n"/>
      <c r="J356" s="24" t="n"/>
      <c r="K356" s="22" t="n"/>
      <c r="O356" s="25">
        <f>IF(A356="","",H356*J356)</f>
        <v/>
      </c>
      <c r="P356" s="18">
        <f>IF(K356="","",DATEDIF(K356,TODAY(),"m"))</f>
        <v/>
      </c>
      <c r="Q356" s="27">
        <f>IF(A356="","",SUMIFS(Uso_Embalagens!$E:$E,Uso_Embalagens!$D:$D,A356))</f>
        <v/>
      </c>
    </row>
    <row r="357">
      <c r="H357" s="26" t="n"/>
      <c r="J357" s="24" t="n"/>
      <c r="K357" s="22" t="n"/>
      <c r="O357" s="25">
        <f>IF(A357="","",H357*J357)</f>
        <v/>
      </c>
      <c r="P357" s="18">
        <f>IF(K357="","",DATEDIF(K357,TODAY(),"m"))</f>
        <v/>
      </c>
      <c r="Q357" s="27">
        <f>IF(A357="","",SUMIFS(Uso_Embalagens!$E:$E,Uso_Embalagens!$D:$D,A357))</f>
        <v/>
      </c>
    </row>
    <row r="358">
      <c r="H358" s="26" t="n"/>
      <c r="J358" s="24" t="n"/>
      <c r="K358" s="22" t="n"/>
      <c r="O358" s="25">
        <f>IF(A358="","",H358*J358)</f>
        <v/>
      </c>
      <c r="P358" s="18">
        <f>IF(K358="","",DATEDIF(K358,TODAY(),"m"))</f>
        <v/>
      </c>
      <c r="Q358" s="27">
        <f>IF(A358="","",SUMIFS(Uso_Embalagens!$E:$E,Uso_Embalagens!$D:$D,A358))</f>
        <v/>
      </c>
    </row>
    <row r="359">
      <c r="H359" s="26" t="n"/>
      <c r="J359" s="24" t="n"/>
      <c r="K359" s="22" t="n"/>
      <c r="O359" s="25">
        <f>IF(A359="","",H359*J359)</f>
        <v/>
      </c>
      <c r="P359" s="18">
        <f>IF(K359="","",DATEDIF(K359,TODAY(),"m"))</f>
        <v/>
      </c>
      <c r="Q359" s="27">
        <f>IF(A359="","",SUMIFS(Uso_Embalagens!$E:$E,Uso_Embalagens!$D:$D,A359))</f>
        <v/>
      </c>
    </row>
    <row r="360">
      <c r="H360" s="26" t="n"/>
      <c r="J360" s="24" t="n"/>
      <c r="K360" s="22" t="n"/>
      <c r="O360" s="25">
        <f>IF(A360="","",H360*J360)</f>
        <v/>
      </c>
      <c r="P360" s="18">
        <f>IF(K360="","",DATEDIF(K360,TODAY(),"m"))</f>
        <v/>
      </c>
      <c r="Q360" s="27">
        <f>IF(A360="","",SUMIFS(Uso_Embalagens!$E:$E,Uso_Embalagens!$D:$D,A360))</f>
        <v/>
      </c>
    </row>
    <row r="361">
      <c r="H361" s="26" t="n"/>
      <c r="J361" s="24" t="n"/>
      <c r="K361" s="22" t="n"/>
      <c r="O361" s="25">
        <f>IF(A361="","",H361*J361)</f>
        <v/>
      </c>
      <c r="P361" s="18">
        <f>IF(K361="","",DATEDIF(K361,TODAY(),"m"))</f>
        <v/>
      </c>
      <c r="Q361" s="27">
        <f>IF(A361="","",SUMIFS(Uso_Embalagens!$E:$E,Uso_Embalagens!$D:$D,A361))</f>
        <v/>
      </c>
    </row>
    <row r="362">
      <c r="H362" s="26" t="n"/>
      <c r="J362" s="24" t="n"/>
      <c r="K362" s="22" t="n"/>
      <c r="O362" s="25">
        <f>IF(A362="","",H362*J362)</f>
        <v/>
      </c>
      <c r="P362" s="18">
        <f>IF(K362="","",DATEDIF(K362,TODAY(),"m"))</f>
        <v/>
      </c>
      <c r="Q362" s="27">
        <f>IF(A362="","",SUMIFS(Uso_Embalagens!$E:$E,Uso_Embalagens!$D:$D,A362))</f>
        <v/>
      </c>
    </row>
    <row r="363">
      <c r="H363" s="26" t="n"/>
      <c r="J363" s="24" t="n"/>
      <c r="K363" s="22" t="n"/>
      <c r="O363" s="25">
        <f>IF(A363="","",H363*J363)</f>
        <v/>
      </c>
      <c r="P363" s="18">
        <f>IF(K363="","",DATEDIF(K363,TODAY(),"m"))</f>
        <v/>
      </c>
      <c r="Q363" s="27">
        <f>IF(A363="","",SUMIFS(Uso_Embalagens!$E:$E,Uso_Embalagens!$D:$D,A363))</f>
        <v/>
      </c>
    </row>
    <row r="364">
      <c r="H364" s="26" t="n"/>
      <c r="J364" s="24" t="n"/>
      <c r="K364" s="22" t="n"/>
      <c r="O364" s="25">
        <f>IF(A364="","",H364*J364)</f>
        <v/>
      </c>
      <c r="P364" s="18">
        <f>IF(K364="","",DATEDIF(K364,TODAY(),"m"))</f>
        <v/>
      </c>
      <c r="Q364" s="27">
        <f>IF(A364="","",SUMIFS(Uso_Embalagens!$E:$E,Uso_Embalagens!$D:$D,A364))</f>
        <v/>
      </c>
    </row>
    <row r="365">
      <c r="H365" s="26" t="n"/>
      <c r="J365" s="24" t="n"/>
      <c r="K365" s="22" t="n"/>
      <c r="O365" s="25">
        <f>IF(A365="","",H365*J365)</f>
        <v/>
      </c>
      <c r="P365" s="18">
        <f>IF(K365="","",DATEDIF(K365,TODAY(),"m"))</f>
        <v/>
      </c>
      <c r="Q365" s="27">
        <f>IF(A365="","",SUMIFS(Uso_Embalagens!$E:$E,Uso_Embalagens!$D:$D,A365))</f>
        <v/>
      </c>
    </row>
    <row r="366">
      <c r="H366" s="26" t="n"/>
      <c r="J366" s="24" t="n"/>
      <c r="K366" s="22" t="n"/>
      <c r="O366" s="25">
        <f>IF(A366="","",H366*J366)</f>
        <v/>
      </c>
      <c r="P366" s="18">
        <f>IF(K366="","",DATEDIF(K366,TODAY(),"m"))</f>
        <v/>
      </c>
      <c r="Q366" s="27">
        <f>IF(A366="","",SUMIFS(Uso_Embalagens!$E:$E,Uso_Embalagens!$D:$D,A366))</f>
        <v/>
      </c>
    </row>
    <row r="367">
      <c r="H367" s="26" t="n"/>
      <c r="J367" s="24" t="n"/>
      <c r="K367" s="22" t="n"/>
      <c r="O367" s="25">
        <f>IF(A367="","",H367*J367)</f>
        <v/>
      </c>
      <c r="P367" s="18">
        <f>IF(K367="","",DATEDIF(K367,TODAY(),"m"))</f>
        <v/>
      </c>
      <c r="Q367" s="27">
        <f>IF(A367="","",SUMIFS(Uso_Embalagens!$E:$E,Uso_Embalagens!$D:$D,A367))</f>
        <v/>
      </c>
    </row>
    <row r="368">
      <c r="H368" s="26" t="n"/>
      <c r="J368" s="24" t="n"/>
      <c r="K368" s="22" t="n"/>
      <c r="O368" s="25">
        <f>IF(A368="","",H368*J368)</f>
        <v/>
      </c>
      <c r="P368" s="18">
        <f>IF(K368="","",DATEDIF(K368,TODAY(),"m"))</f>
        <v/>
      </c>
      <c r="Q368" s="27">
        <f>IF(A368="","",SUMIFS(Uso_Embalagens!$E:$E,Uso_Embalagens!$D:$D,A368))</f>
        <v/>
      </c>
    </row>
    <row r="369">
      <c r="H369" s="26" t="n"/>
      <c r="J369" s="24" t="n"/>
      <c r="K369" s="22" t="n"/>
      <c r="O369" s="25">
        <f>IF(A369="","",H369*J369)</f>
        <v/>
      </c>
      <c r="P369" s="18">
        <f>IF(K369="","",DATEDIF(K369,TODAY(),"m"))</f>
        <v/>
      </c>
      <c r="Q369" s="27">
        <f>IF(A369="","",SUMIFS(Uso_Embalagens!$E:$E,Uso_Embalagens!$D:$D,A369))</f>
        <v/>
      </c>
    </row>
    <row r="370">
      <c r="H370" s="26" t="n"/>
      <c r="J370" s="24" t="n"/>
      <c r="K370" s="22" t="n"/>
      <c r="O370" s="25">
        <f>IF(A370="","",H370*J370)</f>
        <v/>
      </c>
      <c r="P370" s="18">
        <f>IF(K370="","",DATEDIF(K370,TODAY(),"m"))</f>
        <v/>
      </c>
      <c r="Q370" s="27">
        <f>IF(A370="","",SUMIFS(Uso_Embalagens!$E:$E,Uso_Embalagens!$D:$D,A370))</f>
        <v/>
      </c>
    </row>
    <row r="371">
      <c r="H371" s="26" t="n"/>
      <c r="J371" s="24" t="n"/>
      <c r="K371" s="22" t="n"/>
      <c r="O371" s="25">
        <f>IF(A371="","",H371*J371)</f>
        <v/>
      </c>
      <c r="P371" s="18">
        <f>IF(K371="","",DATEDIF(K371,TODAY(),"m"))</f>
        <v/>
      </c>
      <c r="Q371" s="27">
        <f>IF(A371="","",SUMIFS(Uso_Embalagens!$E:$E,Uso_Embalagens!$D:$D,A371))</f>
        <v/>
      </c>
    </row>
    <row r="372">
      <c r="H372" s="26" t="n"/>
      <c r="J372" s="24" t="n"/>
      <c r="K372" s="22" t="n"/>
      <c r="O372" s="25">
        <f>IF(A372="","",H372*J372)</f>
        <v/>
      </c>
      <c r="P372" s="18">
        <f>IF(K372="","",DATEDIF(K372,TODAY(),"m"))</f>
        <v/>
      </c>
      <c r="Q372" s="27">
        <f>IF(A372="","",SUMIFS(Uso_Embalagens!$E:$E,Uso_Embalagens!$D:$D,A372))</f>
        <v/>
      </c>
    </row>
    <row r="373">
      <c r="H373" s="26" t="n"/>
      <c r="J373" s="24" t="n"/>
      <c r="K373" s="22" t="n"/>
      <c r="O373" s="25">
        <f>IF(A373="","",H373*J373)</f>
        <v/>
      </c>
      <c r="P373" s="18">
        <f>IF(K373="","",DATEDIF(K373,TODAY(),"m"))</f>
        <v/>
      </c>
      <c r="Q373" s="27">
        <f>IF(A373="","",SUMIFS(Uso_Embalagens!$E:$E,Uso_Embalagens!$D:$D,A373))</f>
        <v/>
      </c>
    </row>
    <row r="374">
      <c r="H374" s="26" t="n"/>
      <c r="J374" s="24" t="n"/>
      <c r="K374" s="22" t="n"/>
      <c r="O374" s="25">
        <f>IF(A374="","",H374*J374)</f>
        <v/>
      </c>
      <c r="P374" s="18">
        <f>IF(K374="","",DATEDIF(K374,TODAY(),"m"))</f>
        <v/>
      </c>
      <c r="Q374" s="27">
        <f>IF(A374="","",SUMIFS(Uso_Embalagens!$E:$E,Uso_Embalagens!$D:$D,A374))</f>
        <v/>
      </c>
    </row>
    <row r="375">
      <c r="H375" s="26" t="n"/>
      <c r="J375" s="24" t="n"/>
      <c r="K375" s="22" t="n"/>
      <c r="O375" s="25">
        <f>IF(A375="","",H375*J375)</f>
        <v/>
      </c>
      <c r="P375" s="18">
        <f>IF(K375="","",DATEDIF(K375,TODAY(),"m"))</f>
        <v/>
      </c>
      <c r="Q375" s="27">
        <f>IF(A375="","",SUMIFS(Uso_Embalagens!$E:$E,Uso_Embalagens!$D:$D,A375))</f>
        <v/>
      </c>
    </row>
    <row r="376">
      <c r="H376" s="26" t="n"/>
      <c r="J376" s="24" t="n"/>
      <c r="K376" s="22" t="n"/>
      <c r="O376" s="25">
        <f>IF(A376="","",H376*J376)</f>
        <v/>
      </c>
      <c r="P376" s="18">
        <f>IF(K376="","",DATEDIF(K376,TODAY(),"m"))</f>
        <v/>
      </c>
      <c r="Q376" s="27">
        <f>IF(A376="","",SUMIFS(Uso_Embalagens!$E:$E,Uso_Embalagens!$D:$D,A376))</f>
        <v/>
      </c>
    </row>
    <row r="377">
      <c r="H377" s="26" t="n"/>
      <c r="J377" s="24" t="n"/>
      <c r="K377" s="22" t="n"/>
      <c r="O377" s="25">
        <f>IF(A377="","",H377*J377)</f>
        <v/>
      </c>
      <c r="P377" s="18">
        <f>IF(K377="","",DATEDIF(K377,TODAY(),"m"))</f>
        <v/>
      </c>
      <c r="Q377" s="27">
        <f>IF(A377="","",SUMIFS(Uso_Embalagens!$E:$E,Uso_Embalagens!$D:$D,A377))</f>
        <v/>
      </c>
    </row>
    <row r="378">
      <c r="H378" s="26" t="n"/>
      <c r="J378" s="24" t="n"/>
      <c r="K378" s="22" t="n"/>
      <c r="O378" s="25">
        <f>IF(A378="","",H378*J378)</f>
        <v/>
      </c>
      <c r="P378" s="18">
        <f>IF(K378="","",DATEDIF(K378,TODAY(),"m"))</f>
        <v/>
      </c>
      <c r="Q378" s="27">
        <f>IF(A378="","",SUMIFS(Uso_Embalagens!$E:$E,Uso_Embalagens!$D:$D,A378))</f>
        <v/>
      </c>
    </row>
    <row r="379">
      <c r="H379" s="26" t="n"/>
      <c r="J379" s="24" t="n"/>
      <c r="K379" s="22" t="n"/>
      <c r="O379" s="25">
        <f>IF(A379="","",H379*J379)</f>
        <v/>
      </c>
      <c r="P379" s="18">
        <f>IF(K379="","",DATEDIF(K379,TODAY(),"m"))</f>
        <v/>
      </c>
      <c r="Q379" s="27">
        <f>IF(A379="","",SUMIFS(Uso_Embalagens!$E:$E,Uso_Embalagens!$D:$D,A379))</f>
        <v/>
      </c>
    </row>
    <row r="380">
      <c r="H380" s="26" t="n"/>
      <c r="J380" s="24" t="n"/>
      <c r="K380" s="22" t="n"/>
      <c r="O380" s="25">
        <f>IF(A380="","",H380*J380)</f>
        <v/>
      </c>
      <c r="P380" s="18">
        <f>IF(K380="","",DATEDIF(K380,TODAY(),"m"))</f>
        <v/>
      </c>
      <c r="Q380" s="27">
        <f>IF(A380="","",SUMIFS(Uso_Embalagens!$E:$E,Uso_Embalagens!$D:$D,A380))</f>
        <v/>
      </c>
    </row>
    <row r="381">
      <c r="H381" s="26" t="n"/>
      <c r="J381" s="24" t="n"/>
      <c r="K381" s="22" t="n"/>
      <c r="O381" s="25">
        <f>IF(A381="","",H381*J381)</f>
        <v/>
      </c>
      <c r="P381" s="18">
        <f>IF(K381="","",DATEDIF(K381,TODAY(),"m"))</f>
        <v/>
      </c>
      <c r="Q381" s="27">
        <f>IF(A381="","",SUMIFS(Uso_Embalagens!$E:$E,Uso_Embalagens!$D:$D,A381))</f>
        <v/>
      </c>
    </row>
    <row r="382">
      <c r="H382" s="26" t="n"/>
      <c r="J382" s="24" t="n"/>
      <c r="K382" s="22" t="n"/>
      <c r="O382" s="25">
        <f>IF(A382="","",H382*J382)</f>
        <v/>
      </c>
      <c r="P382" s="18">
        <f>IF(K382="","",DATEDIF(K382,TODAY(),"m"))</f>
        <v/>
      </c>
      <c r="Q382" s="27">
        <f>IF(A382="","",SUMIFS(Uso_Embalagens!$E:$E,Uso_Embalagens!$D:$D,A382))</f>
        <v/>
      </c>
    </row>
    <row r="383">
      <c r="H383" s="26" t="n"/>
      <c r="J383" s="24" t="n"/>
      <c r="K383" s="22" t="n"/>
      <c r="O383" s="25">
        <f>IF(A383="","",H383*J383)</f>
        <v/>
      </c>
      <c r="P383" s="18">
        <f>IF(K383="","",DATEDIF(K383,TODAY(),"m"))</f>
        <v/>
      </c>
      <c r="Q383" s="27">
        <f>IF(A383="","",SUMIFS(Uso_Embalagens!$E:$E,Uso_Embalagens!$D:$D,A383))</f>
        <v/>
      </c>
    </row>
    <row r="384">
      <c r="H384" s="26" t="n"/>
      <c r="J384" s="24" t="n"/>
      <c r="K384" s="22" t="n"/>
      <c r="O384" s="25">
        <f>IF(A384="","",H384*J384)</f>
        <v/>
      </c>
      <c r="P384" s="18">
        <f>IF(K384="","",DATEDIF(K384,TODAY(),"m"))</f>
        <v/>
      </c>
      <c r="Q384" s="27">
        <f>IF(A384="","",SUMIFS(Uso_Embalagens!$E:$E,Uso_Embalagens!$D:$D,A384))</f>
        <v/>
      </c>
    </row>
    <row r="385">
      <c r="H385" s="26" t="n"/>
      <c r="J385" s="24" t="n"/>
      <c r="K385" s="22" t="n"/>
      <c r="O385" s="25">
        <f>IF(A385="","",H385*J385)</f>
        <v/>
      </c>
      <c r="P385" s="18">
        <f>IF(K385="","",DATEDIF(K385,TODAY(),"m"))</f>
        <v/>
      </c>
      <c r="Q385" s="27">
        <f>IF(A385="","",SUMIFS(Uso_Embalagens!$E:$E,Uso_Embalagens!$D:$D,A385))</f>
        <v/>
      </c>
    </row>
    <row r="386">
      <c r="H386" s="26" t="n"/>
      <c r="J386" s="24" t="n"/>
      <c r="K386" s="22" t="n"/>
      <c r="O386" s="25">
        <f>IF(A386="","",H386*J386)</f>
        <v/>
      </c>
      <c r="P386" s="18">
        <f>IF(K386="","",DATEDIF(K386,TODAY(),"m"))</f>
        <v/>
      </c>
      <c r="Q386" s="27">
        <f>IF(A386="","",SUMIFS(Uso_Embalagens!$E:$E,Uso_Embalagens!$D:$D,A386))</f>
        <v/>
      </c>
    </row>
    <row r="387">
      <c r="H387" s="26" t="n"/>
      <c r="J387" s="24" t="n"/>
      <c r="K387" s="22" t="n"/>
      <c r="O387" s="25">
        <f>IF(A387="","",H387*J387)</f>
        <v/>
      </c>
      <c r="P387" s="18">
        <f>IF(K387="","",DATEDIF(K387,TODAY(),"m"))</f>
        <v/>
      </c>
      <c r="Q387" s="27">
        <f>IF(A387="","",SUMIFS(Uso_Embalagens!$E:$E,Uso_Embalagens!$D:$D,A387))</f>
        <v/>
      </c>
    </row>
    <row r="388">
      <c r="H388" s="26" t="n"/>
      <c r="J388" s="24" t="n"/>
      <c r="K388" s="22" t="n"/>
      <c r="O388" s="25">
        <f>IF(A388="","",H388*J388)</f>
        <v/>
      </c>
      <c r="P388" s="18">
        <f>IF(K388="","",DATEDIF(K388,TODAY(),"m"))</f>
        <v/>
      </c>
      <c r="Q388" s="27">
        <f>IF(A388="","",SUMIFS(Uso_Embalagens!$E:$E,Uso_Embalagens!$D:$D,A388))</f>
        <v/>
      </c>
    </row>
    <row r="389">
      <c r="H389" s="26" t="n"/>
      <c r="J389" s="24" t="n"/>
      <c r="K389" s="22" t="n"/>
      <c r="O389" s="25">
        <f>IF(A389="","",H389*J389)</f>
        <v/>
      </c>
      <c r="P389" s="18">
        <f>IF(K389="","",DATEDIF(K389,TODAY(),"m"))</f>
        <v/>
      </c>
      <c r="Q389" s="27">
        <f>IF(A389="","",SUMIFS(Uso_Embalagens!$E:$E,Uso_Embalagens!$D:$D,A389))</f>
        <v/>
      </c>
    </row>
    <row r="390">
      <c r="H390" s="26" t="n"/>
      <c r="J390" s="24" t="n"/>
      <c r="K390" s="22" t="n"/>
      <c r="O390" s="25">
        <f>IF(A390="","",H390*J390)</f>
        <v/>
      </c>
      <c r="P390" s="18">
        <f>IF(K390="","",DATEDIF(K390,TODAY(),"m"))</f>
        <v/>
      </c>
      <c r="Q390" s="27">
        <f>IF(A390="","",SUMIFS(Uso_Embalagens!$E:$E,Uso_Embalagens!$D:$D,A390))</f>
        <v/>
      </c>
    </row>
    <row r="391">
      <c r="H391" s="26" t="n"/>
      <c r="J391" s="24" t="n"/>
      <c r="K391" s="22" t="n"/>
      <c r="O391" s="25">
        <f>IF(A391="","",H391*J391)</f>
        <v/>
      </c>
      <c r="P391" s="18">
        <f>IF(K391="","",DATEDIF(K391,TODAY(),"m"))</f>
        <v/>
      </c>
      <c r="Q391" s="27">
        <f>IF(A391="","",SUMIFS(Uso_Embalagens!$E:$E,Uso_Embalagens!$D:$D,A391))</f>
        <v/>
      </c>
    </row>
    <row r="392">
      <c r="H392" s="26" t="n"/>
      <c r="J392" s="24" t="n"/>
      <c r="K392" s="22" t="n"/>
      <c r="O392" s="25">
        <f>IF(A392="","",H392*J392)</f>
        <v/>
      </c>
      <c r="P392" s="18">
        <f>IF(K392="","",DATEDIF(K392,TODAY(),"m"))</f>
        <v/>
      </c>
      <c r="Q392" s="27">
        <f>IF(A392="","",SUMIFS(Uso_Embalagens!$E:$E,Uso_Embalagens!$D:$D,A392))</f>
        <v/>
      </c>
    </row>
    <row r="393">
      <c r="H393" s="26" t="n"/>
      <c r="J393" s="24" t="n"/>
      <c r="K393" s="22" t="n"/>
      <c r="O393" s="25">
        <f>IF(A393="","",H393*J393)</f>
        <v/>
      </c>
      <c r="P393" s="18">
        <f>IF(K393="","",DATEDIF(K393,TODAY(),"m"))</f>
        <v/>
      </c>
      <c r="Q393" s="27">
        <f>IF(A393="","",SUMIFS(Uso_Embalagens!$E:$E,Uso_Embalagens!$D:$D,A393))</f>
        <v/>
      </c>
    </row>
    <row r="394">
      <c r="H394" s="26" t="n"/>
      <c r="J394" s="24" t="n"/>
      <c r="K394" s="22" t="n"/>
      <c r="O394" s="25">
        <f>IF(A394="","",H394*J394)</f>
        <v/>
      </c>
      <c r="P394" s="18">
        <f>IF(K394="","",DATEDIF(K394,TODAY(),"m"))</f>
        <v/>
      </c>
      <c r="Q394" s="27">
        <f>IF(A394="","",SUMIFS(Uso_Embalagens!$E:$E,Uso_Embalagens!$D:$D,A394))</f>
        <v/>
      </c>
    </row>
    <row r="395">
      <c r="H395" s="26" t="n"/>
      <c r="J395" s="24" t="n"/>
      <c r="K395" s="22" t="n"/>
      <c r="O395" s="25">
        <f>IF(A395="","",H395*J395)</f>
        <v/>
      </c>
      <c r="P395" s="18">
        <f>IF(K395="","",DATEDIF(K395,TODAY(),"m"))</f>
        <v/>
      </c>
      <c r="Q395" s="27">
        <f>IF(A395="","",SUMIFS(Uso_Embalagens!$E:$E,Uso_Embalagens!$D:$D,A395))</f>
        <v/>
      </c>
    </row>
    <row r="396">
      <c r="H396" s="26" t="n"/>
      <c r="J396" s="24" t="n"/>
      <c r="K396" s="22" t="n"/>
      <c r="O396" s="25">
        <f>IF(A396="","",H396*J396)</f>
        <v/>
      </c>
      <c r="P396" s="18">
        <f>IF(K396="","",DATEDIF(K396,TODAY(),"m"))</f>
        <v/>
      </c>
      <c r="Q396" s="27">
        <f>IF(A396="","",SUMIFS(Uso_Embalagens!$E:$E,Uso_Embalagens!$D:$D,A396))</f>
        <v/>
      </c>
    </row>
    <row r="397">
      <c r="H397" s="26" t="n"/>
      <c r="J397" s="24" t="n"/>
      <c r="K397" s="22" t="n"/>
      <c r="O397" s="25">
        <f>IF(A397="","",H397*J397)</f>
        <v/>
      </c>
      <c r="P397" s="18">
        <f>IF(K397="","",DATEDIF(K397,TODAY(),"m"))</f>
        <v/>
      </c>
      <c r="Q397" s="27">
        <f>IF(A397="","",SUMIFS(Uso_Embalagens!$E:$E,Uso_Embalagens!$D:$D,A397))</f>
        <v/>
      </c>
    </row>
    <row r="398">
      <c r="H398" s="26" t="n"/>
      <c r="J398" s="24" t="n"/>
      <c r="K398" s="22" t="n"/>
      <c r="O398" s="25">
        <f>IF(A398="","",H398*J398)</f>
        <v/>
      </c>
      <c r="P398" s="18">
        <f>IF(K398="","",DATEDIF(K398,TODAY(),"m"))</f>
        <v/>
      </c>
      <c r="Q398" s="27">
        <f>IF(A398="","",SUMIFS(Uso_Embalagens!$E:$E,Uso_Embalagens!$D:$D,A398))</f>
        <v/>
      </c>
    </row>
    <row r="399">
      <c r="H399" s="26" t="n"/>
      <c r="J399" s="24" t="n"/>
      <c r="K399" s="22" t="n"/>
      <c r="O399" s="25">
        <f>IF(A399="","",H399*J399)</f>
        <v/>
      </c>
      <c r="P399" s="18">
        <f>IF(K399="","",DATEDIF(K399,TODAY(),"m"))</f>
        <v/>
      </c>
      <c r="Q399" s="27">
        <f>IF(A399="","",SUMIFS(Uso_Embalagens!$E:$E,Uso_Embalagens!$D:$D,A399))</f>
        <v/>
      </c>
    </row>
    <row r="400">
      <c r="H400" s="26" t="n"/>
      <c r="J400" s="24" t="n"/>
      <c r="K400" s="22" t="n"/>
      <c r="O400" s="25">
        <f>IF(A400="","",H400*J400)</f>
        <v/>
      </c>
      <c r="P400" s="18">
        <f>IF(K400="","",DATEDIF(K400,TODAY(),"m"))</f>
        <v/>
      </c>
      <c r="Q400" s="27">
        <f>IF(A400="","",SUMIFS(Uso_Embalagens!$E:$E,Uso_Embalagens!$D:$D,A400))</f>
        <v/>
      </c>
    </row>
    <row r="401">
      <c r="H401" s="26" t="n"/>
      <c r="J401" s="24" t="n"/>
      <c r="K401" s="22" t="n"/>
      <c r="O401" s="25">
        <f>IF(A401="","",H401*J401)</f>
        <v/>
      </c>
      <c r="P401" s="18">
        <f>IF(K401="","",DATEDIF(K401,TODAY(),"m"))</f>
        <v/>
      </c>
      <c r="Q401" s="27">
        <f>IF(A401="","",SUMIFS(Uso_Embalagens!$E:$E,Uso_Embalagens!$D:$D,A401))</f>
        <v/>
      </c>
    </row>
    <row r="402">
      <c r="H402" s="26" t="n"/>
      <c r="J402" s="24" t="n"/>
      <c r="K402" s="22" t="n"/>
      <c r="O402" s="25">
        <f>IF(A402="","",H402*J402)</f>
        <v/>
      </c>
      <c r="P402" s="18">
        <f>IF(K402="","",DATEDIF(K402,TODAY(),"m"))</f>
        <v/>
      </c>
      <c r="Q402" s="27">
        <f>IF(A402="","",SUMIFS(Uso_Embalagens!$E:$E,Uso_Embalagens!$D:$D,A402))</f>
        <v/>
      </c>
    </row>
    <row r="403">
      <c r="H403" s="26" t="n"/>
      <c r="J403" s="24" t="n"/>
      <c r="K403" s="22" t="n"/>
      <c r="O403" s="25">
        <f>IF(A403="","",H403*J403)</f>
        <v/>
      </c>
      <c r="P403" s="18">
        <f>IF(K403="","",DATEDIF(K403,TODAY(),"m"))</f>
        <v/>
      </c>
      <c r="Q403" s="27">
        <f>IF(A403="","",SUMIFS(Uso_Embalagens!$E:$E,Uso_Embalagens!$D:$D,A403))</f>
        <v/>
      </c>
    </row>
    <row r="404">
      <c r="H404" s="26" t="n"/>
      <c r="J404" s="24" t="n"/>
      <c r="K404" s="22" t="n"/>
      <c r="O404" s="25">
        <f>IF(A404="","",H404*J404)</f>
        <v/>
      </c>
      <c r="P404" s="18">
        <f>IF(K404="","",DATEDIF(K404,TODAY(),"m"))</f>
        <v/>
      </c>
      <c r="Q404" s="27">
        <f>IF(A404="","",SUMIFS(Uso_Embalagens!$E:$E,Uso_Embalagens!$D:$D,A404))</f>
        <v/>
      </c>
    </row>
    <row r="405">
      <c r="H405" s="26" t="n"/>
      <c r="J405" s="24" t="n"/>
      <c r="K405" s="22" t="n"/>
      <c r="O405" s="25">
        <f>IF(A405="","",H405*J405)</f>
        <v/>
      </c>
      <c r="P405" s="18">
        <f>IF(K405="","",DATEDIF(K405,TODAY(),"m"))</f>
        <v/>
      </c>
      <c r="Q405" s="27">
        <f>IF(A405="","",SUMIFS(Uso_Embalagens!$E:$E,Uso_Embalagens!$D:$D,A405))</f>
        <v/>
      </c>
    </row>
    <row r="406">
      <c r="H406" s="26" t="n"/>
      <c r="J406" s="24" t="n"/>
      <c r="K406" s="22" t="n"/>
      <c r="O406" s="25">
        <f>IF(A406="","",H406*J406)</f>
        <v/>
      </c>
      <c r="P406" s="18">
        <f>IF(K406="","",DATEDIF(K406,TODAY(),"m"))</f>
        <v/>
      </c>
      <c r="Q406" s="27">
        <f>IF(A406="","",SUMIFS(Uso_Embalagens!$E:$E,Uso_Embalagens!$D:$D,A406))</f>
        <v/>
      </c>
    </row>
    <row r="407">
      <c r="H407" s="26" t="n"/>
      <c r="J407" s="24" t="n"/>
      <c r="K407" s="22" t="n"/>
      <c r="O407" s="25">
        <f>IF(A407="","",H407*J407)</f>
        <v/>
      </c>
      <c r="P407" s="18">
        <f>IF(K407="","",DATEDIF(K407,TODAY(),"m"))</f>
        <v/>
      </c>
      <c r="Q407" s="27">
        <f>IF(A407="","",SUMIFS(Uso_Embalagens!$E:$E,Uso_Embalagens!$D:$D,A407))</f>
        <v/>
      </c>
    </row>
    <row r="408">
      <c r="H408" s="26" t="n"/>
      <c r="J408" s="24" t="n"/>
      <c r="K408" s="22" t="n"/>
      <c r="O408" s="25">
        <f>IF(A408="","",H408*J408)</f>
        <v/>
      </c>
      <c r="P408" s="18">
        <f>IF(K408="","",DATEDIF(K408,TODAY(),"m"))</f>
        <v/>
      </c>
      <c r="Q408" s="27">
        <f>IF(A408="","",SUMIFS(Uso_Embalagens!$E:$E,Uso_Embalagens!$D:$D,A408))</f>
        <v/>
      </c>
    </row>
    <row r="409">
      <c r="H409" s="26" t="n"/>
      <c r="J409" s="24" t="n"/>
      <c r="K409" s="22" t="n"/>
      <c r="O409" s="25">
        <f>IF(A409="","",H409*J409)</f>
        <v/>
      </c>
      <c r="P409" s="18">
        <f>IF(K409="","",DATEDIF(K409,TODAY(),"m"))</f>
        <v/>
      </c>
      <c r="Q409" s="27">
        <f>IF(A409="","",SUMIFS(Uso_Embalagens!$E:$E,Uso_Embalagens!$D:$D,A409))</f>
        <v/>
      </c>
    </row>
    <row r="410">
      <c r="H410" s="26" t="n"/>
      <c r="J410" s="24" t="n"/>
      <c r="K410" s="22" t="n"/>
      <c r="O410" s="25">
        <f>IF(A410="","",H410*J410)</f>
        <v/>
      </c>
      <c r="P410" s="18">
        <f>IF(K410="","",DATEDIF(K410,TODAY(),"m"))</f>
        <v/>
      </c>
      <c r="Q410" s="27">
        <f>IF(A410="","",SUMIFS(Uso_Embalagens!$E:$E,Uso_Embalagens!$D:$D,A410))</f>
        <v/>
      </c>
    </row>
    <row r="411">
      <c r="H411" s="26" t="n"/>
      <c r="J411" s="24" t="n"/>
      <c r="K411" s="22" t="n"/>
      <c r="O411" s="25">
        <f>IF(A411="","",H411*J411)</f>
        <v/>
      </c>
      <c r="P411" s="18">
        <f>IF(K411="","",DATEDIF(K411,TODAY(),"m"))</f>
        <v/>
      </c>
      <c r="Q411" s="27">
        <f>IF(A411="","",SUMIFS(Uso_Embalagens!$E:$E,Uso_Embalagens!$D:$D,A411))</f>
        <v/>
      </c>
    </row>
    <row r="412">
      <c r="H412" s="26" t="n"/>
      <c r="J412" s="24" t="n"/>
      <c r="K412" s="22" t="n"/>
      <c r="O412" s="25">
        <f>IF(A412="","",H412*J412)</f>
        <v/>
      </c>
      <c r="P412" s="18">
        <f>IF(K412="","",DATEDIF(K412,TODAY(),"m"))</f>
        <v/>
      </c>
      <c r="Q412" s="27">
        <f>IF(A412="","",SUMIFS(Uso_Embalagens!$E:$E,Uso_Embalagens!$D:$D,A412))</f>
        <v/>
      </c>
    </row>
    <row r="413">
      <c r="H413" s="26" t="n"/>
      <c r="J413" s="24" t="n"/>
      <c r="K413" s="22" t="n"/>
      <c r="O413" s="25">
        <f>IF(A413="","",H413*J413)</f>
        <v/>
      </c>
      <c r="P413" s="18">
        <f>IF(K413="","",DATEDIF(K413,TODAY(),"m"))</f>
        <v/>
      </c>
      <c r="Q413" s="27">
        <f>IF(A413="","",SUMIFS(Uso_Embalagens!$E:$E,Uso_Embalagens!$D:$D,A413))</f>
        <v/>
      </c>
    </row>
    <row r="414">
      <c r="H414" s="26" t="n"/>
      <c r="J414" s="24" t="n"/>
      <c r="K414" s="22" t="n"/>
      <c r="O414" s="25">
        <f>IF(A414="","",H414*J414)</f>
        <v/>
      </c>
      <c r="P414" s="18">
        <f>IF(K414="","",DATEDIF(K414,TODAY(),"m"))</f>
        <v/>
      </c>
      <c r="Q414" s="27">
        <f>IF(A414="","",SUMIFS(Uso_Embalagens!$E:$E,Uso_Embalagens!$D:$D,A414))</f>
        <v/>
      </c>
    </row>
    <row r="415">
      <c r="H415" s="26" t="n"/>
      <c r="J415" s="24" t="n"/>
      <c r="K415" s="22" t="n"/>
      <c r="O415" s="25">
        <f>IF(A415="","",H415*J415)</f>
        <v/>
      </c>
      <c r="P415" s="18">
        <f>IF(K415="","",DATEDIF(K415,TODAY(),"m"))</f>
        <v/>
      </c>
      <c r="Q415" s="27">
        <f>IF(A415="","",SUMIFS(Uso_Embalagens!$E:$E,Uso_Embalagens!$D:$D,A415))</f>
        <v/>
      </c>
    </row>
    <row r="416">
      <c r="H416" s="26" t="n"/>
      <c r="J416" s="24" t="n"/>
      <c r="K416" s="22" t="n"/>
      <c r="O416" s="25">
        <f>IF(A416="","",H416*J416)</f>
        <v/>
      </c>
      <c r="P416" s="18">
        <f>IF(K416="","",DATEDIF(K416,TODAY(),"m"))</f>
        <v/>
      </c>
      <c r="Q416" s="27">
        <f>IF(A416="","",SUMIFS(Uso_Embalagens!$E:$E,Uso_Embalagens!$D:$D,A416))</f>
        <v/>
      </c>
    </row>
    <row r="417">
      <c r="H417" s="26" t="n"/>
      <c r="J417" s="24" t="n"/>
      <c r="K417" s="22" t="n"/>
      <c r="O417" s="25">
        <f>IF(A417="","",H417*J417)</f>
        <v/>
      </c>
      <c r="P417" s="18">
        <f>IF(K417="","",DATEDIF(K417,TODAY(),"m"))</f>
        <v/>
      </c>
      <c r="Q417" s="27">
        <f>IF(A417="","",SUMIFS(Uso_Embalagens!$E:$E,Uso_Embalagens!$D:$D,A417))</f>
        <v/>
      </c>
    </row>
    <row r="418">
      <c r="H418" s="26" t="n"/>
      <c r="J418" s="24" t="n"/>
      <c r="K418" s="22" t="n"/>
      <c r="O418" s="25">
        <f>IF(A418="","",H418*J418)</f>
        <v/>
      </c>
      <c r="P418" s="18">
        <f>IF(K418="","",DATEDIF(K418,TODAY(),"m"))</f>
        <v/>
      </c>
      <c r="Q418" s="27">
        <f>IF(A418="","",SUMIFS(Uso_Embalagens!$E:$E,Uso_Embalagens!$D:$D,A418))</f>
        <v/>
      </c>
    </row>
    <row r="419">
      <c r="H419" s="26" t="n"/>
      <c r="J419" s="24" t="n"/>
      <c r="K419" s="22" t="n"/>
      <c r="O419" s="25">
        <f>IF(A419="","",H419*J419)</f>
        <v/>
      </c>
      <c r="P419" s="18">
        <f>IF(K419="","",DATEDIF(K419,TODAY(),"m"))</f>
        <v/>
      </c>
      <c r="Q419" s="27">
        <f>IF(A419="","",SUMIFS(Uso_Embalagens!$E:$E,Uso_Embalagens!$D:$D,A419))</f>
        <v/>
      </c>
    </row>
    <row r="420">
      <c r="H420" s="26" t="n"/>
      <c r="J420" s="24" t="n"/>
      <c r="K420" s="22" t="n"/>
      <c r="O420" s="25">
        <f>IF(A420="","",H420*J420)</f>
        <v/>
      </c>
      <c r="P420" s="18">
        <f>IF(K420="","",DATEDIF(K420,TODAY(),"m"))</f>
        <v/>
      </c>
      <c r="Q420" s="27">
        <f>IF(A420="","",SUMIFS(Uso_Embalagens!$E:$E,Uso_Embalagens!$D:$D,A420))</f>
        <v/>
      </c>
    </row>
    <row r="421">
      <c r="H421" s="26" t="n"/>
      <c r="J421" s="24" t="n"/>
      <c r="K421" s="22" t="n"/>
      <c r="O421" s="25">
        <f>IF(A421="","",H421*J421)</f>
        <v/>
      </c>
      <c r="P421" s="18">
        <f>IF(K421="","",DATEDIF(K421,TODAY(),"m"))</f>
        <v/>
      </c>
      <c r="Q421" s="27">
        <f>IF(A421="","",SUMIFS(Uso_Embalagens!$E:$E,Uso_Embalagens!$D:$D,A421))</f>
        <v/>
      </c>
    </row>
    <row r="422">
      <c r="H422" s="26" t="n"/>
      <c r="J422" s="24" t="n"/>
      <c r="K422" s="22" t="n"/>
      <c r="O422" s="25">
        <f>IF(A422="","",H422*J422)</f>
        <v/>
      </c>
      <c r="P422" s="18">
        <f>IF(K422="","",DATEDIF(K422,TODAY(),"m"))</f>
        <v/>
      </c>
      <c r="Q422" s="27">
        <f>IF(A422="","",SUMIFS(Uso_Embalagens!$E:$E,Uso_Embalagens!$D:$D,A422))</f>
        <v/>
      </c>
    </row>
    <row r="423">
      <c r="H423" s="26" t="n"/>
      <c r="J423" s="24" t="n"/>
      <c r="K423" s="22" t="n"/>
      <c r="O423" s="25">
        <f>IF(A423="","",H423*J423)</f>
        <v/>
      </c>
      <c r="P423" s="18">
        <f>IF(K423="","",DATEDIF(K423,TODAY(),"m"))</f>
        <v/>
      </c>
      <c r="Q423" s="27">
        <f>IF(A423="","",SUMIFS(Uso_Embalagens!$E:$E,Uso_Embalagens!$D:$D,A423))</f>
        <v/>
      </c>
    </row>
    <row r="424">
      <c r="H424" s="26" t="n"/>
      <c r="J424" s="24" t="n"/>
      <c r="K424" s="22" t="n"/>
      <c r="O424" s="25">
        <f>IF(A424="","",H424*J424)</f>
        <v/>
      </c>
      <c r="P424" s="18">
        <f>IF(K424="","",DATEDIF(K424,TODAY(),"m"))</f>
        <v/>
      </c>
      <c r="Q424" s="27">
        <f>IF(A424="","",SUMIFS(Uso_Embalagens!$E:$E,Uso_Embalagens!$D:$D,A424))</f>
        <v/>
      </c>
    </row>
    <row r="425">
      <c r="H425" s="26" t="n"/>
      <c r="J425" s="24" t="n"/>
      <c r="K425" s="22" t="n"/>
      <c r="O425" s="25">
        <f>IF(A425="","",H425*J425)</f>
        <v/>
      </c>
      <c r="P425" s="18">
        <f>IF(K425="","",DATEDIF(K425,TODAY(),"m"))</f>
        <v/>
      </c>
      <c r="Q425" s="27">
        <f>IF(A425="","",SUMIFS(Uso_Embalagens!$E:$E,Uso_Embalagens!$D:$D,A425))</f>
        <v/>
      </c>
    </row>
    <row r="426">
      <c r="H426" s="26" t="n"/>
      <c r="J426" s="24" t="n"/>
      <c r="K426" s="22" t="n"/>
      <c r="O426" s="25">
        <f>IF(A426="","",H426*J426)</f>
        <v/>
      </c>
      <c r="P426" s="18">
        <f>IF(K426="","",DATEDIF(K426,TODAY(),"m"))</f>
        <v/>
      </c>
      <c r="Q426" s="27">
        <f>IF(A426="","",SUMIFS(Uso_Embalagens!$E:$E,Uso_Embalagens!$D:$D,A426))</f>
        <v/>
      </c>
    </row>
    <row r="427">
      <c r="H427" s="26" t="n"/>
      <c r="J427" s="24" t="n"/>
      <c r="K427" s="22" t="n"/>
      <c r="O427" s="25">
        <f>IF(A427="","",H427*J427)</f>
        <v/>
      </c>
      <c r="P427" s="18">
        <f>IF(K427="","",DATEDIF(K427,TODAY(),"m"))</f>
        <v/>
      </c>
      <c r="Q427" s="27">
        <f>IF(A427="","",SUMIFS(Uso_Embalagens!$E:$E,Uso_Embalagens!$D:$D,A427))</f>
        <v/>
      </c>
    </row>
    <row r="428">
      <c r="H428" s="26" t="n"/>
      <c r="J428" s="24" t="n"/>
      <c r="K428" s="22" t="n"/>
      <c r="O428" s="25">
        <f>IF(A428="","",H428*J428)</f>
        <v/>
      </c>
      <c r="P428" s="18">
        <f>IF(K428="","",DATEDIF(K428,TODAY(),"m"))</f>
        <v/>
      </c>
      <c r="Q428" s="27">
        <f>IF(A428="","",SUMIFS(Uso_Embalagens!$E:$E,Uso_Embalagens!$D:$D,A428))</f>
        <v/>
      </c>
    </row>
    <row r="429">
      <c r="H429" s="26" t="n"/>
      <c r="J429" s="24" t="n"/>
      <c r="K429" s="22" t="n"/>
      <c r="O429" s="25">
        <f>IF(A429="","",H429*J429)</f>
        <v/>
      </c>
      <c r="P429" s="18">
        <f>IF(K429="","",DATEDIF(K429,TODAY(),"m"))</f>
        <v/>
      </c>
      <c r="Q429" s="27">
        <f>IF(A429="","",SUMIFS(Uso_Embalagens!$E:$E,Uso_Embalagens!$D:$D,A429))</f>
        <v/>
      </c>
    </row>
    <row r="430">
      <c r="H430" s="26" t="n"/>
      <c r="J430" s="24" t="n"/>
      <c r="K430" s="22" t="n"/>
      <c r="O430" s="25">
        <f>IF(A430="","",H430*J430)</f>
        <v/>
      </c>
      <c r="P430" s="18">
        <f>IF(K430="","",DATEDIF(K430,TODAY(),"m"))</f>
        <v/>
      </c>
      <c r="Q430" s="27">
        <f>IF(A430="","",SUMIFS(Uso_Embalagens!$E:$E,Uso_Embalagens!$D:$D,A430))</f>
        <v/>
      </c>
    </row>
    <row r="431">
      <c r="H431" s="26" t="n"/>
      <c r="J431" s="24" t="n"/>
      <c r="K431" s="22" t="n"/>
      <c r="O431" s="25">
        <f>IF(A431="","",H431*J431)</f>
        <v/>
      </c>
      <c r="P431" s="18">
        <f>IF(K431="","",DATEDIF(K431,TODAY(),"m"))</f>
        <v/>
      </c>
      <c r="Q431" s="27">
        <f>IF(A431="","",SUMIFS(Uso_Embalagens!$E:$E,Uso_Embalagens!$D:$D,A431))</f>
        <v/>
      </c>
    </row>
    <row r="432">
      <c r="H432" s="26" t="n"/>
      <c r="J432" s="24" t="n"/>
      <c r="K432" s="22" t="n"/>
      <c r="O432" s="25">
        <f>IF(A432="","",H432*J432)</f>
        <v/>
      </c>
      <c r="P432" s="18">
        <f>IF(K432="","",DATEDIF(K432,TODAY(),"m"))</f>
        <v/>
      </c>
      <c r="Q432" s="27">
        <f>IF(A432="","",SUMIFS(Uso_Embalagens!$E:$E,Uso_Embalagens!$D:$D,A432))</f>
        <v/>
      </c>
    </row>
    <row r="433">
      <c r="H433" s="26" t="n"/>
      <c r="J433" s="24" t="n"/>
      <c r="K433" s="22" t="n"/>
      <c r="O433" s="25">
        <f>IF(A433="","",H433*J433)</f>
        <v/>
      </c>
      <c r="P433" s="18">
        <f>IF(K433="","",DATEDIF(K433,TODAY(),"m"))</f>
        <v/>
      </c>
      <c r="Q433" s="27">
        <f>IF(A433="","",SUMIFS(Uso_Embalagens!$E:$E,Uso_Embalagens!$D:$D,A433))</f>
        <v/>
      </c>
    </row>
    <row r="434">
      <c r="H434" s="26" t="n"/>
      <c r="J434" s="24" t="n"/>
      <c r="K434" s="22" t="n"/>
      <c r="O434" s="25">
        <f>IF(A434="","",H434*J434)</f>
        <v/>
      </c>
      <c r="P434" s="18">
        <f>IF(K434="","",DATEDIF(K434,TODAY(),"m"))</f>
        <v/>
      </c>
      <c r="Q434" s="27">
        <f>IF(A434="","",SUMIFS(Uso_Embalagens!$E:$E,Uso_Embalagens!$D:$D,A434))</f>
        <v/>
      </c>
    </row>
    <row r="435">
      <c r="H435" s="26" t="n"/>
      <c r="J435" s="24" t="n"/>
      <c r="K435" s="22" t="n"/>
      <c r="O435" s="25">
        <f>IF(A435="","",H435*J435)</f>
        <v/>
      </c>
      <c r="P435" s="18">
        <f>IF(K435="","",DATEDIF(K435,TODAY(),"m"))</f>
        <v/>
      </c>
      <c r="Q435" s="27">
        <f>IF(A435="","",SUMIFS(Uso_Embalagens!$E:$E,Uso_Embalagens!$D:$D,A435))</f>
        <v/>
      </c>
    </row>
    <row r="436">
      <c r="H436" s="26" t="n"/>
      <c r="J436" s="24" t="n"/>
      <c r="K436" s="22" t="n"/>
      <c r="O436" s="25">
        <f>IF(A436="","",H436*J436)</f>
        <v/>
      </c>
      <c r="P436" s="18">
        <f>IF(K436="","",DATEDIF(K436,TODAY(),"m"))</f>
        <v/>
      </c>
      <c r="Q436" s="27">
        <f>IF(A436="","",SUMIFS(Uso_Embalagens!$E:$E,Uso_Embalagens!$D:$D,A436))</f>
        <v/>
      </c>
    </row>
    <row r="437">
      <c r="H437" s="26" t="n"/>
      <c r="J437" s="24" t="n"/>
      <c r="K437" s="22" t="n"/>
      <c r="O437" s="25">
        <f>IF(A437="","",H437*J437)</f>
        <v/>
      </c>
      <c r="P437" s="18">
        <f>IF(K437="","",DATEDIF(K437,TODAY(),"m"))</f>
        <v/>
      </c>
      <c r="Q437" s="27">
        <f>IF(A437="","",SUMIFS(Uso_Embalagens!$E:$E,Uso_Embalagens!$D:$D,A437))</f>
        <v/>
      </c>
    </row>
    <row r="438">
      <c r="H438" s="26" t="n"/>
      <c r="J438" s="24" t="n"/>
      <c r="K438" s="22" t="n"/>
      <c r="O438" s="25">
        <f>IF(A438="","",H438*J438)</f>
        <v/>
      </c>
      <c r="P438" s="18">
        <f>IF(K438="","",DATEDIF(K438,TODAY(),"m"))</f>
        <v/>
      </c>
      <c r="Q438" s="27">
        <f>IF(A438="","",SUMIFS(Uso_Embalagens!$E:$E,Uso_Embalagens!$D:$D,A438))</f>
        <v/>
      </c>
    </row>
    <row r="439">
      <c r="H439" s="26" t="n"/>
      <c r="J439" s="24" t="n"/>
      <c r="K439" s="22" t="n"/>
      <c r="O439" s="25">
        <f>IF(A439="","",H439*J439)</f>
        <v/>
      </c>
      <c r="P439" s="18">
        <f>IF(K439="","",DATEDIF(K439,TODAY(),"m"))</f>
        <v/>
      </c>
      <c r="Q439" s="27">
        <f>IF(A439="","",SUMIFS(Uso_Embalagens!$E:$E,Uso_Embalagens!$D:$D,A439))</f>
        <v/>
      </c>
    </row>
    <row r="440">
      <c r="H440" s="26" t="n"/>
      <c r="J440" s="24" t="n"/>
      <c r="K440" s="22" t="n"/>
      <c r="O440" s="25">
        <f>IF(A440="","",H440*J440)</f>
        <v/>
      </c>
      <c r="P440" s="18">
        <f>IF(K440="","",DATEDIF(K440,TODAY(),"m"))</f>
        <v/>
      </c>
      <c r="Q440" s="27">
        <f>IF(A440="","",SUMIFS(Uso_Embalagens!$E:$E,Uso_Embalagens!$D:$D,A440))</f>
        <v/>
      </c>
    </row>
    <row r="441">
      <c r="H441" s="26" t="n"/>
      <c r="J441" s="24" t="n"/>
      <c r="K441" s="22" t="n"/>
      <c r="O441" s="25">
        <f>IF(A441="","",H441*J441)</f>
        <v/>
      </c>
      <c r="P441" s="18">
        <f>IF(K441="","",DATEDIF(K441,TODAY(),"m"))</f>
        <v/>
      </c>
      <c r="Q441" s="27">
        <f>IF(A441="","",SUMIFS(Uso_Embalagens!$E:$E,Uso_Embalagens!$D:$D,A441))</f>
        <v/>
      </c>
    </row>
    <row r="442">
      <c r="H442" s="26" t="n"/>
      <c r="J442" s="24" t="n"/>
      <c r="K442" s="22" t="n"/>
      <c r="O442" s="25">
        <f>IF(A442="","",H442*J442)</f>
        <v/>
      </c>
      <c r="P442" s="18">
        <f>IF(K442="","",DATEDIF(K442,TODAY(),"m"))</f>
        <v/>
      </c>
      <c r="Q442" s="27">
        <f>IF(A442="","",SUMIFS(Uso_Embalagens!$E:$E,Uso_Embalagens!$D:$D,A442))</f>
        <v/>
      </c>
    </row>
    <row r="443">
      <c r="H443" s="26" t="n"/>
      <c r="J443" s="24" t="n"/>
      <c r="K443" s="22" t="n"/>
      <c r="O443" s="25">
        <f>IF(A443="","",H443*J443)</f>
        <v/>
      </c>
      <c r="P443" s="18">
        <f>IF(K443="","",DATEDIF(K443,TODAY(),"m"))</f>
        <v/>
      </c>
      <c r="Q443" s="27">
        <f>IF(A443="","",SUMIFS(Uso_Embalagens!$E:$E,Uso_Embalagens!$D:$D,A443))</f>
        <v/>
      </c>
    </row>
    <row r="444">
      <c r="H444" s="26" t="n"/>
      <c r="J444" s="24" t="n"/>
      <c r="K444" s="22" t="n"/>
      <c r="O444" s="25">
        <f>IF(A444="","",H444*J444)</f>
        <v/>
      </c>
      <c r="P444" s="18">
        <f>IF(K444="","",DATEDIF(K444,TODAY(),"m"))</f>
        <v/>
      </c>
      <c r="Q444" s="27">
        <f>IF(A444="","",SUMIFS(Uso_Embalagens!$E:$E,Uso_Embalagens!$D:$D,A444))</f>
        <v/>
      </c>
    </row>
    <row r="445">
      <c r="H445" s="26" t="n"/>
      <c r="J445" s="24" t="n"/>
      <c r="K445" s="22" t="n"/>
      <c r="O445" s="25">
        <f>IF(A445="","",H445*J445)</f>
        <v/>
      </c>
      <c r="P445" s="18">
        <f>IF(K445="","",DATEDIF(K445,TODAY(),"m"))</f>
        <v/>
      </c>
      <c r="Q445" s="27">
        <f>IF(A445="","",SUMIFS(Uso_Embalagens!$E:$E,Uso_Embalagens!$D:$D,A445))</f>
        <v/>
      </c>
    </row>
    <row r="446">
      <c r="H446" s="26" t="n"/>
      <c r="J446" s="24" t="n"/>
      <c r="K446" s="22" t="n"/>
      <c r="O446" s="25">
        <f>IF(A446="","",H446*J446)</f>
        <v/>
      </c>
      <c r="P446" s="18">
        <f>IF(K446="","",DATEDIF(K446,TODAY(),"m"))</f>
        <v/>
      </c>
      <c r="Q446" s="27">
        <f>IF(A446="","",SUMIFS(Uso_Embalagens!$E:$E,Uso_Embalagens!$D:$D,A446))</f>
        <v/>
      </c>
    </row>
    <row r="447">
      <c r="H447" s="26" t="n"/>
      <c r="J447" s="24" t="n"/>
      <c r="K447" s="22" t="n"/>
      <c r="O447" s="25">
        <f>IF(A447="","",H447*J447)</f>
        <v/>
      </c>
      <c r="P447" s="18">
        <f>IF(K447="","",DATEDIF(K447,TODAY(),"m"))</f>
        <v/>
      </c>
      <c r="Q447" s="27">
        <f>IF(A447="","",SUMIFS(Uso_Embalagens!$E:$E,Uso_Embalagens!$D:$D,A447))</f>
        <v/>
      </c>
    </row>
    <row r="448">
      <c r="H448" s="26" t="n"/>
      <c r="J448" s="24" t="n"/>
      <c r="K448" s="22" t="n"/>
      <c r="O448" s="25">
        <f>IF(A448="","",H448*J448)</f>
        <v/>
      </c>
      <c r="P448" s="18">
        <f>IF(K448="","",DATEDIF(K448,TODAY(),"m"))</f>
        <v/>
      </c>
      <c r="Q448" s="27">
        <f>IF(A448="","",SUMIFS(Uso_Embalagens!$E:$E,Uso_Embalagens!$D:$D,A448))</f>
        <v/>
      </c>
    </row>
    <row r="449">
      <c r="H449" s="26" t="n"/>
      <c r="J449" s="24" t="n"/>
      <c r="K449" s="22" t="n"/>
      <c r="O449" s="25">
        <f>IF(A449="","",H449*J449)</f>
        <v/>
      </c>
      <c r="P449" s="18">
        <f>IF(K449="","",DATEDIF(K449,TODAY(),"m"))</f>
        <v/>
      </c>
      <c r="Q449" s="27">
        <f>IF(A449="","",SUMIFS(Uso_Embalagens!$E:$E,Uso_Embalagens!$D:$D,A449))</f>
        <v/>
      </c>
    </row>
    <row r="450">
      <c r="H450" s="26" t="n"/>
      <c r="J450" s="24" t="n"/>
      <c r="K450" s="22" t="n"/>
      <c r="O450" s="25">
        <f>IF(A450="","",H450*J450)</f>
        <v/>
      </c>
      <c r="P450" s="18">
        <f>IF(K450="","",DATEDIF(K450,TODAY(),"m"))</f>
        <v/>
      </c>
      <c r="Q450" s="27">
        <f>IF(A450="","",SUMIFS(Uso_Embalagens!$E:$E,Uso_Embalagens!$D:$D,A450))</f>
        <v/>
      </c>
    </row>
    <row r="451">
      <c r="H451" s="26" t="n"/>
      <c r="J451" s="24" t="n"/>
      <c r="K451" s="22" t="n"/>
      <c r="O451" s="25">
        <f>IF(A451="","",H451*J451)</f>
        <v/>
      </c>
      <c r="P451" s="18">
        <f>IF(K451="","",DATEDIF(K451,TODAY(),"m"))</f>
        <v/>
      </c>
      <c r="Q451" s="27">
        <f>IF(A451="","",SUMIFS(Uso_Embalagens!$E:$E,Uso_Embalagens!$D:$D,A451))</f>
        <v/>
      </c>
    </row>
    <row r="452">
      <c r="H452" s="26" t="n"/>
      <c r="J452" s="24" t="n"/>
      <c r="K452" s="22" t="n"/>
      <c r="O452" s="25">
        <f>IF(A452="","",H452*J452)</f>
        <v/>
      </c>
      <c r="P452" s="18">
        <f>IF(K452="","",DATEDIF(K452,TODAY(),"m"))</f>
        <v/>
      </c>
      <c r="Q452" s="27">
        <f>IF(A452="","",SUMIFS(Uso_Embalagens!$E:$E,Uso_Embalagens!$D:$D,A452))</f>
        <v/>
      </c>
    </row>
    <row r="453">
      <c r="H453" s="26" t="n"/>
      <c r="J453" s="24" t="n"/>
      <c r="K453" s="22" t="n"/>
      <c r="O453" s="25">
        <f>IF(A453="","",H453*J453)</f>
        <v/>
      </c>
      <c r="P453" s="18">
        <f>IF(K453="","",DATEDIF(K453,TODAY(),"m"))</f>
        <v/>
      </c>
      <c r="Q453" s="27">
        <f>IF(A453="","",SUMIFS(Uso_Embalagens!$E:$E,Uso_Embalagens!$D:$D,A453))</f>
        <v/>
      </c>
    </row>
    <row r="454">
      <c r="H454" s="26" t="n"/>
      <c r="J454" s="24" t="n"/>
      <c r="K454" s="22" t="n"/>
      <c r="O454" s="25">
        <f>IF(A454="","",H454*J454)</f>
        <v/>
      </c>
      <c r="P454" s="18">
        <f>IF(K454="","",DATEDIF(K454,TODAY(),"m"))</f>
        <v/>
      </c>
      <c r="Q454" s="27">
        <f>IF(A454="","",SUMIFS(Uso_Embalagens!$E:$E,Uso_Embalagens!$D:$D,A454))</f>
        <v/>
      </c>
    </row>
    <row r="455">
      <c r="H455" s="26" t="n"/>
      <c r="J455" s="24" t="n"/>
      <c r="K455" s="22" t="n"/>
      <c r="O455" s="25">
        <f>IF(A455="","",H455*J455)</f>
        <v/>
      </c>
      <c r="P455" s="18">
        <f>IF(K455="","",DATEDIF(K455,TODAY(),"m"))</f>
        <v/>
      </c>
      <c r="Q455" s="27">
        <f>IF(A455="","",SUMIFS(Uso_Embalagens!$E:$E,Uso_Embalagens!$D:$D,A455))</f>
        <v/>
      </c>
    </row>
    <row r="456">
      <c r="H456" s="26" t="n"/>
      <c r="J456" s="24" t="n"/>
      <c r="K456" s="22" t="n"/>
      <c r="O456" s="25">
        <f>IF(A456="","",H456*J456)</f>
        <v/>
      </c>
      <c r="P456" s="18">
        <f>IF(K456="","",DATEDIF(K456,TODAY(),"m"))</f>
        <v/>
      </c>
      <c r="Q456" s="27">
        <f>IF(A456="","",SUMIFS(Uso_Embalagens!$E:$E,Uso_Embalagens!$D:$D,A456))</f>
        <v/>
      </c>
    </row>
    <row r="457">
      <c r="H457" s="26" t="n"/>
      <c r="J457" s="24" t="n"/>
      <c r="K457" s="22" t="n"/>
      <c r="O457" s="25">
        <f>IF(A457="","",H457*J457)</f>
        <v/>
      </c>
      <c r="P457" s="18">
        <f>IF(K457="","",DATEDIF(K457,TODAY(),"m"))</f>
        <v/>
      </c>
      <c r="Q457" s="27">
        <f>IF(A457="","",SUMIFS(Uso_Embalagens!$E:$E,Uso_Embalagens!$D:$D,A457))</f>
        <v/>
      </c>
    </row>
    <row r="458">
      <c r="H458" s="26" t="n"/>
      <c r="J458" s="24" t="n"/>
      <c r="K458" s="22" t="n"/>
      <c r="O458" s="25">
        <f>IF(A458="","",H458*J458)</f>
        <v/>
      </c>
      <c r="P458" s="18">
        <f>IF(K458="","",DATEDIF(K458,TODAY(),"m"))</f>
        <v/>
      </c>
      <c r="Q458" s="27">
        <f>IF(A458="","",SUMIFS(Uso_Embalagens!$E:$E,Uso_Embalagens!$D:$D,A458))</f>
        <v/>
      </c>
    </row>
    <row r="459">
      <c r="H459" s="26" t="n"/>
      <c r="J459" s="24" t="n"/>
      <c r="K459" s="22" t="n"/>
      <c r="O459" s="25">
        <f>IF(A459="","",H459*J459)</f>
        <v/>
      </c>
      <c r="P459" s="18">
        <f>IF(K459="","",DATEDIF(K459,TODAY(),"m"))</f>
        <v/>
      </c>
      <c r="Q459" s="27">
        <f>IF(A459="","",SUMIFS(Uso_Embalagens!$E:$E,Uso_Embalagens!$D:$D,A459))</f>
        <v/>
      </c>
    </row>
    <row r="460">
      <c r="H460" s="26" t="n"/>
      <c r="J460" s="24" t="n"/>
      <c r="K460" s="22" t="n"/>
      <c r="O460" s="25">
        <f>IF(A460="","",H460*J460)</f>
        <v/>
      </c>
      <c r="P460" s="18">
        <f>IF(K460="","",DATEDIF(K460,TODAY(),"m"))</f>
        <v/>
      </c>
      <c r="Q460" s="27">
        <f>IF(A460="","",SUMIFS(Uso_Embalagens!$E:$E,Uso_Embalagens!$D:$D,A460))</f>
        <v/>
      </c>
    </row>
    <row r="461">
      <c r="H461" s="26" t="n"/>
      <c r="J461" s="24" t="n"/>
      <c r="K461" s="22" t="n"/>
      <c r="O461" s="25">
        <f>IF(A461="","",H461*J461)</f>
        <v/>
      </c>
      <c r="P461" s="18">
        <f>IF(K461="","",DATEDIF(K461,TODAY(),"m"))</f>
        <v/>
      </c>
      <c r="Q461" s="27">
        <f>IF(A461="","",SUMIFS(Uso_Embalagens!$E:$E,Uso_Embalagens!$D:$D,A461))</f>
        <v/>
      </c>
    </row>
    <row r="462">
      <c r="H462" s="26" t="n"/>
      <c r="J462" s="24" t="n"/>
      <c r="K462" s="22" t="n"/>
      <c r="O462" s="25">
        <f>IF(A462="","",H462*J462)</f>
        <v/>
      </c>
      <c r="P462" s="18">
        <f>IF(K462="","",DATEDIF(K462,TODAY(),"m"))</f>
        <v/>
      </c>
      <c r="Q462" s="27">
        <f>IF(A462="","",SUMIFS(Uso_Embalagens!$E:$E,Uso_Embalagens!$D:$D,A462))</f>
        <v/>
      </c>
    </row>
    <row r="463">
      <c r="H463" s="26" t="n"/>
      <c r="J463" s="24" t="n"/>
      <c r="K463" s="22" t="n"/>
      <c r="O463" s="25">
        <f>IF(A463="","",H463*J463)</f>
        <v/>
      </c>
      <c r="P463" s="18">
        <f>IF(K463="","",DATEDIF(K463,TODAY(),"m"))</f>
        <v/>
      </c>
      <c r="Q463" s="27">
        <f>IF(A463="","",SUMIFS(Uso_Embalagens!$E:$E,Uso_Embalagens!$D:$D,A463))</f>
        <v/>
      </c>
    </row>
    <row r="464">
      <c r="H464" s="26" t="n"/>
      <c r="J464" s="24" t="n"/>
      <c r="K464" s="22" t="n"/>
      <c r="O464" s="25">
        <f>IF(A464="","",H464*J464)</f>
        <v/>
      </c>
      <c r="P464" s="18">
        <f>IF(K464="","",DATEDIF(K464,TODAY(),"m"))</f>
        <v/>
      </c>
      <c r="Q464" s="27">
        <f>IF(A464="","",SUMIFS(Uso_Embalagens!$E:$E,Uso_Embalagens!$D:$D,A464))</f>
        <v/>
      </c>
    </row>
    <row r="465">
      <c r="H465" s="26" t="n"/>
      <c r="J465" s="24" t="n"/>
      <c r="K465" s="22" t="n"/>
      <c r="O465" s="25">
        <f>IF(A465="","",H465*J465)</f>
        <v/>
      </c>
      <c r="P465" s="18">
        <f>IF(K465="","",DATEDIF(K465,TODAY(),"m"))</f>
        <v/>
      </c>
      <c r="Q465" s="27">
        <f>IF(A465="","",SUMIFS(Uso_Embalagens!$E:$E,Uso_Embalagens!$D:$D,A465))</f>
        <v/>
      </c>
    </row>
    <row r="466">
      <c r="H466" s="26" t="n"/>
      <c r="J466" s="24" t="n"/>
      <c r="K466" s="22" t="n"/>
      <c r="O466" s="25">
        <f>IF(A466="","",H466*J466)</f>
        <v/>
      </c>
      <c r="P466" s="18">
        <f>IF(K466="","",DATEDIF(K466,TODAY(),"m"))</f>
        <v/>
      </c>
      <c r="Q466" s="27">
        <f>IF(A466="","",SUMIFS(Uso_Embalagens!$E:$E,Uso_Embalagens!$D:$D,A466))</f>
        <v/>
      </c>
    </row>
    <row r="467">
      <c r="H467" s="26" t="n"/>
      <c r="J467" s="24" t="n"/>
      <c r="K467" s="22" t="n"/>
      <c r="O467" s="25">
        <f>IF(A467="","",H467*J467)</f>
        <v/>
      </c>
      <c r="P467" s="18">
        <f>IF(K467="","",DATEDIF(K467,TODAY(),"m"))</f>
        <v/>
      </c>
      <c r="Q467" s="27">
        <f>IF(A467="","",SUMIFS(Uso_Embalagens!$E:$E,Uso_Embalagens!$D:$D,A467))</f>
        <v/>
      </c>
    </row>
    <row r="468">
      <c r="H468" s="26" t="n"/>
      <c r="J468" s="24" t="n"/>
      <c r="K468" s="22" t="n"/>
      <c r="O468" s="25">
        <f>IF(A468="","",H468*J468)</f>
        <v/>
      </c>
      <c r="P468" s="18">
        <f>IF(K468="","",DATEDIF(K468,TODAY(),"m"))</f>
        <v/>
      </c>
      <c r="Q468" s="27">
        <f>IF(A468="","",SUMIFS(Uso_Embalagens!$E:$E,Uso_Embalagens!$D:$D,A468))</f>
        <v/>
      </c>
    </row>
    <row r="469">
      <c r="H469" s="26" t="n"/>
      <c r="J469" s="24" t="n"/>
      <c r="K469" s="22" t="n"/>
      <c r="O469" s="25">
        <f>IF(A469="","",H469*J469)</f>
        <v/>
      </c>
      <c r="P469" s="18">
        <f>IF(K469="","",DATEDIF(K469,TODAY(),"m"))</f>
        <v/>
      </c>
      <c r="Q469" s="27">
        <f>IF(A469="","",SUMIFS(Uso_Embalagens!$E:$E,Uso_Embalagens!$D:$D,A469))</f>
        <v/>
      </c>
    </row>
    <row r="470">
      <c r="H470" s="26" t="n"/>
      <c r="J470" s="24" t="n"/>
      <c r="K470" s="22" t="n"/>
      <c r="O470" s="25">
        <f>IF(A470="","",H470*J470)</f>
        <v/>
      </c>
      <c r="P470" s="18">
        <f>IF(K470="","",DATEDIF(K470,TODAY(),"m"))</f>
        <v/>
      </c>
      <c r="Q470" s="27">
        <f>IF(A470="","",SUMIFS(Uso_Embalagens!$E:$E,Uso_Embalagens!$D:$D,A470))</f>
        <v/>
      </c>
    </row>
    <row r="471">
      <c r="H471" s="26" t="n"/>
      <c r="J471" s="24" t="n"/>
      <c r="K471" s="22" t="n"/>
      <c r="O471" s="25">
        <f>IF(A471="","",H471*J471)</f>
        <v/>
      </c>
      <c r="P471" s="18">
        <f>IF(K471="","",DATEDIF(K471,TODAY(),"m"))</f>
        <v/>
      </c>
      <c r="Q471" s="27">
        <f>IF(A471="","",SUMIFS(Uso_Embalagens!$E:$E,Uso_Embalagens!$D:$D,A471))</f>
        <v/>
      </c>
    </row>
    <row r="472">
      <c r="H472" s="26" t="n"/>
      <c r="J472" s="24" t="n"/>
      <c r="K472" s="22" t="n"/>
      <c r="O472" s="25">
        <f>IF(A472="","",H472*J472)</f>
        <v/>
      </c>
      <c r="P472" s="18">
        <f>IF(K472="","",DATEDIF(K472,TODAY(),"m"))</f>
        <v/>
      </c>
      <c r="Q472" s="27">
        <f>IF(A472="","",SUMIFS(Uso_Embalagens!$E:$E,Uso_Embalagens!$D:$D,A472))</f>
        <v/>
      </c>
    </row>
    <row r="473">
      <c r="H473" s="26" t="n"/>
      <c r="J473" s="24" t="n"/>
      <c r="K473" s="22" t="n"/>
      <c r="O473" s="25">
        <f>IF(A473="","",H473*J473)</f>
        <v/>
      </c>
      <c r="P473" s="18">
        <f>IF(K473="","",DATEDIF(K473,TODAY(),"m"))</f>
        <v/>
      </c>
      <c r="Q473" s="27">
        <f>IF(A473="","",SUMIFS(Uso_Embalagens!$E:$E,Uso_Embalagens!$D:$D,A473))</f>
        <v/>
      </c>
    </row>
    <row r="474">
      <c r="H474" s="26" t="n"/>
      <c r="J474" s="24" t="n"/>
      <c r="K474" s="22" t="n"/>
      <c r="O474" s="25">
        <f>IF(A474="","",H474*J474)</f>
        <v/>
      </c>
      <c r="P474" s="18">
        <f>IF(K474="","",DATEDIF(K474,TODAY(),"m"))</f>
        <v/>
      </c>
      <c r="Q474" s="27">
        <f>IF(A474="","",SUMIFS(Uso_Embalagens!$E:$E,Uso_Embalagens!$D:$D,A474))</f>
        <v/>
      </c>
    </row>
    <row r="475">
      <c r="H475" s="26" t="n"/>
      <c r="J475" s="24" t="n"/>
      <c r="K475" s="22" t="n"/>
      <c r="O475" s="25">
        <f>IF(A475="","",H475*J475)</f>
        <v/>
      </c>
      <c r="P475" s="18">
        <f>IF(K475="","",DATEDIF(K475,TODAY(),"m"))</f>
        <v/>
      </c>
      <c r="Q475" s="27">
        <f>IF(A475="","",SUMIFS(Uso_Embalagens!$E:$E,Uso_Embalagens!$D:$D,A475))</f>
        <v/>
      </c>
    </row>
    <row r="476">
      <c r="H476" s="26" t="n"/>
      <c r="J476" s="24" t="n"/>
      <c r="K476" s="22" t="n"/>
      <c r="O476" s="25">
        <f>IF(A476="","",H476*J476)</f>
        <v/>
      </c>
      <c r="P476" s="18">
        <f>IF(K476="","",DATEDIF(K476,TODAY(),"m"))</f>
        <v/>
      </c>
      <c r="Q476" s="27">
        <f>IF(A476="","",SUMIFS(Uso_Embalagens!$E:$E,Uso_Embalagens!$D:$D,A476))</f>
        <v/>
      </c>
    </row>
    <row r="477">
      <c r="H477" s="26" t="n"/>
      <c r="J477" s="24" t="n"/>
      <c r="K477" s="22" t="n"/>
      <c r="O477" s="25">
        <f>IF(A477="","",H477*J477)</f>
        <v/>
      </c>
      <c r="P477" s="18">
        <f>IF(K477="","",DATEDIF(K477,TODAY(),"m"))</f>
        <v/>
      </c>
      <c r="Q477" s="27">
        <f>IF(A477="","",SUMIFS(Uso_Embalagens!$E:$E,Uso_Embalagens!$D:$D,A477))</f>
        <v/>
      </c>
    </row>
    <row r="478">
      <c r="H478" s="26" t="n"/>
      <c r="J478" s="24" t="n"/>
      <c r="K478" s="22" t="n"/>
      <c r="O478" s="25">
        <f>IF(A478="","",H478*J478)</f>
        <v/>
      </c>
      <c r="P478" s="18">
        <f>IF(K478="","",DATEDIF(K478,TODAY(),"m"))</f>
        <v/>
      </c>
      <c r="Q478" s="27">
        <f>IF(A478="","",SUMIFS(Uso_Embalagens!$E:$E,Uso_Embalagens!$D:$D,A478))</f>
        <v/>
      </c>
    </row>
    <row r="479">
      <c r="H479" s="26" t="n"/>
      <c r="J479" s="24" t="n"/>
      <c r="K479" s="22" t="n"/>
      <c r="O479" s="25">
        <f>IF(A479="","",H479*J479)</f>
        <v/>
      </c>
      <c r="P479" s="18">
        <f>IF(K479="","",DATEDIF(K479,TODAY(),"m"))</f>
        <v/>
      </c>
      <c r="Q479" s="27">
        <f>IF(A479="","",SUMIFS(Uso_Embalagens!$E:$E,Uso_Embalagens!$D:$D,A479))</f>
        <v/>
      </c>
    </row>
    <row r="480">
      <c r="H480" s="26" t="n"/>
      <c r="J480" s="24" t="n"/>
      <c r="K480" s="22" t="n"/>
      <c r="O480" s="25">
        <f>IF(A480="","",H480*J480)</f>
        <v/>
      </c>
      <c r="P480" s="18">
        <f>IF(K480="","",DATEDIF(K480,TODAY(),"m"))</f>
        <v/>
      </c>
      <c r="Q480" s="27">
        <f>IF(A480="","",SUMIFS(Uso_Embalagens!$E:$E,Uso_Embalagens!$D:$D,A480))</f>
        <v/>
      </c>
    </row>
    <row r="481">
      <c r="H481" s="26" t="n"/>
      <c r="J481" s="24" t="n"/>
      <c r="K481" s="22" t="n"/>
      <c r="O481" s="25">
        <f>IF(A481="","",H481*J481)</f>
        <v/>
      </c>
      <c r="P481" s="18">
        <f>IF(K481="","",DATEDIF(K481,TODAY(),"m"))</f>
        <v/>
      </c>
      <c r="Q481" s="27">
        <f>IF(A481="","",SUMIFS(Uso_Embalagens!$E:$E,Uso_Embalagens!$D:$D,A481))</f>
        <v/>
      </c>
    </row>
    <row r="482">
      <c r="H482" s="26" t="n"/>
      <c r="J482" s="24" t="n"/>
      <c r="K482" s="22" t="n"/>
      <c r="O482" s="25">
        <f>IF(A482="","",H482*J482)</f>
        <v/>
      </c>
      <c r="P482" s="18">
        <f>IF(K482="","",DATEDIF(K482,TODAY(),"m"))</f>
        <v/>
      </c>
      <c r="Q482" s="27">
        <f>IF(A482="","",SUMIFS(Uso_Embalagens!$E:$E,Uso_Embalagens!$D:$D,A482))</f>
        <v/>
      </c>
    </row>
    <row r="483">
      <c r="H483" s="26" t="n"/>
      <c r="J483" s="24" t="n"/>
      <c r="K483" s="22" t="n"/>
      <c r="O483" s="25">
        <f>IF(A483="","",H483*J483)</f>
        <v/>
      </c>
      <c r="P483" s="18">
        <f>IF(K483="","",DATEDIF(K483,TODAY(),"m"))</f>
        <v/>
      </c>
      <c r="Q483" s="27">
        <f>IF(A483="","",SUMIFS(Uso_Embalagens!$E:$E,Uso_Embalagens!$D:$D,A483))</f>
        <v/>
      </c>
    </row>
    <row r="484">
      <c r="H484" s="26" t="n"/>
      <c r="J484" s="24" t="n"/>
      <c r="K484" s="22" t="n"/>
      <c r="O484" s="25">
        <f>IF(A484="","",H484*J484)</f>
        <v/>
      </c>
      <c r="P484" s="18">
        <f>IF(K484="","",DATEDIF(K484,TODAY(),"m"))</f>
        <v/>
      </c>
      <c r="Q484" s="27">
        <f>IF(A484="","",SUMIFS(Uso_Embalagens!$E:$E,Uso_Embalagens!$D:$D,A484))</f>
        <v/>
      </c>
    </row>
    <row r="485">
      <c r="H485" s="26" t="n"/>
      <c r="J485" s="24" t="n"/>
      <c r="K485" s="22" t="n"/>
      <c r="O485" s="25">
        <f>IF(A485="","",H485*J485)</f>
        <v/>
      </c>
      <c r="P485" s="18">
        <f>IF(K485="","",DATEDIF(K485,TODAY(),"m"))</f>
        <v/>
      </c>
      <c r="Q485" s="27">
        <f>IF(A485="","",SUMIFS(Uso_Embalagens!$E:$E,Uso_Embalagens!$D:$D,A485))</f>
        <v/>
      </c>
    </row>
    <row r="486">
      <c r="H486" s="26" t="n"/>
      <c r="J486" s="24" t="n"/>
      <c r="K486" s="22" t="n"/>
      <c r="O486" s="25">
        <f>IF(A486="","",H486*J486)</f>
        <v/>
      </c>
      <c r="P486" s="18">
        <f>IF(K486="","",DATEDIF(K486,TODAY(),"m"))</f>
        <v/>
      </c>
      <c r="Q486" s="27">
        <f>IF(A486="","",SUMIFS(Uso_Embalagens!$E:$E,Uso_Embalagens!$D:$D,A486))</f>
        <v/>
      </c>
    </row>
    <row r="487">
      <c r="H487" s="26" t="n"/>
      <c r="J487" s="24" t="n"/>
      <c r="K487" s="22" t="n"/>
      <c r="O487" s="25">
        <f>IF(A487="","",H487*J487)</f>
        <v/>
      </c>
      <c r="P487" s="18">
        <f>IF(K487="","",DATEDIF(K487,TODAY(),"m"))</f>
        <v/>
      </c>
      <c r="Q487" s="27">
        <f>IF(A487="","",SUMIFS(Uso_Embalagens!$E:$E,Uso_Embalagens!$D:$D,A487))</f>
        <v/>
      </c>
    </row>
    <row r="488">
      <c r="H488" s="26" t="n"/>
      <c r="J488" s="24" t="n"/>
      <c r="K488" s="22" t="n"/>
      <c r="O488" s="25">
        <f>IF(A488="","",H488*J488)</f>
        <v/>
      </c>
      <c r="P488" s="18">
        <f>IF(K488="","",DATEDIF(K488,TODAY(),"m"))</f>
        <v/>
      </c>
      <c r="Q488" s="27">
        <f>IF(A488="","",SUMIFS(Uso_Embalagens!$E:$E,Uso_Embalagens!$D:$D,A488))</f>
        <v/>
      </c>
    </row>
    <row r="489">
      <c r="H489" s="26" t="n"/>
      <c r="J489" s="24" t="n"/>
      <c r="K489" s="22" t="n"/>
      <c r="O489" s="25">
        <f>IF(A489="","",H489*J489)</f>
        <v/>
      </c>
      <c r="P489" s="18">
        <f>IF(K489="","",DATEDIF(K489,TODAY(),"m"))</f>
        <v/>
      </c>
      <c r="Q489" s="27">
        <f>IF(A489="","",SUMIFS(Uso_Embalagens!$E:$E,Uso_Embalagens!$D:$D,A489))</f>
        <v/>
      </c>
    </row>
    <row r="490">
      <c r="H490" s="26" t="n"/>
      <c r="J490" s="24" t="n"/>
      <c r="K490" s="22" t="n"/>
      <c r="O490" s="25">
        <f>IF(A490="","",H490*J490)</f>
        <v/>
      </c>
      <c r="P490" s="18">
        <f>IF(K490="","",DATEDIF(K490,TODAY(),"m"))</f>
        <v/>
      </c>
      <c r="Q490" s="27">
        <f>IF(A490="","",SUMIFS(Uso_Embalagens!$E:$E,Uso_Embalagens!$D:$D,A490))</f>
        <v/>
      </c>
    </row>
    <row r="491">
      <c r="H491" s="26" t="n"/>
      <c r="J491" s="24" t="n"/>
      <c r="K491" s="22" t="n"/>
      <c r="O491" s="25">
        <f>IF(A491="","",H491*J491)</f>
        <v/>
      </c>
      <c r="P491" s="18">
        <f>IF(K491="","",DATEDIF(K491,TODAY(),"m"))</f>
        <v/>
      </c>
      <c r="Q491" s="27">
        <f>IF(A491="","",SUMIFS(Uso_Embalagens!$E:$E,Uso_Embalagens!$D:$D,A491))</f>
        <v/>
      </c>
    </row>
    <row r="492">
      <c r="H492" s="26" t="n"/>
      <c r="J492" s="24" t="n"/>
      <c r="K492" s="22" t="n"/>
      <c r="O492" s="25">
        <f>IF(A492="","",H492*J492)</f>
        <v/>
      </c>
      <c r="P492" s="18">
        <f>IF(K492="","",DATEDIF(K492,TODAY(),"m"))</f>
        <v/>
      </c>
      <c r="Q492" s="27">
        <f>IF(A492="","",SUMIFS(Uso_Embalagens!$E:$E,Uso_Embalagens!$D:$D,A492))</f>
        <v/>
      </c>
    </row>
    <row r="493">
      <c r="H493" s="26" t="n"/>
      <c r="J493" s="24" t="n"/>
      <c r="K493" s="22" t="n"/>
      <c r="O493" s="25">
        <f>IF(A493="","",H493*J493)</f>
        <v/>
      </c>
      <c r="P493" s="18">
        <f>IF(K493="","",DATEDIF(K493,TODAY(),"m"))</f>
        <v/>
      </c>
      <c r="Q493" s="27">
        <f>IF(A493="","",SUMIFS(Uso_Embalagens!$E:$E,Uso_Embalagens!$D:$D,A493))</f>
        <v/>
      </c>
    </row>
    <row r="494">
      <c r="H494" s="26" t="n"/>
      <c r="J494" s="24" t="n"/>
      <c r="K494" s="22" t="n"/>
      <c r="O494" s="25">
        <f>IF(A494="","",H494*J494)</f>
        <v/>
      </c>
      <c r="P494" s="18">
        <f>IF(K494="","",DATEDIF(K494,TODAY(),"m"))</f>
        <v/>
      </c>
      <c r="Q494" s="27">
        <f>IF(A494="","",SUMIFS(Uso_Embalagens!$E:$E,Uso_Embalagens!$D:$D,A494))</f>
        <v/>
      </c>
    </row>
    <row r="495">
      <c r="H495" s="26" t="n"/>
      <c r="J495" s="24" t="n"/>
      <c r="K495" s="22" t="n"/>
      <c r="O495" s="25">
        <f>IF(A495="","",H495*J495)</f>
        <v/>
      </c>
      <c r="P495" s="18">
        <f>IF(K495="","",DATEDIF(K495,TODAY(),"m"))</f>
        <v/>
      </c>
      <c r="Q495" s="27">
        <f>IF(A495="","",SUMIFS(Uso_Embalagens!$E:$E,Uso_Embalagens!$D:$D,A495))</f>
        <v/>
      </c>
    </row>
    <row r="496">
      <c r="H496" s="26" t="n"/>
      <c r="J496" s="24" t="n"/>
      <c r="K496" s="22" t="n"/>
      <c r="O496" s="25">
        <f>IF(A496="","",H496*J496)</f>
        <v/>
      </c>
      <c r="P496" s="18">
        <f>IF(K496="","",DATEDIF(K496,TODAY(),"m"))</f>
        <v/>
      </c>
      <c r="Q496" s="27">
        <f>IF(A496="","",SUMIFS(Uso_Embalagens!$E:$E,Uso_Embalagens!$D:$D,A496))</f>
        <v/>
      </c>
    </row>
    <row r="497">
      <c r="H497" s="26" t="n"/>
      <c r="J497" s="24" t="n"/>
      <c r="K497" s="22" t="n"/>
      <c r="O497" s="25">
        <f>IF(A497="","",H497*J497)</f>
        <v/>
      </c>
      <c r="P497" s="18">
        <f>IF(K497="","",DATEDIF(K497,TODAY(),"m"))</f>
        <v/>
      </c>
      <c r="Q497" s="27">
        <f>IF(A497="","",SUMIFS(Uso_Embalagens!$E:$E,Uso_Embalagens!$D:$D,A497))</f>
        <v/>
      </c>
    </row>
    <row r="498">
      <c r="H498" s="26" t="n"/>
      <c r="J498" s="24" t="n"/>
      <c r="K498" s="22" t="n"/>
      <c r="O498" s="25">
        <f>IF(A498="","",H498*J498)</f>
        <v/>
      </c>
      <c r="P498" s="18">
        <f>IF(K498="","",DATEDIF(K498,TODAY(),"m"))</f>
        <v/>
      </c>
      <c r="Q498" s="27">
        <f>IF(A498="","",SUMIFS(Uso_Embalagens!$E:$E,Uso_Embalagens!$D:$D,A498))</f>
        <v/>
      </c>
    </row>
    <row r="499">
      <c r="H499" s="26" t="n"/>
      <c r="J499" s="24" t="n"/>
      <c r="K499" s="22" t="n"/>
      <c r="O499" s="25">
        <f>IF(A499="","",H499*J499)</f>
        <v/>
      </c>
      <c r="P499" s="18">
        <f>IF(K499="","",DATEDIF(K499,TODAY(),"m"))</f>
        <v/>
      </c>
      <c r="Q499" s="27">
        <f>IF(A499="","",SUMIFS(Uso_Embalagens!$E:$E,Uso_Embalagens!$D:$D,A499))</f>
        <v/>
      </c>
    </row>
    <row r="500">
      <c r="H500" s="26" t="n"/>
      <c r="J500" s="24" t="n"/>
      <c r="K500" s="22" t="n"/>
      <c r="O500" s="25">
        <f>IF(A500="","",H500*J500)</f>
        <v/>
      </c>
      <c r="P500" s="18">
        <f>IF(K500="","",DATEDIF(K500,TODAY(),"m"))</f>
        <v/>
      </c>
      <c r="Q500" s="27">
        <f>IF(A500="","",SUMIFS(Uso_Embalagens!$E:$E,Uso_Embalagens!$D:$D,A500))</f>
        <v/>
      </c>
    </row>
    <row r="501">
      <c r="H501" s="26" t="n"/>
      <c r="J501" s="24" t="n"/>
      <c r="K501" s="22" t="n"/>
      <c r="O501" s="25">
        <f>IF(A501="","",H501*J501)</f>
        <v/>
      </c>
      <c r="P501" s="18">
        <f>IF(K501="","",DATEDIF(K501,TODAY(),"m"))</f>
        <v/>
      </c>
      <c r="Q501" s="27">
        <f>IF(A501="","",SUMIFS(Uso_Embalagens!$E:$E,Uso_Embalagens!$D:$D,A501))</f>
        <v/>
      </c>
    </row>
  </sheetData>
  <autoFilter ref="A1:Q1"/>
  <dataValidations count="2">
    <dataValidation sqref="C2:C501" showDropDown="0" showInputMessage="0" showErrorMessage="0" allowBlank="1" type="list">
      <formula1>=Listas!$J$2:$J$8</formula1>
    </dataValidation>
    <dataValidation sqref="L2:L501" showDropDown="0" showInputMessage="0" showErrorMessage="0" allowBlank="1" type="list">
      <formula1>=Listas!$K$2:$K$4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17" customWidth="1" min="5" max="5"/>
    <col width="16" customWidth="1" min="6" max="6"/>
    <col width="26" customWidth="1" min="7" max="7"/>
    <col width="14" customWidth="1" min="8" max="8"/>
    <col width="13" customWidth="1" min="9" max="9"/>
    <col width="17" customWidth="1" min="10" max="10"/>
  </cols>
  <sheetData>
    <row r="1" ht="34" customHeight="1">
      <c r="A1" s="16" t="inlineStr">
        <is>
          <t>Data</t>
        </is>
      </c>
      <c r="B1" s="16" t="inlineStr">
        <is>
          <t>Nº Pedido</t>
        </is>
      </c>
      <c r="C1" s="16" t="inlineStr">
        <is>
          <t>Cliente</t>
        </is>
      </c>
      <c r="D1" s="16" t="inlineStr">
        <is>
          <t>Código embalagem</t>
        </is>
      </c>
      <c r="E1" s="16" t="inlineStr">
        <is>
          <t>Qtd utilizada</t>
        </is>
      </c>
      <c r="F1" s="16" t="inlineStr">
        <is>
          <t>Forma de uso</t>
        </is>
      </c>
      <c r="G1" s="16" t="inlineStr">
        <is>
          <t>Aprovado pela produção</t>
        </is>
      </c>
      <c r="H1" s="16" t="inlineStr">
        <is>
          <t>Observação</t>
        </is>
      </c>
      <c r="I1" s="17" t="inlineStr">
        <is>
          <t>Descrição</t>
        </is>
      </c>
      <c r="J1" s="17" t="inlineStr">
        <is>
          <t>Economia (R$)</t>
        </is>
      </c>
    </row>
    <row r="2">
      <c r="A2" s="22" t="n">
        <v>46280</v>
      </c>
      <c r="B2" t="inlineStr">
        <is>
          <t>PV1236</t>
        </is>
      </c>
      <c r="C2" t="inlineStr"/>
      <c r="D2" t="inlineStr">
        <is>
          <t>EMB-106</t>
        </is>
      </c>
      <c r="E2" t="n">
        <v>400</v>
      </c>
      <c r="F2" t="inlineStr">
        <is>
          <t>Reforço/acessório</t>
        </is>
      </c>
      <c r="G2" t="inlineStr">
        <is>
          <t>Sim</t>
        </is>
      </c>
      <c r="H2" t="inlineStr">
        <is>
          <t>Divisória entre camadas</t>
        </is>
      </c>
      <c r="I2" s="21">
        <f>IF(D2="","",IFERROR(INDEX(Embalagens!$B:$B,MATCH(D2,Embalagens!$A:$A,0)),"Código não cadastrado"))</f>
        <v/>
      </c>
      <c r="J2" s="25">
        <f>IF(D2="","",E2*IFERROR(INDEX(Embalagens!$J:$J,MATCH(D2,Embalagens!$A:$A,0)),0))</f>
        <v/>
      </c>
    </row>
    <row r="3">
      <c r="A3" s="22" t="n"/>
      <c r="I3" s="21">
        <f>IF(D3="","",IFERROR(INDEX(Embalagens!$B:$B,MATCH(D3,Embalagens!$A:$A,0)),"Código não cadastrado"))</f>
        <v/>
      </c>
      <c r="J3" s="25">
        <f>IF(D3="","",E3*IFERROR(INDEX(Embalagens!$J:$J,MATCH(D3,Embalagens!$A:$A,0)),0))</f>
        <v/>
      </c>
    </row>
    <row r="4">
      <c r="A4" s="22" t="n"/>
      <c r="I4" s="21">
        <f>IF(D4="","",IFERROR(INDEX(Embalagens!$B:$B,MATCH(D4,Embalagens!$A:$A,0)),"Código não cadastrado"))</f>
        <v/>
      </c>
      <c r="J4" s="25">
        <f>IF(D4="","",E4*IFERROR(INDEX(Embalagens!$J:$J,MATCH(D4,Embalagens!$A:$A,0)),0))</f>
        <v/>
      </c>
    </row>
    <row r="5">
      <c r="A5" s="22" t="n"/>
      <c r="I5" s="21">
        <f>IF(D5="","",IFERROR(INDEX(Embalagens!$B:$B,MATCH(D5,Embalagens!$A:$A,0)),"Código não cadastrado"))</f>
        <v/>
      </c>
      <c r="J5" s="25">
        <f>IF(D5="","",E5*IFERROR(INDEX(Embalagens!$J:$J,MATCH(D5,Embalagens!$A:$A,0)),0))</f>
        <v/>
      </c>
    </row>
    <row r="6">
      <c r="A6" s="22" t="n"/>
      <c r="I6" s="21">
        <f>IF(D6="","",IFERROR(INDEX(Embalagens!$B:$B,MATCH(D6,Embalagens!$A:$A,0)),"Código não cadastrado"))</f>
        <v/>
      </c>
      <c r="J6" s="25">
        <f>IF(D6="","",E6*IFERROR(INDEX(Embalagens!$J:$J,MATCH(D6,Embalagens!$A:$A,0)),0))</f>
        <v/>
      </c>
    </row>
    <row r="7">
      <c r="A7" s="22" t="n"/>
      <c r="I7" s="21">
        <f>IF(D7="","",IFERROR(INDEX(Embalagens!$B:$B,MATCH(D7,Embalagens!$A:$A,0)),"Código não cadastrado"))</f>
        <v/>
      </c>
      <c r="J7" s="25">
        <f>IF(D7="","",E7*IFERROR(INDEX(Embalagens!$J:$J,MATCH(D7,Embalagens!$A:$A,0)),0))</f>
        <v/>
      </c>
    </row>
    <row r="8">
      <c r="A8" s="22" t="n"/>
      <c r="I8" s="21">
        <f>IF(D8="","",IFERROR(INDEX(Embalagens!$B:$B,MATCH(D8,Embalagens!$A:$A,0)),"Código não cadastrado"))</f>
        <v/>
      </c>
      <c r="J8" s="25">
        <f>IF(D8="","",E8*IFERROR(INDEX(Embalagens!$J:$J,MATCH(D8,Embalagens!$A:$A,0)),0))</f>
        <v/>
      </c>
    </row>
    <row r="9">
      <c r="A9" s="22" t="n"/>
      <c r="I9" s="21">
        <f>IF(D9="","",IFERROR(INDEX(Embalagens!$B:$B,MATCH(D9,Embalagens!$A:$A,0)),"Código não cadastrado"))</f>
        <v/>
      </c>
      <c r="J9" s="25">
        <f>IF(D9="","",E9*IFERROR(INDEX(Embalagens!$J:$J,MATCH(D9,Embalagens!$A:$A,0)),0))</f>
        <v/>
      </c>
    </row>
    <row r="10">
      <c r="A10" s="22" t="n"/>
      <c r="I10" s="21">
        <f>IF(D10="","",IFERROR(INDEX(Embalagens!$B:$B,MATCH(D10,Embalagens!$A:$A,0)),"Código não cadastrado"))</f>
        <v/>
      </c>
      <c r="J10" s="25">
        <f>IF(D10="","",E10*IFERROR(INDEX(Embalagens!$J:$J,MATCH(D10,Embalagens!$A:$A,0)),0))</f>
        <v/>
      </c>
    </row>
    <row r="11">
      <c r="A11" s="22" t="n"/>
      <c r="I11" s="21">
        <f>IF(D11="","",IFERROR(INDEX(Embalagens!$B:$B,MATCH(D11,Embalagens!$A:$A,0)),"Código não cadastrado"))</f>
        <v/>
      </c>
      <c r="J11" s="25">
        <f>IF(D11="","",E11*IFERROR(INDEX(Embalagens!$J:$J,MATCH(D11,Embalagens!$A:$A,0)),0))</f>
        <v/>
      </c>
    </row>
    <row r="12">
      <c r="A12" s="22" t="n"/>
      <c r="I12" s="21">
        <f>IF(D12="","",IFERROR(INDEX(Embalagens!$B:$B,MATCH(D12,Embalagens!$A:$A,0)),"Código não cadastrado"))</f>
        <v/>
      </c>
      <c r="J12" s="25">
        <f>IF(D12="","",E12*IFERROR(INDEX(Embalagens!$J:$J,MATCH(D12,Embalagens!$A:$A,0)),0))</f>
        <v/>
      </c>
    </row>
    <row r="13">
      <c r="A13" s="22" t="n"/>
      <c r="I13" s="21">
        <f>IF(D13="","",IFERROR(INDEX(Embalagens!$B:$B,MATCH(D13,Embalagens!$A:$A,0)),"Código não cadastrado"))</f>
        <v/>
      </c>
      <c r="J13" s="25">
        <f>IF(D13="","",E13*IFERROR(INDEX(Embalagens!$J:$J,MATCH(D13,Embalagens!$A:$A,0)),0))</f>
        <v/>
      </c>
    </row>
    <row r="14">
      <c r="A14" s="22" t="n"/>
      <c r="I14" s="21">
        <f>IF(D14="","",IFERROR(INDEX(Embalagens!$B:$B,MATCH(D14,Embalagens!$A:$A,0)),"Código não cadastrado"))</f>
        <v/>
      </c>
      <c r="J14" s="25">
        <f>IF(D14="","",E14*IFERROR(INDEX(Embalagens!$J:$J,MATCH(D14,Embalagens!$A:$A,0)),0))</f>
        <v/>
      </c>
    </row>
    <row r="15">
      <c r="A15" s="22" t="n"/>
      <c r="I15" s="21">
        <f>IF(D15="","",IFERROR(INDEX(Embalagens!$B:$B,MATCH(D15,Embalagens!$A:$A,0)),"Código não cadastrado"))</f>
        <v/>
      </c>
      <c r="J15" s="25">
        <f>IF(D15="","",E15*IFERROR(INDEX(Embalagens!$J:$J,MATCH(D15,Embalagens!$A:$A,0)),0))</f>
        <v/>
      </c>
    </row>
    <row r="16">
      <c r="A16" s="22" t="n"/>
      <c r="I16" s="21">
        <f>IF(D16="","",IFERROR(INDEX(Embalagens!$B:$B,MATCH(D16,Embalagens!$A:$A,0)),"Código não cadastrado"))</f>
        <v/>
      </c>
      <c r="J16" s="25">
        <f>IF(D16="","",E16*IFERROR(INDEX(Embalagens!$J:$J,MATCH(D16,Embalagens!$A:$A,0)),0))</f>
        <v/>
      </c>
    </row>
    <row r="17">
      <c r="A17" s="22" t="n"/>
      <c r="I17" s="21">
        <f>IF(D17="","",IFERROR(INDEX(Embalagens!$B:$B,MATCH(D17,Embalagens!$A:$A,0)),"Código não cadastrado"))</f>
        <v/>
      </c>
      <c r="J17" s="25">
        <f>IF(D17="","",E17*IFERROR(INDEX(Embalagens!$J:$J,MATCH(D17,Embalagens!$A:$A,0)),0))</f>
        <v/>
      </c>
    </row>
    <row r="18">
      <c r="A18" s="22" t="n"/>
      <c r="I18" s="21">
        <f>IF(D18="","",IFERROR(INDEX(Embalagens!$B:$B,MATCH(D18,Embalagens!$A:$A,0)),"Código não cadastrado"))</f>
        <v/>
      </c>
      <c r="J18" s="25">
        <f>IF(D18="","",E18*IFERROR(INDEX(Embalagens!$J:$J,MATCH(D18,Embalagens!$A:$A,0)),0))</f>
        <v/>
      </c>
    </row>
    <row r="19">
      <c r="A19" s="22" t="n"/>
      <c r="I19" s="21">
        <f>IF(D19="","",IFERROR(INDEX(Embalagens!$B:$B,MATCH(D19,Embalagens!$A:$A,0)),"Código não cadastrado"))</f>
        <v/>
      </c>
      <c r="J19" s="25">
        <f>IF(D19="","",E19*IFERROR(INDEX(Embalagens!$J:$J,MATCH(D19,Embalagens!$A:$A,0)),0))</f>
        <v/>
      </c>
    </row>
    <row r="20">
      <c r="A20" s="22" t="n"/>
      <c r="I20" s="21">
        <f>IF(D20="","",IFERROR(INDEX(Embalagens!$B:$B,MATCH(D20,Embalagens!$A:$A,0)),"Código não cadastrado"))</f>
        <v/>
      </c>
      <c r="J20" s="25">
        <f>IF(D20="","",E20*IFERROR(INDEX(Embalagens!$J:$J,MATCH(D20,Embalagens!$A:$A,0)),0))</f>
        <v/>
      </c>
    </row>
    <row r="21">
      <c r="A21" s="22" t="n"/>
      <c r="I21" s="21">
        <f>IF(D21="","",IFERROR(INDEX(Embalagens!$B:$B,MATCH(D21,Embalagens!$A:$A,0)),"Código não cadastrado"))</f>
        <v/>
      </c>
      <c r="J21" s="25">
        <f>IF(D21="","",E21*IFERROR(INDEX(Embalagens!$J:$J,MATCH(D21,Embalagens!$A:$A,0)),0))</f>
        <v/>
      </c>
    </row>
    <row r="22">
      <c r="A22" s="22" t="n"/>
      <c r="I22" s="21">
        <f>IF(D22="","",IFERROR(INDEX(Embalagens!$B:$B,MATCH(D22,Embalagens!$A:$A,0)),"Código não cadastrado"))</f>
        <v/>
      </c>
      <c r="J22" s="25">
        <f>IF(D22="","",E22*IFERROR(INDEX(Embalagens!$J:$J,MATCH(D22,Embalagens!$A:$A,0)),0))</f>
        <v/>
      </c>
    </row>
    <row r="23">
      <c r="A23" s="22" t="n"/>
      <c r="I23" s="21">
        <f>IF(D23="","",IFERROR(INDEX(Embalagens!$B:$B,MATCH(D23,Embalagens!$A:$A,0)),"Código não cadastrado"))</f>
        <v/>
      </c>
      <c r="J23" s="25">
        <f>IF(D23="","",E23*IFERROR(INDEX(Embalagens!$J:$J,MATCH(D23,Embalagens!$A:$A,0)),0))</f>
        <v/>
      </c>
    </row>
    <row r="24">
      <c r="A24" s="22" t="n"/>
      <c r="I24" s="21">
        <f>IF(D24="","",IFERROR(INDEX(Embalagens!$B:$B,MATCH(D24,Embalagens!$A:$A,0)),"Código não cadastrado"))</f>
        <v/>
      </c>
      <c r="J24" s="25">
        <f>IF(D24="","",E24*IFERROR(INDEX(Embalagens!$J:$J,MATCH(D24,Embalagens!$A:$A,0)),0))</f>
        <v/>
      </c>
    </row>
    <row r="25">
      <c r="A25" s="22" t="n"/>
      <c r="I25" s="21">
        <f>IF(D25="","",IFERROR(INDEX(Embalagens!$B:$B,MATCH(D25,Embalagens!$A:$A,0)),"Código não cadastrado"))</f>
        <v/>
      </c>
      <c r="J25" s="25">
        <f>IF(D25="","",E25*IFERROR(INDEX(Embalagens!$J:$J,MATCH(D25,Embalagens!$A:$A,0)),0))</f>
        <v/>
      </c>
    </row>
    <row r="26">
      <c r="A26" s="22" t="n"/>
      <c r="I26" s="21">
        <f>IF(D26="","",IFERROR(INDEX(Embalagens!$B:$B,MATCH(D26,Embalagens!$A:$A,0)),"Código não cadastrado"))</f>
        <v/>
      </c>
      <c r="J26" s="25">
        <f>IF(D26="","",E26*IFERROR(INDEX(Embalagens!$J:$J,MATCH(D26,Embalagens!$A:$A,0)),0))</f>
        <v/>
      </c>
    </row>
    <row r="27">
      <c r="A27" s="22" t="n"/>
      <c r="I27" s="21">
        <f>IF(D27="","",IFERROR(INDEX(Embalagens!$B:$B,MATCH(D27,Embalagens!$A:$A,0)),"Código não cadastrado"))</f>
        <v/>
      </c>
      <c r="J27" s="25">
        <f>IF(D27="","",E27*IFERROR(INDEX(Embalagens!$J:$J,MATCH(D27,Embalagens!$A:$A,0)),0))</f>
        <v/>
      </c>
    </row>
    <row r="28">
      <c r="A28" s="22" t="n"/>
      <c r="I28" s="21">
        <f>IF(D28="","",IFERROR(INDEX(Embalagens!$B:$B,MATCH(D28,Embalagens!$A:$A,0)),"Código não cadastrado"))</f>
        <v/>
      </c>
      <c r="J28" s="25">
        <f>IF(D28="","",E28*IFERROR(INDEX(Embalagens!$J:$J,MATCH(D28,Embalagens!$A:$A,0)),0))</f>
        <v/>
      </c>
    </row>
    <row r="29">
      <c r="A29" s="22" t="n"/>
      <c r="I29" s="21">
        <f>IF(D29="","",IFERROR(INDEX(Embalagens!$B:$B,MATCH(D29,Embalagens!$A:$A,0)),"Código não cadastrado"))</f>
        <v/>
      </c>
      <c r="J29" s="25">
        <f>IF(D29="","",E29*IFERROR(INDEX(Embalagens!$J:$J,MATCH(D29,Embalagens!$A:$A,0)),0))</f>
        <v/>
      </c>
    </row>
    <row r="30">
      <c r="A30" s="22" t="n"/>
      <c r="I30" s="21">
        <f>IF(D30="","",IFERROR(INDEX(Embalagens!$B:$B,MATCH(D30,Embalagens!$A:$A,0)),"Código não cadastrado"))</f>
        <v/>
      </c>
      <c r="J30" s="25">
        <f>IF(D30="","",E30*IFERROR(INDEX(Embalagens!$J:$J,MATCH(D30,Embalagens!$A:$A,0)),0))</f>
        <v/>
      </c>
    </row>
    <row r="31">
      <c r="A31" s="22" t="n"/>
      <c r="I31" s="21">
        <f>IF(D31="","",IFERROR(INDEX(Embalagens!$B:$B,MATCH(D31,Embalagens!$A:$A,0)),"Código não cadastrado"))</f>
        <v/>
      </c>
      <c r="J31" s="25">
        <f>IF(D31="","",E31*IFERROR(INDEX(Embalagens!$J:$J,MATCH(D31,Embalagens!$A:$A,0)),0))</f>
        <v/>
      </c>
    </row>
    <row r="32">
      <c r="A32" s="22" t="n"/>
      <c r="I32" s="21">
        <f>IF(D32="","",IFERROR(INDEX(Embalagens!$B:$B,MATCH(D32,Embalagens!$A:$A,0)),"Código não cadastrado"))</f>
        <v/>
      </c>
      <c r="J32" s="25">
        <f>IF(D32="","",E32*IFERROR(INDEX(Embalagens!$J:$J,MATCH(D32,Embalagens!$A:$A,0)),0))</f>
        <v/>
      </c>
    </row>
    <row r="33">
      <c r="A33" s="22" t="n"/>
      <c r="I33" s="21">
        <f>IF(D33="","",IFERROR(INDEX(Embalagens!$B:$B,MATCH(D33,Embalagens!$A:$A,0)),"Código não cadastrado"))</f>
        <v/>
      </c>
      <c r="J33" s="25">
        <f>IF(D33="","",E33*IFERROR(INDEX(Embalagens!$J:$J,MATCH(D33,Embalagens!$A:$A,0)),0))</f>
        <v/>
      </c>
    </row>
    <row r="34">
      <c r="A34" s="22" t="n"/>
      <c r="I34" s="21">
        <f>IF(D34="","",IFERROR(INDEX(Embalagens!$B:$B,MATCH(D34,Embalagens!$A:$A,0)),"Código não cadastrado"))</f>
        <v/>
      </c>
      <c r="J34" s="25">
        <f>IF(D34="","",E34*IFERROR(INDEX(Embalagens!$J:$J,MATCH(D34,Embalagens!$A:$A,0)),0))</f>
        <v/>
      </c>
    </row>
    <row r="35">
      <c r="A35" s="22" t="n"/>
      <c r="I35" s="21">
        <f>IF(D35="","",IFERROR(INDEX(Embalagens!$B:$B,MATCH(D35,Embalagens!$A:$A,0)),"Código não cadastrado"))</f>
        <v/>
      </c>
      <c r="J35" s="25">
        <f>IF(D35="","",E35*IFERROR(INDEX(Embalagens!$J:$J,MATCH(D35,Embalagens!$A:$A,0)),0))</f>
        <v/>
      </c>
    </row>
    <row r="36">
      <c r="A36" s="22" t="n"/>
      <c r="I36" s="21">
        <f>IF(D36="","",IFERROR(INDEX(Embalagens!$B:$B,MATCH(D36,Embalagens!$A:$A,0)),"Código não cadastrado"))</f>
        <v/>
      </c>
      <c r="J36" s="25">
        <f>IF(D36="","",E36*IFERROR(INDEX(Embalagens!$J:$J,MATCH(D36,Embalagens!$A:$A,0)),0))</f>
        <v/>
      </c>
    </row>
    <row r="37">
      <c r="A37" s="22" t="n"/>
      <c r="I37" s="21">
        <f>IF(D37="","",IFERROR(INDEX(Embalagens!$B:$B,MATCH(D37,Embalagens!$A:$A,0)),"Código não cadastrado"))</f>
        <v/>
      </c>
      <c r="J37" s="25">
        <f>IF(D37="","",E37*IFERROR(INDEX(Embalagens!$J:$J,MATCH(D37,Embalagens!$A:$A,0)),0))</f>
        <v/>
      </c>
    </row>
    <row r="38">
      <c r="A38" s="22" t="n"/>
      <c r="I38" s="21">
        <f>IF(D38="","",IFERROR(INDEX(Embalagens!$B:$B,MATCH(D38,Embalagens!$A:$A,0)),"Código não cadastrado"))</f>
        <v/>
      </c>
      <c r="J38" s="25">
        <f>IF(D38="","",E38*IFERROR(INDEX(Embalagens!$J:$J,MATCH(D38,Embalagens!$A:$A,0)),0))</f>
        <v/>
      </c>
    </row>
    <row r="39">
      <c r="A39" s="22" t="n"/>
      <c r="I39" s="21">
        <f>IF(D39="","",IFERROR(INDEX(Embalagens!$B:$B,MATCH(D39,Embalagens!$A:$A,0)),"Código não cadastrado"))</f>
        <v/>
      </c>
      <c r="J39" s="25">
        <f>IF(D39="","",E39*IFERROR(INDEX(Embalagens!$J:$J,MATCH(D39,Embalagens!$A:$A,0)),0))</f>
        <v/>
      </c>
    </row>
    <row r="40">
      <c r="A40" s="22" t="n"/>
      <c r="I40" s="21">
        <f>IF(D40="","",IFERROR(INDEX(Embalagens!$B:$B,MATCH(D40,Embalagens!$A:$A,0)),"Código não cadastrado"))</f>
        <v/>
      </c>
      <c r="J40" s="25">
        <f>IF(D40="","",E40*IFERROR(INDEX(Embalagens!$J:$J,MATCH(D40,Embalagens!$A:$A,0)),0))</f>
        <v/>
      </c>
    </row>
    <row r="41">
      <c r="A41" s="22" t="n"/>
      <c r="I41" s="21">
        <f>IF(D41="","",IFERROR(INDEX(Embalagens!$B:$B,MATCH(D41,Embalagens!$A:$A,0)),"Código não cadastrado"))</f>
        <v/>
      </c>
      <c r="J41" s="25">
        <f>IF(D41="","",E41*IFERROR(INDEX(Embalagens!$J:$J,MATCH(D41,Embalagens!$A:$A,0)),0))</f>
        <v/>
      </c>
    </row>
    <row r="42">
      <c r="A42" s="22" t="n"/>
      <c r="I42" s="21">
        <f>IF(D42="","",IFERROR(INDEX(Embalagens!$B:$B,MATCH(D42,Embalagens!$A:$A,0)),"Código não cadastrado"))</f>
        <v/>
      </c>
      <c r="J42" s="25">
        <f>IF(D42="","",E42*IFERROR(INDEX(Embalagens!$J:$J,MATCH(D42,Embalagens!$A:$A,0)),0))</f>
        <v/>
      </c>
    </row>
    <row r="43">
      <c r="A43" s="22" t="n"/>
      <c r="I43" s="21">
        <f>IF(D43="","",IFERROR(INDEX(Embalagens!$B:$B,MATCH(D43,Embalagens!$A:$A,0)),"Código não cadastrado"))</f>
        <v/>
      </c>
      <c r="J43" s="25">
        <f>IF(D43="","",E43*IFERROR(INDEX(Embalagens!$J:$J,MATCH(D43,Embalagens!$A:$A,0)),0))</f>
        <v/>
      </c>
    </row>
    <row r="44">
      <c r="A44" s="22" t="n"/>
      <c r="I44" s="21">
        <f>IF(D44="","",IFERROR(INDEX(Embalagens!$B:$B,MATCH(D44,Embalagens!$A:$A,0)),"Código não cadastrado"))</f>
        <v/>
      </c>
      <c r="J44" s="25">
        <f>IF(D44="","",E44*IFERROR(INDEX(Embalagens!$J:$J,MATCH(D44,Embalagens!$A:$A,0)),0))</f>
        <v/>
      </c>
    </row>
    <row r="45">
      <c r="A45" s="22" t="n"/>
      <c r="I45" s="21">
        <f>IF(D45="","",IFERROR(INDEX(Embalagens!$B:$B,MATCH(D45,Embalagens!$A:$A,0)),"Código não cadastrado"))</f>
        <v/>
      </c>
      <c r="J45" s="25">
        <f>IF(D45="","",E45*IFERROR(INDEX(Embalagens!$J:$J,MATCH(D45,Embalagens!$A:$A,0)),0))</f>
        <v/>
      </c>
    </row>
    <row r="46">
      <c r="A46" s="22" t="n"/>
      <c r="I46" s="21">
        <f>IF(D46="","",IFERROR(INDEX(Embalagens!$B:$B,MATCH(D46,Embalagens!$A:$A,0)),"Código não cadastrado"))</f>
        <v/>
      </c>
      <c r="J46" s="25">
        <f>IF(D46="","",E46*IFERROR(INDEX(Embalagens!$J:$J,MATCH(D46,Embalagens!$A:$A,0)),0))</f>
        <v/>
      </c>
    </row>
    <row r="47">
      <c r="A47" s="22" t="n"/>
      <c r="I47" s="21">
        <f>IF(D47="","",IFERROR(INDEX(Embalagens!$B:$B,MATCH(D47,Embalagens!$A:$A,0)),"Código não cadastrado"))</f>
        <v/>
      </c>
      <c r="J47" s="25">
        <f>IF(D47="","",E47*IFERROR(INDEX(Embalagens!$J:$J,MATCH(D47,Embalagens!$A:$A,0)),0))</f>
        <v/>
      </c>
    </row>
    <row r="48">
      <c r="A48" s="22" t="n"/>
      <c r="I48" s="21">
        <f>IF(D48="","",IFERROR(INDEX(Embalagens!$B:$B,MATCH(D48,Embalagens!$A:$A,0)),"Código não cadastrado"))</f>
        <v/>
      </c>
      <c r="J48" s="25">
        <f>IF(D48="","",E48*IFERROR(INDEX(Embalagens!$J:$J,MATCH(D48,Embalagens!$A:$A,0)),0))</f>
        <v/>
      </c>
    </row>
    <row r="49">
      <c r="A49" s="22" t="n"/>
      <c r="I49" s="21">
        <f>IF(D49="","",IFERROR(INDEX(Embalagens!$B:$B,MATCH(D49,Embalagens!$A:$A,0)),"Código não cadastrado"))</f>
        <v/>
      </c>
      <c r="J49" s="25">
        <f>IF(D49="","",E49*IFERROR(INDEX(Embalagens!$J:$J,MATCH(D49,Embalagens!$A:$A,0)),0))</f>
        <v/>
      </c>
    </row>
    <row r="50">
      <c r="A50" s="22" t="n"/>
      <c r="I50" s="21">
        <f>IF(D50="","",IFERROR(INDEX(Embalagens!$B:$B,MATCH(D50,Embalagens!$A:$A,0)),"Código não cadastrado"))</f>
        <v/>
      </c>
      <c r="J50" s="25">
        <f>IF(D50="","",E50*IFERROR(INDEX(Embalagens!$J:$J,MATCH(D50,Embalagens!$A:$A,0)),0))</f>
        <v/>
      </c>
    </row>
    <row r="51">
      <c r="A51" s="22" t="n"/>
      <c r="I51" s="21">
        <f>IF(D51="","",IFERROR(INDEX(Embalagens!$B:$B,MATCH(D51,Embalagens!$A:$A,0)),"Código não cadastrado"))</f>
        <v/>
      </c>
      <c r="J51" s="25">
        <f>IF(D51="","",E51*IFERROR(INDEX(Embalagens!$J:$J,MATCH(D51,Embalagens!$A:$A,0)),0))</f>
        <v/>
      </c>
    </row>
    <row r="52">
      <c r="A52" s="22" t="n"/>
      <c r="I52" s="21">
        <f>IF(D52="","",IFERROR(INDEX(Embalagens!$B:$B,MATCH(D52,Embalagens!$A:$A,0)),"Código não cadastrado"))</f>
        <v/>
      </c>
      <c r="J52" s="25">
        <f>IF(D52="","",E52*IFERROR(INDEX(Embalagens!$J:$J,MATCH(D52,Embalagens!$A:$A,0)),0))</f>
        <v/>
      </c>
    </row>
    <row r="53">
      <c r="A53" s="22" t="n"/>
      <c r="I53" s="21">
        <f>IF(D53="","",IFERROR(INDEX(Embalagens!$B:$B,MATCH(D53,Embalagens!$A:$A,0)),"Código não cadastrado"))</f>
        <v/>
      </c>
      <c r="J53" s="25">
        <f>IF(D53="","",E53*IFERROR(INDEX(Embalagens!$J:$J,MATCH(D53,Embalagens!$A:$A,0)),0))</f>
        <v/>
      </c>
    </row>
    <row r="54">
      <c r="A54" s="22" t="n"/>
      <c r="I54" s="21">
        <f>IF(D54="","",IFERROR(INDEX(Embalagens!$B:$B,MATCH(D54,Embalagens!$A:$A,0)),"Código não cadastrado"))</f>
        <v/>
      </c>
      <c r="J54" s="25">
        <f>IF(D54="","",E54*IFERROR(INDEX(Embalagens!$J:$J,MATCH(D54,Embalagens!$A:$A,0)),0))</f>
        <v/>
      </c>
    </row>
    <row r="55">
      <c r="A55" s="22" t="n"/>
      <c r="I55" s="21">
        <f>IF(D55="","",IFERROR(INDEX(Embalagens!$B:$B,MATCH(D55,Embalagens!$A:$A,0)),"Código não cadastrado"))</f>
        <v/>
      </c>
      <c r="J55" s="25">
        <f>IF(D55="","",E55*IFERROR(INDEX(Embalagens!$J:$J,MATCH(D55,Embalagens!$A:$A,0)),0))</f>
        <v/>
      </c>
    </row>
    <row r="56">
      <c r="A56" s="22" t="n"/>
      <c r="I56" s="21">
        <f>IF(D56="","",IFERROR(INDEX(Embalagens!$B:$B,MATCH(D56,Embalagens!$A:$A,0)),"Código não cadastrado"))</f>
        <v/>
      </c>
      <c r="J56" s="25">
        <f>IF(D56="","",E56*IFERROR(INDEX(Embalagens!$J:$J,MATCH(D56,Embalagens!$A:$A,0)),0))</f>
        <v/>
      </c>
    </row>
    <row r="57">
      <c r="A57" s="22" t="n"/>
      <c r="I57" s="21">
        <f>IF(D57="","",IFERROR(INDEX(Embalagens!$B:$B,MATCH(D57,Embalagens!$A:$A,0)),"Código não cadastrado"))</f>
        <v/>
      </c>
      <c r="J57" s="25">
        <f>IF(D57="","",E57*IFERROR(INDEX(Embalagens!$J:$J,MATCH(D57,Embalagens!$A:$A,0)),0))</f>
        <v/>
      </c>
    </row>
    <row r="58">
      <c r="A58" s="22" t="n"/>
      <c r="I58" s="21">
        <f>IF(D58="","",IFERROR(INDEX(Embalagens!$B:$B,MATCH(D58,Embalagens!$A:$A,0)),"Código não cadastrado"))</f>
        <v/>
      </c>
      <c r="J58" s="25">
        <f>IF(D58="","",E58*IFERROR(INDEX(Embalagens!$J:$J,MATCH(D58,Embalagens!$A:$A,0)),0))</f>
        <v/>
      </c>
    </row>
    <row r="59">
      <c r="A59" s="22" t="n"/>
      <c r="I59" s="21">
        <f>IF(D59="","",IFERROR(INDEX(Embalagens!$B:$B,MATCH(D59,Embalagens!$A:$A,0)),"Código não cadastrado"))</f>
        <v/>
      </c>
      <c r="J59" s="25">
        <f>IF(D59="","",E59*IFERROR(INDEX(Embalagens!$J:$J,MATCH(D59,Embalagens!$A:$A,0)),0))</f>
        <v/>
      </c>
    </row>
    <row r="60">
      <c r="A60" s="22" t="n"/>
      <c r="I60" s="21">
        <f>IF(D60="","",IFERROR(INDEX(Embalagens!$B:$B,MATCH(D60,Embalagens!$A:$A,0)),"Código não cadastrado"))</f>
        <v/>
      </c>
      <c r="J60" s="25">
        <f>IF(D60="","",E60*IFERROR(INDEX(Embalagens!$J:$J,MATCH(D60,Embalagens!$A:$A,0)),0))</f>
        <v/>
      </c>
    </row>
    <row r="61">
      <c r="A61" s="22" t="n"/>
      <c r="I61" s="21">
        <f>IF(D61="","",IFERROR(INDEX(Embalagens!$B:$B,MATCH(D61,Embalagens!$A:$A,0)),"Código não cadastrado"))</f>
        <v/>
      </c>
      <c r="J61" s="25">
        <f>IF(D61="","",E61*IFERROR(INDEX(Embalagens!$J:$J,MATCH(D61,Embalagens!$A:$A,0)),0))</f>
        <v/>
      </c>
    </row>
    <row r="62">
      <c r="A62" s="22" t="n"/>
      <c r="I62" s="21">
        <f>IF(D62="","",IFERROR(INDEX(Embalagens!$B:$B,MATCH(D62,Embalagens!$A:$A,0)),"Código não cadastrado"))</f>
        <v/>
      </c>
      <c r="J62" s="25">
        <f>IF(D62="","",E62*IFERROR(INDEX(Embalagens!$J:$J,MATCH(D62,Embalagens!$A:$A,0)),0))</f>
        <v/>
      </c>
    </row>
    <row r="63">
      <c r="A63" s="22" t="n"/>
      <c r="I63" s="21">
        <f>IF(D63="","",IFERROR(INDEX(Embalagens!$B:$B,MATCH(D63,Embalagens!$A:$A,0)),"Código não cadastrado"))</f>
        <v/>
      </c>
      <c r="J63" s="25">
        <f>IF(D63="","",E63*IFERROR(INDEX(Embalagens!$J:$J,MATCH(D63,Embalagens!$A:$A,0)),0))</f>
        <v/>
      </c>
    </row>
    <row r="64">
      <c r="A64" s="22" t="n"/>
      <c r="I64" s="21">
        <f>IF(D64="","",IFERROR(INDEX(Embalagens!$B:$B,MATCH(D64,Embalagens!$A:$A,0)),"Código não cadastrado"))</f>
        <v/>
      </c>
      <c r="J64" s="25">
        <f>IF(D64="","",E64*IFERROR(INDEX(Embalagens!$J:$J,MATCH(D64,Embalagens!$A:$A,0)),0))</f>
        <v/>
      </c>
    </row>
    <row r="65">
      <c r="A65" s="22" t="n"/>
      <c r="I65" s="21">
        <f>IF(D65="","",IFERROR(INDEX(Embalagens!$B:$B,MATCH(D65,Embalagens!$A:$A,0)),"Código não cadastrado"))</f>
        <v/>
      </c>
      <c r="J65" s="25">
        <f>IF(D65="","",E65*IFERROR(INDEX(Embalagens!$J:$J,MATCH(D65,Embalagens!$A:$A,0)),0))</f>
        <v/>
      </c>
    </row>
    <row r="66">
      <c r="A66" s="22" t="n"/>
      <c r="I66" s="21">
        <f>IF(D66="","",IFERROR(INDEX(Embalagens!$B:$B,MATCH(D66,Embalagens!$A:$A,0)),"Código não cadastrado"))</f>
        <v/>
      </c>
      <c r="J66" s="25">
        <f>IF(D66="","",E66*IFERROR(INDEX(Embalagens!$J:$J,MATCH(D66,Embalagens!$A:$A,0)),0))</f>
        <v/>
      </c>
    </row>
    <row r="67">
      <c r="A67" s="22" t="n"/>
      <c r="I67" s="21">
        <f>IF(D67="","",IFERROR(INDEX(Embalagens!$B:$B,MATCH(D67,Embalagens!$A:$A,0)),"Código não cadastrado"))</f>
        <v/>
      </c>
      <c r="J67" s="25">
        <f>IF(D67="","",E67*IFERROR(INDEX(Embalagens!$J:$J,MATCH(D67,Embalagens!$A:$A,0)),0))</f>
        <v/>
      </c>
    </row>
    <row r="68">
      <c r="A68" s="22" t="n"/>
      <c r="I68" s="21">
        <f>IF(D68="","",IFERROR(INDEX(Embalagens!$B:$B,MATCH(D68,Embalagens!$A:$A,0)),"Código não cadastrado"))</f>
        <v/>
      </c>
      <c r="J68" s="25">
        <f>IF(D68="","",E68*IFERROR(INDEX(Embalagens!$J:$J,MATCH(D68,Embalagens!$A:$A,0)),0))</f>
        <v/>
      </c>
    </row>
    <row r="69">
      <c r="A69" s="22" t="n"/>
      <c r="I69" s="21">
        <f>IF(D69="","",IFERROR(INDEX(Embalagens!$B:$B,MATCH(D69,Embalagens!$A:$A,0)),"Código não cadastrado"))</f>
        <v/>
      </c>
      <c r="J69" s="25">
        <f>IF(D69="","",E69*IFERROR(INDEX(Embalagens!$J:$J,MATCH(D69,Embalagens!$A:$A,0)),0))</f>
        <v/>
      </c>
    </row>
    <row r="70">
      <c r="A70" s="22" t="n"/>
      <c r="I70" s="21">
        <f>IF(D70="","",IFERROR(INDEX(Embalagens!$B:$B,MATCH(D70,Embalagens!$A:$A,0)),"Código não cadastrado"))</f>
        <v/>
      </c>
      <c r="J70" s="25">
        <f>IF(D70="","",E70*IFERROR(INDEX(Embalagens!$J:$J,MATCH(D70,Embalagens!$A:$A,0)),0))</f>
        <v/>
      </c>
    </row>
    <row r="71">
      <c r="A71" s="22" t="n"/>
      <c r="I71" s="21">
        <f>IF(D71="","",IFERROR(INDEX(Embalagens!$B:$B,MATCH(D71,Embalagens!$A:$A,0)),"Código não cadastrado"))</f>
        <v/>
      </c>
      <c r="J71" s="25">
        <f>IF(D71="","",E71*IFERROR(INDEX(Embalagens!$J:$J,MATCH(D71,Embalagens!$A:$A,0)),0))</f>
        <v/>
      </c>
    </row>
    <row r="72">
      <c r="A72" s="22" t="n"/>
      <c r="I72" s="21">
        <f>IF(D72="","",IFERROR(INDEX(Embalagens!$B:$B,MATCH(D72,Embalagens!$A:$A,0)),"Código não cadastrado"))</f>
        <v/>
      </c>
      <c r="J72" s="25">
        <f>IF(D72="","",E72*IFERROR(INDEX(Embalagens!$J:$J,MATCH(D72,Embalagens!$A:$A,0)),0))</f>
        <v/>
      </c>
    </row>
    <row r="73">
      <c r="A73" s="22" t="n"/>
      <c r="I73" s="21">
        <f>IF(D73="","",IFERROR(INDEX(Embalagens!$B:$B,MATCH(D73,Embalagens!$A:$A,0)),"Código não cadastrado"))</f>
        <v/>
      </c>
      <c r="J73" s="25">
        <f>IF(D73="","",E73*IFERROR(INDEX(Embalagens!$J:$J,MATCH(D73,Embalagens!$A:$A,0)),0))</f>
        <v/>
      </c>
    </row>
    <row r="74">
      <c r="A74" s="22" t="n"/>
      <c r="I74" s="21">
        <f>IF(D74="","",IFERROR(INDEX(Embalagens!$B:$B,MATCH(D74,Embalagens!$A:$A,0)),"Código não cadastrado"))</f>
        <v/>
      </c>
      <c r="J74" s="25">
        <f>IF(D74="","",E74*IFERROR(INDEX(Embalagens!$J:$J,MATCH(D74,Embalagens!$A:$A,0)),0))</f>
        <v/>
      </c>
    </row>
    <row r="75">
      <c r="A75" s="22" t="n"/>
      <c r="I75" s="21">
        <f>IF(D75="","",IFERROR(INDEX(Embalagens!$B:$B,MATCH(D75,Embalagens!$A:$A,0)),"Código não cadastrado"))</f>
        <v/>
      </c>
      <c r="J75" s="25">
        <f>IF(D75="","",E75*IFERROR(INDEX(Embalagens!$J:$J,MATCH(D75,Embalagens!$A:$A,0)),0))</f>
        <v/>
      </c>
    </row>
    <row r="76">
      <c r="A76" s="22" t="n"/>
      <c r="I76" s="21">
        <f>IF(D76="","",IFERROR(INDEX(Embalagens!$B:$B,MATCH(D76,Embalagens!$A:$A,0)),"Código não cadastrado"))</f>
        <v/>
      </c>
      <c r="J76" s="25">
        <f>IF(D76="","",E76*IFERROR(INDEX(Embalagens!$J:$J,MATCH(D76,Embalagens!$A:$A,0)),0))</f>
        <v/>
      </c>
    </row>
    <row r="77">
      <c r="A77" s="22" t="n"/>
      <c r="I77" s="21">
        <f>IF(D77="","",IFERROR(INDEX(Embalagens!$B:$B,MATCH(D77,Embalagens!$A:$A,0)),"Código não cadastrado"))</f>
        <v/>
      </c>
      <c r="J77" s="25">
        <f>IF(D77="","",E77*IFERROR(INDEX(Embalagens!$J:$J,MATCH(D77,Embalagens!$A:$A,0)),0))</f>
        <v/>
      </c>
    </row>
    <row r="78">
      <c r="A78" s="22" t="n"/>
      <c r="I78" s="21">
        <f>IF(D78="","",IFERROR(INDEX(Embalagens!$B:$B,MATCH(D78,Embalagens!$A:$A,0)),"Código não cadastrado"))</f>
        <v/>
      </c>
      <c r="J78" s="25">
        <f>IF(D78="","",E78*IFERROR(INDEX(Embalagens!$J:$J,MATCH(D78,Embalagens!$A:$A,0)),0))</f>
        <v/>
      </c>
    </row>
    <row r="79">
      <c r="A79" s="22" t="n"/>
      <c r="I79" s="21">
        <f>IF(D79="","",IFERROR(INDEX(Embalagens!$B:$B,MATCH(D79,Embalagens!$A:$A,0)),"Código não cadastrado"))</f>
        <v/>
      </c>
      <c r="J79" s="25">
        <f>IF(D79="","",E79*IFERROR(INDEX(Embalagens!$J:$J,MATCH(D79,Embalagens!$A:$A,0)),0))</f>
        <v/>
      </c>
    </row>
    <row r="80">
      <c r="A80" s="22" t="n"/>
      <c r="I80" s="21">
        <f>IF(D80="","",IFERROR(INDEX(Embalagens!$B:$B,MATCH(D80,Embalagens!$A:$A,0)),"Código não cadastrado"))</f>
        <v/>
      </c>
      <c r="J80" s="25">
        <f>IF(D80="","",E80*IFERROR(INDEX(Embalagens!$J:$J,MATCH(D80,Embalagens!$A:$A,0)),0))</f>
        <v/>
      </c>
    </row>
    <row r="81">
      <c r="A81" s="22" t="n"/>
      <c r="I81" s="21">
        <f>IF(D81="","",IFERROR(INDEX(Embalagens!$B:$B,MATCH(D81,Embalagens!$A:$A,0)),"Código não cadastrado"))</f>
        <v/>
      </c>
      <c r="J81" s="25">
        <f>IF(D81="","",E81*IFERROR(INDEX(Embalagens!$J:$J,MATCH(D81,Embalagens!$A:$A,0)),0))</f>
        <v/>
      </c>
    </row>
    <row r="82">
      <c r="A82" s="22" t="n"/>
      <c r="I82" s="21">
        <f>IF(D82="","",IFERROR(INDEX(Embalagens!$B:$B,MATCH(D82,Embalagens!$A:$A,0)),"Código não cadastrado"))</f>
        <v/>
      </c>
      <c r="J82" s="25">
        <f>IF(D82="","",E82*IFERROR(INDEX(Embalagens!$J:$J,MATCH(D82,Embalagens!$A:$A,0)),0))</f>
        <v/>
      </c>
    </row>
    <row r="83">
      <c r="A83" s="22" t="n"/>
      <c r="I83" s="21">
        <f>IF(D83="","",IFERROR(INDEX(Embalagens!$B:$B,MATCH(D83,Embalagens!$A:$A,0)),"Código não cadastrado"))</f>
        <v/>
      </c>
      <c r="J83" s="25">
        <f>IF(D83="","",E83*IFERROR(INDEX(Embalagens!$J:$J,MATCH(D83,Embalagens!$A:$A,0)),0))</f>
        <v/>
      </c>
    </row>
    <row r="84">
      <c r="A84" s="22" t="n"/>
      <c r="I84" s="21">
        <f>IF(D84="","",IFERROR(INDEX(Embalagens!$B:$B,MATCH(D84,Embalagens!$A:$A,0)),"Código não cadastrado"))</f>
        <v/>
      </c>
      <c r="J84" s="25">
        <f>IF(D84="","",E84*IFERROR(INDEX(Embalagens!$J:$J,MATCH(D84,Embalagens!$A:$A,0)),0))</f>
        <v/>
      </c>
    </row>
    <row r="85">
      <c r="A85" s="22" t="n"/>
      <c r="I85" s="21">
        <f>IF(D85="","",IFERROR(INDEX(Embalagens!$B:$B,MATCH(D85,Embalagens!$A:$A,0)),"Código não cadastrado"))</f>
        <v/>
      </c>
      <c r="J85" s="25">
        <f>IF(D85="","",E85*IFERROR(INDEX(Embalagens!$J:$J,MATCH(D85,Embalagens!$A:$A,0)),0))</f>
        <v/>
      </c>
    </row>
    <row r="86">
      <c r="A86" s="22" t="n"/>
      <c r="I86" s="21">
        <f>IF(D86="","",IFERROR(INDEX(Embalagens!$B:$B,MATCH(D86,Embalagens!$A:$A,0)),"Código não cadastrado"))</f>
        <v/>
      </c>
      <c r="J86" s="25">
        <f>IF(D86="","",E86*IFERROR(INDEX(Embalagens!$J:$J,MATCH(D86,Embalagens!$A:$A,0)),0))</f>
        <v/>
      </c>
    </row>
    <row r="87">
      <c r="A87" s="22" t="n"/>
      <c r="I87" s="21">
        <f>IF(D87="","",IFERROR(INDEX(Embalagens!$B:$B,MATCH(D87,Embalagens!$A:$A,0)),"Código não cadastrado"))</f>
        <v/>
      </c>
      <c r="J87" s="25">
        <f>IF(D87="","",E87*IFERROR(INDEX(Embalagens!$J:$J,MATCH(D87,Embalagens!$A:$A,0)),0))</f>
        <v/>
      </c>
    </row>
    <row r="88">
      <c r="A88" s="22" t="n"/>
      <c r="I88" s="21">
        <f>IF(D88="","",IFERROR(INDEX(Embalagens!$B:$B,MATCH(D88,Embalagens!$A:$A,0)),"Código não cadastrado"))</f>
        <v/>
      </c>
      <c r="J88" s="25">
        <f>IF(D88="","",E88*IFERROR(INDEX(Embalagens!$J:$J,MATCH(D88,Embalagens!$A:$A,0)),0))</f>
        <v/>
      </c>
    </row>
    <row r="89">
      <c r="A89" s="22" t="n"/>
      <c r="I89" s="21">
        <f>IF(D89="","",IFERROR(INDEX(Embalagens!$B:$B,MATCH(D89,Embalagens!$A:$A,0)),"Código não cadastrado"))</f>
        <v/>
      </c>
      <c r="J89" s="25">
        <f>IF(D89="","",E89*IFERROR(INDEX(Embalagens!$J:$J,MATCH(D89,Embalagens!$A:$A,0)),0))</f>
        <v/>
      </c>
    </row>
    <row r="90">
      <c r="A90" s="22" t="n"/>
      <c r="I90" s="21">
        <f>IF(D90="","",IFERROR(INDEX(Embalagens!$B:$B,MATCH(D90,Embalagens!$A:$A,0)),"Código não cadastrado"))</f>
        <v/>
      </c>
      <c r="J90" s="25">
        <f>IF(D90="","",E90*IFERROR(INDEX(Embalagens!$J:$J,MATCH(D90,Embalagens!$A:$A,0)),0))</f>
        <v/>
      </c>
    </row>
    <row r="91">
      <c r="A91" s="22" t="n"/>
      <c r="I91" s="21">
        <f>IF(D91="","",IFERROR(INDEX(Embalagens!$B:$B,MATCH(D91,Embalagens!$A:$A,0)),"Código não cadastrado"))</f>
        <v/>
      </c>
      <c r="J91" s="25">
        <f>IF(D91="","",E91*IFERROR(INDEX(Embalagens!$J:$J,MATCH(D91,Embalagens!$A:$A,0)),0))</f>
        <v/>
      </c>
    </row>
    <row r="92">
      <c r="A92" s="22" t="n"/>
      <c r="I92" s="21">
        <f>IF(D92="","",IFERROR(INDEX(Embalagens!$B:$B,MATCH(D92,Embalagens!$A:$A,0)),"Código não cadastrado"))</f>
        <v/>
      </c>
      <c r="J92" s="25">
        <f>IF(D92="","",E92*IFERROR(INDEX(Embalagens!$J:$J,MATCH(D92,Embalagens!$A:$A,0)),0))</f>
        <v/>
      </c>
    </row>
    <row r="93">
      <c r="A93" s="22" t="n"/>
      <c r="I93" s="21">
        <f>IF(D93="","",IFERROR(INDEX(Embalagens!$B:$B,MATCH(D93,Embalagens!$A:$A,0)),"Código não cadastrado"))</f>
        <v/>
      </c>
      <c r="J93" s="25">
        <f>IF(D93="","",E93*IFERROR(INDEX(Embalagens!$J:$J,MATCH(D93,Embalagens!$A:$A,0)),0))</f>
        <v/>
      </c>
    </row>
    <row r="94">
      <c r="A94" s="22" t="n"/>
      <c r="I94" s="21">
        <f>IF(D94="","",IFERROR(INDEX(Embalagens!$B:$B,MATCH(D94,Embalagens!$A:$A,0)),"Código não cadastrado"))</f>
        <v/>
      </c>
      <c r="J94" s="25">
        <f>IF(D94="","",E94*IFERROR(INDEX(Embalagens!$J:$J,MATCH(D94,Embalagens!$A:$A,0)),0))</f>
        <v/>
      </c>
    </row>
    <row r="95">
      <c r="A95" s="22" t="n"/>
      <c r="I95" s="21">
        <f>IF(D95="","",IFERROR(INDEX(Embalagens!$B:$B,MATCH(D95,Embalagens!$A:$A,0)),"Código não cadastrado"))</f>
        <v/>
      </c>
      <c r="J95" s="25">
        <f>IF(D95="","",E95*IFERROR(INDEX(Embalagens!$J:$J,MATCH(D95,Embalagens!$A:$A,0)),0))</f>
        <v/>
      </c>
    </row>
    <row r="96">
      <c r="A96" s="22" t="n"/>
      <c r="I96" s="21">
        <f>IF(D96="","",IFERROR(INDEX(Embalagens!$B:$B,MATCH(D96,Embalagens!$A:$A,0)),"Código não cadastrado"))</f>
        <v/>
      </c>
      <c r="J96" s="25">
        <f>IF(D96="","",E96*IFERROR(INDEX(Embalagens!$J:$J,MATCH(D96,Embalagens!$A:$A,0)),0))</f>
        <v/>
      </c>
    </row>
    <row r="97">
      <c r="A97" s="22" t="n"/>
      <c r="I97" s="21">
        <f>IF(D97="","",IFERROR(INDEX(Embalagens!$B:$B,MATCH(D97,Embalagens!$A:$A,0)),"Código não cadastrado"))</f>
        <v/>
      </c>
      <c r="J97" s="25">
        <f>IF(D97="","",E97*IFERROR(INDEX(Embalagens!$J:$J,MATCH(D97,Embalagens!$A:$A,0)),0))</f>
        <v/>
      </c>
    </row>
    <row r="98">
      <c r="A98" s="22" t="n"/>
      <c r="I98" s="21">
        <f>IF(D98="","",IFERROR(INDEX(Embalagens!$B:$B,MATCH(D98,Embalagens!$A:$A,0)),"Código não cadastrado"))</f>
        <v/>
      </c>
      <c r="J98" s="25">
        <f>IF(D98="","",E98*IFERROR(INDEX(Embalagens!$J:$J,MATCH(D98,Embalagens!$A:$A,0)),0))</f>
        <v/>
      </c>
    </row>
    <row r="99">
      <c r="A99" s="22" t="n"/>
      <c r="I99" s="21">
        <f>IF(D99="","",IFERROR(INDEX(Embalagens!$B:$B,MATCH(D99,Embalagens!$A:$A,0)),"Código não cadastrado"))</f>
        <v/>
      </c>
      <c r="J99" s="25">
        <f>IF(D99="","",E99*IFERROR(INDEX(Embalagens!$J:$J,MATCH(D99,Embalagens!$A:$A,0)),0))</f>
        <v/>
      </c>
    </row>
    <row r="100">
      <c r="A100" s="22" t="n"/>
      <c r="I100" s="21">
        <f>IF(D100="","",IFERROR(INDEX(Embalagens!$B:$B,MATCH(D100,Embalagens!$A:$A,0)),"Código não cadastrado"))</f>
        <v/>
      </c>
      <c r="J100" s="25">
        <f>IF(D100="","",E100*IFERROR(INDEX(Embalagens!$J:$J,MATCH(D100,Embalagens!$A:$A,0)),0))</f>
        <v/>
      </c>
    </row>
    <row r="101">
      <c r="A101" s="22" t="n"/>
      <c r="I101" s="21">
        <f>IF(D101="","",IFERROR(INDEX(Embalagens!$B:$B,MATCH(D101,Embalagens!$A:$A,0)),"Código não cadastrado"))</f>
        <v/>
      </c>
      <c r="J101" s="25">
        <f>IF(D101="","",E101*IFERROR(INDEX(Embalagens!$J:$J,MATCH(D101,Embalagens!$A:$A,0)),0))</f>
        <v/>
      </c>
    </row>
    <row r="102">
      <c r="A102" s="22" t="n"/>
      <c r="I102" s="21">
        <f>IF(D102="","",IFERROR(INDEX(Embalagens!$B:$B,MATCH(D102,Embalagens!$A:$A,0)),"Código não cadastrado"))</f>
        <v/>
      </c>
      <c r="J102" s="25">
        <f>IF(D102="","",E102*IFERROR(INDEX(Embalagens!$J:$J,MATCH(D102,Embalagens!$A:$A,0)),0))</f>
        <v/>
      </c>
    </row>
    <row r="103">
      <c r="A103" s="22" t="n"/>
      <c r="I103" s="21">
        <f>IF(D103="","",IFERROR(INDEX(Embalagens!$B:$B,MATCH(D103,Embalagens!$A:$A,0)),"Código não cadastrado"))</f>
        <v/>
      </c>
      <c r="J103" s="25">
        <f>IF(D103="","",E103*IFERROR(INDEX(Embalagens!$J:$J,MATCH(D103,Embalagens!$A:$A,0)),0))</f>
        <v/>
      </c>
    </row>
    <row r="104">
      <c r="A104" s="22" t="n"/>
      <c r="I104" s="21">
        <f>IF(D104="","",IFERROR(INDEX(Embalagens!$B:$B,MATCH(D104,Embalagens!$A:$A,0)),"Código não cadastrado"))</f>
        <v/>
      </c>
      <c r="J104" s="25">
        <f>IF(D104="","",E104*IFERROR(INDEX(Embalagens!$J:$J,MATCH(D104,Embalagens!$A:$A,0)),0))</f>
        <v/>
      </c>
    </row>
    <row r="105">
      <c r="A105" s="22" t="n"/>
      <c r="I105" s="21">
        <f>IF(D105="","",IFERROR(INDEX(Embalagens!$B:$B,MATCH(D105,Embalagens!$A:$A,0)),"Código não cadastrado"))</f>
        <v/>
      </c>
      <c r="J105" s="25">
        <f>IF(D105="","",E105*IFERROR(INDEX(Embalagens!$J:$J,MATCH(D105,Embalagens!$A:$A,0)),0))</f>
        <v/>
      </c>
    </row>
    <row r="106">
      <c r="A106" s="22" t="n"/>
      <c r="I106" s="21">
        <f>IF(D106="","",IFERROR(INDEX(Embalagens!$B:$B,MATCH(D106,Embalagens!$A:$A,0)),"Código não cadastrado"))</f>
        <v/>
      </c>
      <c r="J106" s="25">
        <f>IF(D106="","",E106*IFERROR(INDEX(Embalagens!$J:$J,MATCH(D106,Embalagens!$A:$A,0)),0))</f>
        <v/>
      </c>
    </row>
    <row r="107">
      <c r="A107" s="22" t="n"/>
      <c r="I107" s="21">
        <f>IF(D107="","",IFERROR(INDEX(Embalagens!$B:$B,MATCH(D107,Embalagens!$A:$A,0)),"Código não cadastrado"))</f>
        <v/>
      </c>
      <c r="J107" s="25">
        <f>IF(D107="","",E107*IFERROR(INDEX(Embalagens!$J:$J,MATCH(D107,Embalagens!$A:$A,0)),0))</f>
        <v/>
      </c>
    </row>
    <row r="108">
      <c r="A108" s="22" t="n"/>
      <c r="I108" s="21">
        <f>IF(D108="","",IFERROR(INDEX(Embalagens!$B:$B,MATCH(D108,Embalagens!$A:$A,0)),"Código não cadastrado"))</f>
        <v/>
      </c>
      <c r="J108" s="25">
        <f>IF(D108="","",E108*IFERROR(INDEX(Embalagens!$J:$J,MATCH(D108,Embalagens!$A:$A,0)),0))</f>
        <v/>
      </c>
    </row>
    <row r="109">
      <c r="A109" s="22" t="n"/>
      <c r="I109" s="21">
        <f>IF(D109="","",IFERROR(INDEX(Embalagens!$B:$B,MATCH(D109,Embalagens!$A:$A,0)),"Código não cadastrado"))</f>
        <v/>
      </c>
      <c r="J109" s="25">
        <f>IF(D109="","",E109*IFERROR(INDEX(Embalagens!$J:$J,MATCH(D109,Embalagens!$A:$A,0)),0))</f>
        <v/>
      </c>
    </row>
    <row r="110">
      <c r="A110" s="22" t="n"/>
      <c r="I110" s="21">
        <f>IF(D110="","",IFERROR(INDEX(Embalagens!$B:$B,MATCH(D110,Embalagens!$A:$A,0)),"Código não cadastrado"))</f>
        <v/>
      </c>
      <c r="J110" s="25">
        <f>IF(D110="","",E110*IFERROR(INDEX(Embalagens!$J:$J,MATCH(D110,Embalagens!$A:$A,0)),0))</f>
        <v/>
      </c>
    </row>
    <row r="111">
      <c r="A111" s="22" t="n"/>
      <c r="I111" s="21">
        <f>IF(D111="","",IFERROR(INDEX(Embalagens!$B:$B,MATCH(D111,Embalagens!$A:$A,0)),"Código não cadastrado"))</f>
        <v/>
      </c>
      <c r="J111" s="25">
        <f>IF(D111="","",E111*IFERROR(INDEX(Embalagens!$J:$J,MATCH(D111,Embalagens!$A:$A,0)),0))</f>
        <v/>
      </c>
    </row>
    <row r="112">
      <c r="A112" s="22" t="n"/>
      <c r="I112" s="21">
        <f>IF(D112="","",IFERROR(INDEX(Embalagens!$B:$B,MATCH(D112,Embalagens!$A:$A,0)),"Código não cadastrado"))</f>
        <v/>
      </c>
      <c r="J112" s="25">
        <f>IF(D112="","",E112*IFERROR(INDEX(Embalagens!$J:$J,MATCH(D112,Embalagens!$A:$A,0)),0))</f>
        <v/>
      </c>
    </row>
    <row r="113">
      <c r="A113" s="22" t="n"/>
      <c r="I113" s="21">
        <f>IF(D113="","",IFERROR(INDEX(Embalagens!$B:$B,MATCH(D113,Embalagens!$A:$A,0)),"Código não cadastrado"))</f>
        <v/>
      </c>
      <c r="J113" s="25">
        <f>IF(D113="","",E113*IFERROR(INDEX(Embalagens!$J:$J,MATCH(D113,Embalagens!$A:$A,0)),0))</f>
        <v/>
      </c>
    </row>
    <row r="114">
      <c r="A114" s="22" t="n"/>
      <c r="I114" s="21">
        <f>IF(D114="","",IFERROR(INDEX(Embalagens!$B:$B,MATCH(D114,Embalagens!$A:$A,0)),"Código não cadastrado"))</f>
        <v/>
      </c>
      <c r="J114" s="25">
        <f>IF(D114="","",E114*IFERROR(INDEX(Embalagens!$J:$J,MATCH(D114,Embalagens!$A:$A,0)),0))</f>
        <v/>
      </c>
    </row>
    <row r="115">
      <c r="A115" s="22" t="n"/>
      <c r="I115" s="21">
        <f>IF(D115="","",IFERROR(INDEX(Embalagens!$B:$B,MATCH(D115,Embalagens!$A:$A,0)),"Código não cadastrado"))</f>
        <v/>
      </c>
      <c r="J115" s="25">
        <f>IF(D115="","",E115*IFERROR(INDEX(Embalagens!$J:$J,MATCH(D115,Embalagens!$A:$A,0)),0))</f>
        <v/>
      </c>
    </row>
    <row r="116">
      <c r="A116" s="22" t="n"/>
      <c r="I116" s="21">
        <f>IF(D116="","",IFERROR(INDEX(Embalagens!$B:$B,MATCH(D116,Embalagens!$A:$A,0)),"Código não cadastrado"))</f>
        <v/>
      </c>
      <c r="J116" s="25">
        <f>IF(D116="","",E116*IFERROR(INDEX(Embalagens!$J:$J,MATCH(D116,Embalagens!$A:$A,0)),0))</f>
        <v/>
      </c>
    </row>
    <row r="117">
      <c r="A117" s="22" t="n"/>
      <c r="I117" s="21">
        <f>IF(D117="","",IFERROR(INDEX(Embalagens!$B:$B,MATCH(D117,Embalagens!$A:$A,0)),"Código não cadastrado"))</f>
        <v/>
      </c>
      <c r="J117" s="25">
        <f>IF(D117="","",E117*IFERROR(INDEX(Embalagens!$J:$J,MATCH(D117,Embalagens!$A:$A,0)),0))</f>
        <v/>
      </c>
    </row>
    <row r="118">
      <c r="A118" s="22" t="n"/>
      <c r="I118" s="21">
        <f>IF(D118="","",IFERROR(INDEX(Embalagens!$B:$B,MATCH(D118,Embalagens!$A:$A,0)),"Código não cadastrado"))</f>
        <v/>
      </c>
      <c r="J118" s="25">
        <f>IF(D118="","",E118*IFERROR(INDEX(Embalagens!$J:$J,MATCH(D118,Embalagens!$A:$A,0)),0))</f>
        <v/>
      </c>
    </row>
    <row r="119">
      <c r="A119" s="22" t="n"/>
      <c r="I119" s="21">
        <f>IF(D119="","",IFERROR(INDEX(Embalagens!$B:$B,MATCH(D119,Embalagens!$A:$A,0)),"Código não cadastrado"))</f>
        <v/>
      </c>
      <c r="J119" s="25">
        <f>IF(D119="","",E119*IFERROR(INDEX(Embalagens!$J:$J,MATCH(D119,Embalagens!$A:$A,0)),0))</f>
        <v/>
      </c>
    </row>
    <row r="120">
      <c r="A120" s="22" t="n"/>
      <c r="I120" s="21">
        <f>IF(D120="","",IFERROR(INDEX(Embalagens!$B:$B,MATCH(D120,Embalagens!$A:$A,0)),"Código não cadastrado"))</f>
        <v/>
      </c>
      <c r="J120" s="25">
        <f>IF(D120="","",E120*IFERROR(INDEX(Embalagens!$J:$J,MATCH(D120,Embalagens!$A:$A,0)),0))</f>
        <v/>
      </c>
    </row>
    <row r="121">
      <c r="A121" s="22" t="n"/>
      <c r="I121" s="21">
        <f>IF(D121="","",IFERROR(INDEX(Embalagens!$B:$B,MATCH(D121,Embalagens!$A:$A,0)),"Código não cadastrado"))</f>
        <v/>
      </c>
      <c r="J121" s="25">
        <f>IF(D121="","",E121*IFERROR(INDEX(Embalagens!$J:$J,MATCH(D121,Embalagens!$A:$A,0)),0))</f>
        <v/>
      </c>
    </row>
    <row r="122">
      <c r="A122" s="22" t="n"/>
      <c r="I122" s="21">
        <f>IF(D122="","",IFERROR(INDEX(Embalagens!$B:$B,MATCH(D122,Embalagens!$A:$A,0)),"Código não cadastrado"))</f>
        <v/>
      </c>
      <c r="J122" s="25">
        <f>IF(D122="","",E122*IFERROR(INDEX(Embalagens!$J:$J,MATCH(D122,Embalagens!$A:$A,0)),0))</f>
        <v/>
      </c>
    </row>
    <row r="123">
      <c r="A123" s="22" t="n"/>
      <c r="I123" s="21">
        <f>IF(D123="","",IFERROR(INDEX(Embalagens!$B:$B,MATCH(D123,Embalagens!$A:$A,0)),"Código não cadastrado"))</f>
        <v/>
      </c>
      <c r="J123" s="25">
        <f>IF(D123="","",E123*IFERROR(INDEX(Embalagens!$J:$J,MATCH(D123,Embalagens!$A:$A,0)),0))</f>
        <v/>
      </c>
    </row>
    <row r="124">
      <c r="A124" s="22" t="n"/>
      <c r="I124" s="21">
        <f>IF(D124="","",IFERROR(INDEX(Embalagens!$B:$B,MATCH(D124,Embalagens!$A:$A,0)),"Código não cadastrado"))</f>
        <v/>
      </c>
      <c r="J124" s="25">
        <f>IF(D124="","",E124*IFERROR(INDEX(Embalagens!$J:$J,MATCH(D124,Embalagens!$A:$A,0)),0))</f>
        <v/>
      </c>
    </row>
    <row r="125">
      <c r="A125" s="22" t="n"/>
      <c r="I125" s="21">
        <f>IF(D125="","",IFERROR(INDEX(Embalagens!$B:$B,MATCH(D125,Embalagens!$A:$A,0)),"Código não cadastrado"))</f>
        <v/>
      </c>
      <c r="J125" s="25">
        <f>IF(D125="","",E125*IFERROR(INDEX(Embalagens!$J:$J,MATCH(D125,Embalagens!$A:$A,0)),0))</f>
        <v/>
      </c>
    </row>
    <row r="126">
      <c r="A126" s="22" t="n"/>
      <c r="I126" s="21">
        <f>IF(D126="","",IFERROR(INDEX(Embalagens!$B:$B,MATCH(D126,Embalagens!$A:$A,0)),"Código não cadastrado"))</f>
        <v/>
      </c>
      <c r="J126" s="25">
        <f>IF(D126="","",E126*IFERROR(INDEX(Embalagens!$J:$J,MATCH(D126,Embalagens!$A:$A,0)),0))</f>
        <v/>
      </c>
    </row>
    <row r="127">
      <c r="A127" s="22" t="n"/>
      <c r="I127" s="21">
        <f>IF(D127="","",IFERROR(INDEX(Embalagens!$B:$B,MATCH(D127,Embalagens!$A:$A,0)),"Código não cadastrado"))</f>
        <v/>
      </c>
      <c r="J127" s="25">
        <f>IF(D127="","",E127*IFERROR(INDEX(Embalagens!$J:$J,MATCH(D127,Embalagens!$A:$A,0)),0))</f>
        <v/>
      </c>
    </row>
    <row r="128">
      <c r="A128" s="22" t="n"/>
      <c r="I128" s="21">
        <f>IF(D128="","",IFERROR(INDEX(Embalagens!$B:$B,MATCH(D128,Embalagens!$A:$A,0)),"Código não cadastrado"))</f>
        <v/>
      </c>
      <c r="J128" s="25">
        <f>IF(D128="","",E128*IFERROR(INDEX(Embalagens!$J:$J,MATCH(D128,Embalagens!$A:$A,0)),0))</f>
        <v/>
      </c>
    </row>
    <row r="129">
      <c r="A129" s="22" t="n"/>
      <c r="I129" s="21">
        <f>IF(D129="","",IFERROR(INDEX(Embalagens!$B:$B,MATCH(D129,Embalagens!$A:$A,0)),"Código não cadastrado"))</f>
        <v/>
      </c>
      <c r="J129" s="25">
        <f>IF(D129="","",E129*IFERROR(INDEX(Embalagens!$J:$J,MATCH(D129,Embalagens!$A:$A,0)),0))</f>
        <v/>
      </c>
    </row>
    <row r="130">
      <c r="A130" s="22" t="n"/>
      <c r="I130" s="21">
        <f>IF(D130="","",IFERROR(INDEX(Embalagens!$B:$B,MATCH(D130,Embalagens!$A:$A,0)),"Código não cadastrado"))</f>
        <v/>
      </c>
      <c r="J130" s="25">
        <f>IF(D130="","",E130*IFERROR(INDEX(Embalagens!$J:$J,MATCH(D130,Embalagens!$A:$A,0)),0))</f>
        <v/>
      </c>
    </row>
    <row r="131">
      <c r="A131" s="22" t="n"/>
      <c r="I131" s="21">
        <f>IF(D131="","",IFERROR(INDEX(Embalagens!$B:$B,MATCH(D131,Embalagens!$A:$A,0)),"Código não cadastrado"))</f>
        <v/>
      </c>
      <c r="J131" s="25">
        <f>IF(D131="","",E131*IFERROR(INDEX(Embalagens!$J:$J,MATCH(D131,Embalagens!$A:$A,0)),0))</f>
        <v/>
      </c>
    </row>
    <row r="132">
      <c r="A132" s="22" t="n"/>
      <c r="I132" s="21">
        <f>IF(D132="","",IFERROR(INDEX(Embalagens!$B:$B,MATCH(D132,Embalagens!$A:$A,0)),"Código não cadastrado"))</f>
        <v/>
      </c>
      <c r="J132" s="25">
        <f>IF(D132="","",E132*IFERROR(INDEX(Embalagens!$J:$J,MATCH(D132,Embalagens!$A:$A,0)),0))</f>
        <v/>
      </c>
    </row>
    <row r="133">
      <c r="A133" s="22" t="n"/>
      <c r="I133" s="21">
        <f>IF(D133="","",IFERROR(INDEX(Embalagens!$B:$B,MATCH(D133,Embalagens!$A:$A,0)),"Código não cadastrado"))</f>
        <v/>
      </c>
      <c r="J133" s="25">
        <f>IF(D133="","",E133*IFERROR(INDEX(Embalagens!$J:$J,MATCH(D133,Embalagens!$A:$A,0)),0))</f>
        <v/>
      </c>
    </row>
    <row r="134">
      <c r="A134" s="22" t="n"/>
      <c r="I134" s="21">
        <f>IF(D134="","",IFERROR(INDEX(Embalagens!$B:$B,MATCH(D134,Embalagens!$A:$A,0)),"Código não cadastrado"))</f>
        <v/>
      </c>
      <c r="J134" s="25">
        <f>IF(D134="","",E134*IFERROR(INDEX(Embalagens!$J:$J,MATCH(D134,Embalagens!$A:$A,0)),0))</f>
        <v/>
      </c>
    </row>
    <row r="135">
      <c r="A135" s="22" t="n"/>
      <c r="I135" s="21">
        <f>IF(D135="","",IFERROR(INDEX(Embalagens!$B:$B,MATCH(D135,Embalagens!$A:$A,0)),"Código não cadastrado"))</f>
        <v/>
      </c>
      <c r="J135" s="25">
        <f>IF(D135="","",E135*IFERROR(INDEX(Embalagens!$J:$J,MATCH(D135,Embalagens!$A:$A,0)),0))</f>
        <v/>
      </c>
    </row>
    <row r="136">
      <c r="A136" s="22" t="n"/>
      <c r="I136" s="21">
        <f>IF(D136="","",IFERROR(INDEX(Embalagens!$B:$B,MATCH(D136,Embalagens!$A:$A,0)),"Código não cadastrado"))</f>
        <v/>
      </c>
      <c r="J136" s="25">
        <f>IF(D136="","",E136*IFERROR(INDEX(Embalagens!$J:$J,MATCH(D136,Embalagens!$A:$A,0)),0))</f>
        <v/>
      </c>
    </row>
    <row r="137">
      <c r="A137" s="22" t="n"/>
      <c r="I137" s="21">
        <f>IF(D137="","",IFERROR(INDEX(Embalagens!$B:$B,MATCH(D137,Embalagens!$A:$A,0)),"Código não cadastrado"))</f>
        <v/>
      </c>
      <c r="J137" s="25">
        <f>IF(D137="","",E137*IFERROR(INDEX(Embalagens!$J:$J,MATCH(D137,Embalagens!$A:$A,0)),0))</f>
        <v/>
      </c>
    </row>
    <row r="138">
      <c r="A138" s="22" t="n"/>
      <c r="I138" s="21">
        <f>IF(D138="","",IFERROR(INDEX(Embalagens!$B:$B,MATCH(D138,Embalagens!$A:$A,0)),"Código não cadastrado"))</f>
        <v/>
      </c>
      <c r="J138" s="25">
        <f>IF(D138="","",E138*IFERROR(INDEX(Embalagens!$J:$J,MATCH(D138,Embalagens!$A:$A,0)),0))</f>
        <v/>
      </c>
    </row>
    <row r="139">
      <c r="A139" s="22" t="n"/>
      <c r="I139" s="21">
        <f>IF(D139="","",IFERROR(INDEX(Embalagens!$B:$B,MATCH(D139,Embalagens!$A:$A,0)),"Código não cadastrado"))</f>
        <v/>
      </c>
      <c r="J139" s="25">
        <f>IF(D139="","",E139*IFERROR(INDEX(Embalagens!$J:$J,MATCH(D139,Embalagens!$A:$A,0)),0))</f>
        <v/>
      </c>
    </row>
    <row r="140">
      <c r="A140" s="22" t="n"/>
      <c r="I140" s="21">
        <f>IF(D140="","",IFERROR(INDEX(Embalagens!$B:$B,MATCH(D140,Embalagens!$A:$A,0)),"Código não cadastrado"))</f>
        <v/>
      </c>
      <c r="J140" s="25">
        <f>IF(D140="","",E140*IFERROR(INDEX(Embalagens!$J:$J,MATCH(D140,Embalagens!$A:$A,0)),0))</f>
        <v/>
      </c>
    </row>
    <row r="141">
      <c r="A141" s="22" t="n"/>
      <c r="I141" s="21">
        <f>IF(D141="","",IFERROR(INDEX(Embalagens!$B:$B,MATCH(D141,Embalagens!$A:$A,0)),"Código não cadastrado"))</f>
        <v/>
      </c>
      <c r="J141" s="25">
        <f>IF(D141="","",E141*IFERROR(INDEX(Embalagens!$J:$J,MATCH(D141,Embalagens!$A:$A,0)),0))</f>
        <v/>
      </c>
    </row>
    <row r="142">
      <c r="A142" s="22" t="n"/>
      <c r="I142" s="21">
        <f>IF(D142="","",IFERROR(INDEX(Embalagens!$B:$B,MATCH(D142,Embalagens!$A:$A,0)),"Código não cadastrado"))</f>
        <v/>
      </c>
      <c r="J142" s="25">
        <f>IF(D142="","",E142*IFERROR(INDEX(Embalagens!$J:$J,MATCH(D142,Embalagens!$A:$A,0)),0))</f>
        <v/>
      </c>
    </row>
    <row r="143">
      <c r="A143" s="22" t="n"/>
      <c r="I143" s="21">
        <f>IF(D143="","",IFERROR(INDEX(Embalagens!$B:$B,MATCH(D143,Embalagens!$A:$A,0)),"Código não cadastrado"))</f>
        <v/>
      </c>
      <c r="J143" s="25">
        <f>IF(D143="","",E143*IFERROR(INDEX(Embalagens!$J:$J,MATCH(D143,Embalagens!$A:$A,0)),0))</f>
        <v/>
      </c>
    </row>
    <row r="144">
      <c r="A144" s="22" t="n"/>
      <c r="I144" s="21">
        <f>IF(D144="","",IFERROR(INDEX(Embalagens!$B:$B,MATCH(D144,Embalagens!$A:$A,0)),"Código não cadastrado"))</f>
        <v/>
      </c>
      <c r="J144" s="25">
        <f>IF(D144="","",E144*IFERROR(INDEX(Embalagens!$J:$J,MATCH(D144,Embalagens!$A:$A,0)),0))</f>
        <v/>
      </c>
    </row>
    <row r="145">
      <c r="A145" s="22" t="n"/>
      <c r="I145" s="21">
        <f>IF(D145="","",IFERROR(INDEX(Embalagens!$B:$B,MATCH(D145,Embalagens!$A:$A,0)),"Código não cadastrado"))</f>
        <v/>
      </c>
      <c r="J145" s="25">
        <f>IF(D145="","",E145*IFERROR(INDEX(Embalagens!$J:$J,MATCH(D145,Embalagens!$A:$A,0)),0))</f>
        <v/>
      </c>
    </row>
    <row r="146">
      <c r="A146" s="22" t="n"/>
      <c r="I146" s="21">
        <f>IF(D146="","",IFERROR(INDEX(Embalagens!$B:$B,MATCH(D146,Embalagens!$A:$A,0)),"Código não cadastrado"))</f>
        <v/>
      </c>
      <c r="J146" s="25">
        <f>IF(D146="","",E146*IFERROR(INDEX(Embalagens!$J:$J,MATCH(D146,Embalagens!$A:$A,0)),0))</f>
        <v/>
      </c>
    </row>
    <row r="147">
      <c r="A147" s="22" t="n"/>
      <c r="I147" s="21">
        <f>IF(D147="","",IFERROR(INDEX(Embalagens!$B:$B,MATCH(D147,Embalagens!$A:$A,0)),"Código não cadastrado"))</f>
        <v/>
      </c>
      <c r="J147" s="25">
        <f>IF(D147="","",E147*IFERROR(INDEX(Embalagens!$J:$J,MATCH(D147,Embalagens!$A:$A,0)),0))</f>
        <v/>
      </c>
    </row>
    <row r="148">
      <c r="A148" s="22" t="n"/>
      <c r="I148" s="21">
        <f>IF(D148="","",IFERROR(INDEX(Embalagens!$B:$B,MATCH(D148,Embalagens!$A:$A,0)),"Código não cadastrado"))</f>
        <v/>
      </c>
      <c r="J148" s="25">
        <f>IF(D148="","",E148*IFERROR(INDEX(Embalagens!$J:$J,MATCH(D148,Embalagens!$A:$A,0)),0))</f>
        <v/>
      </c>
    </row>
    <row r="149">
      <c r="A149" s="22" t="n"/>
      <c r="I149" s="21">
        <f>IF(D149="","",IFERROR(INDEX(Embalagens!$B:$B,MATCH(D149,Embalagens!$A:$A,0)),"Código não cadastrado"))</f>
        <v/>
      </c>
      <c r="J149" s="25">
        <f>IF(D149="","",E149*IFERROR(INDEX(Embalagens!$J:$J,MATCH(D149,Embalagens!$A:$A,0)),0))</f>
        <v/>
      </c>
    </row>
    <row r="150">
      <c r="A150" s="22" t="n"/>
      <c r="I150" s="21">
        <f>IF(D150="","",IFERROR(INDEX(Embalagens!$B:$B,MATCH(D150,Embalagens!$A:$A,0)),"Código não cadastrado"))</f>
        <v/>
      </c>
      <c r="J150" s="25">
        <f>IF(D150="","",E150*IFERROR(INDEX(Embalagens!$J:$J,MATCH(D150,Embalagens!$A:$A,0)),0))</f>
        <v/>
      </c>
    </row>
    <row r="151">
      <c r="A151" s="22" t="n"/>
      <c r="I151" s="21">
        <f>IF(D151="","",IFERROR(INDEX(Embalagens!$B:$B,MATCH(D151,Embalagens!$A:$A,0)),"Código não cadastrado"))</f>
        <v/>
      </c>
      <c r="J151" s="25">
        <f>IF(D151="","",E151*IFERROR(INDEX(Embalagens!$J:$J,MATCH(D151,Embalagens!$A:$A,0)),0))</f>
        <v/>
      </c>
    </row>
    <row r="152">
      <c r="A152" s="22" t="n"/>
      <c r="I152" s="21">
        <f>IF(D152="","",IFERROR(INDEX(Embalagens!$B:$B,MATCH(D152,Embalagens!$A:$A,0)),"Código não cadastrado"))</f>
        <v/>
      </c>
      <c r="J152" s="25">
        <f>IF(D152="","",E152*IFERROR(INDEX(Embalagens!$J:$J,MATCH(D152,Embalagens!$A:$A,0)),0))</f>
        <v/>
      </c>
    </row>
    <row r="153">
      <c r="A153" s="22" t="n"/>
      <c r="I153" s="21">
        <f>IF(D153="","",IFERROR(INDEX(Embalagens!$B:$B,MATCH(D153,Embalagens!$A:$A,0)),"Código não cadastrado"))</f>
        <v/>
      </c>
      <c r="J153" s="25">
        <f>IF(D153="","",E153*IFERROR(INDEX(Embalagens!$J:$J,MATCH(D153,Embalagens!$A:$A,0)),0))</f>
        <v/>
      </c>
    </row>
    <row r="154">
      <c r="A154" s="22" t="n"/>
      <c r="I154" s="21">
        <f>IF(D154="","",IFERROR(INDEX(Embalagens!$B:$B,MATCH(D154,Embalagens!$A:$A,0)),"Código não cadastrado"))</f>
        <v/>
      </c>
      <c r="J154" s="25">
        <f>IF(D154="","",E154*IFERROR(INDEX(Embalagens!$J:$J,MATCH(D154,Embalagens!$A:$A,0)),0))</f>
        <v/>
      </c>
    </row>
    <row r="155">
      <c r="A155" s="22" t="n"/>
      <c r="I155" s="21">
        <f>IF(D155="","",IFERROR(INDEX(Embalagens!$B:$B,MATCH(D155,Embalagens!$A:$A,0)),"Código não cadastrado"))</f>
        <v/>
      </c>
      <c r="J155" s="25">
        <f>IF(D155="","",E155*IFERROR(INDEX(Embalagens!$J:$J,MATCH(D155,Embalagens!$A:$A,0)),0))</f>
        <v/>
      </c>
    </row>
    <row r="156">
      <c r="A156" s="22" t="n"/>
      <c r="I156" s="21">
        <f>IF(D156="","",IFERROR(INDEX(Embalagens!$B:$B,MATCH(D156,Embalagens!$A:$A,0)),"Código não cadastrado"))</f>
        <v/>
      </c>
      <c r="J156" s="25">
        <f>IF(D156="","",E156*IFERROR(INDEX(Embalagens!$J:$J,MATCH(D156,Embalagens!$A:$A,0)),0))</f>
        <v/>
      </c>
    </row>
    <row r="157">
      <c r="A157" s="22" t="n"/>
      <c r="I157" s="21">
        <f>IF(D157="","",IFERROR(INDEX(Embalagens!$B:$B,MATCH(D157,Embalagens!$A:$A,0)),"Código não cadastrado"))</f>
        <v/>
      </c>
      <c r="J157" s="25">
        <f>IF(D157="","",E157*IFERROR(INDEX(Embalagens!$J:$J,MATCH(D157,Embalagens!$A:$A,0)),0))</f>
        <v/>
      </c>
    </row>
    <row r="158">
      <c r="A158" s="22" t="n"/>
      <c r="I158" s="21">
        <f>IF(D158="","",IFERROR(INDEX(Embalagens!$B:$B,MATCH(D158,Embalagens!$A:$A,0)),"Código não cadastrado"))</f>
        <v/>
      </c>
      <c r="J158" s="25">
        <f>IF(D158="","",E158*IFERROR(INDEX(Embalagens!$J:$J,MATCH(D158,Embalagens!$A:$A,0)),0))</f>
        <v/>
      </c>
    </row>
    <row r="159">
      <c r="A159" s="22" t="n"/>
      <c r="I159" s="21">
        <f>IF(D159="","",IFERROR(INDEX(Embalagens!$B:$B,MATCH(D159,Embalagens!$A:$A,0)),"Código não cadastrado"))</f>
        <v/>
      </c>
      <c r="J159" s="25">
        <f>IF(D159="","",E159*IFERROR(INDEX(Embalagens!$J:$J,MATCH(D159,Embalagens!$A:$A,0)),0))</f>
        <v/>
      </c>
    </row>
    <row r="160">
      <c r="A160" s="22" t="n"/>
      <c r="I160" s="21">
        <f>IF(D160="","",IFERROR(INDEX(Embalagens!$B:$B,MATCH(D160,Embalagens!$A:$A,0)),"Código não cadastrado"))</f>
        <v/>
      </c>
      <c r="J160" s="25">
        <f>IF(D160="","",E160*IFERROR(INDEX(Embalagens!$J:$J,MATCH(D160,Embalagens!$A:$A,0)),0))</f>
        <v/>
      </c>
    </row>
    <row r="161">
      <c r="A161" s="22" t="n"/>
      <c r="I161" s="21">
        <f>IF(D161="","",IFERROR(INDEX(Embalagens!$B:$B,MATCH(D161,Embalagens!$A:$A,0)),"Código não cadastrado"))</f>
        <v/>
      </c>
      <c r="J161" s="25">
        <f>IF(D161="","",E161*IFERROR(INDEX(Embalagens!$J:$J,MATCH(D161,Embalagens!$A:$A,0)),0))</f>
        <v/>
      </c>
    </row>
    <row r="162">
      <c r="A162" s="22" t="n"/>
      <c r="I162" s="21">
        <f>IF(D162="","",IFERROR(INDEX(Embalagens!$B:$B,MATCH(D162,Embalagens!$A:$A,0)),"Código não cadastrado"))</f>
        <v/>
      </c>
      <c r="J162" s="25">
        <f>IF(D162="","",E162*IFERROR(INDEX(Embalagens!$J:$J,MATCH(D162,Embalagens!$A:$A,0)),0))</f>
        <v/>
      </c>
    </row>
    <row r="163">
      <c r="A163" s="22" t="n"/>
      <c r="I163" s="21">
        <f>IF(D163="","",IFERROR(INDEX(Embalagens!$B:$B,MATCH(D163,Embalagens!$A:$A,0)),"Código não cadastrado"))</f>
        <v/>
      </c>
      <c r="J163" s="25">
        <f>IF(D163="","",E163*IFERROR(INDEX(Embalagens!$J:$J,MATCH(D163,Embalagens!$A:$A,0)),0))</f>
        <v/>
      </c>
    </row>
    <row r="164">
      <c r="A164" s="22" t="n"/>
      <c r="I164" s="21">
        <f>IF(D164="","",IFERROR(INDEX(Embalagens!$B:$B,MATCH(D164,Embalagens!$A:$A,0)),"Código não cadastrado"))</f>
        <v/>
      </c>
      <c r="J164" s="25">
        <f>IF(D164="","",E164*IFERROR(INDEX(Embalagens!$J:$J,MATCH(D164,Embalagens!$A:$A,0)),0))</f>
        <v/>
      </c>
    </row>
    <row r="165">
      <c r="A165" s="22" t="n"/>
      <c r="I165" s="21">
        <f>IF(D165="","",IFERROR(INDEX(Embalagens!$B:$B,MATCH(D165,Embalagens!$A:$A,0)),"Código não cadastrado"))</f>
        <v/>
      </c>
      <c r="J165" s="25">
        <f>IF(D165="","",E165*IFERROR(INDEX(Embalagens!$J:$J,MATCH(D165,Embalagens!$A:$A,0)),0))</f>
        <v/>
      </c>
    </row>
    <row r="166">
      <c r="A166" s="22" t="n"/>
      <c r="I166" s="21">
        <f>IF(D166="","",IFERROR(INDEX(Embalagens!$B:$B,MATCH(D166,Embalagens!$A:$A,0)),"Código não cadastrado"))</f>
        <v/>
      </c>
      <c r="J166" s="25">
        <f>IF(D166="","",E166*IFERROR(INDEX(Embalagens!$J:$J,MATCH(D166,Embalagens!$A:$A,0)),0))</f>
        <v/>
      </c>
    </row>
    <row r="167">
      <c r="A167" s="22" t="n"/>
      <c r="I167" s="21">
        <f>IF(D167="","",IFERROR(INDEX(Embalagens!$B:$B,MATCH(D167,Embalagens!$A:$A,0)),"Código não cadastrado"))</f>
        <v/>
      </c>
      <c r="J167" s="25">
        <f>IF(D167="","",E167*IFERROR(INDEX(Embalagens!$J:$J,MATCH(D167,Embalagens!$A:$A,0)),0))</f>
        <v/>
      </c>
    </row>
    <row r="168">
      <c r="A168" s="22" t="n"/>
      <c r="I168" s="21">
        <f>IF(D168="","",IFERROR(INDEX(Embalagens!$B:$B,MATCH(D168,Embalagens!$A:$A,0)),"Código não cadastrado"))</f>
        <v/>
      </c>
      <c r="J168" s="25">
        <f>IF(D168="","",E168*IFERROR(INDEX(Embalagens!$J:$J,MATCH(D168,Embalagens!$A:$A,0)),0))</f>
        <v/>
      </c>
    </row>
    <row r="169">
      <c r="A169" s="22" t="n"/>
      <c r="I169" s="21">
        <f>IF(D169="","",IFERROR(INDEX(Embalagens!$B:$B,MATCH(D169,Embalagens!$A:$A,0)),"Código não cadastrado"))</f>
        <v/>
      </c>
      <c r="J169" s="25">
        <f>IF(D169="","",E169*IFERROR(INDEX(Embalagens!$J:$J,MATCH(D169,Embalagens!$A:$A,0)),0))</f>
        <v/>
      </c>
    </row>
    <row r="170">
      <c r="A170" s="22" t="n"/>
      <c r="I170" s="21">
        <f>IF(D170="","",IFERROR(INDEX(Embalagens!$B:$B,MATCH(D170,Embalagens!$A:$A,0)),"Código não cadastrado"))</f>
        <v/>
      </c>
      <c r="J170" s="25">
        <f>IF(D170="","",E170*IFERROR(INDEX(Embalagens!$J:$J,MATCH(D170,Embalagens!$A:$A,0)),0))</f>
        <v/>
      </c>
    </row>
    <row r="171">
      <c r="A171" s="22" t="n"/>
      <c r="I171" s="21">
        <f>IF(D171="","",IFERROR(INDEX(Embalagens!$B:$B,MATCH(D171,Embalagens!$A:$A,0)),"Código não cadastrado"))</f>
        <v/>
      </c>
      <c r="J171" s="25">
        <f>IF(D171="","",E171*IFERROR(INDEX(Embalagens!$J:$J,MATCH(D171,Embalagens!$A:$A,0)),0))</f>
        <v/>
      </c>
    </row>
    <row r="172">
      <c r="A172" s="22" t="n"/>
      <c r="I172" s="21">
        <f>IF(D172="","",IFERROR(INDEX(Embalagens!$B:$B,MATCH(D172,Embalagens!$A:$A,0)),"Código não cadastrado"))</f>
        <v/>
      </c>
      <c r="J172" s="25">
        <f>IF(D172="","",E172*IFERROR(INDEX(Embalagens!$J:$J,MATCH(D172,Embalagens!$A:$A,0)),0))</f>
        <v/>
      </c>
    </row>
    <row r="173">
      <c r="A173" s="22" t="n"/>
      <c r="I173" s="21">
        <f>IF(D173="","",IFERROR(INDEX(Embalagens!$B:$B,MATCH(D173,Embalagens!$A:$A,0)),"Código não cadastrado"))</f>
        <v/>
      </c>
      <c r="J173" s="25">
        <f>IF(D173="","",E173*IFERROR(INDEX(Embalagens!$J:$J,MATCH(D173,Embalagens!$A:$A,0)),0))</f>
        <v/>
      </c>
    </row>
    <row r="174">
      <c r="A174" s="22" t="n"/>
      <c r="I174" s="21">
        <f>IF(D174="","",IFERROR(INDEX(Embalagens!$B:$B,MATCH(D174,Embalagens!$A:$A,0)),"Código não cadastrado"))</f>
        <v/>
      </c>
      <c r="J174" s="25">
        <f>IF(D174="","",E174*IFERROR(INDEX(Embalagens!$J:$J,MATCH(D174,Embalagens!$A:$A,0)),0))</f>
        <v/>
      </c>
    </row>
    <row r="175">
      <c r="A175" s="22" t="n"/>
      <c r="I175" s="21">
        <f>IF(D175="","",IFERROR(INDEX(Embalagens!$B:$B,MATCH(D175,Embalagens!$A:$A,0)),"Código não cadastrado"))</f>
        <v/>
      </c>
      <c r="J175" s="25">
        <f>IF(D175="","",E175*IFERROR(INDEX(Embalagens!$J:$J,MATCH(D175,Embalagens!$A:$A,0)),0))</f>
        <v/>
      </c>
    </row>
    <row r="176">
      <c r="A176" s="22" t="n"/>
      <c r="I176" s="21">
        <f>IF(D176="","",IFERROR(INDEX(Embalagens!$B:$B,MATCH(D176,Embalagens!$A:$A,0)),"Código não cadastrado"))</f>
        <v/>
      </c>
      <c r="J176" s="25">
        <f>IF(D176="","",E176*IFERROR(INDEX(Embalagens!$J:$J,MATCH(D176,Embalagens!$A:$A,0)),0))</f>
        <v/>
      </c>
    </row>
    <row r="177">
      <c r="A177" s="22" t="n"/>
      <c r="I177" s="21">
        <f>IF(D177="","",IFERROR(INDEX(Embalagens!$B:$B,MATCH(D177,Embalagens!$A:$A,0)),"Código não cadastrado"))</f>
        <v/>
      </c>
      <c r="J177" s="25">
        <f>IF(D177="","",E177*IFERROR(INDEX(Embalagens!$J:$J,MATCH(D177,Embalagens!$A:$A,0)),0))</f>
        <v/>
      </c>
    </row>
    <row r="178">
      <c r="A178" s="22" t="n"/>
      <c r="I178" s="21">
        <f>IF(D178="","",IFERROR(INDEX(Embalagens!$B:$B,MATCH(D178,Embalagens!$A:$A,0)),"Código não cadastrado"))</f>
        <v/>
      </c>
      <c r="J178" s="25">
        <f>IF(D178="","",E178*IFERROR(INDEX(Embalagens!$J:$J,MATCH(D178,Embalagens!$A:$A,0)),0))</f>
        <v/>
      </c>
    </row>
    <row r="179">
      <c r="A179" s="22" t="n"/>
      <c r="I179" s="21">
        <f>IF(D179="","",IFERROR(INDEX(Embalagens!$B:$B,MATCH(D179,Embalagens!$A:$A,0)),"Código não cadastrado"))</f>
        <v/>
      </c>
      <c r="J179" s="25">
        <f>IF(D179="","",E179*IFERROR(INDEX(Embalagens!$J:$J,MATCH(D179,Embalagens!$A:$A,0)),0))</f>
        <v/>
      </c>
    </row>
    <row r="180">
      <c r="A180" s="22" t="n"/>
      <c r="I180" s="21">
        <f>IF(D180="","",IFERROR(INDEX(Embalagens!$B:$B,MATCH(D180,Embalagens!$A:$A,0)),"Código não cadastrado"))</f>
        <v/>
      </c>
      <c r="J180" s="25">
        <f>IF(D180="","",E180*IFERROR(INDEX(Embalagens!$J:$J,MATCH(D180,Embalagens!$A:$A,0)),0))</f>
        <v/>
      </c>
    </row>
    <row r="181">
      <c r="A181" s="22" t="n"/>
      <c r="I181" s="21">
        <f>IF(D181="","",IFERROR(INDEX(Embalagens!$B:$B,MATCH(D181,Embalagens!$A:$A,0)),"Código não cadastrado"))</f>
        <v/>
      </c>
      <c r="J181" s="25">
        <f>IF(D181="","",E181*IFERROR(INDEX(Embalagens!$J:$J,MATCH(D181,Embalagens!$A:$A,0)),0))</f>
        <v/>
      </c>
    </row>
    <row r="182">
      <c r="A182" s="22" t="n"/>
      <c r="I182" s="21">
        <f>IF(D182="","",IFERROR(INDEX(Embalagens!$B:$B,MATCH(D182,Embalagens!$A:$A,0)),"Código não cadastrado"))</f>
        <v/>
      </c>
      <c r="J182" s="25">
        <f>IF(D182="","",E182*IFERROR(INDEX(Embalagens!$J:$J,MATCH(D182,Embalagens!$A:$A,0)),0))</f>
        <v/>
      </c>
    </row>
    <row r="183">
      <c r="A183" s="22" t="n"/>
      <c r="I183" s="21">
        <f>IF(D183="","",IFERROR(INDEX(Embalagens!$B:$B,MATCH(D183,Embalagens!$A:$A,0)),"Código não cadastrado"))</f>
        <v/>
      </c>
      <c r="J183" s="25">
        <f>IF(D183="","",E183*IFERROR(INDEX(Embalagens!$J:$J,MATCH(D183,Embalagens!$A:$A,0)),0))</f>
        <v/>
      </c>
    </row>
    <row r="184">
      <c r="A184" s="22" t="n"/>
      <c r="I184" s="21">
        <f>IF(D184="","",IFERROR(INDEX(Embalagens!$B:$B,MATCH(D184,Embalagens!$A:$A,0)),"Código não cadastrado"))</f>
        <v/>
      </c>
      <c r="J184" s="25">
        <f>IF(D184="","",E184*IFERROR(INDEX(Embalagens!$J:$J,MATCH(D184,Embalagens!$A:$A,0)),0))</f>
        <v/>
      </c>
    </row>
    <row r="185">
      <c r="A185" s="22" t="n"/>
      <c r="I185" s="21">
        <f>IF(D185="","",IFERROR(INDEX(Embalagens!$B:$B,MATCH(D185,Embalagens!$A:$A,0)),"Código não cadastrado"))</f>
        <v/>
      </c>
      <c r="J185" s="25">
        <f>IF(D185="","",E185*IFERROR(INDEX(Embalagens!$J:$J,MATCH(D185,Embalagens!$A:$A,0)),0))</f>
        <v/>
      </c>
    </row>
    <row r="186">
      <c r="A186" s="22" t="n"/>
      <c r="I186" s="21">
        <f>IF(D186="","",IFERROR(INDEX(Embalagens!$B:$B,MATCH(D186,Embalagens!$A:$A,0)),"Código não cadastrado"))</f>
        <v/>
      </c>
      <c r="J186" s="25">
        <f>IF(D186="","",E186*IFERROR(INDEX(Embalagens!$J:$J,MATCH(D186,Embalagens!$A:$A,0)),0))</f>
        <v/>
      </c>
    </row>
    <row r="187">
      <c r="A187" s="22" t="n"/>
      <c r="I187" s="21">
        <f>IF(D187="","",IFERROR(INDEX(Embalagens!$B:$B,MATCH(D187,Embalagens!$A:$A,0)),"Código não cadastrado"))</f>
        <v/>
      </c>
      <c r="J187" s="25">
        <f>IF(D187="","",E187*IFERROR(INDEX(Embalagens!$J:$J,MATCH(D187,Embalagens!$A:$A,0)),0))</f>
        <v/>
      </c>
    </row>
    <row r="188">
      <c r="A188" s="22" t="n"/>
      <c r="I188" s="21">
        <f>IF(D188="","",IFERROR(INDEX(Embalagens!$B:$B,MATCH(D188,Embalagens!$A:$A,0)),"Código não cadastrado"))</f>
        <v/>
      </c>
      <c r="J188" s="25">
        <f>IF(D188="","",E188*IFERROR(INDEX(Embalagens!$J:$J,MATCH(D188,Embalagens!$A:$A,0)),0))</f>
        <v/>
      </c>
    </row>
    <row r="189">
      <c r="A189" s="22" t="n"/>
      <c r="I189" s="21">
        <f>IF(D189="","",IFERROR(INDEX(Embalagens!$B:$B,MATCH(D189,Embalagens!$A:$A,0)),"Código não cadastrado"))</f>
        <v/>
      </c>
      <c r="J189" s="25">
        <f>IF(D189="","",E189*IFERROR(INDEX(Embalagens!$J:$J,MATCH(D189,Embalagens!$A:$A,0)),0))</f>
        <v/>
      </c>
    </row>
    <row r="190">
      <c r="A190" s="22" t="n"/>
      <c r="I190" s="21">
        <f>IF(D190="","",IFERROR(INDEX(Embalagens!$B:$B,MATCH(D190,Embalagens!$A:$A,0)),"Código não cadastrado"))</f>
        <v/>
      </c>
      <c r="J190" s="25">
        <f>IF(D190="","",E190*IFERROR(INDEX(Embalagens!$J:$J,MATCH(D190,Embalagens!$A:$A,0)),0))</f>
        <v/>
      </c>
    </row>
    <row r="191">
      <c r="A191" s="22" t="n"/>
      <c r="I191" s="21">
        <f>IF(D191="","",IFERROR(INDEX(Embalagens!$B:$B,MATCH(D191,Embalagens!$A:$A,0)),"Código não cadastrado"))</f>
        <v/>
      </c>
      <c r="J191" s="25">
        <f>IF(D191="","",E191*IFERROR(INDEX(Embalagens!$J:$J,MATCH(D191,Embalagens!$A:$A,0)),0))</f>
        <v/>
      </c>
    </row>
    <row r="192">
      <c r="A192" s="22" t="n"/>
      <c r="I192" s="21">
        <f>IF(D192="","",IFERROR(INDEX(Embalagens!$B:$B,MATCH(D192,Embalagens!$A:$A,0)),"Código não cadastrado"))</f>
        <v/>
      </c>
      <c r="J192" s="25">
        <f>IF(D192="","",E192*IFERROR(INDEX(Embalagens!$J:$J,MATCH(D192,Embalagens!$A:$A,0)),0))</f>
        <v/>
      </c>
    </row>
    <row r="193">
      <c r="A193" s="22" t="n"/>
      <c r="I193" s="21">
        <f>IF(D193="","",IFERROR(INDEX(Embalagens!$B:$B,MATCH(D193,Embalagens!$A:$A,0)),"Código não cadastrado"))</f>
        <v/>
      </c>
      <c r="J193" s="25">
        <f>IF(D193="","",E193*IFERROR(INDEX(Embalagens!$J:$J,MATCH(D193,Embalagens!$A:$A,0)),0))</f>
        <v/>
      </c>
    </row>
    <row r="194">
      <c r="A194" s="22" t="n"/>
      <c r="I194" s="21">
        <f>IF(D194="","",IFERROR(INDEX(Embalagens!$B:$B,MATCH(D194,Embalagens!$A:$A,0)),"Código não cadastrado"))</f>
        <v/>
      </c>
      <c r="J194" s="25">
        <f>IF(D194="","",E194*IFERROR(INDEX(Embalagens!$J:$J,MATCH(D194,Embalagens!$A:$A,0)),0))</f>
        <v/>
      </c>
    </row>
    <row r="195">
      <c r="A195" s="22" t="n"/>
      <c r="I195" s="21">
        <f>IF(D195="","",IFERROR(INDEX(Embalagens!$B:$B,MATCH(D195,Embalagens!$A:$A,0)),"Código não cadastrado"))</f>
        <v/>
      </c>
      <c r="J195" s="25">
        <f>IF(D195="","",E195*IFERROR(INDEX(Embalagens!$J:$J,MATCH(D195,Embalagens!$A:$A,0)),0))</f>
        <v/>
      </c>
    </row>
    <row r="196">
      <c r="A196" s="22" t="n"/>
      <c r="I196" s="21">
        <f>IF(D196="","",IFERROR(INDEX(Embalagens!$B:$B,MATCH(D196,Embalagens!$A:$A,0)),"Código não cadastrado"))</f>
        <v/>
      </c>
      <c r="J196" s="25">
        <f>IF(D196="","",E196*IFERROR(INDEX(Embalagens!$J:$J,MATCH(D196,Embalagens!$A:$A,0)),0))</f>
        <v/>
      </c>
    </row>
    <row r="197">
      <c r="A197" s="22" t="n"/>
      <c r="I197" s="21">
        <f>IF(D197="","",IFERROR(INDEX(Embalagens!$B:$B,MATCH(D197,Embalagens!$A:$A,0)),"Código não cadastrado"))</f>
        <v/>
      </c>
      <c r="J197" s="25">
        <f>IF(D197="","",E197*IFERROR(INDEX(Embalagens!$J:$J,MATCH(D197,Embalagens!$A:$A,0)),0))</f>
        <v/>
      </c>
    </row>
    <row r="198">
      <c r="A198" s="22" t="n"/>
      <c r="I198" s="21">
        <f>IF(D198="","",IFERROR(INDEX(Embalagens!$B:$B,MATCH(D198,Embalagens!$A:$A,0)),"Código não cadastrado"))</f>
        <v/>
      </c>
      <c r="J198" s="25">
        <f>IF(D198="","",E198*IFERROR(INDEX(Embalagens!$J:$J,MATCH(D198,Embalagens!$A:$A,0)),0))</f>
        <v/>
      </c>
    </row>
    <row r="199">
      <c r="A199" s="22" t="n"/>
      <c r="I199" s="21">
        <f>IF(D199="","",IFERROR(INDEX(Embalagens!$B:$B,MATCH(D199,Embalagens!$A:$A,0)),"Código não cadastrado"))</f>
        <v/>
      </c>
      <c r="J199" s="25">
        <f>IF(D199="","",E199*IFERROR(INDEX(Embalagens!$J:$J,MATCH(D199,Embalagens!$A:$A,0)),0))</f>
        <v/>
      </c>
    </row>
    <row r="200">
      <c r="A200" s="22" t="n"/>
      <c r="I200" s="21">
        <f>IF(D200="","",IFERROR(INDEX(Embalagens!$B:$B,MATCH(D200,Embalagens!$A:$A,0)),"Código não cadastrado"))</f>
        <v/>
      </c>
      <c r="J200" s="25">
        <f>IF(D200="","",E200*IFERROR(INDEX(Embalagens!$J:$J,MATCH(D200,Embalagens!$A:$A,0)),0))</f>
        <v/>
      </c>
    </row>
    <row r="201">
      <c r="A201" s="22" t="n"/>
      <c r="I201" s="21">
        <f>IF(D201="","",IFERROR(INDEX(Embalagens!$B:$B,MATCH(D201,Embalagens!$A:$A,0)),"Código não cadastrado"))</f>
        <v/>
      </c>
      <c r="J201" s="25">
        <f>IF(D201="","",E201*IFERROR(INDEX(Embalagens!$J:$J,MATCH(D201,Embalagens!$A:$A,0)),0))</f>
        <v/>
      </c>
    </row>
    <row r="202">
      <c r="A202" s="22" t="n"/>
      <c r="I202" s="21">
        <f>IF(D202="","",IFERROR(INDEX(Embalagens!$B:$B,MATCH(D202,Embalagens!$A:$A,0)),"Código não cadastrado"))</f>
        <v/>
      </c>
      <c r="J202" s="25">
        <f>IF(D202="","",E202*IFERROR(INDEX(Embalagens!$J:$J,MATCH(D202,Embalagens!$A:$A,0)),0))</f>
        <v/>
      </c>
    </row>
    <row r="203">
      <c r="A203" s="22" t="n"/>
      <c r="I203" s="21">
        <f>IF(D203="","",IFERROR(INDEX(Embalagens!$B:$B,MATCH(D203,Embalagens!$A:$A,0)),"Código não cadastrado"))</f>
        <v/>
      </c>
      <c r="J203" s="25">
        <f>IF(D203="","",E203*IFERROR(INDEX(Embalagens!$J:$J,MATCH(D203,Embalagens!$A:$A,0)),0))</f>
        <v/>
      </c>
    </row>
    <row r="204">
      <c r="A204" s="22" t="n"/>
      <c r="I204" s="21">
        <f>IF(D204="","",IFERROR(INDEX(Embalagens!$B:$B,MATCH(D204,Embalagens!$A:$A,0)),"Código não cadastrado"))</f>
        <v/>
      </c>
      <c r="J204" s="25">
        <f>IF(D204="","",E204*IFERROR(INDEX(Embalagens!$J:$J,MATCH(D204,Embalagens!$A:$A,0)),0))</f>
        <v/>
      </c>
    </row>
    <row r="205">
      <c r="A205" s="22" t="n"/>
      <c r="I205" s="21">
        <f>IF(D205="","",IFERROR(INDEX(Embalagens!$B:$B,MATCH(D205,Embalagens!$A:$A,0)),"Código não cadastrado"))</f>
        <v/>
      </c>
      <c r="J205" s="25">
        <f>IF(D205="","",E205*IFERROR(INDEX(Embalagens!$J:$J,MATCH(D205,Embalagens!$A:$A,0)),0))</f>
        <v/>
      </c>
    </row>
    <row r="206">
      <c r="A206" s="22" t="n"/>
      <c r="I206" s="21">
        <f>IF(D206="","",IFERROR(INDEX(Embalagens!$B:$B,MATCH(D206,Embalagens!$A:$A,0)),"Código não cadastrado"))</f>
        <v/>
      </c>
      <c r="J206" s="25">
        <f>IF(D206="","",E206*IFERROR(INDEX(Embalagens!$J:$J,MATCH(D206,Embalagens!$A:$A,0)),0))</f>
        <v/>
      </c>
    </row>
    <row r="207">
      <c r="A207" s="22" t="n"/>
      <c r="I207" s="21">
        <f>IF(D207="","",IFERROR(INDEX(Embalagens!$B:$B,MATCH(D207,Embalagens!$A:$A,0)),"Código não cadastrado"))</f>
        <v/>
      </c>
      <c r="J207" s="25">
        <f>IF(D207="","",E207*IFERROR(INDEX(Embalagens!$J:$J,MATCH(D207,Embalagens!$A:$A,0)),0))</f>
        <v/>
      </c>
    </row>
    <row r="208">
      <c r="A208" s="22" t="n"/>
      <c r="I208" s="21">
        <f>IF(D208="","",IFERROR(INDEX(Embalagens!$B:$B,MATCH(D208,Embalagens!$A:$A,0)),"Código não cadastrado"))</f>
        <v/>
      </c>
      <c r="J208" s="25">
        <f>IF(D208="","",E208*IFERROR(INDEX(Embalagens!$J:$J,MATCH(D208,Embalagens!$A:$A,0)),0))</f>
        <v/>
      </c>
    </row>
    <row r="209">
      <c r="A209" s="22" t="n"/>
      <c r="I209" s="21">
        <f>IF(D209="","",IFERROR(INDEX(Embalagens!$B:$B,MATCH(D209,Embalagens!$A:$A,0)),"Código não cadastrado"))</f>
        <v/>
      </c>
      <c r="J209" s="25">
        <f>IF(D209="","",E209*IFERROR(INDEX(Embalagens!$J:$J,MATCH(D209,Embalagens!$A:$A,0)),0))</f>
        <v/>
      </c>
    </row>
    <row r="210">
      <c r="A210" s="22" t="n"/>
      <c r="I210" s="21">
        <f>IF(D210="","",IFERROR(INDEX(Embalagens!$B:$B,MATCH(D210,Embalagens!$A:$A,0)),"Código não cadastrado"))</f>
        <v/>
      </c>
      <c r="J210" s="25">
        <f>IF(D210="","",E210*IFERROR(INDEX(Embalagens!$J:$J,MATCH(D210,Embalagens!$A:$A,0)),0))</f>
        <v/>
      </c>
    </row>
    <row r="211">
      <c r="A211" s="22" t="n"/>
      <c r="I211" s="21">
        <f>IF(D211="","",IFERROR(INDEX(Embalagens!$B:$B,MATCH(D211,Embalagens!$A:$A,0)),"Código não cadastrado"))</f>
        <v/>
      </c>
      <c r="J211" s="25">
        <f>IF(D211="","",E211*IFERROR(INDEX(Embalagens!$J:$J,MATCH(D211,Embalagens!$A:$A,0)),0))</f>
        <v/>
      </c>
    </row>
    <row r="212">
      <c r="A212" s="22" t="n"/>
      <c r="I212" s="21">
        <f>IF(D212="","",IFERROR(INDEX(Embalagens!$B:$B,MATCH(D212,Embalagens!$A:$A,0)),"Código não cadastrado"))</f>
        <v/>
      </c>
      <c r="J212" s="25">
        <f>IF(D212="","",E212*IFERROR(INDEX(Embalagens!$J:$J,MATCH(D212,Embalagens!$A:$A,0)),0))</f>
        <v/>
      </c>
    </row>
    <row r="213">
      <c r="A213" s="22" t="n"/>
      <c r="I213" s="21">
        <f>IF(D213="","",IFERROR(INDEX(Embalagens!$B:$B,MATCH(D213,Embalagens!$A:$A,0)),"Código não cadastrado"))</f>
        <v/>
      </c>
      <c r="J213" s="25">
        <f>IF(D213="","",E213*IFERROR(INDEX(Embalagens!$J:$J,MATCH(D213,Embalagens!$A:$A,0)),0))</f>
        <v/>
      </c>
    </row>
    <row r="214">
      <c r="A214" s="22" t="n"/>
      <c r="I214" s="21">
        <f>IF(D214="","",IFERROR(INDEX(Embalagens!$B:$B,MATCH(D214,Embalagens!$A:$A,0)),"Código não cadastrado"))</f>
        <v/>
      </c>
      <c r="J214" s="25">
        <f>IF(D214="","",E214*IFERROR(INDEX(Embalagens!$J:$J,MATCH(D214,Embalagens!$A:$A,0)),0))</f>
        <v/>
      </c>
    </row>
    <row r="215">
      <c r="A215" s="22" t="n"/>
      <c r="I215" s="21">
        <f>IF(D215="","",IFERROR(INDEX(Embalagens!$B:$B,MATCH(D215,Embalagens!$A:$A,0)),"Código não cadastrado"))</f>
        <v/>
      </c>
      <c r="J215" s="25">
        <f>IF(D215="","",E215*IFERROR(INDEX(Embalagens!$J:$J,MATCH(D215,Embalagens!$A:$A,0)),0))</f>
        <v/>
      </c>
    </row>
    <row r="216">
      <c r="A216" s="22" t="n"/>
      <c r="I216" s="21">
        <f>IF(D216="","",IFERROR(INDEX(Embalagens!$B:$B,MATCH(D216,Embalagens!$A:$A,0)),"Código não cadastrado"))</f>
        <v/>
      </c>
      <c r="J216" s="25">
        <f>IF(D216="","",E216*IFERROR(INDEX(Embalagens!$J:$J,MATCH(D216,Embalagens!$A:$A,0)),0))</f>
        <v/>
      </c>
    </row>
    <row r="217">
      <c r="A217" s="22" t="n"/>
      <c r="I217" s="21">
        <f>IF(D217="","",IFERROR(INDEX(Embalagens!$B:$B,MATCH(D217,Embalagens!$A:$A,0)),"Código não cadastrado"))</f>
        <v/>
      </c>
      <c r="J217" s="25">
        <f>IF(D217="","",E217*IFERROR(INDEX(Embalagens!$J:$J,MATCH(D217,Embalagens!$A:$A,0)),0))</f>
        <v/>
      </c>
    </row>
    <row r="218">
      <c r="A218" s="22" t="n"/>
      <c r="I218" s="21">
        <f>IF(D218="","",IFERROR(INDEX(Embalagens!$B:$B,MATCH(D218,Embalagens!$A:$A,0)),"Código não cadastrado"))</f>
        <v/>
      </c>
      <c r="J218" s="25">
        <f>IF(D218="","",E218*IFERROR(INDEX(Embalagens!$J:$J,MATCH(D218,Embalagens!$A:$A,0)),0))</f>
        <v/>
      </c>
    </row>
    <row r="219">
      <c r="A219" s="22" t="n"/>
      <c r="I219" s="21">
        <f>IF(D219="","",IFERROR(INDEX(Embalagens!$B:$B,MATCH(D219,Embalagens!$A:$A,0)),"Código não cadastrado"))</f>
        <v/>
      </c>
      <c r="J219" s="25">
        <f>IF(D219="","",E219*IFERROR(INDEX(Embalagens!$J:$J,MATCH(D219,Embalagens!$A:$A,0)),0))</f>
        <v/>
      </c>
    </row>
    <row r="220">
      <c r="A220" s="22" t="n"/>
      <c r="I220" s="21">
        <f>IF(D220="","",IFERROR(INDEX(Embalagens!$B:$B,MATCH(D220,Embalagens!$A:$A,0)),"Código não cadastrado"))</f>
        <v/>
      </c>
      <c r="J220" s="25">
        <f>IF(D220="","",E220*IFERROR(INDEX(Embalagens!$J:$J,MATCH(D220,Embalagens!$A:$A,0)),0))</f>
        <v/>
      </c>
    </row>
    <row r="221">
      <c r="A221" s="22" t="n"/>
      <c r="I221" s="21">
        <f>IF(D221="","",IFERROR(INDEX(Embalagens!$B:$B,MATCH(D221,Embalagens!$A:$A,0)),"Código não cadastrado"))</f>
        <v/>
      </c>
      <c r="J221" s="25">
        <f>IF(D221="","",E221*IFERROR(INDEX(Embalagens!$J:$J,MATCH(D221,Embalagens!$A:$A,0)),0))</f>
        <v/>
      </c>
    </row>
    <row r="222">
      <c r="A222" s="22" t="n"/>
      <c r="I222" s="21">
        <f>IF(D222="","",IFERROR(INDEX(Embalagens!$B:$B,MATCH(D222,Embalagens!$A:$A,0)),"Código não cadastrado"))</f>
        <v/>
      </c>
      <c r="J222" s="25">
        <f>IF(D222="","",E222*IFERROR(INDEX(Embalagens!$J:$J,MATCH(D222,Embalagens!$A:$A,0)),0))</f>
        <v/>
      </c>
    </row>
    <row r="223">
      <c r="A223" s="22" t="n"/>
      <c r="I223" s="21">
        <f>IF(D223="","",IFERROR(INDEX(Embalagens!$B:$B,MATCH(D223,Embalagens!$A:$A,0)),"Código não cadastrado"))</f>
        <v/>
      </c>
      <c r="J223" s="25">
        <f>IF(D223="","",E223*IFERROR(INDEX(Embalagens!$J:$J,MATCH(D223,Embalagens!$A:$A,0)),0))</f>
        <v/>
      </c>
    </row>
    <row r="224">
      <c r="A224" s="22" t="n"/>
      <c r="I224" s="21">
        <f>IF(D224="","",IFERROR(INDEX(Embalagens!$B:$B,MATCH(D224,Embalagens!$A:$A,0)),"Código não cadastrado"))</f>
        <v/>
      </c>
      <c r="J224" s="25">
        <f>IF(D224="","",E224*IFERROR(INDEX(Embalagens!$J:$J,MATCH(D224,Embalagens!$A:$A,0)),0))</f>
        <v/>
      </c>
    </row>
    <row r="225">
      <c r="A225" s="22" t="n"/>
      <c r="I225" s="21">
        <f>IF(D225="","",IFERROR(INDEX(Embalagens!$B:$B,MATCH(D225,Embalagens!$A:$A,0)),"Código não cadastrado"))</f>
        <v/>
      </c>
      <c r="J225" s="25">
        <f>IF(D225="","",E225*IFERROR(INDEX(Embalagens!$J:$J,MATCH(D225,Embalagens!$A:$A,0)),0))</f>
        <v/>
      </c>
    </row>
    <row r="226">
      <c r="A226" s="22" t="n"/>
      <c r="I226" s="21">
        <f>IF(D226="","",IFERROR(INDEX(Embalagens!$B:$B,MATCH(D226,Embalagens!$A:$A,0)),"Código não cadastrado"))</f>
        <v/>
      </c>
      <c r="J226" s="25">
        <f>IF(D226="","",E226*IFERROR(INDEX(Embalagens!$J:$J,MATCH(D226,Embalagens!$A:$A,0)),0))</f>
        <v/>
      </c>
    </row>
    <row r="227">
      <c r="A227" s="22" t="n"/>
      <c r="I227" s="21">
        <f>IF(D227="","",IFERROR(INDEX(Embalagens!$B:$B,MATCH(D227,Embalagens!$A:$A,0)),"Código não cadastrado"))</f>
        <v/>
      </c>
      <c r="J227" s="25">
        <f>IF(D227="","",E227*IFERROR(INDEX(Embalagens!$J:$J,MATCH(D227,Embalagens!$A:$A,0)),0))</f>
        <v/>
      </c>
    </row>
    <row r="228">
      <c r="A228" s="22" t="n"/>
      <c r="I228" s="21">
        <f>IF(D228="","",IFERROR(INDEX(Embalagens!$B:$B,MATCH(D228,Embalagens!$A:$A,0)),"Código não cadastrado"))</f>
        <v/>
      </c>
      <c r="J228" s="25">
        <f>IF(D228="","",E228*IFERROR(INDEX(Embalagens!$J:$J,MATCH(D228,Embalagens!$A:$A,0)),0))</f>
        <v/>
      </c>
    </row>
    <row r="229">
      <c r="A229" s="22" t="n"/>
      <c r="I229" s="21">
        <f>IF(D229="","",IFERROR(INDEX(Embalagens!$B:$B,MATCH(D229,Embalagens!$A:$A,0)),"Código não cadastrado"))</f>
        <v/>
      </c>
      <c r="J229" s="25">
        <f>IF(D229="","",E229*IFERROR(INDEX(Embalagens!$J:$J,MATCH(D229,Embalagens!$A:$A,0)),0))</f>
        <v/>
      </c>
    </row>
    <row r="230">
      <c r="A230" s="22" t="n"/>
      <c r="I230" s="21">
        <f>IF(D230="","",IFERROR(INDEX(Embalagens!$B:$B,MATCH(D230,Embalagens!$A:$A,0)),"Código não cadastrado"))</f>
        <v/>
      </c>
      <c r="J230" s="25">
        <f>IF(D230="","",E230*IFERROR(INDEX(Embalagens!$J:$J,MATCH(D230,Embalagens!$A:$A,0)),0))</f>
        <v/>
      </c>
    </row>
    <row r="231">
      <c r="A231" s="22" t="n"/>
      <c r="I231" s="21">
        <f>IF(D231="","",IFERROR(INDEX(Embalagens!$B:$B,MATCH(D231,Embalagens!$A:$A,0)),"Código não cadastrado"))</f>
        <v/>
      </c>
      <c r="J231" s="25">
        <f>IF(D231="","",E231*IFERROR(INDEX(Embalagens!$J:$J,MATCH(D231,Embalagens!$A:$A,0)),0))</f>
        <v/>
      </c>
    </row>
    <row r="232">
      <c r="A232" s="22" t="n"/>
      <c r="I232" s="21">
        <f>IF(D232="","",IFERROR(INDEX(Embalagens!$B:$B,MATCH(D232,Embalagens!$A:$A,0)),"Código não cadastrado"))</f>
        <v/>
      </c>
      <c r="J232" s="25">
        <f>IF(D232="","",E232*IFERROR(INDEX(Embalagens!$J:$J,MATCH(D232,Embalagens!$A:$A,0)),0))</f>
        <v/>
      </c>
    </row>
    <row r="233">
      <c r="A233" s="22" t="n"/>
      <c r="I233" s="21">
        <f>IF(D233="","",IFERROR(INDEX(Embalagens!$B:$B,MATCH(D233,Embalagens!$A:$A,0)),"Código não cadastrado"))</f>
        <v/>
      </c>
      <c r="J233" s="25">
        <f>IF(D233="","",E233*IFERROR(INDEX(Embalagens!$J:$J,MATCH(D233,Embalagens!$A:$A,0)),0))</f>
        <v/>
      </c>
    </row>
    <row r="234">
      <c r="A234" s="22" t="n"/>
      <c r="I234" s="21">
        <f>IF(D234="","",IFERROR(INDEX(Embalagens!$B:$B,MATCH(D234,Embalagens!$A:$A,0)),"Código não cadastrado"))</f>
        <v/>
      </c>
      <c r="J234" s="25">
        <f>IF(D234="","",E234*IFERROR(INDEX(Embalagens!$J:$J,MATCH(D234,Embalagens!$A:$A,0)),0))</f>
        <v/>
      </c>
    </row>
    <row r="235">
      <c r="A235" s="22" t="n"/>
      <c r="I235" s="21">
        <f>IF(D235="","",IFERROR(INDEX(Embalagens!$B:$B,MATCH(D235,Embalagens!$A:$A,0)),"Código não cadastrado"))</f>
        <v/>
      </c>
      <c r="J235" s="25">
        <f>IF(D235="","",E235*IFERROR(INDEX(Embalagens!$J:$J,MATCH(D235,Embalagens!$A:$A,0)),0))</f>
        <v/>
      </c>
    </row>
    <row r="236">
      <c r="A236" s="22" t="n"/>
      <c r="I236" s="21">
        <f>IF(D236="","",IFERROR(INDEX(Embalagens!$B:$B,MATCH(D236,Embalagens!$A:$A,0)),"Código não cadastrado"))</f>
        <v/>
      </c>
      <c r="J236" s="25">
        <f>IF(D236="","",E236*IFERROR(INDEX(Embalagens!$J:$J,MATCH(D236,Embalagens!$A:$A,0)),0))</f>
        <v/>
      </c>
    </row>
    <row r="237">
      <c r="A237" s="22" t="n"/>
      <c r="I237" s="21">
        <f>IF(D237="","",IFERROR(INDEX(Embalagens!$B:$B,MATCH(D237,Embalagens!$A:$A,0)),"Código não cadastrado"))</f>
        <v/>
      </c>
      <c r="J237" s="25">
        <f>IF(D237="","",E237*IFERROR(INDEX(Embalagens!$J:$J,MATCH(D237,Embalagens!$A:$A,0)),0))</f>
        <v/>
      </c>
    </row>
    <row r="238">
      <c r="A238" s="22" t="n"/>
      <c r="I238" s="21">
        <f>IF(D238="","",IFERROR(INDEX(Embalagens!$B:$B,MATCH(D238,Embalagens!$A:$A,0)),"Código não cadastrado"))</f>
        <v/>
      </c>
      <c r="J238" s="25">
        <f>IF(D238="","",E238*IFERROR(INDEX(Embalagens!$J:$J,MATCH(D238,Embalagens!$A:$A,0)),0))</f>
        <v/>
      </c>
    </row>
    <row r="239">
      <c r="A239" s="22" t="n"/>
      <c r="I239" s="21">
        <f>IF(D239="","",IFERROR(INDEX(Embalagens!$B:$B,MATCH(D239,Embalagens!$A:$A,0)),"Código não cadastrado"))</f>
        <v/>
      </c>
      <c r="J239" s="25">
        <f>IF(D239="","",E239*IFERROR(INDEX(Embalagens!$J:$J,MATCH(D239,Embalagens!$A:$A,0)),0))</f>
        <v/>
      </c>
    </row>
    <row r="240">
      <c r="A240" s="22" t="n"/>
      <c r="I240" s="21">
        <f>IF(D240="","",IFERROR(INDEX(Embalagens!$B:$B,MATCH(D240,Embalagens!$A:$A,0)),"Código não cadastrado"))</f>
        <v/>
      </c>
      <c r="J240" s="25">
        <f>IF(D240="","",E240*IFERROR(INDEX(Embalagens!$J:$J,MATCH(D240,Embalagens!$A:$A,0)),0))</f>
        <v/>
      </c>
    </row>
    <row r="241">
      <c r="A241" s="22" t="n"/>
      <c r="I241" s="21">
        <f>IF(D241="","",IFERROR(INDEX(Embalagens!$B:$B,MATCH(D241,Embalagens!$A:$A,0)),"Código não cadastrado"))</f>
        <v/>
      </c>
      <c r="J241" s="25">
        <f>IF(D241="","",E241*IFERROR(INDEX(Embalagens!$J:$J,MATCH(D241,Embalagens!$A:$A,0)),0))</f>
        <v/>
      </c>
    </row>
    <row r="242">
      <c r="A242" s="22" t="n"/>
      <c r="I242" s="21">
        <f>IF(D242="","",IFERROR(INDEX(Embalagens!$B:$B,MATCH(D242,Embalagens!$A:$A,0)),"Código não cadastrado"))</f>
        <v/>
      </c>
      <c r="J242" s="25">
        <f>IF(D242="","",E242*IFERROR(INDEX(Embalagens!$J:$J,MATCH(D242,Embalagens!$A:$A,0)),0))</f>
        <v/>
      </c>
    </row>
    <row r="243">
      <c r="A243" s="22" t="n"/>
      <c r="I243" s="21">
        <f>IF(D243="","",IFERROR(INDEX(Embalagens!$B:$B,MATCH(D243,Embalagens!$A:$A,0)),"Código não cadastrado"))</f>
        <v/>
      </c>
      <c r="J243" s="25">
        <f>IF(D243="","",E243*IFERROR(INDEX(Embalagens!$J:$J,MATCH(D243,Embalagens!$A:$A,0)),0))</f>
        <v/>
      </c>
    </row>
    <row r="244">
      <c r="A244" s="22" t="n"/>
      <c r="I244" s="21">
        <f>IF(D244="","",IFERROR(INDEX(Embalagens!$B:$B,MATCH(D244,Embalagens!$A:$A,0)),"Código não cadastrado"))</f>
        <v/>
      </c>
      <c r="J244" s="25">
        <f>IF(D244="","",E244*IFERROR(INDEX(Embalagens!$J:$J,MATCH(D244,Embalagens!$A:$A,0)),0))</f>
        <v/>
      </c>
    </row>
    <row r="245">
      <c r="A245" s="22" t="n"/>
      <c r="I245" s="21">
        <f>IF(D245="","",IFERROR(INDEX(Embalagens!$B:$B,MATCH(D245,Embalagens!$A:$A,0)),"Código não cadastrado"))</f>
        <v/>
      </c>
      <c r="J245" s="25">
        <f>IF(D245="","",E245*IFERROR(INDEX(Embalagens!$J:$J,MATCH(D245,Embalagens!$A:$A,0)),0))</f>
        <v/>
      </c>
    </row>
    <row r="246">
      <c r="A246" s="22" t="n"/>
      <c r="I246" s="21">
        <f>IF(D246="","",IFERROR(INDEX(Embalagens!$B:$B,MATCH(D246,Embalagens!$A:$A,0)),"Código não cadastrado"))</f>
        <v/>
      </c>
      <c r="J246" s="25">
        <f>IF(D246="","",E246*IFERROR(INDEX(Embalagens!$J:$J,MATCH(D246,Embalagens!$A:$A,0)),0))</f>
        <v/>
      </c>
    </row>
    <row r="247">
      <c r="A247" s="22" t="n"/>
      <c r="I247" s="21">
        <f>IF(D247="","",IFERROR(INDEX(Embalagens!$B:$B,MATCH(D247,Embalagens!$A:$A,0)),"Código não cadastrado"))</f>
        <v/>
      </c>
      <c r="J247" s="25">
        <f>IF(D247="","",E247*IFERROR(INDEX(Embalagens!$J:$J,MATCH(D247,Embalagens!$A:$A,0)),0))</f>
        <v/>
      </c>
    </row>
    <row r="248">
      <c r="A248" s="22" t="n"/>
      <c r="I248" s="21">
        <f>IF(D248="","",IFERROR(INDEX(Embalagens!$B:$B,MATCH(D248,Embalagens!$A:$A,0)),"Código não cadastrado"))</f>
        <v/>
      </c>
      <c r="J248" s="25">
        <f>IF(D248="","",E248*IFERROR(INDEX(Embalagens!$J:$J,MATCH(D248,Embalagens!$A:$A,0)),0))</f>
        <v/>
      </c>
    </row>
    <row r="249">
      <c r="A249" s="22" t="n"/>
      <c r="I249" s="21">
        <f>IF(D249="","",IFERROR(INDEX(Embalagens!$B:$B,MATCH(D249,Embalagens!$A:$A,0)),"Código não cadastrado"))</f>
        <v/>
      </c>
      <c r="J249" s="25">
        <f>IF(D249="","",E249*IFERROR(INDEX(Embalagens!$J:$J,MATCH(D249,Embalagens!$A:$A,0)),0))</f>
        <v/>
      </c>
    </row>
    <row r="250">
      <c r="A250" s="22" t="n"/>
      <c r="I250" s="21">
        <f>IF(D250="","",IFERROR(INDEX(Embalagens!$B:$B,MATCH(D250,Embalagens!$A:$A,0)),"Código não cadastrado"))</f>
        <v/>
      </c>
      <c r="J250" s="25">
        <f>IF(D250="","",E250*IFERROR(INDEX(Embalagens!$J:$J,MATCH(D250,Embalagens!$A:$A,0)),0))</f>
        <v/>
      </c>
    </row>
    <row r="251">
      <c r="A251" s="22" t="n"/>
      <c r="I251" s="21">
        <f>IF(D251="","",IFERROR(INDEX(Embalagens!$B:$B,MATCH(D251,Embalagens!$A:$A,0)),"Código não cadastrado"))</f>
        <v/>
      </c>
      <c r="J251" s="25">
        <f>IF(D251="","",E251*IFERROR(INDEX(Embalagens!$J:$J,MATCH(D251,Embalagens!$A:$A,0)),0))</f>
        <v/>
      </c>
    </row>
    <row r="252">
      <c r="A252" s="22" t="n"/>
      <c r="I252" s="21">
        <f>IF(D252="","",IFERROR(INDEX(Embalagens!$B:$B,MATCH(D252,Embalagens!$A:$A,0)),"Código não cadastrado"))</f>
        <v/>
      </c>
      <c r="J252" s="25">
        <f>IF(D252="","",E252*IFERROR(INDEX(Embalagens!$J:$J,MATCH(D252,Embalagens!$A:$A,0)),0))</f>
        <v/>
      </c>
    </row>
    <row r="253">
      <c r="A253" s="22" t="n"/>
      <c r="I253" s="21">
        <f>IF(D253="","",IFERROR(INDEX(Embalagens!$B:$B,MATCH(D253,Embalagens!$A:$A,0)),"Código não cadastrado"))</f>
        <v/>
      </c>
      <c r="J253" s="25">
        <f>IF(D253="","",E253*IFERROR(INDEX(Embalagens!$J:$J,MATCH(D253,Embalagens!$A:$A,0)),0))</f>
        <v/>
      </c>
    </row>
    <row r="254">
      <c r="A254" s="22" t="n"/>
      <c r="I254" s="21">
        <f>IF(D254="","",IFERROR(INDEX(Embalagens!$B:$B,MATCH(D254,Embalagens!$A:$A,0)),"Código não cadastrado"))</f>
        <v/>
      </c>
      <c r="J254" s="25">
        <f>IF(D254="","",E254*IFERROR(INDEX(Embalagens!$J:$J,MATCH(D254,Embalagens!$A:$A,0)),0))</f>
        <v/>
      </c>
    </row>
    <row r="255">
      <c r="A255" s="22" t="n"/>
      <c r="I255" s="21">
        <f>IF(D255="","",IFERROR(INDEX(Embalagens!$B:$B,MATCH(D255,Embalagens!$A:$A,0)),"Código não cadastrado"))</f>
        <v/>
      </c>
      <c r="J255" s="25">
        <f>IF(D255="","",E255*IFERROR(INDEX(Embalagens!$J:$J,MATCH(D255,Embalagens!$A:$A,0)),0))</f>
        <v/>
      </c>
    </row>
    <row r="256">
      <c r="A256" s="22" t="n"/>
      <c r="I256" s="21">
        <f>IF(D256="","",IFERROR(INDEX(Embalagens!$B:$B,MATCH(D256,Embalagens!$A:$A,0)),"Código não cadastrado"))</f>
        <v/>
      </c>
      <c r="J256" s="25">
        <f>IF(D256="","",E256*IFERROR(INDEX(Embalagens!$J:$J,MATCH(D256,Embalagens!$A:$A,0)),0))</f>
        <v/>
      </c>
    </row>
    <row r="257">
      <c r="A257" s="22" t="n"/>
      <c r="I257" s="21">
        <f>IF(D257="","",IFERROR(INDEX(Embalagens!$B:$B,MATCH(D257,Embalagens!$A:$A,0)),"Código não cadastrado"))</f>
        <v/>
      </c>
      <c r="J257" s="25">
        <f>IF(D257="","",E257*IFERROR(INDEX(Embalagens!$J:$J,MATCH(D257,Embalagens!$A:$A,0)),0))</f>
        <v/>
      </c>
    </row>
    <row r="258">
      <c r="A258" s="22" t="n"/>
      <c r="I258" s="21">
        <f>IF(D258="","",IFERROR(INDEX(Embalagens!$B:$B,MATCH(D258,Embalagens!$A:$A,0)),"Código não cadastrado"))</f>
        <v/>
      </c>
      <c r="J258" s="25">
        <f>IF(D258="","",E258*IFERROR(INDEX(Embalagens!$J:$J,MATCH(D258,Embalagens!$A:$A,0)),0))</f>
        <v/>
      </c>
    </row>
    <row r="259">
      <c r="A259" s="22" t="n"/>
      <c r="I259" s="21">
        <f>IF(D259="","",IFERROR(INDEX(Embalagens!$B:$B,MATCH(D259,Embalagens!$A:$A,0)),"Código não cadastrado"))</f>
        <v/>
      </c>
      <c r="J259" s="25">
        <f>IF(D259="","",E259*IFERROR(INDEX(Embalagens!$J:$J,MATCH(D259,Embalagens!$A:$A,0)),0))</f>
        <v/>
      </c>
    </row>
    <row r="260">
      <c r="A260" s="22" t="n"/>
      <c r="I260" s="21">
        <f>IF(D260="","",IFERROR(INDEX(Embalagens!$B:$B,MATCH(D260,Embalagens!$A:$A,0)),"Código não cadastrado"))</f>
        <v/>
      </c>
      <c r="J260" s="25">
        <f>IF(D260="","",E260*IFERROR(INDEX(Embalagens!$J:$J,MATCH(D260,Embalagens!$A:$A,0)),0))</f>
        <v/>
      </c>
    </row>
    <row r="261">
      <c r="A261" s="22" t="n"/>
      <c r="I261" s="21">
        <f>IF(D261="","",IFERROR(INDEX(Embalagens!$B:$B,MATCH(D261,Embalagens!$A:$A,0)),"Código não cadastrado"))</f>
        <v/>
      </c>
      <c r="J261" s="25">
        <f>IF(D261="","",E261*IFERROR(INDEX(Embalagens!$J:$J,MATCH(D261,Embalagens!$A:$A,0)),0))</f>
        <v/>
      </c>
    </row>
    <row r="262">
      <c r="A262" s="22" t="n"/>
      <c r="I262" s="21">
        <f>IF(D262="","",IFERROR(INDEX(Embalagens!$B:$B,MATCH(D262,Embalagens!$A:$A,0)),"Código não cadastrado"))</f>
        <v/>
      </c>
      <c r="J262" s="25">
        <f>IF(D262="","",E262*IFERROR(INDEX(Embalagens!$J:$J,MATCH(D262,Embalagens!$A:$A,0)),0))</f>
        <v/>
      </c>
    </row>
    <row r="263">
      <c r="A263" s="22" t="n"/>
      <c r="I263" s="21">
        <f>IF(D263="","",IFERROR(INDEX(Embalagens!$B:$B,MATCH(D263,Embalagens!$A:$A,0)),"Código não cadastrado"))</f>
        <v/>
      </c>
      <c r="J263" s="25">
        <f>IF(D263="","",E263*IFERROR(INDEX(Embalagens!$J:$J,MATCH(D263,Embalagens!$A:$A,0)),0))</f>
        <v/>
      </c>
    </row>
    <row r="264">
      <c r="A264" s="22" t="n"/>
      <c r="I264" s="21">
        <f>IF(D264="","",IFERROR(INDEX(Embalagens!$B:$B,MATCH(D264,Embalagens!$A:$A,0)),"Código não cadastrado"))</f>
        <v/>
      </c>
      <c r="J264" s="25">
        <f>IF(D264="","",E264*IFERROR(INDEX(Embalagens!$J:$J,MATCH(D264,Embalagens!$A:$A,0)),0))</f>
        <v/>
      </c>
    </row>
    <row r="265">
      <c r="A265" s="22" t="n"/>
      <c r="I265" s="21">
        <f>IF(D265="","",IFERROR(INDEX(Embalagens!$B:$B,MATCH(D265,Embalagens!$A:$A,0)),"Código não cadastrado"))</f>
        <v/>
      </c>
      <c r="J265" s="25">
        <f>IF(D265="","",E265*IFERROR(INDEX(Embalagens!$J:$J,MATCH(D265,Embalagens!$A:$A,0)),0))</f>
        <v/>
      </c>
    </row>
    <row r="266">
      <c r="A266" s="22" t="n"/>
      <c r="I266" s="21">
        <f>IF(D266="","",IFERROR(INDEX(Embalagens!$B:$B,MATCH(D266,Embalagens!$A:$A,0)),"Código não cadastrado"))</f>
        <v/>
      </c>
      <c r="J266" s="25">
        <f>IF(D266="","",E266*IFERROR(INDEX(Embalagens!$J:$J,MATCH(D266,Embalagens!$A:$A,0)),0))</f>
        <v/>
      </c>
    </row>
    <row r="267">
      <c r="A267" s="22" t="n"/>
      <c r="I267" s="21">
        <f>IF(D267="","",IFERROR(INDEX(Embalagens!$B:$B,MATCH(D267,Embalagens!$A:$A,0)),"Código não cadastrado"))</f>
        <v/>
      </c>
      <c r="J267" s="25">
        <f>IF(D267="","",E267*IFERROR(INDEX(Embalagens!$J:$J,MATCH(D267,Embalagens!$A:$A,0)),0))</f>
        <v/>
      </c>
    </row>
    <row r="268">
      <c r="A268" s="22" t="n"/>
      <c r="I268" s="21">
        <f>IF(D268="","",IFERROR(INDEX(Embalagens!$B:$B,MATCH(D268,Embalagens!$A:$A,0)),"Código não cadastrado"))</f>
        <v/>
      </c>
      <c r="J268" s="25">
        <f>IF(D268="","",E268*IFERROR(INDEX(Embalagens!$J:$J,MATCH(D268,Embalagens!$A:$A,0)),0))</f>
        <v/>
      </c>
    </row>
    <row r="269">
      <c r="A269" s="22" t="n"/>
      <c r="I269" s="21">
        <f>IF(D269="","",IFERROR(INDEX(Embalagens!$B:$B,MATCH(D269,Embalagens!$A:$A,0)),"Código não cadastrado"))</f>
        <v/>
      </c>
      <c r="J269" s="25">
        <f>IF(D269="","",E269*IFERROR(INDEX(Embalagens!$J:$J,MATCH(D269,Embalagens!$A:$A,0)),0))</f>
        <v/>
      </c>
    </row>
    <row r="270">
      <c r="A270" s="22" t="n"/>
      <c r="I270" s="21">
        <f>IF(D270="","",IFERROR(INDEX(Embalagens!$B:$B,MATCH(D270,Embalagens!$A:$A,0)),"Código não cadastrado"))</f>
        <v/>
      </c>
      <c r="J270" s="25">
        <f>IF(D270="","",E270*IFERROR(INDEX(Embalagens!$J:$J,MATCH(D270,Embalagens!$A:$A,0)),0))</f>
        <v/>
      </c>
    </row>
    <row r="271">
      <c r="A271" s="22" t="n"/>
      <c r="I271" s="21">
        <f>IF(D271="","",IFERROR(INDEX(Embalagens!$B:$B,MATCH(D271,Embalagens!$A:$A,0)),"Código não cadastrado"))</f>
        <v/>
      </c>
      <c r="J271" s="25">
        <f>IF(D271="","",E271*IFERROR(INDEX(Embalagens!$J:$J,MATCH(D271,Embalagens!$A:$A,0)),0))</f>
        <v/>
      </c>
    </row>
    <row r="272">
      <c r="A272" s="22" t="n"/>
      <c r="I272" s="21">
        <f>IF(D272="","",IFERROR(INDEX(Embalagens!$B:$B,MATCH(D272,Embalagens!$A:$A,0)),"Código não cadastrado"))</f>
        <v/>
      </c>
      <c r="J272" s="25">
        <f>IF(D272="","",E272*IFERROR(INDEX(Embalagens!$J:$J,MATCH(D272,Embalagens!$A:$A,0)),0))</f>
        <v/>
      </c>
    </row>
    <row r="273">
      <c r="A273" s="22" t="n"/>
      <c r="I273" s="21">
        <f>IF(D273="","",IFERROR(INDEX(Embalagens!$B:$B,MATCH(D273,Embalagens!$A:$A,0)),"Código não cadastrado"))</f>
        <v/>
      </c>
      <c r="J273" s="25">
        <f>IF(D273="","",E273*IFERROR(INDEX(Embalagens!$J:$J,MATCH(D273,Embalagens!$A:$A,0)),0))</f>
        <v/>
      </c>
    </row>
    <row r="274">
      <c r="A274" s="22" t="n"/>
      <c r="I274" s="21">
        <f>IF(D274="","",IFERROR(INDEX(Embalagens!$B:$B,MATCH(D274,Embalagens!$A:$A,0)),"Código não cadastrado"))</f>
        <v/>
      </c>
      <c r="J274" s="25">
        <f>IF(D274="","",E274*IFERROR(INDEX(Embalagens!$J:$J,MATCH(D274,Embalagens!$A:$A,0)),0))</f>
        <v/>
      </c>
    </row>
    <row r="275">
      <c r="A275" s="22" t="n"/>
      <c r="I275" s="21">
        <f>IF(D275="","",IFERROR(INDEX(Embalagens!$B:$B,MATCH(D275,Embalagens!$A:$A,0)),"Código não cadastrado"))</f>
        <v/>
      </c>
      <c r="J275" s="25">
        <f>IF(D275="","",E275*IFERROR(INDEX(Embalagens!$J:$J,MATCH(D275,Embalagens!$A:$A,0)),0))</f>
        <v/>
      </c>
    </row>
    <row r="276">
      <c r="A276" s="22" t="n"/>
      <c r="I276" s="21">
        <f>IF(D276="","",IFERROR(INDEX(Embalagens!$B:$B,MATCH(D276,Embalagens!$A:$A,0)),"Código não cadastrado"))</f>
        <v/>
      </c>
      <c r="J276" s="25">
        <f>IF(D276="","",E276*IFERROR(INDEX(Embalagens!$J:$J,MATCH(D276,Embalagens!$A:$A,0)),0))</f>
        <v/>
      </c>
    </row>
    <row r="277">
      <c r="A277" s="22" t="n"/>
      <c r="I277" s="21">
        <f>IF(D277="","",IFERROR(INDEX(Embalagens!$B:$B,MATCH(D277,Embalagens!$A:$A,0)),"Código não cadastrado"))</f>
        <v/>
      </c>
      <c r="J277" s="25">
        <f>IF(D277="","",E277*IFERROR(INDEX(Embalagens!$J:$J,MATCH(D277,Embalagens!$A:$A,0)),0))</f>
        <v/>
      </c>
    </row>
    <row r="278">
      <c r="A278" s="22" t="n"/>
      <c r="I278" s="21">
        <f>IF(D278="","",IFERROR(INDEX(Embalagens!$B:$B,MATCH(D278,Embalagens!$A:$A,0)),"Código não cadastrado"))</f>
        <v/>
      </c>
      <c r="J278" s="25">
        <f>IF(D278="","",E278*IFERROR(INDEX(Embalagens!$J:$J,MATCH(D278,Embalagens!$A:$A,0)),0))</f>
        <v/>
      </c>
    </row>
    <row r="279">
      <c r="A279" s="22" t="n"/>
      <c r="I279" s="21">
        <f>IF(D279="","",IFERROR(INDEX(Embalagens!$B:$B,MATCH(D279,Embalagens!$A:$A,0)),"Código não cadastrado"))</f>
        <v/>
      </c>
      <c r="J279" s="25">
        <f>IF(D279="","",E279*IFERROR(INDEX(Embalagens!$J:$J,MATCH(D279,Embalagens!$A:$A,0)),0))</f>
        <v/>
      </c>
    </row>
    <row r="280">
      <c r="A280" s="22" t="n"/>
      <c r="I280" s="21">
        <f>IF(D280="","",IFERROR(INDEX(Embalagens!$B:$B,MATCH(D280,Embalagens!$A:$A,0)),"Código não cadastrado"))</f>
        <v/>
      </c>
      <c r="J280" s="25">
        <f>IF(D280="","",E280*IFERROR(INDEX(Embalagens!$J:$J,MATCH(D280,Embalagens!$A:$A,0)),0))</f>
        <v/>
      </c>
    </row>
    <row r="281">
      <c r="A281" s="22" t="n"/>
      <c r="I281" s="21">
        <f>IF(D281="","",IFERROR(INDEX(Embalagens!$B:$B,MATCH(D281,Embalagens!$A:$A,0)),"Código não cadastrado"))</f>
        <v/>
      </c>
      <c r="J281" s="25">
        <f>IF(D281="","",E281*IFERROR(INDEX(Embalagens!$J:$J,MATCH(D281,Embalagens!$A:$A,0)),0))</f>
        <v/>
      </c>
    </row>
    <row r="282">
      <c r="A282" s="22" t="n"/>
      <c r="I282" s="21">
        <f>IF(D282="","",IFERROR(INDEX(Embalagens!$B:$B,MATCH(D282,Embalagens!$A:$A,0)),"Código não cadastrado"))</f>
        <v/>
      </c>
      <c r="J282" s="25">
        <f>IF(D282="","",E282*IFERROR(INDEX(Embalagens!$J:$J,MATCH(D282,Embalagens!$A:$A,0)),0))</f>
        <v/>
      </c>
    </row>
    <row r="283">
      <c r="A283" s="22" t="n"/>
      <c r="I283" s="21">
        <f>IF(D283="","",IFERROR(INDEX(Embalagens!$B:$B,MATCH(D283,Embalagens!$A:$A,0)),"Código não cadastrado"))</f>
        <v/>
      </c>
      <c r="J283" s="25">
        <f>IF(D283="","",E283*IFERROR(INDEX(Embalagens!$J:$J,MATCH(D283,Embalagens!$A:$A,0)),0))</f>
        <v/>
      </c>
    </row>
    <row r="284">
      <c r="A284" s="22" t="n"/>
      <c r="I284" s="21">
        <f>IF(D284="","",IFERROR(INDEX(Embalagens!$B:$B,MATCH(D284,Embalagens!$A:$A,0)),"Código não cadastrado"))</f>
        <v/>
      </c>
      <c r="J284" s="25">
        <f>IF(D284="","",E284*IFERROR(INDEX(Embalagens!$J:$J,MATCH(D284,Embalagens!$A:$A,0)),0))</f>
        <v/>
      </c>
    </row>
    <row r="285">
      <c r="A285" s="22" t="n"/>
      <c r="I285" s="21">
        <f>IF(D285="","",IFERROR(INDEX(Embalagens!$B:$B,MATCH(D285,Embalagens!$A:$A,0)),"Código não cadastrado"))</f>
        <v/>
      </c>
      <c r="J285" s="25">
        <f>IF(D285="","",E285*IFERROR(INDEX(Embalagens!$J:$J,MATCH(D285,Embalagens!$A:$A,0)),0))</f>
        <v/>
      </c>
    </row>
    <row r="286">
      <c r="A286" s="22" t="n"/>
      <c r="I286" s="21">
        <f>IF(D286="","",IFERROR(INDEX(Embalagens!$B:$B,MATCH(D286,Embalagens!$A:$A,0)),"Código não cadastrado"))</f>
        <v/>
      </c>
      <c r="J286" s="25">
        <f>IF(D286="","",E286*IFERROR(INDEX(Embalagens!$J:$J,MATCH(D286,Embalagens!$A:$A,0)),0))</f>
        <v/>
      </c>
    </row>
    <row r="287">
      <c r="A287" s="22" t="n"/>
      <c r="I287" s="21">
        <f>IF(D287="","",IFERROR(INDEX(Embalagens!$B:$B,MATCH(D287,Embalagens!$A:$A,0)),"Código não cadastrado"))</f>
        <v/>
      </c>
      <c r="J287" s="25">
        <f>IF(D287="","",E287*IFERROR(INDEX(Embalagens!$J:$J,MATCH(D287,Embalagens!$A:$A,0)),0))</f>
        <v/>
      </c>
    </row>
    <row r="288">
      <c r="A288" s="22" t="n"/>
      <c r="I288" s="21">
        <f>IF(D288="","",IFERROR(INDEX(Embalagens!$B:$B,MATCH(D288,Embalagens!$A:$A,0)),"Código não cadastrado"))</f>
        <v/>
      </c>
      <c r="J288" s="25">
        <f>IF(D288="","",E288*IFERROR(INDEX(Embalagens!$J:$J,MATCH(D288,Embalagens!$A:$A,0)),0))</f>
        <v/>
      </c>
    </row>
    <row r="289">
      <c r="A289" s="22" t="n"/>
      <c r="I289" s="21">
        <f>IF(D289="","",IFERROR(INDEX(Embalagens!$B:$B,MATCH(D289,Embalagens!$A:$A,0)),"Código não cadastrado"))</f>
        <v/>
      </c>
      <c r="J289" s="25">
        <f>IF(D289="","",E289*IFERROR(INDEX(Embalagens!$J:$J,MATCH(D289,Embalagens!$A:$A,0)),0))</f>
        <v/>
      </c>
    </row>
    <row r="290">
      <c r="A290" s="22" t="n"/>
      <c r="I290" s="21">
        <f>IF(D290="","",IFERROR(INDEX(Embalagens!$B:$B,MATCH(D290,Embalagens!$A:$A,0)),"Código não cadastrado"))</f>
        <v/>
      </c>
      <c r="J290" s="25">
        <f>IF(D290="","",E290*IFERROR(INDEX(Embalagens!$J:$J,MATCH(D290,Embalagens!$A:$A,0)),0))</f>
        <v/>
      </c>
    </row>
    <row r="291">
      <c r="A291" s="22" t="n"/>
      <c r="I291" s="21">
        <f>IF(D291="","",IFERROR(INDEX(Embalagens!$B:$B,MATCH(D291,Embalagens!$A:$A,0)),"Código não cadastrado"))</f>
        <v/>
      </c>
      <c r="J291" s="25">
        <f>IF(D291="","",E291*IFERROR(INDEX(Embalagens!$J:$J,MATCH(D291,Embalagens!$A:$A,0)),0))</f>
        <v/>
      </c>
    </row>
    <row r="292">
      <c r="A292" s="22" t="n"/>
      <c r="I292" s="21">
        <f>IF(D292="","",IFERROR(INDEX(Embalagens!$B:$B,MATCH(D292,Embalagens!$A:$A,0)),"Código não cadastrado"))</f>
        <v/>
      </c>
      <c r="J292" s="25">
        <f>IF(D292="","",E292*IFERROR(INDEX(Embalagens!$J:$J,MATCH(D292,Embalagens!$A:$A,0)),0))</f>
        <v/>
      </c>
    </row>
    <row r="293">
      <c r="A293" s="22" t="n"/>
      <c r="I293" s="21">
        <f>IF(D293="","",IFERROR(INDEX(Embalagens!$B:$B,MATCH(D293,Embalagens!$A:$A,0)),"Código não cadastrado"))</f>
        <v/>
      </c>
      <c r="J293" s="25">
        <f>IF(D293="","",E293*IFERROR(INDEX(Embalagens!$J:$J,MATCH(D293,Embalagens!$A:$A,0)),0))</f>
        <v/>
      </c>
    </row>
    <row r="294">
      <c r="A294" s="22" t="n"/>
      <c r="I294" s="21">
        <f>IF(D294="","",IFERROR(INDEX(Embalagens!$B:$B,MATCH(D294,Embalagens!$A:$A,0)),"Código não cadastrado"))</f>
        <v/>
      </c>
      <c r="J294" s="25">
        <f>IF(D294="","",E294*IFERROR(INDEX(Embalagens!$J:$J,MATCH(D294,Embalagens!$A:$A,0)),0))</f>
        <v/>
      </c>
    </row>
    <row r="295">
      <c r="A295" s="22" t="n"/>
      <c r="I295" s="21">
        <f>IF(D295="","",IFERROR(INDEX(Embalagens!$B:$B,MATCH(D295,Embalagens!$A:$A,0)),"Código não cadastrado"))</f>
        <v/>
      </c>
      <c r="J295" s="25">
        <f>IF(D295="","",E295*IFERROR(INDEX(Embalagens!$J:$J,MATCH(D295,Embalagens!$A:$A,0)),0))</f>
        <v/>
      </c>
    </row>
    <row r="296">
      <c r="A296" s="22" t="n"/>
      <c r="I296" s="21">
        <f>IF(D296="","",IFERROR(INDEX(Embalagens!$B:$B,MATCH(D296,Embalagens!$A:$A,0)),"Código não cadastrado"))</f>
        <v/>
      </c>
      <c r="J296" s="25">
        <f>IF(D296="","",E296*IFERROR(INDEX(Embalagens!$J:$J,MATCH(D296,Embalagens!$A:$A,0)),0))</f>
        <v/>
      </c>
    </row>
    <row r="297">
      <c r="A297" s="22" t="n"/>
      <c r="I297" s="21">
        <f>IF(D297="","",IFERROR(INDEX(Embalagens!$B:$B,MATCH(D297,Embalagens!$A:$A,0)),"Código não cadastrado"))</f>
        <v/>
      </c>
      <c r="J297" s="25">
        <f>IF(D297="","",E297*IFERROR(INDEX(Embalagens!$J:$J,MATCH(D297,Embalagens!$A:$A,0)),0))</f>
        <v/>
      </c>
    </row>
    <row r="298">
      <c r="A298" s="22" t="n"/>
      <c r="I298" s="21">
        <f>IF(D298="","",IFERROR(INDEX(Embalagens!$B:$B,MATCH(D298,Embalagens!$A:$A,0)),"Código não cadastrado"))</f>
        <v/>
      </c>
      <c r="J298" s="25">
        <f>IF(D298="","",E298*IFERROR(INDEX(Embalagens!$J:$J,MATCH(D298,Embalagens!$A:$A,0)),0))</f>
        <v/>
      </c>
    </row>
    <row r="299">
      <c r="A299" s="22" t="n"/>
      <c r="I299" s="21">
        <f>IF(D299="","",IFERROR(INDEX(Embalagens!$B:$B,MATCH(D299,Embalagens!$A:$A,0)),"Código não cadastrado"))</f>
        <v/>
      </c>
      <c r="J299" s="25">
        <f>IF(D299="","",E299*IFERROR(INDEX(Embalagens!$J:$J,MATCH(D299,Embalagens!$A:$A,0)),0))</f>
        <v/>
      </c>
    </row>
    <row r="300">
      <c r="A300" s="22" t="n"/>
      <c r="I300" s="21">
        <f>IF(D300="","",IFERROR(INDEX(Embalagens!$B:$B,MATCH(D300,Embalagens!$A:$A,0)),"Código não cadastrado"))</f>
        <v/>
      </c>
      <c r="J300" s="25">
        <f>IF(D300="","",E300*IFERROR(INDEX(Embalagens!$J:$J,MATCH(D300,Embalagens!$A:$A,0)),0))</f>
        <v/>
      </c>
    </row>
    <row r="301">
      <c r="A301" s="22" t="n"/>
      <c r="I301" s="21">
        <f>IF(D301="","",IFERROR(INDEX(Embalagens!$B:$B,MATCH(D301,Embalagens!$A:$A,0)),"Código não cadastrado"))</f>
        <v/>
      </c>
      <c r="J301" s="25">
        <f>IF(D301="","",E301*IFERROR(INDEX(Embalagens!$J:$J,MATCH(D301,Embalagens!$A:$A,0)),0))</f>
        <v/>
      </c>
    </row>
    <row r="302">
      <c r="A302" s="22" t="n"/>
      <c r="I302" s="21">
        <f>IF(D302="","",IFERROR(INDEX(Embalagens!$B:$B,MATCH(D302,Embalagens!$A:$A,0)),"Código não cadastrado"))</f>
        <v/>
      </c>
      <c r="J302" s="25">
        <f>IF(D302="","",E302*IFERROR(INDEX(Embalagens!$J:$J,MATCH(D302,Embalagens!$A:$A,0)),0))</f>
        <v/>
      </c>
    </row>
    <row r="303">
      <c r="A303" s="22" t="n"/>
      <c r="I303" s="21">
        <f>IF(D303="","",IFERROR(INDEX(Embalagens!$B:$B,MATCH(D303,Embalagens!$A:$A,0)),"Código não cadastrado"))</f>
        <v/>
      </c>
      <c r="J303" s="25">
        <f>IF(D303="","",E303*IFERROR(INDEX(Embalagens!$J:$J,MATCH(D303,Embalagens!$A:$A,0)),0))</f>
        <v/>
      </c>
    </row>
    <row r="304">
      <c r="A304" s="22" t="n"/>
      <c r="I304" s="21">
        <f>IF(D304="","",IFERROR(INDEX(Embalagens!$B:$B,MATCH(D304,Embalagens!$A:$A,0)),"Código não cadastrado"))</f>
        <v/>
      </c>
      <c r="J304" s="25">
        <f>IF(D304="","",E304*IFERROR(INDEX(Embalagens!$J:$J,MATCH(D304,Embalagens!$A:$A,0)),0))</f>
        <v/>
      </c>
    </row>
    <row r="305">
      <c r="A305" s="22" t="n"/>
      <c r="I305" s="21">
        <f>IF(D305="","",IFERROR(INDEX(Embalagens!$B:$B,MATCH(D305,Embalagens!$A:$A,0)),"Código não cadastrado"))</f>
        <v/>
      </c>
      <c r="J305" s="25">
        <f>IF(D305="","",E305*IFERROR(INDEX(Embalagens!$J:$J,MATCH(D305,Embalagens!$A:$A,0)),0))</f>
        <v/>
      </c>
    </row>
    <row r="306">
      <c r="A306" s="22" t="n"/>
      <c r="I306" s="21">
        <f>IF(D306="","",IFERROR(INDEX(Embalagens!$B:$B,MATCH(D306,Embalagens!$A:$A,0)),"Código não cadastrado"))</f>
        <v/>
      </c>
      <c r="J306" s="25">
        <f>IF(D306="","",E306*IFERROR(INDEX(Embalagens!$J:$J,MATCH(D306,Embalagens!$A:$A,0)),0))</f>
        <v/>
      </c>
    </row>
    <row r="307">
      <c r="A307" s="22" t="n"/>
      <c r="I307" s="21">
        <f>IF(D307="","",IFERROR(INDEX(Embalagens!$B:$B,MATCH(D307,Embalagens!$A:$A,0)),"Código não cadastrado"))</f>
        <v/>
      </c>
      <c r="J307" s="25">
        <f>IF(D307="","",E307*IFERROR(INDEX(Embalagens!$J:$J,MATCH(D307,Embalagens!$A:$A,0)),0))</f>
        <v/>
      </c>
    </row>
    <row r="308">
      <c r="A308" s="22" t="n"/>
      <c r="I308" s="21">
        <f>IF(D308="","",IFERROR(INDEX(Embalagens!$B:$B,MATCH(D308,Embalagens!$A:$A,0)),"Código não cadastrado"))</f>
        <v/>
      </c>
      <c r="J308" s="25">
        <f>IF(D308="","",E308*IFERROR(INDEX(Embalagens!$J:$J,MATCH(D308,Embalagens!$A:$A,0)),0))</f>
        <v/>
      </c>
    </row>
    <row r="309">
      <c r="A309" s="22" t="n"/>
      <c r="I309" s="21">
        <f>IF(D309="","",IFERROR(INDEX(Embalagens!$B:$B,MATCH(D309,Embalagens!$A:$A,0)),"Código não cadastrado"))</f>
        <v/>
      </c>
      <c r="J309" s="25">
        <f>IF(D309="","",E309*IFERROR(INDEX(Embalagens!$J:$J,MATCH(D309,Embalagens!$A:$A,0)),0))</f>
        <v/>
      </c>
    </row>
    <row r="310">
      <c r="A310" s="22" t="n"/>
      <c r="I310" s="21">
        <f>IF(D310="","",IFERROR(INDEX(Embalagens!$B:$B,MATCH(D310,Embalagens!$A:$A,0)),"Código não cadastrado"))</f>
        <v/>
      </c>
      <c r="J310" s="25">
        <f>IF(D310="","",E310*IFERROR(INDEX(Embalagens!$J:$J,MATCH(D310,Embalagens!$A:$A,0)),0))</f>
        <v/>
      </c>
    </row>
    <row r="311">
      <c r="A311" s="22" t="n"/>
      <c r="I311" s="21">
        <f>IF(D311="","",IFERROR(INDEX(Embalagens!$B:$B,MATCH(D311,Embalagens!$A:$A,0)),"Código não cadastrado"))</f>
        <v/>
      </c>
      <c r="J311" s="25">
        <f>IF(D311="","",E311*IFERROR(INDEX(Embalagens!$J:$J,MATCH(D311,Embalagens!$A:$A,0)),0))</f>
        <v/>
      </c>
    </row>
    <row r="312">
      <c r="A312" s="22" t="n"/>
      <c r="I312" s="21">
        <f>IF(D312="","",IFERROR(INDEX(Embalagens!$B:$B,MATCH(D312,Embalagens!$A:$A,0)),"Código não cadastrado"))</f>
        <v/>
      </c>
      <c r="J312" s="25">
        <f>IF(D312="","",E312*IFERROR(INDEX(Embalagens!$J:$J,MATCH(D312,Embalagens!$A:$A,0)),0))</f>
        <v/>
      </c>
    </row>
    <row r="313">
      <c r="A313" s="22" t="n"/>
      <c r="I313" s="21">
        <f>IF(D313="","",IFERROR(INDEX(Embalagens!$B:$B,MATCH(D313,Embalagens!$A:$A,0)),"Código não cadastrado"))</f>
        <v/>
      </c>
      <c r="J313" s="25">
        <f>IF(D313="","",E313*IFERROR(INDEX(Embalagens!$J:$J,MATCH(D313,Embalagens!$A:$A,0)),0))</f>
        <v/>
      </c>
    </row>
    <row r="314">
      <c r="A314" s="22" t="n"/>
      <c r="I314" s="21">
        <f>IF(D314="","",IFERROR(INDEX(Embalagens!$B:$B,MATCH(D314,Embalagens!$A:$A,0)),"Código não cadastrado"))</f>
        <v/>
      </c>
      <c r="J314" s="25">
        <f>IF(D314="","",E314*IFERROR(INDEX(Embalagens!$J:$J,MATCH(D314,Embalagens!$A:$A,0)),0))</f>
        <v/>
      </c>
    </row>
    <row r="315">
      <c r="A315" s="22" t="n"/>
      <c r="I315" s="21">
        <f>IF(D315="","",IFERROR(INDEX(Embalagens!$B:$B,MATCH(D315,Embalagens!$A:$A,0)),"Código não cadastrado"))</f>
        <v/>
      </c>
      <c r="J315" s="25">
        <f>IF(D315="","",E315*IFERROR(INDEX(Embalagens!$J:$J,MATCH(D315,Embalagens!$A:$A,0)),0))</f>
        <v/>
      </c>
    </row>
    <row r="316">
      <c r="A316" s="22" t="n"/>
      <c r="I316" s="21">
        <f>IF(D316="","",IFERROR(INDEX(Embalagens!$B:$B,MATCH(D316,Embalagens!$A:$A,0)),"Código não cadastrado"))</f>
        <v/>
      </c>
      <c r="J316" s="25">
        <f>IF(D316="","",E316*IFERROR(INDEX(Embalagens!$J:$J,MATCH(D316,Embalagens!$A:$A,0)),0))</f>
        <v/>
      </c>
    </row>
    <row r="317">
      <c r="A317" s="22" t="n"/>
      <c r="I317" s="21">
        <f>IF(D317="","",IFERROR(INDEX(Embalagens!$B:$B,MATCH(D317,Embalagens!$A:$A,0)),"Código não cadastrado"))</f>
        <v/>
      </c>
      <c r="J317" s="25">
        <f>IF(D317="","",E317*IFERROR(INDEX(Embalagens!$J:$J,MATCH(D317,Embalagens!$A:$A,0)),0))</f>
        <v/>
      </c>
    </row>
    <row r="318">
      <c r="A318" s="22" t="n"/>
      <c r="I318" s="21">
        <f>IF(D318="","",IFERROR(INDEX(Embalagens!$B:$B,MATCH(D318,Embalagens!$A:$A,0)),"Código não cadastrado"))</f>
        <v/>
      </c>
      <c r="J318" s="25">
        <f>IF(D318="","",E318*IFERROR(INDEX(Embalagens!$J:$J,MATCH(D318,Embalagens!$A:$A,0)),0))</f>
        <v/>
      </c>
    </row>
    <row r="319">
      <c r="A319" s="22" t="n"/>
      <c r="I319" s="21">
        <f>IF(D319="","",IFERROR(INDEX(Embalagens!$B:$B,MATCH(D319,Embalagens!$A:$A,0)),"Código não cadastrado"))</f>
        <v/>
      </c>
      <c r="J319" s="25">
        <f>IF(D319="","",E319*IFERROR(INDEX(Embalagens!$J:$J,MATCH(D319,Embalagens!$A:$A,0)),0))</f>
        <v/>
      </c>
    </row>
    <row r="320">
      <c r="A320" s="22" t="n"/>
      <c r="I320" s="21">
        <f>IF(D320="","",IFERROR(INDEX(Embalagens!$B:$B,MATCH(D320,Embalagens!$A:$A,0)),"Código não cadastrado"))</f>
        <v/>
      </c>
      <c r="J320" s="25">
        <f>IF(D320="","",E320*IFERROR(INDEX(Embalagens!$J:$J,MATCH(D320,Embalagens!$A:$A,0)),0))</f>
        <v/>
      </c>
    </row>
    <row r="321">
      <c r="A321" s="22" t="n"/>
      <c r="I321" s="21">
        <f>IF(D321="","",IFERROR(INDEX(Embalagens!$B:$B,MATCH(D321,Embalagens!$A:$A,0)),"Código não cadastrado"))</f>
        <v/>
      </c>
      <c r="J321" s="25">
        <f>IF(D321="","",E321*IFERROR(INDEX(Embalagens!$J:$J,MATCH(D321,Embalagens!$A:$A,0)),0))</f>
        <v/>
      </c>
    </row>
    <row r="322">
      <c r="A322" s="22" t="n"/>
      <c r="I322" s="21">
        <f>IF(D322="","",IFERROR(INDEX(Embalagens!$B:$B,MATCH(D322,Embalagens!$A:$A,0)),"Código não cadastrado"))</f>
        <v/>
      </c>
      <c r="J322" s="25">
        <f>IF(D322="","",E322*IFERROR(INDEX(Embalagens!$J:$J,MATCH(D322,Embalagens!$A:$A,0)),0))</f>
        <v/>
      </c>
    </row>
    <row r="323">
      <c r="A323" s="22" t="n"/>
      <c r="I323" s="21">
        <f>IF(D323="","",IFERROR(INDEX(Embalagens!$B:$B,MATCH(D323,Embalagens!$A:$A,0)),"Código não cadastrado"))</f>
        <v/>
      </c>
      <c r="J323" s="25">
        <f>IF(D323="","",E323*IFERROR(INDEX(Embalagens!$J:$J,MATCH(D323,Embalagens!$A:$A,0)),0))</f>
        <v/>
      </c>
    </row>
    <row r="324">
      <c r="A324" s="22" t="n"/>
      <c r="I324" s="21">
        <f>IF(D324="","",IFERROR(INDEX(Embalagens!$B:$B,MATCH(D324,Embalagens!$A:$A,0)),"Código não cadastrado"))</f>
        <v/>
      </c>
      <c r="J324" s="25">
        <f>IF(D324="","",E324*IFERROR(INDEX(Embalagens!$J:$J,MATCH(D324,Embalagens!$A:$A,0)),0))</f>
        <v/>
      </c>
    </row>
    <row r="325">
      <c r="A325" s="22" t="n"/>
      <c r="I325" s="21">
        <f>IF(D325="","",IFERROR(INDEX(Embalagens!$B:$B,MATCH(D325,Embalagens!$A:$A,0)),"Código não cadastrado"))</f>
        <v/>
      </c>
      <c r="J325" s="25">
        <f>IF(D325="","",E325*IFERROR(INDEX(Embalagens!$J:$J,MATCH(D325,Embalagens!$A:$A,0)),0))</f>
        <v/>
      </c>
    </row>
    <row r="326">
      <c r="A326" s="22" t="n"/>
      <c r="I326" s="21">
        <f>IF(D326="","",IFERROR(INDEX(Embalagens!$B:$B,MATCH(D326,Embalagens!$A:$A,0)),"Código não cadastrado"))</f>
        <v/>
      </c>
      <c r="J326" s="25">
        <f>IF(D326="","",E326*IFERROR(INDEX(Embalagens!$J:$J,MATCH(D326,Embalagens!$A:$A,0)),0))</f>
        <v/>
      </c>
    </row>
    <row r="327">
      <c r="A327" s="22" t="n"/>
      <c r="I327" s="21">
        <f>IF(D327="","",IFERROR(INDEX(Embalagens!$B:$B,MATCH(D327,Embalagens!$A:$A,0)),"Código não cadastrado"))</f>
        <v/>
      </c>
      <c r="J327" s="25">
        <f>IF(D327="","",E327*IFERROR(INDEX(Embalagens!$J:$J,MATCH(D327,Embalagens!$A:$A,0)),0))</f>
        <v/>
      </c>
    </row>
    <row r="328">
      <c r="A328" s="22" t="n"/>
      <c r="I328" s="21">
        <f>IF(D328="","",IFERROR(INDEX(Embalagens!$B:$B,MATCH(D328,Embalagens!$A:$A,0)),"Código não cadastrado"))</f>
        <v/>
      </c>
      <c r="J328" s="25">
        <f>IF(D328="","",E328*IFERROR(INDEX(Embalagens!$J:$J,MATCH(D328,Embalagens!$A:$A,0)),0))</f>
        <v/>
      </c>
    </row>
    <row r="329">
      <c r="A329" s="22" t="n"/>
      <c r="I329" s="21">
        <f>IF(D329="","",IFERROR(INDEX(Embalagens!$B:$B,MATCH(D329,Embalagens!$A:$A,0)),"Código não cadastrado"))</f>
        <v/>
      </c>
      <c r="J329" s="25">
        <f>IF(D329="","",E329*IFERROR(INDEX(Embalagens!$J:$J,MATCH(D329,Embalagens!$A:$A,0)),0))</f>
        <v/>
      </c>
    </row>
    <row r="330">
      <c r="A330" s="22" t="n"/>
      <c r="I330" s="21">
        <f>IF(D330="","",IFERROR(INDEX(Embalagens!$B:$B,MATCH(D330,Embalagens!$A:$A,0)),"Código não cadastrado"))</f>
        <v/>
      </c>
      <c r="J330" s="25">
        <f>IF(D330="","",E330*IFERROR(INDEX(Embalagens!$J:$J,MATCH(D330,Embalagens!$A:$A,0)),0))</f>
        <v/>
      </c>
    </row>
    <row r="331">
      <c r="A331" s="22" t="n"/>
      <c r="I331" s="21">
        <f>IF(D331="","",IFERROR(INDEX(Embalagens!$B:$B,MATCH(D331,Embalagens!$A:$A,0)),"Código não cadastrado"))</f>
        <v/>
      </c>
      <c r="J331" s="25">
        <f>IF(D331="","",E331*IFERROR(INDEX(Embalagens!$J:$J,MATCH(D331,Embalagens!$A:$A,0)),0))</f>
        <v/>
      </c>
    </row>
    <row r="332">
      <c r="A332" s="22" t="n"/>
      <c r="I332" s="21">
        <f>IF(D332="","",IFERROR(INDEX(Embalagens!$B:$B,MATCH(D332,Embalagens!$A:$A,0)),"Código não cadastrado"))</f>
        <v/>
      </c>
      <c r="J332" s="25">
        <f>IF(D332="","",E332*IFERROR(INDEX(Embalagens!$J:$J,MATCH(D332,Embalagens!$A:$A,0)),0))</f>
        <v/>
      </c>
    </row>
    <row r="333">
      <c r="A333" s="22" t="n"/>
      <c r="I333" s="21">
        <f>IF(D333="","",IFERROR(INDEX(Embalagens!$B:$B,MATCH(D333,Embalagens!$A:$A,0)),"Código não cadastrado"))</f>
        <v/>
      </c>
      <c r="J333" s="25">
        <f>IF(D333="","",E333*IFERROR(INDEX(Embalagens!$J:$J,MATCH(D333,Embalagens!$A:$A,0)),0))</f>
        <v/>
      </c>
    </row>
    <row r="334">
      <c r="A334" s="22" t="n"/>
      <c r="I334" s="21">
        <f>IF(D334="","",IFERROR(INDEX(Embalagens!$B:$B,MATCH(D334,Embalagens!$A:$A,0)),"Código não cadastrado"))</f>
        <v/>
      </c>
      <c r="J334" s="25">
        <f>IF(D334="","",E334*IFERROR(INDEX(Embalagens!$J:$J,MATCH(D334,Embalagens!$A:$A,0)),0))</f>
        <v/>
      </c>
    </row>
    <row r="335">
      <c r="A335" s="22" t="n"/>
      <c r="I335" s="21">
        <f>IF(D335="","",IFERROR(INDEX(Embalagens!$B:$B,MATCH(D335,Embalagens!$A:$A,0)),"Código não cadastrado"))</f>
        <v/>
      </c>
      <c r="J335" s="25">
        <f>IF(D335="","",E335*IFERROR(INDEX(Embalagens!$J:$J,MATCH(D335,Embalagens!$A:$A,0)),0))</f>
        <v/>
      </c>
    </row>
    <row r="336">
      <c r="A336" s="22" t="n"/>
      <c r="I336" s="21">
        <f>IF(D336="","",IFERROR(INDEX(Embalagens!$B:$B,MATCH(D336,Embalagens!$A:$A,0)),"Código não cadastrado"))</f>
        <v/>
      </c>
      <c r="J336" s="25">
        <f>IF(D336="","",E336*IFERROR(INDEX(Embalagens!$J:$J,MATCH(D336,Embalagens!$A:$A,0)),0))</f>
        <v/>
      </c>
    </row>
    <row r="337">
      <c r="A337" s="22" t="n"/>
      <c r="I337" s="21">
        <f>IF(D337="","",IFERROR(INDEX(Embalagens!$B:$B,MATCH(D337,Embalagens!$A:$A,0)),"Código não cadastrado"))</f>
        <v/>
      </c>
      <c r="J337" s="25">
        <f>IF(D337="","",E337*IFERROR(INDEX(Embalagens!$J:$J,MATCH(D337,Embalagens!$A:$A,0)),0))</f>
        <v/>
      </c>
    </row>
    <row r="338">
      <c r="A338" s="22" t="n"/>
      <c r="I338" s="21">
        <f>IF(D338="","",IFERROR(INDEX(Embalagens!$B:$B,MATCH(D338,Embalagens!$A:$A,0)),"Código não cadastrado"))</f>
        <v/>
      </c>
      <c r="J338" s="25">
        <f>IF(D338="","",E338*IFERROR(INDEX(Embalagens!$J:$J,MATCH(D338,Embalagens!$A:$A,0)),0))</f>
        <v/>
      </c>
    </row>
    <row r="339">
      <c r="A339" s="22" t="n"/>
      <c r="I339" s="21">
        <f>IF(D339="","",IFERROR(INDEX(Embalagens!$B:$B,MATCH(D339,Embalagens!$A:$A,0)),"Código não cadastrado"))</f>
        <v/>
      </c>
      <c r="J339" s="25">
        <f>IF(D339="","",E339*IFERROR(INDEX(Embalagens!$J:$J,MATCH(D339,Embalagens!$A:$A,0)),0))</f>
        <v/>
      </c>
    </row>
    <row r="340">
      <c r="A340" s="22" t="n"/>
      <c r="I340" s="21">
        <f>IF(D340="","",IFERROR(INDEX(Embalagens!$B:$B,MATCH(D340,Embalagens!$A:$A,0)),"Código não cadastrado"))</f>
        <v/>
      </c>
      <c r="J340" s="25">
        <f>IF(D340="","",E340*IFERROR(INDEX(Embalagens!$J:$J,MATCH(D340,Embalagens!$A:$A,0)),0))</f>
        <v/>
      </c>
    </row>
    <row r="341">
      <c r="A341" s="22" t="n"/>
      <c r="I341" s="21">
        <f>IF(D341="","",IFERROR(INDEX(Embalagens!$B:$B,MATCH(D341,Embalagens!$A:$A,0)),"Código não cadastrado"))</f>
        <v/>
      </c>
      <c r="J341" s="25">
        <f>IF(D341="","",E341*IFERROR(INDEX(Embalagens!$J:$J,MATCH(D341,Embalagens!$A:$A,0)),0))</f>
        <v/>
      </c>
    </row>
    <row r="342">
      <c r="A342" s="22" t="n"/>
      <c r="I342" s="21">
        <f>IF(D342="","",IFERROR(INDEX(Embalagens!$B:$B,MATCH(D342,Embalagens!$A:$A,0)),"Código não cadastrado"))</f>
        <v/>
      </c>
      <c r="J342" s="25">
        <f>IF(D342="","",E342*IFERROR(INDEX(Embalagens!$J:$J,MATCH(D342,Embalagens!$A:$A,0)),0))</f>
        <v/>
      </c>
    </row>
    <row r="343">
      <c r="A343" s="22" t="n"/>
      <c r="I343" s="21">
        <f>IF(D343="","",IFERROR(INDEX(Embalagens!$B:$B,MATCH(D343,Embalagens!$A:$A,0)),"Código não cadastrado"))</f>
        <v/>
      </c>
      <c r="J343" s="25">
        <f>IF(D343="","",E343*IFERROR(INDEX(Embalagens!$J:$J,MATCH(D343,Embalagens!$A:$A,0)),0))</f>
        <v/>
      </c>
    </row>
    <row r="344">
      <c r="A344" s="22" t="n"/>
      <c r="I344" s="21">
        <f>IF(D344="","",IFERROR(INDEX(Embalagens!$B:$B,MATCH(D344,Embalagens!$A:$A,0)),"Código não cadastrado"))</f>
        <v/>
      </c>
      <c r="J344" s="25">
        <f>IF(D344="","",E344*IFERROR(INDEX(Embalagens!$J:$J,MATCH(D344,Embalagens!$A:$A,0)),0))</f>
        <v/>
      </c>
    </row>
    <row r="345">
      <c r="A345" s="22" t="n"/>
      <c r="I345" s="21">
        <f>IF(D345="","",IFERROR(INDEX(Embalagens!$B:$B,MATCH(D345,Embalagens!$A:$A,0)),"Código não cadastrado"))</f>
        <v/>
      </c>
      <c r="J345" s="25">
        <f>IF(D345="","",E345*IFERROR(INDEX(Embalagens!$J:$J,MATCH(D345,Embalagens!$A:$A,0)),0))</f>
        <v/>
      </c>
    </row>
    <row r="346">
      <c r="A346" s="22" t="n"/>
      <c r="I346" s="21">
        <f>IF(D346="","",IFERROR(INDEX(Embalagens!$B:$B,MATCH(D346,Embalagens!$A:$A,0)),"Código não cadastrado"))</f>
        <v/>
      </c>
      <c r="J346" s="25">
        <f>IF(D346="","",E346*IFERROR(INDEX(Embalagens!$J:$J,MATCH(D346,Embalagens!$A:$A,0)),0))</f>
        <v/>
      </c>
    </row>
    <row r="347">
      <c r="A347" s="22" t="n"/>
      <c r="I347" s="21">
        <f>IF(D347="","",IFERROR(INDEX(Embalagens!$B:$B,MATCH(D347,Embalagens!$A:$A,0)),"Código não cadastrado"))</f>
        <v/>
      </c>
      <c r="J347" s="25">
        <f>IF(D347="","",E347*IFERROR(INDEX(Embalagens!$J:$J,MATCH(D347,Embalagens!$A:$A,0)),0))</f>
        <v/>
      </c>
    </row>
    <row r="348">
      <c r="A348" s="22" t="n"/>
      <c r="I348" s="21">
        <f>IF(D348="","",IFERROR(INDEX(Embalagens!$B:$B,MATCH(D348,Embalagens!$A:$A,0)),"Código não cadastrado"))</f>
        <v/>
      </c>
      <c r="J348" s="25">
        <f>IF(D348="","",E348*IFERROR(INDEX(Embalagens!$J:$J,MATCH(D348,Embalagens!$A:$A,0)),0))</f>
        <v/>
      </c>
    </row>
    <row r="349">
      <c r="A349" s="22" t="n"/>
      <c r="I349" s="21">
        <f>IF(D349="","",IFERROR(INDEX(Embalagens!$B:$B,MATCH(D349,Embalagens!$A:$A,0)),"Código não cadastrado"))</f>
        <v/>
      </c>
      <c r="J349" s="25">
        <f>IF(D349="","",E349*IFERROR(INDEX(Embalagens!$J:$J,MATCH(D349,Embalagens!$A:$A,0)),0))</f>
        <v/>
      </c>
    </row>
    <row r="350">
      <c r="A350" s="22" t="n"/>
      <c r="I350" s="21">
        <f>IF(D350="","",IFERROR(INDEX(Embalagens!$B:$B,MATCH(D350,Embalagens!$A:$A,0)),"Código não cadastrado"))</f>
        <v/>
      </c>
      <c r="J350" s="25">
        <f>IF(D350="","",E350*IFERROR(INDEX(Embalagens!$J:$J,MATCH(D350,Embalagens!$A:$A,0)),0))</f>
        <v/>
      </c>
    </row>
    <row r="351">
      <c r="A351" s="22" t="n"/>
      <c r="I351" s="21">
        <f>IF(D351="","",IFERROR(INDEX(Embalagens!$B:$B,MATCH(D351,Embalagens!$A:$A,0)),"Código não cadastrado"))</f>
        <v/>
      </c>
      <c r="J351" s="25">
        <f>IF(D351="","",E351*IFERROR(INDEX(Embalagens!$J:$J,MATCH(D351,Embalagens!$A:$A,0)),0))</f>
        <v/>
      </c>
    </row>
    <row r="352">
      <c r="A352" s="22" t="n"/>
      <c r="I352" s="21">
        <f>IF(D352="","",IFERROR(INDEX(Embalagens!$B:$B,MATCH(D352,Embalagens!$A:$A,0)),"Código não cadastrado"))</f>
        <v/>
      </c>
      <c r="J352" s="25">
        <f>IF(D352="","",E352*IFERROR(INDEX(Embalagens!$J:$J,MATCH(D352,Embalagens!$A:$A,0)),0))</f>
        <v/>
      </c>
    </row>
    <row r="353">
      <c r="A353" s="22" t="n"/>
      <c r="I353" s="21">
        <f>IF(D353="","",IFERROR(INDEX(Embalagens!$B:$B,MATCH(D353,Embalagens!$A:$A,0)),"Código não cadastrado"))</f>
        <v/>
      </c>
      <c r="J353" s="25">
        <f>IF(D353="","",E353*IFERROR(INDEX(Embalagens!$J:$J,MATCH(D353,Embalagens!$A:$A,0)),0))</f>
        <v/>
      </c>
    </row>
    <row r="354">
      <c r="A354" s="22" t="n"/>
      <c r="I354" s="21">
        <f>IF(D354="","",IFERROR(INDEX(Embalagens!$B:$B,MATCH(D354,Embalagens!$A:$A,0)),"Código não cadastrado"))</f>
        <v/>
      </c>
      <c r="J354" s="25">
        <f>IF(D354="","",E354*IFERROR(INDEX(Embalagens!$J:$J,MATCH(D354,Embalagens!$A:$A,0)),0))</f>
        <v/>
      </c>
    </row>
    <row r="355">
      <c r="A355" s="22" t="n"/>
      <c r="I355" s="21">
        <f>IF(D355="","",IFERROR(INDEX(Embalagens!$B:$B,MATCH(D355,Embalagens!$A:$A,0)),"Código não cadastrado"))</f>
        <v/>
      </c>
      <c r="J355" s="25">
        <f>IF(D355="","",E355*IFERROR(INDEX(Embalagens!$J:$J,MATCH(D355,Embalagens!$A:$A,0)),0))</f>
        <v/>
      </c>
    </row>
    <row r="356">
      <c r="A356" s="22" t="n"/>
      <c r="I356" s="21">
        <f>IF(D356="","",IFERROR(INDEX(Embalagens!$B:$B,MATCH(D356,Embalagens!$A:$A,0)),"Código não cadastrado"))</f>
        <v/>
      </c>
      <c r="J356" s="25">
        <f>IF(D356="","",E356*IFERROR(INDEX(Embalagens!$J:$J,MATCH(D356,Embalagens!$A:$A,0)),0))</f>
        <v/>
      </c>
    </row>
    <row r="357">
      <c r="A357" s="22" t="n"/>
      <c r="I357" s="21">
        <f>IF(D357="","",IFERROR(INDEX(Embalagens!$B:$B,MATCH(D357,Embalagens!$A:$A,0)),"Código não cadastrado"))</f>
        <v/>
      </c>
      <c r="J357" s="25">
        <f>IF(D357="","",E357*IFERROR(INDEX(Embalagens!$J:$J,MATCH(D357,Embalagens!$A:$A,0)),0))</f>
        <v/>
      </c>
    </row>
    <row r="358">
      <c r="A358" s="22" t="n"/>
      <c r="I358" s="21">
        <f>IF(D358="","",IFERROR(INDEX(Embalagens!$B:$B,MATCH(D358,Embalagens!$A:$A,0)),"Código não cadastrado"))</f>
        <v/>
      </c>
      <c r="J358" s="25">
        <f>IF(D358="","",E358*IFERROR(INDEX(Embalagens!$J:$J,MATCH(D358,Embalagens!$A:$A,0)),0))</f>
        <v/>
      </c>
    </row>
    <row r="359">
      <c r="A359" s="22" t="n"/>
      <c r="I359" s="21">
        <f>IF(D359="","",IFERROR(INDEX(Embalagens!$B:$B,MATCH(D359,Embalagens!$A:$A,0)),"Código não cadastrado"))</f>
        <v/>
      </c>
      <c r="J359" s="25">
        <f>IF(D359="","",E359*IFERROR(INDEX(Embalagens!$J:$J,MATCH(D359,Embalagens!$A:$A,0)),0))</f>
        <v/>
      </c>
    </row>
    <row r="360">
      <c r="A360" s="22" t="n"/>
      <c r="I360" s="21">
        <f>IF(D360="","",IFERROR(INDEX(Embalagens!$B:$B,MATCH(D360,Embalagens!$A:$A,0)),"Código não cadastrado"))</f>
        <v/>
      </c>
      <c r="J360" s="25">
        <f>IF(D360="","",E360*IFERROR(INDEX(Embalagens!$J:$J,MATCH(D360,Embalagens!$A:$A,0)),0))</f>
        <v/>
      </c>
    </row>
    <row r="361">
      <c r="A361" s="22" t="n"/>
      <c r="I361" s="21">
        <f>IF(D361="","",IFERROR(INDEX(Embalagens!$B:$B,MATCH(D361,Embalagens!$A:$A,0)),"Código não cadastrado"))</f>
        <v/>
      </c>
      <c r="J361" s="25">
        <f>IF(D361="","",E361*IFERROR(INDEX(Embalagens!$J:$J,MATCH(D361,Embalagens!$A:$A,0)),0))</f>
        <v/>
      </c>
    </row>
    <row r="362">
      <c r="A362" s="22" t="n"/>
      <c r="I362" s="21">
        <f>IF(D362="","",IFERROR(INDEX(Embalagens!$B:$B,MATCH(D362,Embalagens!$A:$A,0)),"Código não cadastrado"))</f>
        <v/>
      </c>
      <c r="J362" s="25">
        <f>IF(D362="","",E362*IFERROR(INDEX(Embalagens!$J:$J,MATCH(D362,Embalagens!$A:$A,0)),0))</f>
        <v/>
      </c>
    </row>
    <row r="363">
      <c r="A363" s="22" t="n"/>
      <c r="I363" s="21">
        <f>IF(D363="","",IFERROR(INDEX(Embalagens!$B:$B,MATCH(D363,Embalagens!$A:$A,0)),"Código não cadastrado"))</f>
        <v/>
      </c>
      <c r="J363" s="25">
        <f>IF(D363="","",E363*IFERROR(INDEX(Embalagens!$J:$J,MATCH(D363,Embalagens!$A:$A,0)),0))</f>
        <v/>
      </c>
    </row>
    <row r="364">
      <c r="A364" s="22" t="n"/>
      <c r="I364" s="21">
        <f>IF(D364="","",IFERROR(INDEX(Embalagens!$B:$B,MATCH(D364,Embalagens!$A:$A,0)),"Código não cadastrado"))</f>
        <v/>
      </c>
      <c r="J364" s="25">
        <f>IF(D364="","",E364*IFERROR(INDEX(Embalagens!$J:$J,MATCH(D364,Embalagens!$A:$A,0)),0))</f>
        <v/>
      </c>
    </row>
    <row r="365">
      <c r="A365" s="22" t="n"/>
      <c r="I365" s="21">
        <f>IF(D365="","",IFERROR(INDEX(Embalagens!$B:$B,MATCH(D365,Embalagens!$A:$A,0)),"Código não cadastrado"))</f>
        <v/>
      </c>
      <c r="J365" s="25">
        <f>IF(D365="","",E365*IFERROR(INDEX(Embalagens!$J:$J,MATCH(D365,Embalagens!$A:$A,0)),0))</f>
        <v/>
      </c>
    </row>
    <row r="366">
      <c r="A366" s="22" t="n"/>
      <c r="I366" s="21">
        <f>IF(D366="","",IFERROR(INDEX(Embalagens!$B:$B,MATCH(D366,Embalagens!$A:$A,0)),"Código não cadastrado"))</f>
        <v/>
      </c>
      <c r="J366" s="25">
        <f>IF(D366="","",E366*IFERROR(INDEX(Embalagens!$J:$J,MATCH(D366,Embalagens!$A:$A,0)),0))</f>
        <v/>
      </c>
    </row>
    <row r="367">
      <c r="A367" s="22" t="n"/>
      <c r="I367" s="21">
        <f>IF(D367="","",IFERROR(INDEX(Embalagens!$B:$B,MATCH(D367,Embalagens!$A:$A,0)),"Código não cadastrado"))</f>
        <v/>
      </c>
      <c r="J367" s="25">
        <f>IF(D367="","",E367*IFERROR(INDEX(Embalagens!$J:$J,MATCH(D367,Embalagens!$A:$A,0)),0))</f>
        <v/>
      </c>
    </row>
    <row r="368">
      <c r="A368" s="22" t="n"/>
      <c r="I368" s="21">
        <f>IF(D368="","",IFERROR(INDEX(Embalagens!$B:$B,MATCH(D368,Embalagens!$A:$A,0)),"Código não cadastrado"))</f>
        <v/>
      </c>
      <c r="J368" s="25">
        <f>IF(D368="","",E368*IFERROR(INDEX(Embalagens!$J:$J,MATCH(D368,Embalagens!$A:$A,0)),0))</f>
        <v/>
      </c>
    </row>
    <row r="369">
      <c r="A369" s="22" t="n"/>
      <c r="I369" s="21">
        <f>IF(D369="","",IFERROR(INDEX(Embalagens!$B:$B,MATCH(D369,Embalagens!$A:$A,0)),"Código não cadastrado"))</f>
        <v/>
      </c>
      <c r="J369" s="25">
        <f>IF(D369="","",E369*IFERROR(INDEX(Embalagens!$J:$J,MATCH(D369,Embalagens!$A:$A,0)),0))</f>
        <v/>
      </c>
    </row>
    <row r="370">
      <c r="A370" s="22" t="n"/>
      <c r="I370" s="21">
        <f>IF(D370="","",IFERROR(INDEX(Embalagens!$B:$B,MATCH(D370,Embalagens!$A:$A,0)),"Código não cadastrado"))</f>
        <v/>
      </c>
      <c r="J370" s="25">
        <f>IF(D370="","",E370*IFERROR(INDEX(Embalagens!$J:$J,MATCH(D370,Embalagens!$A:$A,0)),0))</f>
        <v/>
      </c>
    </row>
    <row r="371">
      <c r="A371" s="22" t="n"/>
      <c r="I371" s="21">
        <f>IF(D371="","",IFERROR(INDEX(Embalagens!$B:$B,MATCH(D371,Embalagens!$A:$A,0)),"Código não cadastrado"))</f>
        <v/>
      </c>
      <c r="J371" s="25">
        <f>IF(D371="","",E371*IFERROR(INDEX(Embalagens!$J:$J,MATCH(D371,Embalagens!$A:$A,0)),0))</f>
        <v/>
      </c>
    </row>
    <row r="372">
      <c r="A372" s="22" t="n"/>
      <c r="I372" s="21">
        <f>IF(D372="","",IFERROR(INDEX(Embalagens!$B:$B,MATCH(D372,Embalagens!$A:$A,0)),"Código não cadastrado"))</f>
        <v/>
      </c>
      <c r="J372" s="25">
        <f>IF(D372="","",E372*IFERROR(INDEX(Embalagens!$J:$J,MATCH(D372,Embalagens!$A:$A,0)),0))</f>
        <v/>
      </c>
    </row>
    <row r="373">
      <c r="A373" s="22" t="n"/>
      <c r="I373" s="21">
        <f>IF(D373="","",IFERROR(INDEX(Embalagens!$B:$B,MATCH(D373,Embalagens!$A:$A,0)),"Código não cadastrado"))</f>
        <v/>
      </c>
      <c r="J373" s="25">
        <f>IF(D373="","",E373*IFERROR(INDEX(Embalagens!$J:$J,MATCH(D373,Embalagens!$A:$A,0)),0))</f>
        <v/>
      </c>
    </row>
    <row r="374">
      <c r="A374" s="22" t="n"/>
      <c r="I374" s="21">
        <f>IF(D374="","",IFERROR(INDEX(Embalagens!$B:$B,MATCH(D374,Embalagens!$A:$A,0)),"Código não cadastrado"))</f>
        <v/>
      </c>
      <c r="J374" s="25">
        <f>IF(D374="","",E374*IFERROR(INDEX(Embalagens!$J:$J,MATCH(D374,Embalagens!$A:$A,0)),0))</f>
        <v/>
      </c>
    </row>
    <row r="375">
      <c r="A375" s="22" t="n"/>
      <c r="I375" s="21">
        <f>IF(D375="","",IFERROR(INDEX(Embalagens!$B:$B,MATCH(D375,Embalagens!$A:$A,0)),"Código não cadastrado"))</f>
        <v/>
      </c>
      <c r="J375" s="25">
        <f>IF(D375="","",E375*IFERROR(INDEX(Embalagens!$J:$J,MATCH(D375,Embalagens!$A:$A,0)),0))</f>
        <v/>
      </c>
    </row>
    <row r="376">
      <c r="A376" s="22" t="n"/>
      <c r="I376" s="21">
        <f>IF(D376="","",IFERROR(INDEX(Embalagens!$B:$B,MATCH(D376,Embalagens!$A:$A,0)),"Código não cadastrado"))</f>
        <v/>
      </c>
      <c r="J376" s="25">
        <f>IF(D376="","",E376*IFERROR(INDEX(Embalagens!$J:$J,MATCH(D376,Embalagens!$A:$A,0)),0))</f>
        <v/>
      </c>
    </row>
    <row r="377">
      <c r="A377" s="22" t="n"/>
      <c r="I377" s="21">
        <f>IF(D377="","",IFERROR(INDEX(Embalagens!$B:$B,MATCH(D377,Embalagens!$A:$A,0)),"Código não cadastrado"))</f>
        <v/>
      </c>
      <c r="J377" s="25">
        <f>IF(D377="","",E377*IFERROR(INDEX(Embalagens!$J:$J,MATCH(D377,Embalagens!$A:$A,0)),0))</f>
        <v/>
      </c>
    </row>
    <row r="378">
      <c r="A378" s="22" t="n"/>
      <c r="I378" s="21">
        <f>IF(D378="","",IFERROR(INDEX(Embalagens!$B:$B,MATCH(D378,Embalagens!$A:$A,0)),"Código não cadastrado"))</f>
        <v/>
      </c>
      <c r="J378" s="25">
        <f>IF(D378="","",E378*IFERROR(INDEX(Embalagens!$J:$J,MATCH(D378,Embalagens!$A:$A,0)),0))</f>
        <v/>
      </c>
    </row>
    <row r="379">
      <c r="A379" s="22" t="n"/>
      <c r="I379" s="21">
        <f>IF(D379="","",IFERROR(INDEX(Embalagens!$B:$B,MATCH(D379,Embalagens!$A:$A,0)),"Código não cadastrado"))</f>
        <v/>
      </c>
      <c r="J379" s="25">
        <f>IF(D379="","",E379*IFERROR(INDEX(Embalagens!$J:$J,MATCH(D379,Embalagens!$A:$A,0)),0))</f>
        <v/>
      </c>
    </row>
    <row r="380">
      <c r="A380" s="22" t="n"/>
      <c r="I380" s="21">
        <f>IF(D380="","",IFERROR(INDEX(Embalagens!$B:$B,MATCH(D380,Embalagens!$A:$A,0)),"Código não cadastrado"))</f>
        <v/>
      </c>
      <c r="J380" s="25">
        <f>IF(D380="","",E380*IFERROR(INDEX(Embalagens!$J:$J,MATCH(D380,Embalagens!$A:$A,0)),0))</f>
        <v/>
      </c>
    </row>
    <row r="381">
      <c r="A381" s="22" t="n"/>
      <c r="I381" s="21">
        <f>IF(D381="","",IFERROR(INDEX(Embalagens!$B:$B,MATCH(D381,Embalagens!$A:$A,0)),"Código não cadastrado"))</f>
        <v/>
      </c>
      <c r="J381" s="25">
        <f>IF(D381="","",E381*IFERROR(INDEX(Embalagens!$J:$J,MATCH(D381,Embalagens!$A:$A,0)),0))</f>
        <v/>
      </c>
    </row>
    <row r="382">
      <c r="A382" s="22" t="n"/>
      <c r="I382" s="21">
        <f>IF(D382="","",IFERROR(INDEX(Embalagens!$B:$B,MATCH(D382,Embalagens!$A:$A,0)),"Código não cadastrado"))</f>
        <v/>
      </c>
      <c r="J382" s="25">
        <f>IF(D382="","",E382*IFERROR(INDEX(Embalagens!$J:$J,MATCH(D382,Embalagens!$A:$A,0)),0))</f>
        <v/>
      </c>
    </row>
    <row r="383">
      <c r="A383" s="22" t="n"/>
      <c r="I383" s="21">
        <f>IF(D383="","",IFERROR(INDEX(Embalagens!$B:$B,MATCH(D383,Embalagens!$A:$A,0)),"Código não cadastrado"))</f>
        <v/>
      </c>
      <c r="J383" s="25">
        <f>IF(D383="","",E383*IFERROR(INDEX(Embalagens!$J:$J,MATCH(D383,Embalagens!$A:$A,0)),0))</f>
        <v/>
      </c>
    </row>
    <row r="384">
      <c r="A384" s="22" t="n"/>
      <c r="I384" s="21">
        <f>IF(D384="","",IFERROR(INDEX(Embalagens!$B:$B,MATCH(D384,Embalagens!$A:$A,0)),"Código não cadastrado"))</f>
        <v/>
      </c>
      <c r="J384" s="25">
        <f>IF(D384="","",E384*IFERROR(INDEX(Embalagens!$J:$J,MATCH(D384,Embalagens!$A:$A,0)),0))</f>
        <v/>
      </c>
    </row>
    <row r="385">
      <c r="A385" s="22" t="n"/>
      <c r="I385" s="21">
        <f>IF(D385="","",IFERROR(INDEX(Embalagens!$B:$B,MATCH(D385,Embalagens!$A:$A,0)),"Código não cadastrado"))</f>
        <v/>
      </c>
      <c r="J385" s="25">
        <f>IF(D385="","",E385*IFERROR(INDEX(Embalagens!$J:$J,MATCH(D385,Embalagens!$A:$A,0)),0))</f>
        <v/>
      </c>
    </row>
    <row r="386">
      <c r="A386" s="22" t="n"/>
      <c r="I386" s="21">
        <f>IF(D386="","",IFERROR(INDEX(Embalagens!$B:$B,MATCH(D386,Embalagens!$A:$A,0)),"Código não cadastrado"))</f>
        <v/>
      </c>
      <c r="J386" s="25">
        <f>IF(D386="","",E386*IFERROR(INDEX(Embalagens!$J:$J,MATCH(D386,Embalagens!$A:$A,0)),0))</f>
        <v/>
      </c>
    </row>
    <row r="387">
      <c r="A387" s="22" t="n"/>
      <c r="I387" s="21">
        <f>IF(D387="","",IFERROR(INDEX(Embalagens!$B:$B,MATCH(D387,Embalagens!$A:$A,0)),"Código não cadastrado"))</f>
        <v/>
      </c>
      <c r="J387" s="25">
        <f>IF(D387="","",E387*IFERROR(INDEX(Embalagens!$J:$J,MATCH(D387,Embalagens!$A:$A,0)),0))</f>
        <v/>
      </c>
    </row>
    <row r="388">
      <c r="A388" s="22" t="n"/>
      <c r="I388" s="21">
        <f>IF(D388="","",IFERROR(INDEX(Embalagens!$B:$B,MATCH(D388,Embalagens!$A:$A,0)),"Código não cadastrado"))</f>
        <v/>
      </c>
      <c r="J388" s="25">
        <f>IF(D388="","",E388*IFERROR(INDEX(Embalagens!$J:$J,MATCH(D388,Embalagens!$A:$A,0)),0))</f>
        <v/>
      </c>
    </row>
    <row r="389">
      <c r="A389" s="22" t="n"/>
      <c r="I389" s="21">
        <f>IF(D389="","",IFERROR(INDEX(Embalagens!$B:$B,MATCH(D389,Embalagens!$A:$A,0)),"Código não cadastrado"))</f>
        <v/>
      </c>
      <c r="J389" s="25">
        <f>IF(D389="","",E389*IFERROR(INDEX(Embalagens!$J:$J,MATCH(D389,Embalagens!$A:$A,0)),0))</f>
        <v/>
      </c>
    </row>
    <row r="390">
      <c r="A390" s="22" t="n"/>
      <c r="I390" s="21">
        <f>IF(D390="","",IFERROR(INDEX(Embalagens!$B:$B,MATCH(D390,Embalagens!$A:$A,0)),"Código não cadastrado"))</f>
        <v/>
      </c>
      <c r="J390" s="25">
        <f>IF(D390="","",E390*IFERROR(INDEX(Embalagens!$J:$J,MATCH(D390,Embalagens!$A:$A,0)),0))</f>
        <v/>
      </c>
    </row>
    <row r="391">
      <c r="A391" s="22" t="n"/>
      <c r="I391" s="21">
        <f>IF(D391="","",IFERROR(INDEX(Embalagens!$B:$B,MATCH(D391,Embalagens!$A:$A,0)),"Código não cadastrado"))</f>
        <v/>
      </c>
      <c r="J391" s="25">
        <f>IF(D391="","",E391*IFERROR(INDEX(Embalagens!$J:$J,MATCH(D391,Embalagens!$A:$A,0)),0))</f>
        <v/>
      </c>
    </row>
    <row r="392">
      <c r="A392" s="22" t="n"/>
      <c r="I392" s="21">
        <f>IF(D392="","",IFERROR(INDEX(Embalagens!$B:$B,MATCH(D392,Embalagens!$A:$A,0)),"Código não cadastrado"))</f>
        <v/>
      </c>
      <c r="J392" s="25">
        <f>IF(D392="","",E392*IFERROR(INDEX(Embalagens!$J:$J,MATCH(D392,Embalagens!$A:$A,0)),0))</f>
        <v/>
      </c>
    </row>
    <row r="393">
      <c r="A393" s="22" t="n"/>
      <c r="I393" s="21">
        <f>IF(D393="","",IFERROR(INDEX(Embalagens!$B:$B,MATCH(D393,Embalagens!$A:$A,0)),"Código não cadastrado"))</f>
        <v/>
      </c>
      <c r="J393" s="25">
        <f>IF(D393="","",E393*IFERROR(INDEX(Embalagens!$J:$J,MATCH(D393,Embalagens!$A:$A,0)),0))</f>
        <v/>
      </c>
    </row>
    <row r="394">
      <c r="A394" s="22" t="n"/>
      <c r="I394" s="21">
        <f>IF(D394="","",IFERROR(INDEX(Embalagens!$B:$B,MATCH(D394,Embalagens!$A:$A,0)),"Código não cadastrado"))</f>
        <v/>
      </c>
      <c r="J394" s="25">
        <f>IF(D394="","",E394*IFERROR(INDEX(Embalagens!$J:$J,MATCH(D394,Embalagens!$A:$A,0)),0))</f>
        <v/>
      </c>
    </row>
    <row r="395">
      <c r="A395" s="22" t="n"/>
      <c r="I395" s="21">
        <f>IF(D395="","",IFERROR(INDEX(Embalagens!$B:$B,MATCH(D395,Embalagens!$A:$A,0)),"Código não cadastrado"))</f>
        <v/>
      </c>
      <c r="J395" s="25">
        <f>IF(D395="","",E395*IFERROR(INDEX(Embalagens!$J:$J,MATCH(D395,Embalagens!$A:$A,0)),0))</f>
        <v/>
      </c>
    </row>
    <row r="396">
      <c r="A396" s="22" t="n"/>
      <c r="I396" s="21">
        <f>IF(D396="","",IFERROR(INDEX(Embalagens!$B:$B,MATCH(D396,Embalagens!$A:$A,0)),"Código não cadastrado"))</f>
        <v/>
      </c>
      <c r="J396" s="25">
        <f>IF(D396="","",E396*IFERROR(INDEX(Embalagens!$J:$J,MATCH(D396,Embalagens!$A:$A,0)),0))</f>
        <v/>
      </c>
    </row>
    <row r="397">
      <c r="A397" s="22" t="n"/>
      <c r="I397" s="21">
        <f>IF(D397="","",IFERROR(INDEX(Embalagens!$B:$B,MATCH(D397,Embalagens!$A:$A,0)),"Código não cadastrado"))</f>
        <v/>
      </c>
      <c r="J397" s="25">
        <f>IF(D397="","",E397*IFERROR(INDEX(Embalagens!$J:$J,MATCH(D397,Embalagens!$A:$A,0)),0))</f>
        <v/>
      </c>
    </row>
    <row r="398">
      <c r="A398" s="22" t="n"/>
      <c r="I398" s="21">
        <f>IF(D398="","",IFERROR(INDEX(Embalagens!$B:$B,MATCH(D398,Embalagens!$A:$A,0)),"Código não cadastrado"))</f>
        <v/>
      </c>
      <c r="J398" s="25">
        <f>IF(D398="","",E398*IFERROR(INDEX(Embalagens!$J:$J,MATCH(D398,Embalagens!$A:$A,0)),0))</f>
        <v/>
      </c>
    </row>
    <row r="399">
      <c r="A399" s="22" t="n"/>
      <c r="I399" s="21">
        <f>IF(D399="","",IFERROR(INDEX(Embalagens!$B:$B,MATCH(D399,Embalagens!$A:$A,0)),"Código não cadastrado"))</f>
        <v/>
      </c>
      <c r="J399" s="25">
        <f>IF(D399="","",E399*IFERROR(INDEX(Embalagens!$J:$J,MATCH(D399,Embalagens!$A:$A,0)),0))</f>
        <v/>
      </c>
    </row>
    <row r="400">
      <c r="A400" s="22" t="n"/>
      <c r="I400" s="21">
        <f>IF(D400="","",IFERROR(INDEX(Embalagens!$B:$B,MATCH(D400,Embalagens!$A:$A,0)),"Código não cadastrado"))</f>
        <v/>
      </c>
      <c r="J400" s="25">
        <f>IF(D400="","",E400*IFERROR(INDEX(Embalagens!$J:$J,MATCH(D400,Embalagens!$A:$A,0)),0))</f>
        <v/>
      </c>
    </row>
    <row r="401">
      <c r="A401" s="22" t="n"/>
      <c r="I401" s="21">
        <f>IF(D401="","",IFERROR(INDEX(Embalagens!$B:$B,MATCH(D401,Embalagens!$A:$A,0)),"Código não cadastrado"))</f>
        <v/>
      </c>
      <c r="J401" s="25">
        <f>IF(D401="","",E401*IFERROR(INDEX(Embalagens!$J:$J,MATCH(D401,Embalagens!$A:$A,0)),0))</f>
        <v/>
      </c>
    </row>
    <row r="402">
      <c r="A402" s="22" t="n"/>
      <c r="I402" s="21">
        <f>IF(D402="","",IFERROR(INDEX(Embalagens!$B:$B,MATCH(D402,Embalagens!$A:$A,0)),"Código não cadastrado"))</f>
        <v/>
      </c>
      <c r="J402" s="25">
        <f>IF(D402="","",E402*IFERROR(INDEX(Embalagens!$J:$J,MATCH(D402,Embalagens!$A:$A,0)),0))</f>
        <v/>
      </c>
    </row>
    <row r="403">
      <c r="A403" s="22" t="n"/>
      <c r="I403" s="21">
        <f>IF(D403="","",IFERROR(INDEX(Embalagens!$B:$B,MATCH(D403,Embalagens!$A:$A,0)),"Código não cadastrado"))</f>
        <v/>
      </c>
      <c r="J403" s="25">
        <f>IF(D403="","",E403*IFERROR(INDEX(Embalagens!$J:$J,MATCH(D403,Embalagens!$A:$A,0)),0))</f>
        <v/>
      </c>
    </row>
    <row r="404">
      <c r="A404" s="22" t="n"/>
      <c r="I404" s="21">
        <f>IF(D404="","",IFERROR(INDEX(Embalagens!$B:$B,MATCH(D404,Embalagens!$A:$A,0)),"Código não cadastrado"))</f>
        <v/>
      </c>
      <c r="J404" s="25">
        <f>IF(D404="","",E404*IFERROR(INDEX(Embalagens!$J:$J,MATCH(D404,Embalagens!$A:$A,0)),0))</f>
        <v/>
      </c>
    </row>
    <row r="405">
      <c r="A405" s="22" t="n"/>
      <c r="I405" s="21">
        <f>IF(D405="","",IFERROR(INDEX(Embalagens!$B:$B,MATCH(D405,Embalagens!$A:$A,0)),"Código não cadastrado"))</f>
        <v/>
      </c>
      <c r="J405" s="25">
        <f>IF(D405="","",E405*IFERROR(INDEX(Embalagens!$J:$J,MATCH(D405,Embalagens!$A:$A,0)),0))</f>
        <v/>
      </c>
    </row>
    <row r="406">
      <c r="A406" s="22" t="n"/>
      <c r="I406" s="21">
        <f>IF(D406="","",IFERROR(INDEX(Embalagens!$B:$B,MATCH(D406,Embalagens!$A:$A,0)),"Código não cadastrado"))</f>
        <v/>
      </c>
      <c r="J406" s="25">
        <f>IF(D406="","",E406*IFERROR(INDEX(Embalagens!$J:$J,MATCH(D406,Embalagens!$A:$A,0)),0))</f>
        <v/>
      </c>
    </row>
    <row r="407">
      <c r="A407" s="22" t="n"/>
      <c r="I407" s="21">
        <f>IF(D407="","",IFERROR(INDEX(Embalagens!$B:$B,MATCH(D407,Embalagens!$A:$A,0)),"Código não cadastrado"))</f>
        <v/>
      </c>
      <c r="J407" s="25">
        <f>IF(D407="","",E407*IFERROR(INDEX(Embalagens!$J:$J,MATCH(D407,Embalagens!$A:$A,0)),0))</f>
        <v/>
      </c>
    </row>
    <row r="408">
      <c r="A408" s="22" t="n"/>
      <c r="I408" s="21">
        <f>IF(D408="","",IFERROR(INDEX(Embalagens!$B:$B,MATCH(D408,Embalagens!$A:$A,0)),"Código não cadastrado"))</f>
        <v/>
      </c>
      <c r="J408" s="25">
        <f>IF(D408="","",E408*IFERROR(INDEX(Embalagens!$J:$J,MATCH(D408,Embalagens!$A:$A,0)),0))</f>
        <v/>
      </c>
    </row>
    <row r="409">
      <c r="A409" s="22" t="n"/>
      <c r="I409" s="21">
        <f>IF(D409="","",IFERROR(INDEX(Embalagens!$B:$B,MATCH(D409,Embalagens!$A:$A,0)),"Código não cadastrado"))</f>
        <v/>
      </c>
      <c r="J409" s="25">
        <f>IF(D409="","",E409*IFERROR(INDEX(Embalagens!$J:$J,MATCH(D409,Embalagens!$A:$A,0)),0))</f>
        <v/>
      </c>
    </row>
    <row r="410">
      <c r="A410" s="22" t="n"/>
      <c r="I410" s="21">
        <f>IF(D410="","",IFERROR(INDEX(Embalagens!$B:$B,MATCH(D410,Embalagens!$A:$A,0)),"Código não cadastrado"))</f>
        <v/>
      </c>
      <c r="J410" s="25">
        <f>IF(D410="","",E410*IFERROR(INDEX(Embalagens!$J:$J,MATCH(D410,Embalagens!$A:$A,0)),0))</f>
        <v/>
      </c>
    </row>
    <row r="411">
      <c r="A411" s="22" t="n"/>
      <c r="I411" s="21">
        <f>IF(D411="","",IFERROR(INDEX(Embalagens!$B:$B,MATCH(D411,Embalagens!$A:$A,0)),"Código não cadastrado"))</f>
        <v/>
      </c>
      <c r="J411" s="25">
        <f>IF(D411="","",E411*IFERROR(INDEX(Embalagens!$J:$J,MATCH(D411,Embalagens!$A:$A,0)),0))</f>
        <v/>
      </c>
    </row>
    <row r="412">
      <c r="A412" s="22" t="n"/>
      <c r="I412" s="21">
        <f>IF(D412="","",IFERROR(INDEX(Embalagens!$B:$B,MATCH(D412,Embalagens!$A:$A,0)),"Código não cadastrado"))</f>
        <v/>
      </c>
      <c r="J412" s="25">
        <f>IF(D412="","",E412*IFERROR(INDEX(Embalagens!$J:$J,MATCH(D412,Embalagens!$A:$A,0)),0))</f>
        <v/>
      </c>
    </row>
    <row r="413">
      <c r="A413" s="22" t="n"/>
      <c r="I413" s="21">
        <f>IF(D413="","",IFERROR(INDEX(Embalagens!$B:$B,MATCH(D413,Embalagens!$A:$A,0)),"Código não cadastrado"))</f>
        <v/>
      </c>
      <c r="J413" s="25">
        <f>IF(D413="","",E413*IFERROR(INDEX(Embalagens!$J:$J,MATCH(D413,Embalagens!$A:$A,0)),0))</f>
        <v/>
      </c>
    </row>
    <row r="414">
      <c r="A414" s="22" t="n"/>
      <c r="I414" s="21">
        <f>IF(D414="","",IFERROR(INDEX(Embalagens!$B:$B,MATCH(D414,Embalagens!$A:$A,0)),"Código não cadastrado"))</f>
        <v/>
      </c>
      <c r="J414" s="25">
        <f>IF(D414="","",E414*IFERROR(INDEX(Embalagens!$J:$J,MATCH(D414,Embalagens!$A:$A,0)),0))</f>
        <v/>
      </c>
    </row>
    <row r="415">
      <c r="A415" s="22" t="n"/>
      <c r="I415" s="21">
        <f>IF(D415="","",IFERROR(INDEX(Embalagens!$B:$B,MATCH(D415,Embalagens!$A:$A,0)),"Código não cadastrado"))</f>
        <v/>
      </c>
      <c r="J415" s="25">
        <f>IF(D415="","",E415*IFERROR(INDEX(Embalagens!$J:$J,MATCH(D415,Embalagens!$A:$A,0)),0))</f>
        <v/>
      </c>
    </row>
    <row r="416">
      <c r="A416" s="22" t="n"/>
      <c r="I416" s="21">
        <f>IF(D416="","",IFERROR(INDEX(Embalagens!$B:$B,MATCH(D416,Embalagens!$A:$A,0)),"Código não cadastrado"))</f>
        <v/>
      </c>
      <c r="J416" s="25">
        <f>IF(D416="","",E416*IFERROR(INDEX(Embalagens!$J:$J,MATCH(D416,Embalagens!$A:$A,0)),0))</f>
        <v/>
      </c>
    </row>
    <row r="417">
      <c r="A417" s="22" t="n"/>
      <c r="I417" s="21">
        <f>IF(D417="","",IFERROR(INDEX(Embalagens!$B:$B,MATCH(D417,Embalagens!$A:$A,0)),"Código não cadastrado"))</f>
        <v/>
      </c>
      <c r="J417" s="25">
        <f>IF(D417="","",E417*IFERROR(INDEX(Embalagens!$J:$J,MATCH(D417,Embalagens!$A:$A,0)),0))</f>
        <v/>
      </c>
    </row>
    <row r="418">
      <c r="A418" s="22" t="n"/>
      <c r="I418" s="21">
        <f>IF(D418="","",IFERROR(INDEX(Embalagens!$B:$B,MATCH(D418,Embalagens!$A:$A,0)),"Código não cadastrado"))</f>
        <v/>
      </c>
      <c r="J418" s="25">
        <f>IF(D418="","",E418*IFERROR(INDEX(Embalagens!$J:$J,MATCH(D418,Embalagens!$A:$A,0)),0))</f>
        <v/>
      </c>
    </row>
    <row r="419">
      <c r="A419" s="22" t="n"/>
      <c r="I419" s="21">
        <f>IF(D419="","",IFERROR(INDEX(Embalagens!$B:$B,MATCH(D419,Embalagens!$A:$A,0)),"Código não cadastrado"))</f>
        <v/>
      </c>
      <c r="J419" s="25">
        <f>IF(D419="","",E419*IFERROR(INDEX(Embalagens!$J:$J,MATCH(D419,Embalagens!$A:$A,0)),0))</f>
        <v/>
      </c>
    </row>
    <row r="420">
      <c r="A420" s="22" t="n"/>
      <c r="I420" s="21">
        <f>IF(D420="","",IFERROR(INDEX(Embalagens!$B:$B,MATCH(D420,Embalagens!$A:$A,0)),"Código não cadastrado"))</f>
        <v/>
      </c>
      <c r="J420" s="25">
        <f>IF(D420="","",E420*IFERROR(INDEX(Embalagens!$J:$J,MATCH(D420,Embalagens!$A:$A,0)),0))</f>
        <v/>
      </c>
    </row>
    <row r="421">
      <c r="A421" s="22" t="n"/>
      <c r="I421" s="21">
        <f>IF(D421="","",IFERROR(INDEX(Embalagens!$B:$B,MATCH(D421,Embalagens!$A:$A,0)),"Código não cadastrado"))</f>
        <v/>
      </c>
      <c r="J421" s="25">
        <f>IF(D421="","",E421*IFERROR(INDEX(Embalagens!$J:$J,MATCH(D421,Embalagens!$A:$A,0)),0))</f>
        <v/>
      </c>
    </row>
    <row r="422">
      <c r="A422" s="22" t="n"/>
      <c r="I422" s="21">
        <f>IF(D422="","",IFERROR(INDEX(Embalagens!$B:$B,MATCH(D422,Embalagens!$A:$A,0)),"Código não cadastrado"))</f>
        <v/>
      </c>
      <c r="J422" s="25">
        <f>IF(D422="","",E422*IFERROR(INDEX(Embalagens!$J:$J,MATCH(D422,Embalagens!$A:$A,0)),0))</f>
        <v/>
      </c>
    </row>
    <row r="423">
      <c r="A423" s="22" t="n"/>
      <c r="I423" s="21">
        <f>IF(D423="","",IFERROR(INDEX(Embalagens!$B:$B,MATCH(D423,Embalagens!$A:$A,0)),"Código não cadastrado"))</f>
        <v/>
      </c>
      <c r="J423" s="25">
        <f>IF(D423="","",E423*IFERROR(INDEX(Embalagens!$J:$J,MATCH(D423,Embalagens!$A:$A,0)),0))</f>
        <v/>
      </c>
    </row>
    <row r="424">
      <c r="A424" s="22" t="n"/>
      <c r="I424" s="21">
        <f>IF(D424="","",IFERROR(INDEX(Embalagens!$B:$B,MATCH(D424,Embalagens!$A:$A,0)),"Código não cadastrado"))</f>
        <v/>
      </c>
      <c r="J424" s="25">
        <f>IF(D424="","",E424*IFERROR(INDEX(Embalagens!$J:$J,MATCH(D424,Embalagens!$A:$A,0)),0))</f>
        <v/>
      </c>
    </row>
    <row r="425">
      <c r="A425" s="22" t="n"/>
      <c r="I425" s="21">
        <f>IF(D425="","",IFERROR(INDEX(Embalagens!$B:$B,MATCH(D425,Embalagens!$A:$A,0)),"Código não cadastrado"))</f>
        <v/>
      </c>
      <c r="J425" s="25">
        <f>IF(D425="","",E425*IFERROR(INDEX(Embalagens!$J:$J,MATCH(D425,Embalagens!$A:$A,0)),0))</f>
        <v/>
      </c>
    </row>
    <row r="426">
      <c r="A426" s="22" t="n"/>
      <c r="I426" s="21">
        <f>IF(D426="","",IFERROR(INDEX(Embalagens!$B:$B,MATCH(D426,Embalagens!$A:$A,0)),"Código não cadastrado"))</f>
        <v/>
      </c>
      <c r="J426" s="25">
        <f>IF(D426="","",E426*IFERROR(INDEX(Embalagens!$J:$J,MATCH(D426,Embalagens!$A:$A,0)),0))</f>
        <v/>
      </c>
    </row>
    <row r="427">
      <c r="A427" s="22" t="n"/>
      <c r="I427" s="21">
        <f>IF(D427="","",IFERROR(INDEX(Embalagens!$B:$B,MATCH(D427,Embalagens!$A:$A,0)),"Código não cadastrado"))</f>
        <v/>
      </c>
      <c r="J427" s="25">
        <f>IF(D427="","",E427*IFERROR(INDEX(Embalagens!$J:$J,MATCH(D427,Embalagens!$A:$A,0)),0))</f>
        <v/>
      </c>
    </row>
    <row r="428">
      <c r="A428" s="22" t="n"/>
      <c r="I428" s="21">
        <f>IF(D428="","",IFERROR(INDEX(Embalagens!$B:$B,MATCH(D428,Embalagens!$A:$A,0)),"Código não cadastrado"))</f>
        <v/>
      </c>
      <c r="J428" s="25">
        <f>IF(D428="","",E428*IFERROR(INDEX(Embalagens!$J:$J,MATCH(D428,Embalagens!$A:$A,0)),0))</f>
        <v/>
      </c>
    </row>
    <row r="429">
      <c r="A429" s="22" t="n"/>
      <c r="I429" s="21">
        <f>IF(D429="","",IFERROR(INDEX(Embalagens!$B:$B,MATCH(D429,Embalagens!$A:$A,0)),"Código não cadastrado"))</f>
        <v/>
      </c>
      <c r="J429" s="25">
        <f>IF(D429="","",E429*IFERROR(INDEX(Embalagens!$J:$J,MATCH(D429,Embalagens!$A:$A,0)),0))</f>
        <v/>
      </c>
    </row>
    <row r="430">
      <c r="A430" s="22" t="n"/>
      <c r="I430" s="21">
        <f>IF(D430="","",IFERROR(INDEX(Embalagens!$B:$B,MATCH(D430,Embalagens!$A:$A,0)),"Código não cadastrado"))</f>
        <v/>
      </c>
      <c r="J430" s="25">
        <f>IF(D430="","",E430*IFERROR(INDEX(Embalagens!$J:$J,MATCH(D430,Embalagens!$A:$A,0)),0))</f>
        <v/>
      </c>
    </row>
    <row r="431">
      <c r="A431" s="22" t="n"/>
      <c r="I431" s="21">
        <f>IF(D431="","",IFERROR(INDEX(Embalagens!$B:$B,MATCH(D431,Embalagens!$A:$A,0)),"Código não cadastrado"))</f>
        <v/>
      </c>
      <c r="J431" s="25">
        <f>IF(D431="","",E431*IFERROR(INDEX(Embalagens!$J:$J,MATCH(D431,Embalagens!$A:$A,0)),0))</f>
        <v/>
      </c>
    </row>
    <row r="432">
      <c r="A432" s="22" t="n"/>
      <c r="I432" s="21">
        <f>IF(D432="","",IFERROR(INDEX(Embalagens!$B:$B,MATCH(D432,Embalagens!$A:$A,0)),"Código não cadastrado"))</f>
        <v/>
      </c>
      <c r="J432" s="25">
        <f>IF(D432="","",E432*IFERROR(INDEX(Embalagens!$J:$J,MATCH(D432,Embalagens!$A:$A,0)),0))</f>
        <v/>
      </c>
    </row>
    <row r="433">
      <c r="A433" s="22" t="n"/>
      <c r="I433" s="21">
        <f>IF(D433="","",IFERROR(INDEX(Embalagens!$B:$B,MATCH(D433,Embalagens!$A:$A,0)),"Código não cadastrado"))</f>
        <v/>
      </c>
      <c r="J433" s="25">
        <f>IF(D433="","",E433*IFERROR(INDEX(Embalagens!$J:$J,MATCH(D433,Embalagens!$A:$A,0)),0))</f>
        <v/>
      </c>
    </row>
    <row r="434">
      <c r="A434" s="22" t="n"/>
      <c r="I434" s="21">
        <f>IF(D434="","",IFERROR(INDEX(Embalagens!$B:$B,MATCH(D434,Embalagens!$A:$A,0)),"Código não cadastrado"))</f>
        <v/>
      </c>
      <c r="J434" s="25">
        <f>IF(D434="","",E434*IFERROR(INDEX(Embalagens!$J:$J,MATCH(D434,Embalagens!$A:$A,0)),0))</f>
        <v/>
      </c>
    </row>
    <row r="435">
      <c r="A435" s="22" t="n"/>
      <c r="I435" s="21">
        <f>IF(D435="","",IFERROR(INDEX(Embalagens!$B:$B,MATCH(D435,Embalagens!$A:$A,0)),"Código não cadastrado"))</f>
        <v/>
      </c>
      <c r="J435" s="25">
        <f>IF(D435="","",E435*IFERROR(INDEX(Embalagens!$J:$J,MATCH(D435,Embalagens!$A:$A,0)),0))</f>
        <v/>
      </c>
    </row>
    <row r="436">
      <c r="A436" s="22" t="n"/>
      <c r="I436" s="21">
        <f>IF(D436="","",IFERROR(INDEX(Embalagens!$B:$B,MATCH(D436,Embalagens!$A:$A,0)),"Código não cadastrado"))</f>
        <v/>
      </c>
      <c r="J436" s="25">
        <f>IF(D436="","",E436*IFERROR(INDEX(Embalagens!$J:$J,MATCH(D436,Embalagens!$A:$A,0)),0))</f>
        <v/>
      </c>
    </row>
    <row r="437">
      <c r="A437" s="22" t="n"/>
      <c r="I437" s="21">
        <f>IF(D437="","",IFERROR(INDEX(Embalagens!$B:$B,MATCH(D437,Embalagens!$A:$A,0)),"Código não cadastrado"))</f>
        <v/>
      </c>
      <c r="J437" s="25">
        <f>IF(D437="","",E437*IFERROR(INDEX(Embalagens!$J:$J,MATCH(D437,Embalagens!$A:$A,0)),0))</f>
        <v/>
      </c>
    </row>
    <row r="438">
      <c r="A438" s="22" t="n"/>
      <c r="I438" s="21">
        <f>IF(D438="","",IFERROR(INDEX(Embalagens!$B:$B,MATCH(D438,Embalagens!$A:$A,0)),"Código não cadastrado"))</f>
        <v/>
      </c>
      <c r="J438" s="25">
        <f>IF(D438="","",E438*IFERROR(INDEX(Embalagens!$J:$J,MATCH(D438,Embalagens!$A:$A,0)),0))</f>
        <v/>
      </c>
    </row>
    <row r="439">
      <c r="A439" s="22" t="n"/>
      <c r="I439" s="21">
        <f>IF(D439="","",IFERROR(INDEX(Embalagens!$B:$B,MATCH(D439,Embalagens!$A:$A,0)),"Código não cadastrado"))</f>
        <v/>
      </c>
      <c r="J439" s="25">
        <f>IF(D439="","",E439*IFERROR(INDEX(Embalagens!$J:$J,MATCH(D439,Embalagens!$A:$A,0)),0))</f>
        <v/>
      </c>
    </row>
    <row r="440">
      <c r="A440" s="22" t="n"/>
      <c r="I440" s="21">
        <f>IF(D440="","",IFERROR(INDEX(Embalagens!$B:$B,MATCH(D440,Embalagens!$A:$A,0)),"Código não cadastrado"))</f>
        <v/>
      </c>
      <c r="J440" s="25">
        <f>IF(D440="","",E440*IFERROR(INDEX(Embalagens!$J:$J,MATCH(D440,Embalagens!$A:$A,0)),0))</f>
        <v/>
      </c>
    </row>
    <row r="441">
      <c r="A441" s="22" t="n"/>
      <c r="I441" s="21">
        <f>IF(D441="","",IFERROR(INDEX(Embalagens!$B:$B,MATCH(D441,Embalagens!$A:$A,0)),"Código não cadastrado"))</f>
        <v/>
      </c>
      <c r="J441" s="25">
        <f>IF(D441="","",E441*IFERROR(INDEX(Embalagens!$J:$J,MATCH(D441,Embalagens!$A:$A,0)),0))</f>
        <v/>
      </c>
    </row>
    <row r="442">
      <c r="A442" s="22" t="n"/>
      <c r="I442" s="21">
        <f>IF(D442="","",IFERROR(INDEX(Embalagens!$B:$B,MATCH(D442,Embalagens!$A:$A,0)),"Código não cadastrado"))</f>
        <v/>
      </c>
      <c r="J442" s="25">
        <f>IF(D442="","",E442*IFERROR(INDEX(Embalagens!$J:$J,MATCH(D442,Embalagens!$A:$A,0)),0))</f>
        <v/>
      </c>
    </row>
    <row r="443">
      <c r="A443" s="22" t="n"/>
      <c r="I443" s="21">
        <f>IF(D443="","",IFERROR(INDEX(Embalagens!$B:$B,MATCH(D443,Embalagens!$A:$A,0)),"Código não cadastrado"))</f>
        <v/>
      </c>
      <c r="J443" s="25">
        <f>IF(D443="","",E443*IFERROR(INDEX(Embalagens!$J:$J,MATCH(D443,Embalagens!$A:$A,0)),0))</f>
        <v/>
      </c>
    </row>
    <row r="444">
      <c r="A444" s="22" t="n"/>
      <c r="I444" s="21">
        <f>IF(D444="","",IFERROR(INDEX(Embalagens!$B:$B,MATCH(D444,Embalagens!$A:$A,0)),"Código não cadastrado"))</f>
        <v/>
      </c>
      <c r="J444" s="25">
        <f>IF(D444="","",E444*IFERROR(INDEX(Embalagens!$J:$J,MATCH(D444,Embalagens!$A:$A,0)),0))</f>
        <v/>
      </c>
    </row>
    <row r="445">
      <c r="A445" s="22" t="n"/>
      <c r="I445" s="21">
        <f>IF(D445="","",IFERROR(INDEX(Embalagens!$B:$B,MATCH(D445,Embalagens!$A:$A,0)),"Código não cadastrado"))</f>
        <v/>
      </c>
      <c r="J445" s="25">
        <f>IF(D445="","",E445*IFERROR(INDEX(Embalagens!$J:$J,MATCH(D445,Embalagens!$A:$A,0)),0))</f>
        <v/>
      </c>
    </row>
    <row r="446">
      <c r="A446" s="22" t="n"/>
      <c r="I446" s="21">
        <f>IF(D446="","",IFERROR(INDEX(Embalagens!$B:$B,MATCH(D446,Embalagens!$A:$A,0)),"Código não cadastrado"))</f>
        <v/>
      </c>
      <c r="J446" s="25">
        <f>IF(D446="","",E446*IFERROR(INDEX(Embalagens!$J:$J,MATCH(D446,Embalagens!$A:$A,0)),0))</f>
        <v/>
      </c>
    </row>
    <row r="447">
      <c r="A447" s="22" t="n"/>
      <c r="I447" s="21">
        <f>IF(D447="","",IFERROR(INDEX(Embalagens!$B:$B,MATCH(D447,Embalagens!$A:$A,0)),"Código não cadastrado"))</f>
        <v/>
      </c>
      <c r="J447" s="25">
        <f>IF(D447="","",E447*IFERROR(INDEX(Embalagens!$J:$J,MATCH(D447,Embalagens!$A:$A,0)),0))</f>
        <v/>
      </c>
    </row>
    <row r="448">
      <c r="A448" s="22" t="n"/>
      <c r="I448" s="21">
        <f>IF(D448="","",IFERROR(INDEX(Embalagens!$B:$B,MATCH(D448,Embalagens!$A:$A,0)),"Código não cadastrado"))</f>
        <v/>
      </c>
      <c r="J448" s="25">
        <f>IF(D448="","",E448*IFERROR(INDEX(Embalagens!$J:$J,MATCH(D448,Embalagens!$A:$A,0)),0))</f>
        <v/>
      </c>
    </row>
    <row r="449">
      <c r="A449" s="22" t="n"/>
      <c r="I449" s="21">
        <f>IF(D449="","",IFERROR(INDEX(Embalagens!$B:$B,MATCH(D449,Embalagens!$A:$A,0)),"Código não cadastrado"))</f>
        <v/>
      </c>
      <c r="J449" s="25">
        <f>IF(D449="","",E449*IFERROR(INDEX(Embalagens!$J:$J,MATCH(D449,Embalagens!$A:$A,0)),0))</f>
        <v/>
      </c>
    </row>
    <row r="450">
      <c r="A450" s="22" t="n"/>
      <c r="I450" s="21">
        <f>IF(D450="","",IFERROR(INDEX(Embalagens!$B:$B,MATCH(D450,Embalagens!$A:$A,0)),"Código não cadastrado"))</f>
        <v/>
      </c>
      <c r="J450" s="25">
        <f>IF(D450="","",E450*IFERROR(INDEX(Embalagens!$J:$J,MATCH(D450,Embalagens!$A:$A,0)),0))</f>
        <v/>
      </c>
    </row>
    <row r="451">
      <c r="A451" s="22" t="n"/>
      <c r="I451" s="21">
        <f>IF(D451="","",IFERROR(INDEX(Embalagens!$B:$B,MATCH(D451,Embalagens!$A:$A,0)),"Código não cadastrado"))</f>
        <v/>
      </c>
      <c r="J451" s="25">
        <f>IF(D451="","",E451*IFERROR(INDEX(Embalagens!$J:$J,MATCH(D451,Embalagens!$A:$A,0)),0))</f>
        <v/>
      </c>
    </row>
    <row r="452">
      <c r="A452" s="22" t="n"/>
      <c r="I452" s="21">
        <f>IF(D452="","",IFERROR(INDEX(Embalagens!$B:$B,MATCH(D452,Embalagens!$A:$A,0)),"Código não cadastrado"))</f>
        <v/>
      </c>
      <c r="J452" s="25">
        <f>IF(D452="","",E452*IFERROR(INDEX(Embalagens!$J:$J,MATCH(D452,Embalagens!$A:$A,0)),0))</f>
        <v/>
      </c>
    </row>
    <row r="453">
      <c r="A453" s="22" t="n"/>
      <c r="I453" s="21">
        <f>IF(D453="","",IFERROR(INDEX(Embalagens!$B:$B,MATCH(D453,Embalagens!$A:$A,0)),"Código não cadastrado"))</f>
        <v/>
      </c>
      <c r="J453" s="25">
        <f>IF(D453="","",E453*IFERROR(INDEX(Embalagens!$J:$J,MATCH(D453,Embalagens!$A:$A,0)),0))</f>
        <v/>
      </c>
    </row>
    <row r="454">
      <c r="A454" s="22" t="n"/>
      <c r="I454" s="21">
        <f>IF(D454="","",IFERROR(INDEX(Embalagens!$B:$B,MATCH(D454,Embalagens!$A:$A,0)),"Código não cadastrado"))</f>
        <v/>
      </c>
      <c r="J454" s="25">
        <f>IF(D454="","",E454*IFERROR(INDEX(Embalagens!$J:$J,MATCH(D454,Embalagens!$A:$A,0)),0))</f>
        <v/>
      </c>
    </row>
    <row r="455">
      <c r="A455" s="22" t="n"/>
      <c r="I455" s="21">
        <f>IF(D455="","",IFERROR(INDEX(Embalagens!$B:$B,MATCH(D455,Embalagens!$A:$A,0)),"Código não cadastrado"))</f>
        <v/>
      </c>
      <c r="J455" s="25">
        <f>IF(D455="","",E455*IFERROR(INDEX(Embalagens!$J:$J,MATCH(D455,Embalagens!$A:$A,0)),0))</f>
        <v/>
      </c>
    </row>
    <row r="456">
      <c r="A456" s="22" t="n"/>
      <c r="I456" s="21">
        <f>IF(D456="","",IFERROR(INDEX(Embalagens!$B:$B,MATCH(D456,Embalagens!$A:$A,0)),"Código não cadastrado"))</f>
        <v/>
      </c>
      <c r="J456" s="25">
        <f>IF(D456="","",E456*IFERROR(INDEX(Embalagens!$J:$J,MATCH(D456,Embalagens!$A:$A,0)),0))</f>
        <v/>
      </c>
    </row>
    <row r="457">
      <c r="A457" s="22" t="n"/>
      <c r="I457" s="21">
        <f>IF(D457="","",IFERROR(INDEX(Embalagens!$B:$B,MATCH(D457,Embalagens!$A:$A,0)),"Código não cadastrado"))</f>
        <v/>
      </c>
      <c r="J457" s="25">
        <f>IF(D457="","",E457*IFERROR(INDEX(Embalagens!$J:$J,MATCH(D457,Embalagens!$A:$A,0)),0))</f>
        <v/>
      </c>
    </row>
    <row r="458">
      <c r="A458" s="22" t="n"/>
      <c r="I458" s="21">
        <f>IF(D458="","",IFERROR(INDEX(Embalagens!$B:$B,MATCH(D458,Embalagens!$A:$A,0)),"Código não cadastrado"))</f>
        <v/>
      </c>
      <c r="J458" s="25">
        <f>IF(D458="","",E458*IFERROR(INDEX(Embalagens!$J:$J,MATCH(D458,Embalagens!$A:$A,0)),0))</f>
        <v/>
      </c>
    </row>
    <row r="459">
      <c r="A459" s="22" t="n"/>
      <c r="I459" s="21">
        <f>IF(D459="","",IFERROR(INDEX(Embalagens!$B:$B,MATCH(D459,Embalagens!$A:$A,0)),"Código não cadastrado"))</f>
        <v/>
      </c>
      <c r="J459" s="25">
        <f>IF(D459="","",E459*IFERROR(INDEX(Embalagens!$J:$J,MATCH(D459,Embalagens!$A:$A,0)),0))</f>
        <v/>
      </c>
    </row>
    <row r="460">
      <c r="A460" s="22" t="n"/>
      <c r="I460" s="21">
        <f>IF(D460="","",IFERROR(INDEX(Embalagens!$B:$B,MATCH(D460,Embalagens!$A:$A,0)),"Código não cadastrado"))</f>
        <v/>
      </c>
      <c r="J460" s="25">
        <f>IF(D460="","",E460*IFERROR(INDEX(Embalagens!$J:$J,MATCH(D460,Embalagens!$A:$A,0)),0))</f>
        <v/>
      </c>
    </row>
    <row r="461">
      <c r="A461" s="22" t="n"/>
      <c r="I461" s="21">
        <f>IF(D461="","",IFERROR(INDEX(Embalagens!$B:$B,MATCH(D461,Embalagens!$A:$A,0)),"Código não cadastrado"))</f>
        <v/>
      </c>
      <c r="J461" s="25">
        <f>IF(D461="","",E461*IFERROR(INDEX(Embalagens!$J:$J,MATCH(D461,Embalagens!$A:$A,0)),0))</f>
        <v/>
      </c>
    </row>
    <row r="462">
      <c r="A462" s="22" t="n"/>
      <c r="I462" s="21">
        <f>IF(D462="","",IFERROR(INDEX(Embalagens!$B:$B,MATCH(D462,Embalagens!$A:$A,0)),"Código não cadastrado"))</f>
        <v/>
      </c>
      <c r="J462" s="25">
        <f>IF(D462="","",E462*IFERROR(INDEX(Embalagens!$J:$J,MATCH(D462,Embalagens!$A:$A,0)),0))</f>
        <v/>
      </c>
    </row>
    <row r="463">
      <c r="A463" s="22" t="n"/>
      <c r="I463" s="21">
        <f>IF(D463="","",IFERROR(INDEX(Embalagens!$B:$B,MATCH(D463,Embalagens!$A:$A,0)),"Código não cadastrado"))</f>
        <v/>
      </c>
      <c r="J463" s="25">
        <f>IF(D463="","",E463*IFERROR(INDEX(Embalagens!$J:$J,MATCH(D463,Embalagens!$A:$A,0)),0))</f>
        <v/>
      </c>
    </row>
    <row r="464">
      <c r="A464" s="22" t="n"/>
      <c r="I464" s="21">
        <f>IF(D464="","",IFERROR(INDEX(Embalagens!$B:$B,MATCH(D464,Embalagens!$A:$A,0)),"Código não cadastrado"))</f>
        <v/>
      </c>
      <c r="J464" s="25">
        <f>IF(D464="","",E464*IFERROR(INDEX(Embalagens!$J:$J,MATCH(D464,Embalagens!$A:$A,0)),0))</f>
        <v/>
      </c>
    </row>
    <row r="465">
      <c r="A465" s="22" t="n"/>
      <c r="I465" s="21">
        <f>IF(D465="","",IFERROR(INDEX(Embalagens!$B:$B,MATCH(D465,Embalagens!$A:$A,0)),"Código não cadastrado"))</f>
        <v/>
      </c>
      <c r="J465" s="25">
        <f>IF(D465="","",E465*IFERROR(INDEX(Embalagens!$J:$J,MATCH(D465,Embalagens!$A:$A,0)),0))</f>
        <v/>
      </c>
    </row>
    <row r="466">
      <c r="A466" s="22" t="n"/>
      <c r="I466" s="21">
        <f>IF(D466="","",IFERROR(INDEX(Embalagens!$B:$B,MATCH(D466,Embalagens!$A:$A,0)),"Código não cadastrado"))</f>
        <v/>
      </c>
      <c r="J466" s="25">
        <f>IF(D466="","",E466*IFERROR(INDEX(Embalagens!$J:$J,MATCH(D466,Embalagens!$A:$A,0)),0))</f>
        <v/>
      </c>
    </row>
    <row r="467">
      <c r="A467" s="22" t="n"/>
      <c r="I467" s="21">
        <f>IF(D467="","",IFERROR(INDEX(Embalagens!$B:$B,MATCH(D467,Embalagens!$A:$A,0)),"Código não cadastrado"))</f>
        <v/>
      </c>
      <c r="J467" s="25">
        <f>IF(D467="","",E467*IFERROR(INDEX(Embalagens!$J:$J,MATCH(D467,Embalagens!$A:$A,0)),0))</f>
        <v/>
      </c>
    </row>
    <row r="468">
      <c r="A468" s="22" t="n"/>
      <c r="I468" s="21">
        <f>IF(D468="","",IFERROR(INDEX(Embalagens!$B:$B,MATCH(D468,Embalagens!$A:$A,0)),"Código não cadastrado"))</f>
        <v/>
      </c>
      <c r="J468" s="25">
        <f>IF(D468="","",E468*IFERROR(INDEX(Embalagens!$J:$J,MATCH(D468,Embalagens!$A:$A,0)),0))</f>
        <v/>
      </c>
    </row>
    <row r="469">
      <c r="A469" s="22" t="n"/>
      <c r="I469" s="21">
        <f>IF(D469="","",IFERROR(INDEX(Embalagens!$B:$B,MATCH(D469,Embalagens!$A:$A,0)),"Código não cadastrado"))</f>
        <v/>
      </c>
      <c r="J469" s="25">
        <f>IF(D469="","",E469*IFERROR(INDEX(Embalagens!$J:$J,MATCH(D469,Embalagens!$A:$A,0)),0))</f>
        <v/>
      </c>
    </row>
    <row r="470">
      <c r="A470" s="22" t="n"/>
      <c r="I470" s="21">
        <f>IF(D470="","",IFERROR(INDEX(Embalagens!$B:$B,MATCH(D470,Embalagens!$A:$A,0)),"Código não cadastrado"))</f>
        <v/>
      </c>
      <c r="J470" s="25">
        <f>IF(D470="","",E470*IFERROR(INDEX(Embalagens!$J:$J,MATCH(D470,Embalagens!$A:$A,0)),0))</f>
        <v/>
      </c>
    </row>
    <row r="471">
      <c r="A471" s="22" t="n"/>
      <c r="I471" s="21">
        <f>IF(D471="","",IFERROR(INDEX(Embalagens!$B:$B,MATCH(D471,Embalagens!$A:$A,0)),"Código não cadastrado"))</f>
        <v/>
      </c>
      <c r="J471" s="25">
        <f>IF(D471="","",E471*IFERROR(INDEX(Embalagens!$J:$J,MATCH(D471,Embalagens!$A:$A,0)),0))</f>
        <v/>
      </c>
    </row>
    <row r="472">
      <c r="A472" s="22" t="n"/>
      <c r="I472" s="21">
        <f>IF(D472="","",IFERROR(INDEX(Embalagens!$B:$B,MATCH(D472,Embalagens!$A:$A,0)),"Código não cadastrado"))</f>
        <v/>
      </c>
      <c r="J472" s="25">
        <f>IF(D472="","",E472*IFERROR(INDEX(Embalagens!$J:$J,MATCH(D472,Embalagens!$A:$A,0)),0))</f>
        <v/>
      </c>
    </row>
    <row r="473">
      <c r="A473" s="22" t="n"/>
      <c r="I473" s="21">
        <f>IF(D473="","",IFERROR(INDEX(Embalagens!$B:$B,MATCH(D473,Embalagens!$A:$A,0)),"Código não cadastrado"))</f>
        <v/>
      </c>
      <c r="J473" s="25">
        <f>IF(D473="","",E473*IFERROR(INDEX(Embalagens!$J:$J,MATCH(D473,Embalagens!$A:$A,0)),0))</f>
        <v/>
      </c>
    </row>
    <row r="474">
      <c r="A474" s="22" t="n"/>
      <c r="I474" s="21">
        <f>IF(D474="","",IFERROR(INDEX(Embalagens!$B:$B,MATCH(D474,Embalagens!$A:$A,0)),"Código não cadastrado"))</f>
        <v/>
      </c>
      <c r="J474" s="25">
        <f>IF(D474="","",E474*IFERROR(INDEX(Embalagens!$J:$J,MATCH(D474,Embalagens!$A:$A,0)),0))</f>
        <v/>
      </c>
    </row>
    <row r="475">
      <c r="A475" s="22" t="n"/>
      <c r="I475" s="21">
        <f>IF(D475="","",IFERROR(INDEX(Embalagens!$B:$B,MATCH(D475,Embalagens!$A:$A,0)),"Código não cadastrado"))</f>
        <v/>
      </c>
      <c r="J475" s="25">
        <f>IF(D475="","",E475*IFERROR(INDEX(Embalagens!$J:$J,MATCH(D475,Embalagens!$A:$A,0)),0))</f>
        <v/>
      </c>
    </row>
    <row r="476">
      <c r="A476" s="22" t="n"/>
      <c r="I476" s="21">
        <f>IF(D476="","",IFERROR(INDEX(Embalagens!$B:$B,MATCH(D476,Embalagens!$A:$A,0)),"Código não cadastrado"))</f>
        <v/>
      </c>
      <c r="J476" s="25">
        <f>IF(D476="","",E476*IFERROR(INDEX(Embalagens!$J:$J,MATCH(D476,Embalagens!$A:$A,0)),0))</f>
        <v/>
      </c>
    </row>
    <row r="477">
      <c r="A477" s="22" t="n"/>
      <c r="I477" s="21">
        <f>IF(D477="","",IFERROR(INDEX(Embalagens!$B:$B,MATCH(D477,Embalagens!$A:$A,0)),"Código não cadastrado"))</f>
        <v/>
      </c>
      <c r="J477" s="25">
        <f>IF(D477="","",E477*IFERROR(INDEX(Embalagens!$J:$J,MATCH(D477,Embalagens!$A:$A,0)),0))</f>
        <v/>
      </c>
    </row>
    <row r="478">
      <c r="A478" s="22" t="n"/>
      <c r="I478" s="21">
        <f>IF(D478="","",IFERROR(INDEX(Embalagens!$B:$B,MATCH(D478,Embalagens!$A:$A,0)),"Código não cadastrado"))</f>
        <v/>
      </c>
      <c r="J478" s="25">
        <f>IF(D478="","",E478*IFERROR(INDEX(Embalagens!$J:$J,MATCH(D478,Embalagens!$A:$A,0)),0))</f>
        <v/>
      </c>
    </row>
    <row r="479">
      <c r="A479" s="22" t="n"/>
      <c r="I479" s="21">
        <f>IF(D479="","",IFERROR(INDEX(Embalagens!$B:$B,MATCH(D479,Embalagens!$A:$A,0)),"Código não cadastrado"))</f>
        <v/>
      </c>
      <c r="J479" s="25">
        <f>IF(D479="","",E479*IFERROR(INDEX(Embalagens!$J:$J,MATCH(D479,Embalagens!$A:$A,0)),0))</f>
        <v/>
      </c>
    </row>
    <row r="480">
      <c r="A480" s="22" t="n"/>
      <c r="I480" s="21">
        <f>IF(D480="","",IFERROR(INDEX(Embalagens!$B:$B,MATCH(D480,Embalagens!$A:$A,0)),"Código não cadastrado"))</f>
        <v/>
      </c>
      <c r="J480" s="25">
        <f>IF(D480="","",E480*IFERROR(INDEX(Embalagens!$J:$J,MATCH(D480,Embalagens!$A:$A,0)),0))</f>
        <v/>
      </c>
    </row>
    <row r="481">
      <c r="A481" s="22" t="n"/>
      <c r="I481" s="21">
        <f>IF(D481="","",IFERROR(INDEX(Embalagens!$B:$B,MATCH(D481,Embalagens!$A:$A,0)),"Código não cadastrado"))</f>
        <v/>
      </c>
      <c r="J481" s="25">
        <f>IF(D481="","",E481*IFERROR(INDEX(Embalagens!$J:$J,MATCH(D481,Embalagens!$A:$A,0)),0))</f>
        <v/>
      </c>
    </row>
    <row r="482">
      <c r="A482" s="22" t="n"/>
      <c r="I482" s="21">
        <f>IF(D482="","",IFERROR(INDEX(Embalagens!$B:$B,MATCH(D482,Embalagens!$A:$A,0)),"Código não cadastrado"))</f>
        <v/>
      </c>
      <c r="J482" s="25">
        <f>IF(D482="","",E482*IFERROR(INDEX(Embalagens!$J:$J,MATCH(D482,Embalagens!$A:$A,0)),0))</f>
        <v/>
      </c>
    </row>
    <row r="483">
      <c r="A483" s="22" t="n"/>
      <c r="I483" s="21">
        <f>IF(D483="","",IFERROR(INDEX(Embalagens!$B:$B,MATCH(D483,Embalagens!$A:$A,0)),"Código não cadastrado"))</f>
        <v/>
      </c>
      <c r="J483" s="25">
        <f>IF(D483="","",E483*IFERROR(INDEX(Embalagens!$J:$J,MATCH(D483,Embalagens!$A:$A,0)),0))</f>
        <v/>
      </c>
    </row>
    <row r="484">
      <c r="A484" s="22" t="n"/>
      <c r="I484" s="21">
        <f>IF(D484="","",IFERROR(INDEX(Embalagens!$B:$B,MATCH(D484,Embalagens!$A:$A,0)),"Código não cadastrado"))</f>
        <v/>
      </c>
      <c r="J484" s="25">
        <f>IF(D484="","",E484*IFERROR(INDEX(Embalagens!$J:$J,MATCH(D484,Embalagens!$A:$A,0)),0))</f>
        <v/>
      </c>
    </row>
    <row r="485">
      <c r="A485" s="22" t="n"/>
      <c r="I485" s="21">
        <f>IF(D485="","",IFERROR(INDEX(Embalagens!$B:$B,MATCH(D485,Embalagens!$A:$A,0)),"Código não cadastrado"))</f>
        <v/>
      </c>
      <c r="J485" s="25">
        <f>IF(D485="","",E485*IFERROR(INDEX(Embalagens!$J:$J,MATCH(D485,Embalagens!$A:$A,0)),0))</f>
        <v/>
      </c>
    </row>
    <row r="486">
      <c r="A486" s="22" t="n"/>
      <c r="I486" s="21">
        <f>IF(D486="","",IFERROR(INDEX(Embalagens!$B:$B,MATCH(D486,Embalagens!$A:$A,0)),"Código não cadastrado"))</f>
        <v/>
      </c>
      <c r="J486" s="25">
        <f>IF(D486="","",E486*IFERROR(INDEX(Embalagens!$J:$J,MATCH(D486,Embalagens!$A:$A,0)),0))</f>
        <v/>
      </c>
    </row>
    <row r="487">
      <c r="A487" s="22" t="n"/>
      <c r="I487" s="21">
        <f>IF(D487="","",IFERROR(INDEX(Embalagens!$B:$B,MATCH(D487,Embalagens!$A:$A,0)),"Código não cadastrado"))</f>
        <v/>
      </c>
      <c r="J487" s="25">
        <f>IF(D487="","",E487*IFERROR(INDEX(Embalagens!$J:$J,MATCH(D487,Embalagens!$A:$A,0)),0))</f>
        <v/>
      </c>
    </row>
    <row r="488">
      <c r="A488" s="22" t="n"/>
      <c r="I488" s="21">
        <f>IF(D488="","",IFERROR(INDEX(Embalagens!$B:$B,MATCH(D488,Embalagens!$A:$A,0)),"Código não cadastrado"))</f>
        <v/>
      </c>
      <c r="J488" s="25">
        <f>IF(D488="","",E488*IFERROR(INDEX(Embalagens!$J:$J,MATCH(D488,Embalagens!$A:$A,0)),0))</f>
        <v/>
      </c>
    </row>
    <row r="489">
      <c r="A489" s="22" t="n"/>
      <c r="I489" s="21">
        <f>IF(D489="","",IFERROR(INDEX(Embalagens!$B:$B,MATCH(D489,Embalagens!$A:$A,0)),"Código não cadastrado"))</f>
        <v/>
      </c>
      <c r="J489" s="25">
        <f>IF(D489="","",E489*IFERROR(INDEX(Embalagens!$J:$J,MATCH(D489,Embalagens!$A:$A,0)),0))</f>
        <v/>
      </c>
    </row>
    <row r="490">
      <c r="A490" s="22" t="n"/>
      <c r="I490" s="21">
        <f>IF(D490="","",IFERROR(INDEX(Embalagens!$B:$B,MATCH(D490,Embalagens!$A:$A,0)),"Código não cadastrado"))</f>
        <v/>
      </c>
      <c r="J490" s="25">
        <f>IF(D490="","",E490*IFERROR(INDEX(Embalagens!$J:$J,MATCH(D490,Embalagens!$A:$A,0)),0))</f>
        <v/>
      </c>
    </row>
    <row r="491">
      <c r="A491" s="22" t="n"/>
      <c r="I491" s="21">
        <f>IF(D491="","",IFERROR(INDEX(Embalagens!$B:$B,MATCH(D491,Embalagens!$A:$A,0)),"Código não cadastrado"))</f>
        <v/>
      </c>
      <c r="J491" s="25">
        <f>IF(D491="","",E491*IFERROR(INDEX(Embalagens!$J:$J,MATCH(D491,Embalagens!$A:$A,0)),0))</f>
        <v/>
      </c>
    </row>
    <row r="492">
      <c r="A492" s="22" t="n"/>
      <c r="I492" s="21">
        <f>IF(D492="","",IFERROR(INDEX(Embalagens!$B:$B,MATCH(D492,Embalagens!$A:$A,0)),"Código não cadastrado"))</f>
        <v/>
      </c>
      <c r="J492" s="25">
        <f>IF(D492="","",E492*IFERROR(INDEX(Embalagens!$J:$J,MATCH(D492,Embalagens!$A:$A,0)),0))</f>
        <v/>
      </c>
    </row>
    <row r="493">
      <c r="A493" s="22" t="n"/>
      <c r="I493" s="21">
        <f>IF(D493="","",IFERROR(INDEX(Embalagens!$B:$B,MATCH(D493,Embalagens!$A:$A,0)),"Código não cadastrado"))</f>
        <v/>
      </c>
      <c r="J493" s="25">
        <f>IF(D493="","",E493*IFERROR(INDEX(Embalagens!$J:$J,MATCH(D493,Embalagens!$A:$A,0)),0))</f>
        <v/>
      </c>
    </row>
    <row r="494">
      <c r="A494" s="22" t="n"/>
      <c r="I494" s="21">
        <f>IF(D494="","",IFERROR(INDEX(Embalagens!$B:$B,MATCH(D494,Embalagens!$A:$A,0)),"Código não cadastrado"))</f>
        <v/>
      </c>
      <c r="J494" s="25">
        <f>IF(D494="","",E494*IFERROR(INDEX(Embalagens!$J:$J,MATCH(D494,Embalagens!$A:$A,0)),0))</f>
        <v/>
      </c>
    </row>
    <row r="495">
      <c r="A495" s="22" t="n"/>
      <c r="I495" s="21">
        <f>IF(D495="","",IFERROR(INDEX(Embalagens!$B:$B,MATCH(D495,Embalagens!$A:$A,0)),"Código não cadastrado"))</f>
        <v/>
      </c>
      <c r="J495" s="25">
        <f>IF(D495="","",E495*IFERROR(INDEX(Embalagens!$J:$J,MATCH(D495,Embalagens!$A:$A,0)),0))</f>
        <v/>
      </c>
    </row>
    <row r="496">
      <c r="A496" s="22" t="n"/>
      <c r="I496" s="21">
        <f>IF(D496="","",IFERROR(INDEX(Embalagens!$B:$B,MATCH(D496,Embalagens!$A:$A,0)),"Código não cadastrado"))</f>
        <v/>
      </c>
      <c r="J496" s="25">
        <f>IF(D496="","",E496*IFERROR(INDEX(Embalagens!$J:$J,MATCH(D496,Embalagens!$A:$A,0)),0))</f>
        <v/>
      </c>
    </row>
    <row r="497">
      <c r="A497" s="22" t="n"/>
      <c r="I497" s="21">
        <f>IF(D497="","",IFERROR(INDEX(Embalagens!$B:$B,MATCH(D497,Embalagens!$A:$A,0)),"Código não cadastrado"))</f>
        <v/>
      </c>
      <c r="J497" s="25">
        <f>IF(D497="","",E497*IFERROR(INDEX(Embalagens!$J:$J,MATCH(D497,Embalagens!$A:$A,0)),0))</f>
        <v/>
      </c>
    </row>
    <row r="498">
      <c r="A498" s="22" t="n"/>
      <c r="I498" s="21">
        <f>IF(D498="","",IFERROR(INDEX(Embalagens!$B:$B,MATCH(D498,Embalagens!$A:$A,0)),"Código não cadastrado"))</f>
        <v/>
      </c>
      <c r="J498" s="25">
        <f>IF(D498="","",E498*IFERROR(INDEX(Embalagens!$J:$J,MATCH(D498,Embalagens!$A:$A,0)),0))</f>
        <v/>
      </c>
    </row>
    <row r="499">
      <c r="A499" s="22" t="n"/>
      <c r="I499" s="21">
        <f>IF(D499="","",IFERROR(INDEX(Embalagens!$B:$B,MATCH(D499,Embalagens!$A:$A,0)),"Código não cadastrado"))</f>
        <v/>
      </c>
      <c r="J499" s="25">
        <f>IF(D499="","",E499*IFERROR(INDEX(Embalagens!$J:$J,MATCH(D499,Embalagens!$A:$A,0)),0))</f>
        <v/>
      </c>
    </row>
    <row r="500">
      <c r="A500" s="22" t="n"/>
      <c r="I500" s="21">
        <f>IF(D500="","",IFERROR(INDEX(Embalagens!$B:$B,MATCH(D500,Embalagens!$A:$A,0)),"Código não cadastrado"))</f>
        <v/>
      </c>
      <c r="J500" s="25">
        <f>IF(D500="","",E500*IFERROR(INDEX(Embalagens!$J:$J,MATCH(D500,Embalagens!$A:$A,0)),0))</f>
        <v/>
      </c>
    </row>
    <row r="501">
      <c r="A501" s="22" t="n"/>
      <c r="I501" s="21">
        <f>IF(D501="","",IFERROR(INDEX(Embalagens!$B:$B,MATCH(D501,Embalagens!$A:$A,0)),"Código não cadastrado"))</f>
        <v/>
      </c>
      <c r="J501" s="25">
        <f>IF(D501="","",E501*IFERROR(INDEX(Embalagens!$J:$J,MATCH(D501,Embalagens!$A:$A,0)),0))</f>
        <v/>
      </c>
    </row>
    <row r="502">
      <c r="A502" s="22" t="n"/>
      <c r="I502" s="21">
        <f>IF(D502="","",IFERROR(INDEX(Embalagens!$B:$B,MATCH(D502,Embalagens!$A:$A,0)),"Código não cadastrado"))</f>
        <v/>
      </c>
      <c r="J502" s="25">
        <f>IF(D502="","",E502*IFERROR(INDEX(Embalagens!$J:$J,MATCH(D502,Embalagens!$A:$A,0)),0))</f>
        <v/>
      </c>
    </row>
    <row r="503">
      <c r="A503" s="22" t="n"/>
      <c r="I503" s="21">
        <f>IF(D503="","",IFERROR(INDEX(Embalagens!$B:$B,MATCH(D503,Embalagens!$A:$A,0)),"Código não cadastrado"))</f>
        <v/>
      </c>
      <c r="J503" s="25">
        <f>IF(D503="","",E503*IFERROR(INDEX(Embalagens!$J:$J,MATCH(D503,Embalagens!$A:$A,0)),0))</f>
        <v/>
      </c>
    </row>
    <row r="504">
      <c r="A504" s="22" t="n"/>
      <c r="I504" s="21">
        <f>IF(D504="","",IFERROR(INDEX(Embalagens!$B:$B,MATCH(D504,Embalagens!$A:$A,0)),"Código não cadastrado"))</f>
        <v/>
      </c>
      <c r="J504" s="25">
        <f>IF(D504="","",E504*IFERROR(INDEX(Embalagens!$J:$J,MATCH(D504,Embalagens!$A:$A,0)),0))</f>
        <v/>
      </c>
    </row>
    <row r="505">
      <c r="A505" s="22" t="n"/>
      <c r="I505" s="21">
        <f>IF(D505="","",IFERROR(INDEX(Embalagens!$B:$B,MATCH(D505,Embalagens!$A:$A,0)),"Código não cadastrado"))</f>
        <v/>
      </c>
      <c r="J505" s="25">
        <f>IF(D505="","",E505*IFERROR(INDEX(Embalagens!$J:$J,MATCH(D505,Embalagens!$A:$A,0)),0))</f>
        <v/>
      </c>
    </row>
    <row r="506">
      <c r="A506" s="22" t="n"/>
      <c r="I506" s="21">
        <f>IF(D506="","",IFERROR(INDEX(Embalagens!$B:$B,MATCH(D506,Embalagens!$A:$A,0)),"Código não cadastrado"))</f>
        <v/>
      </c>
      <c r="J506" s="25">
        <f>IF(D506="","",E506*IFERROR(INDEX(Embalagens!$J:$J,MATCH(D506,Embalagens!$A:$A,0)),0))</f>
        <v/>
      </c>
    </row>
    <row r="507">
      <c r="A507" s="22" t="n"/>
      <c r="I507" s="21">
        <f>IF(D507="","",IFERROR(INDEX(Embalagens!$B:$B,MATCH(D507,Embalagens!$A:$A,0)),"Código não cadastrado"))</f>
        <v/>
      </c>
      <c r="J507" s="25">
        <f>IF(D507="","",E507*IFERROR(INDEX(Embalagens!$J:$J,MATCH(D507,Embalagens!$A:$A,0)),0))</f>
        <v/>
      </c>
    </row>
    <row r="508">
      <c r="A508" s="22" t="n"/>
      <c r="I508" s="21">
        <f>IF(D508="","",IFERROR(INDEX(Embalagens!$B:$B,MATCH(D508,Embalagens!$A:$A,0)),"Código não cadastrado"))</f>
        <v/>
      </c>
      <c r="J508" s="25">
        <f>IF(D508="","",E508*IFERROR(INDEX(Embalagens!$J:$J,MATCH(D508,Embalagens!$A:$A,0)),0))</f>
        <v/>
      </c>
    </row>
    <row r="509">
      <c r="A509" s="22" t="n"/>
      <c r="I509" s="21">
        <f>IF(D509="","",IFERROR(INDEX(Embalagens!$B:$B,MATCH(D509,Embalagens!$A:$A,0)),"Código não cadastrado"))</f>
        <v/>
      </c>
      <c r="J509" s="25">
        <f>IF(D509="","",E509*IFERROR(INDEX(Embalagens!$J:$J,MATCH(D509,Embalagens!$A:$A,0)),0))</f>
        <v/>
      </c>
    </row>
    <row r="510">
      <c r="A510" s="22" t="n"/>
      <c r="I510" s="21">
        <f>IF(D510="","",IFERROR(INDEX(Embalagens!$B:$B,MATCH(D510,Embalagens!$A:$A,0)),"Código não cadastrado"))</f>
        <v/>
      </c>
      <c r="J510" s="25">
        <f>IF(D510="","",E510*IFERROR(INDEX(Embalagens!$J:$J,MATCH(D510,Embalagens!$A:$A,0)),0))</f>
        <v/>
      </c>
    </row>
    <row r="511">
      <c r="A511" s="22" t="n"/>
      <c r="I511" s="21">
        <f>IF(D511="","",IFERROR(INDEX(Embalagens!$B:$B,MATCH(D511,Embalagens!$A:$A,0)),"Código não cadastrado"))</f>
        <v/>
      </c>
      <c r="J511" s="25">
        <f>IF(D511="","",E511*IFERROR(INDEX(Embalagens!$J:$J,MATCH(D511,Embalagens!$A:$A,0)),0))</f>
        <v/>
      </c>
    </row>
    <row r="512">
      <c r="A512" s="22" t="n"/>
      <c r="I512" s="21">
        <f>IF(D512="","",IFERROR(INDEX(Embalagens!$B:$B,MATCH(D512,Embalagens!$A:$A,0)),"Código não cadastrado"))</f>
        <v/>
      </c>
      <c r="J512" s="25">
        <f>IF(D512="","",E512*IFERROR(INDEX(Embalagens!$J:$J,MATCH(D512,Embalagens!$A:$A,0)),0))</f>
        <v/>
      </c>
    </row>
    <row r="513">
      <c r="A513" s="22" t="n"/>
      <c r="I513" s="21">
        <f>IF(D513="","",IFERROR(INDEX(Embalagens!$B:$B,MATCH(D513,Embalagens!$A:$A,0)),"Código não cadastrado"))</f>
        <v/>
      </c>
      <c r="J513" s="25">
        <f>IF(D513="","",E513*IFERROR(INDEX(Embalagens!$J:$J,MATCH(D513,Embalagens!$A:$A,0)),0))</f>
        <v/>
      </c>
    </row>
    <row r="514">
      <c r="A514" s="22" t="n"/>
      <c r="I514" s="21">
        <f>IF(D514="","",IFERROR(INDEX(Embalagens!$B:$B,MATCH(D514,Embalagens!$A:$A,0)),"Código não cadastrado"))</f>
        <v/>
      </c>
      <c r="J514" s="25">
        <f>IF(D514="","",E514*IFERROR(INDEX(Embalagens!$J:$J,MATCH(D514,Embalagens!$A:$A,0)),0))</f>
        <v/>
      </c>
    </row>
    <row r="515">
      <c r="A515" s="22" t="n"/>
      <c r="I515" s="21">
        <f>IF(D515="","",IFERROR(INDEX(Embalagens!$B:$B,MATCH(D515,Embalagens!$A:$A,0)),"Código não cadastrado"))</f>
        <v/>
      </c>
      <c r="J515" s="25">
        <f>IF(D515="","",E515*IFERROR(INDEX(Embalagens!$J:$J,MATCH(D515,Embalagens!$A:$A,0)),0))</f>
        <v/>
      </c>
    </row>
    <row r="516">
      <c r="A516" s="22" t="n"/>
      <c r="I516" s="21">
        <f>IF(D516="","",IFERROR(INDEX(Embalagens!$B:$B,MATCH(D516,Embalagens!$A:$A,0)),"Código não cadastrado"))</f>
        <v/>
      </c>
      <c r="J516" s="25">
        <f>IF(D516="","",E516*IFERROR(INDEX(Embalagens!$J:$J,MATCH(D516,Embalagens!$A:$A,0)),0))</f>
        <v/>
      </c>
    </row>
    <row r="517">
      <c r="A517" s="22" t="n"/>
      <c r="I517" s="21">
        <f>IF(D517="","",IFERROR(INDEX(Embalagens!$B:$B,MATCH(D517,Embalagens!$A:$A,0)),"Código não cadastrado"))</f>
        <v/>
      </c>
      <c r="J517" s="25">
        <f>IF(D517="","",E517*IFERROR(INDEX(Embalagens!$J:$J,MATCH(D517,Embalagens!$A:$A,0)),0))</f>
        <v/>
      </c>
    </row>
    <row r="518">
      <c r="A518" s="22" t="n"/>
      <c r="I518" s="21">
        <f>IF(D518="","",IFERROR(INDEX(Embalagens!$B:$B,MATCH(D518,Embalagens!$A:$A,0)),"Código não cadastrado"))</f>
        <v/>
      </c>
      <c r="J518" s="25">
        <f>IF(D518="","",E518*IFERROR(INDEX(Embalagens!$J:$J,MATCH(D518,Embalagens!$A:$A,0)),0))</f>
        <v/>
      </c>
    </row>
    <row r="519">
      <c r="A519" s="22" t="n"/>
      <c r="I519" s="21">
        <f>IF(D519="","",IFERROR(INDEX(Embalagens!$B:$B,MATCH(D519,Embalagens!$A:$A,0)),"Código não cadastrado"))</f>
        <v/>
      </c>
      <c r="J519" s="25">
        <f>IF(D519="","",E519*IFERROR(INDEX(Embalagens!$J:$J,MATCH(D519,Embalagens!$A:$A,0)),0))</f>
        <v/>
      </c>
    </row>
    <row r="520">
      <c r="A520" s="22" t="n"/>
      <c r="I520" s="21">
        <f>IF(D520="","",IFERROR(INDEX(Embalagens!$B:$B,MATCH(D520,Embalagens!$A:$A,0)),"Código não cadastrado"))</f>
        <v/>
      </c>
      <c r="J520" s="25">
        <f>IF(D520="","",E520*IFERROR(INDEX(Embalagens!$J:$J,MATCH(D520,Embalagens!$A:$A,0)),0))</f>
        <v/>
      </c>
    </row>
    <row r="521">
      <c r="A521" s="22" t="n"/>
      <c r="I521" s="21">
        <f>IF(D521="","",IFERROR(INDEX(Embalagens!$B:$B,MATCH(D521,Embalagens!$A:$A,0)),"Código não cadastrado"))</f>
        <v/>
      </c>
      <c r="J521" s="25">
        <f>IF(D521="","",E521*IFERROR(INDEX(Embalagens!$J:$J,MATCH(D521,Embalagens!$A:$A,0)),0))</f>
        <v/>
      </c>
    </row>
    <row r="522">
      <c r="A522" s="22" t="n"/>
      <c r="I522" s="21">
        <f>IF(D522="","",IFERROR(INDEX(Embalagens!$B:$B,MATCH(D522,Embalagens!$A:$A,0)),"Código não cadastrado"))</f>
        <v/>
      </c>
      <c r="J522" s="25">
        <f>IF(D522="","",E522*IFERROR(INDEX(Embalagens!$J:$J,MATCH(D522,Embalagens!$A:$A,0)),0))</f>
        <v/>
      </c>
    </row>
    <row r="523">
      <c r="A523" s="22" t="n"/>
      <c r="I523" s="21">
        <f>IF(D523="","",IFERROR(INDEX(Embalagens!$B:$B,MATCH(D523,Embalagens!$A:$A,0)),"Código não cadastrado"))</f>
        <v/>
      </c>
      <c r="J523" s="25">
        <f>IF(D523="","",E523*IFERROR(INDEX(Embalagens!$J:$J,MATCH(D523,Embalagens!$A:$A,0)),0))</f>
        <v/>
      </c>
    </row>
    <row r="524">
      <c r="A524" s="22" t="n"/>
      <c r="I524" s="21">
        <f>IF(D524="","",IFERROR(INDEX(Embalagens!$B:$B,MATCH(D524,Embalagens!$A:$A,0)),"Código não cadastrado"))</f>
        <v/>
      </c>
      <c r="J524" s="25">
        <f>IF(D524="","",E524*IFERROR(INDEX(Embalagens!$J:$J,MATCH(D524,Embalagens!$A:$A,0)),0))</f>
        <v/>
      </c>
    </row>
    <row r="525">
      <c r="A525" s="22" t="n"/>
      <c r="I525" s="21">
        <f>IF(D525="","",IFERROR(INDEX(Embalagens!$B:$B,MATCH(D525,Embalagens!$A:$A,0)),"Código não cadastrado"))</f>
        <v/>
      </c>
      <c r="J525" s="25">
        <f>IF(D525="","",E525*IFERROR(INDEX(Embalagens!$J:$J,MATCH(D525,Embalagens!$A:$A,0)),0))</f>
        <v/>
      </c>
    </row>
    <row r="526">
      <c r="A526" s="22" t="n"/>
      <c r="I526" s="21">
        <f>IF(D526="","",IFERROR(INDEX(Embalagens!$B:$B,MATCH(D526,Embalagens!$A:$A,0)),"Código não cadastrado"))</f>
        <v/>
      </c>
      <c r="J526" s="25">
        <f>IF(D526="","",E526*IFERROR(INDEX(Embalagens!$J:$J,MATCH(D526,Embalagens!$A:$A,0)),0))</f>
        <v/>
      </c>
    </row>
    <row r="527">
      <c r="A527" s="22" t="n"/>
      <c r="I527" s="21">
        <f>IF(D527="","",IFERROR(INDEX(Embalagens!$B:$B,MATCH(D527,Embalagens!$A:$A,0)),"Código não cadastrado"))</f>
        <v/>
      </c>
      <c r="J527" s="25">
        <f>IF(D527="","",E527*IFERROR(INDEX(Embalagens!$J:$J,MATCH(D527,Embalagens!$A:$A,0)),0))</f>
        <v/>
      </c>
    </row>
    <row r="528">
      <c r="A528" s="22" t="n"/>
      <c r="I528" s="21">
        <f>IF(D528="","",IFERROR(INDEX(Embalagens!$B:$B,MATCH(D528,Embalagens!$A:$A,0)),"Código não cadastrado"))</f>
        <v/>
      </c>
      <c r="J528" s="25">
        <f>IF(D528="","",E528*IFERROR(INDEX(Embalagens!$J:$J,MATCH(D528,Embalagens!$A:$A,0)),0))</f>
        <v/>
      </c>
    </row>
    <row r="529">
      <c r="A529" s="22" t="n"/>
      <c r="I529" s="21">
        <f>IF(D529="","",IFERROR(INDEX(Embalagens!$B:$B,MATCH(D529,Embalagens!$A:$A,0)),"Código não cadastrado"))</f>
        <v/>
      </c>
      <c r="J529" s="25">
        <f>IF(D529="","",E529*IFERROR(INDEX(Embalagens!$J:$J,MATCH(D529,Embalagens!$A:$A,0)),0))</f>
        <v/>
      </c>
    </row>
    <row r="530">
      <c r="A530" s="22" t="n"/>
      <c r="I530" s="21">
        <f>IF(D530="","",IFERROR(INDEX(Embalagens!$B:$B,MATCH(D530,Embalagens!$A:$A,0)),"Código não cadastrado"))</f>
        <v/>
      </c>
      <c r="J530" s="25">
        <f>IF(D530="","",E530*IFERROR(INDEX(Embalagens!$J:$J,MATCH(D530,Embalagens!$A:$A,0)),0))</f>
        <v/>
      </c>
    </row>
    <row r="531">
      <c r="A531" s="22" t="n"/>
      <c r="I531" s="21">
        <f>IF(D531="","",IFERROR(INDEX(Embalagens!$B:$B,MATCH(D531,Embalagens!$A:$A,0)),"Código não cadastrado"))</f>
        <v/>
      </c>
      <c r="J531" s="25">
        <f>IF(D531="","",E531*IFERROR(INDEX(Embalagens!$J:$J,MATCH(D531,Embalagens!$A:$A,0)),0))</f>
        <v/>
      </c>
    </row>
    <row r="532">
      <c r="A532" s="22" t="n"/>
      <c r="I532" s="21">
        <f>IF(D532="","",IFERROR(INDEX(Embalagens!$B:$B,MATCH(D532,Embalagens!$A:$A,0)),"Código não cadastrado"))</f>
        <v/>
      </c>
      <c r="J532" s="25">
        <f>IF(D532="","",E532*IFERROR(INDEX(Embalagens!$J:$J,MATCH(D532,Embalagens!$A:$A,0)),0))</f>
        <v/>
      </c>
    </row>
    <row r="533">
      <c r="A533" s="22" t="n"/>
      <c r="I533" s="21">
        <f>IF(D533="","",IFERROR(INDEX(Embalagens!$B:$B,MATCH(D533,Embalagens!$A:$A,0)),"Código não cadastrado"))</f>
        <v/>
      </c>
      <c r="J533" s="25">
        <f>IF(D533="","",E533*IFERROR(INDEX(Embalagens!$J:$J,MATCH(D533,Embalagens!$A:$A,0)),0))</f>
        <v/>
      </c>
    </row>
    <row r="534">
      <c r="A534" s="22" t="n"/>
      <c r="I534" s="21">
        <f>IF(D534="","",IFERROR(INDEX(Embalagens!$B:$B,MATCH(D534,Embalagens!$A:$A,0)),"Código não cadastrado"))</f>
        <v/>
      </c>
      <c r="J534" s="25">
        <f>IF(D534="","",E534*IFERROR(INDEX(Embalagens!$J:$J,MATCH(D534,Embalagens!$A:$A,0)),0))</f>
        <v/>
      </c>
    </row>
    <row r="535">
      <c r="A535" s="22" t="n"/>
      <c r="I535" s="21">
        <f>IF(D535="","",IFERROR(INDEX(Embalagens!$B:$B,MATCH(D535,Embalagens!$A:$A,0)),"Código não cadastrado"))</f>
        <v/>
      </c>
      <c r="J535" s="25">
        <f>IF(D535="","",E535*IFERROR(INDEX(Embalagens!$J:$J,MATCH(D535,Embalagens!$A:$A,0)),0))</f>
        <v/>
      </c>
    </row>
    <row r="536">
      <c r="A536" s="22" t="n"/>
      <c r="I536" s="21">
        <f>IF(D536="","",IFERROR(INDEX(Embalagens!$B:$B,MATCH(D536,Embalagens!$A:$A,0)),"Código não cadastrado"))</f>
        <v/>
      </c>
      <c r="J536" s="25">
        <f>IF(D536="","",E536*IFERROR(INDEX(Embalagens!$J:$J,MATCH(D536,Embalagens!$A:$A,0)),0))</f>
        <v/>
      </c>
    </row>
    <row r="537">
      <c r="A537" s="22" t="n"/>
      <c r="I537" s="21">
        <f>IF(D537="","",IFERROR(INDEX(Embalagens!$B:$B,MATCH(D537,Embalagens!$A:$A,0)),"Código não cadastrado"))</f>
        <v/>
      </c>
      <c r="J537" s="25">
        <f>IF(D537="","",E537*IFERROR(INDEX(Embalagens!$J:$J,MATCH(D537,Embalagens!$A:$A,0)),0))</f>
        <v/>
      </c>
    </row>
    <row r="538">
      <c r="A538" s="22" t="n"/>
      <c r="I538" s="21">
        <f>IF(D538="","",IFERROR(INDEX(Embalagens!$B:$B,MATCH(D538,Embalagens!$A:$A,0)),"Código não cadastrado"))</f>
        <v/>
      </c>
      <c r="J538" s="25">
        <f>IF(D538="","",E538*IFERROR(INDEX(Embalagens!$J:$J,MATCH(D538,Embalagens!$A:$A,0)),0))</f>
        <v/>
      </c>
    </row>
    <row r="539">
      <c r="A539" s="22" t="n"/>
      <c r="I539" s="21">
        <f>IF(D539="","",IFERROR(INDEX(Embalagens!$B:$B,MATCH(D539,Embalagens!$A:$A,0)),"Código não cadastrado"))</f>
        <v/>
      </c>
      <c r="J539" s="25">
        <f>IF(D539="","",E539*IFERROR(INDEX(Embalagens!$J:$J,MATCH(D539,Embalagens!$A:$A,0)),0))</f>
        <v/>
      </c>
    </row>
    <row r="540">
      <c r="A540" s="22" t="n"/>
      <c r="I540" s="21">
        <f>IF(D540="","",IFERROR(INDEX(Embalagens!$B:$B,MATCH(D540,Embalagens!$A:$A,0)),"Código não cadastrado"))</f>
        <v/>
      </c>
      <c r="J540" s="25">
        <f>IF(D540="","",E540*IFERROR(INDEX(Embalagens!$J:$J,MATCH(D540,Embalagens!$A:$A,0)),0))</f>
        <v/>
      </c>
    </row>
    <row r="541">
      <c r="A541" s="22" t="n"/>
      <c r="I541" s="21">
        <f>IF(D541="","",IFERROR(INDEX(Embalagens!$B:$B,MATCH(D541,Embalagens!$A:$A,0)),"Código não cadastrado"))</f>
        <v/>
      </c>
      <c r="J541" s="25">
        <f>IF(D541="","",E541*IFERROR(INDEX(Embalagens!$J:$J,MATCH(D541,Embalagens!$A:$A,0)),0))</f>
        <v/>
      </c>
    </row>
    <row r="542">
      <c r="A542" s="22" t="n"/>
      <c r="I542" s="21">
        <f>IF(D542="","",IFERROR(INDEX(Embalagens!$B:$B,MATCH(D542,Embalagens!$A:$A,0)),"Código não cadastrado"))</f>
        <v/>
      </c>
      <c r="J542" s="25">
        <f>IF(D542="","",E542*IFERROR(INDEX(Embalagens!$J:$J,MATCH(D542,Embalagens!$A:$A,0)),0))</f>
        <v/>
      </c>
    </row>
    <row r="543">
      <c r="A543" s="22" t="n"/>
      <c r="I543" s="21">
        <f>IF(D543="","",IFERROR(INDEX(Embalagens!$B:$B,MATCH(D543,Embalagens!$A:$A,0)),"Código não cadastrado"))</f>
        <v/>
      </c>
      <c r="J543" s="25">
        <f>IF(D543="","",E543*IFERROR(INDEX(Embalagens!$J:$J,MATCH(D543,Embalagens!$A:$A,0)),0))</f>
        <v/>
      </c>
    </row>
    <row r="544">
      <c r="A544" s="22" t="n"/>
      <c r="I544" s="21">
        <f>IF(D544="","",IFERROR(INDEX(Embalagens!$B:$B,MATCH(D544,Embalagens!$A:$A,0)),"Código não cadastrado"))</f>
        <v/>
      </c>
      <c r="J544" s="25">
        <f>IF(D544="","",E544*IFERROR(INDEX(Embalagens!$J:$J,MATCH(D544,Embalagens!$A:$A,0)),0))</f>
        <v/>
      </c>
    </row>
    <row r="545">
      <c r="A545" s="22" t="n"/>
      <c r="I545" s="21">
        <f>IF(D545="","",IFERROR(INDEX(Embalagens!$B:$B,MATCH(D545,Embalagens!$A:$A,0)),"Código não cadastrado"))</f>
        <v/>
      </c>
      <c r="J545" s="25">
        <f>IF(D545="","",E545*IFERROR(INDEX(Embalagens!$J:$J,MATCH(D545,Embalagens!$A:$A,0)),0))</f>
        <v/>
      </c>
    </row>
    <row r="546">
      <c r="A546" s="22" t="n"/>
      <c r="I546" s="21">
        <f>IF(D546="","",IFERROR(INDEX(Embalagens!$B:$B,MATCH(D546,Embalagens!$A:$A,0)),"Código não cadastrado"))</f>
        <v/>
      </c>
      <c r="J546" s="25">
        <f>IF(D546="","",E546*IFERROR(INDEX(Embalagens!$J:$J,MATCH(D546,Embalagens!$A:$A,0)),0))</f>
        <v/>
      </c>
    </row>
    <row r="547">
      <c r="A547" s="22" t="n"/>
      <c r="I547" s="21">
        <f>IF(D547="","",IFERROR(INDEX(Embalagens!$B:$B,MATCH(D547,Embalagens!$A:$A,0)),"Código não cadastrado"))</f>
        <v/>
      </c>
      <c r="J547" s="25">
        <f>IF(D547="","",E547*IFERROR(INDEX(Embalagens!$J:$J,MATCH(D547,Embalagens!$A:$A,0)),0))</f>
        <v/>
      </c>
    </row>
    <row r="548">
      <c r="A548" s="22" t="n"/>
      <c r="I548" s="21">
        <f>IF(D548="","",IFERROR(INDEX(Embalagens!$B:$B,MATCH(D548,Embalagens!$A:$A,0)),"Código não cadastrado"))</f>
        <v/>
      </c>
      <c r="J548" s="25">
        <f>IF(D548="","",E548*IFERROR(INDEX(Embalagens!$J:$J,MATCH(D548,Embalagens!$A:$A,0)),0))</f>
        <v/>
      </c>
    </row>
    <row r="549">
      <c r="A549" s="22" t="n"/>
      <c r="I549" s="21">
        <f>IF(D549="","",IFERROR(INDEX(Embalagens!$B:$B,MATCH(D549,Embalagens!$A:$A,0)),"Código não cadastrado"))</f>
        <v/>
      </c>
      <c r="J549" s="25">
        <f>IF(D549="","",E549*IFERROR(INDEX(Embalagens!$J:$J,MATCH(D549,Embalagens!$A:$A,0)),0))</f>
        <v/>
      </c>
    </row>
    <row r="550">
      <c r="A550" s="22" t="n"/>
      <c r="I550" s="21">
        <f>IF(D550="","",IFERROR(INDEX(Embalagens!$B:$B,MATCH(D550,Embalagens!$A:$A,0)),"Código não cadastrado"))</f>
        <v/>
      </c>
      <c r="J550" s="25">
        <f>IF(D550="","",E550*IFERROR(INDEX(Embalagens!$J:$J,MATCH(D550,Embalagens!$A:$A,0)),0))</f>
        <v/>
      </c>
    </row>
    <row r="551">
      <c r="A551" s="22" t="n"/>
      <c r="I551" s="21">
        <f>IF(D551="","",IFERROR(INDEX(Embalagens!$B:$B,MATCH(D551,Embalagens!$A:$A,0)),"Código não cadastrado"))</f>
        <v/>
      </c>
      <c r="J551" s="25">
        <f>IF(D551="","",E551*IFERROR(INDEX(Embalagens!$J:$J,MATCH(D551,Embalagens!$A:$A,0)),0))</f>
        <v/>
      </c>
    </row>
    <row r="552">
      <c r="A552" s="22" t="n"/>
      <c r="I552" s="21">
        <f>IF(D552="","",IFERROR(INDEX(Embalagens!$B:$B,MATCH(D552,Embalagens!$A:$A,0)),"Código não cadastrado"))</f>
        <v/>
      </c>
      <c r="J552" s="25">
        <f>IF(D552="","",E552*IFERROR(INDEX(Embalagens!$J:$J,MATCH(D552,Embalagens!$A:$A,0)),0))</f>
        <v/>
      </c>
    </row>
    <row r="553">
      <c r="A553" s="22" t="n"/>
      <c r="I553" s="21">
        <f>IF(D553="","",IFERROR(INDEX(Embalagens!$B:$B,MATCH(D553,Embalagens!$A:$A,0)),"Código não cadastrado"))</f>
        <v/>
      </c>
      <c r="J553" s="25">
        <f>IF(D553="","",E553*IFERROR(INDEX(Embalagens!$J:$J,MATCH(D553,Embalagens!$A:$A,0)),0))</f>
        <v/>
      </c>
    </row>
    <row r="554">
      <c r="A554" s="22" t="n"/>
      <c r="I554" s="21">
        <f>IF(D554="","",IFERROR(INDEX(Embalagens!$B:$B,MATCH(D554,Embalagens!$A:$A,0)),"Código não cadastrado"))</f>
        <v/>
      </c>
      <c r="J554" s="25">
        <f>IF(D554="","",E554*IFERROR(INDEX(Embalagens!$J:$J,MATCH(D554,Embalagens!$A:$A,0)),0))</f>
        <v/>
      </c>
    </row>
    <row r="555">
      <c r="A555" s="22" t="n"/>
      <c r="I555" s="21">
        <f>IF(D555="","",IFERROR(INDEX(Embalagens!$B:$B,MATCH(D555,Embalagens!$A:$A,0)),"Código não cadastrado"))</f>
        <v/>
      </c>
      <c r="J555" s="25">
        <f>IF(D555="","",E555*IFERROR(INDEX(Embalagens!$J:$J,MATCH(D555,Embalagens!$A:$A,0)),0))</f>
        <v/>
      </c>
    </row>
    <row r="556">
      <c r="A556" s="22" t="n"/>
      <c r="I556" s="21">
        <f>IF(D556="","",IFERROR(INDEX(Embalagens!$B:$B,MATCH(D556,Embalagens!$A:$A,0)),"Código não cadastrado"))</f>
        <v/>
      </c>
      <c r="J556" s="25">
        <f>IF(D556="","",E556*IFERROR(INDEX(Embalagens!$J:$J,MATCH(D556,Embalagens!$A:$A,0)),0))</f>
        <v/>
      </c>
    </row>
    <row r="557">
      <c r="A557" s="22" t="n"/>
      <c r="I557" s="21">
        <f>IF(D557="","",IFERROR(INDEX(Embalagens!$B:$B,MATCH(D557,Embalagens!$A:$A,0)),"Código não cadastrado"))</f>
        <v/>
      </c>
      <c r="J557" s="25">
        <f>IF(D557="","",E557*IFERROR(INDEX(Embalagens!$J:$J,MATCH(D557,Embalagens!$A:$A,0)),0))</f>
        <v/>
      </c>
    </row>
    <row r="558">
      <c r="A558" s="22" t="n"/>
      <c r="I558" s="21">
        <f>IF(D558="","",IFERROR(INDEX(Embalagens!$B:$B,MATCH(D558,Embalagens!$A:$A,0)),"Código não cadastrado"))</f>
        <v/>
      </c>
      <c r="J558" s="25">
        <f>IF(D558="","",E558*IFERROR(INDEX(Embalagens!$J:$J,MATCH(D558,Embalagens!$A:$A,0)),0))</f>
        <v/>
      </c>
    </row>
    <row r="559">
      <c r="A559" s="22" t="n"/>
      <c r="I559" s="21">
        <f>IF(D559="","",IFERROR(INDEX(Embalagens!$B:$B,MATCH(D559,Embalagens!$A:$A,0)),"Código não cadastrado"))</f>
        <v/>
      </c>
      <c r="J559" s="25">
        <f>IF(D559="","",E559*IFERROR(INDEX(Embalagens!$J:$J,MATCH(D559,Embalagens!$A:$A,0)),0))</f>
        <v/>
      </c>
    </row>
    <row r="560">
      <c r="A560" s="22" t="n"/>
      <c r="I560" s="21">
        <f>IF(D560="","",IFERROR(INDEX(Embalagens!$B:$B,MATCH(D560,Embalagens!$A:$A,0)),"Código não cadastrado"))</f>
        <v/>
      </c>
      <c r="J560" s="25">
        <f>IF(D560="","",E560*IFERROR(INDEX(Embalagens!$J:$J,MATCH(D560,Embalagens!$A:$A,0)),0))</f>
        <v/>
      </c>
    </row>
    <row r="561">
      <c r="A561" s="22" t="n"/>
      <c r="I561" s="21">
        <f>IF(D561="","",IFERROR(INDEX(Embalagens!$B:$B,MATCH(D561,Embalagens!$A:$A,0)),"Código não cadastrado"))</f>
        <v/>
      </c>
      <c r="J561" s="25">
        <f>IF(D561="","",E561*IFERROR(INDEX(Embalagens!$J:$J,MATCH(D561,Embalagens!$A:$A,0)),0))</f>
        <v/>
      </c>
    </row>
    <row r="562">
      <c r="A562" s="22" t="n"/>
      <c r="I562" s="21">
        <f>IF(D562="","",IFERROR(INDEX(Embalagens!$B:$B,MATCH(D562,Embalagens!$A:$A,0)),"Código não cadastrado"))</f>
        <v/>
      </c>
      <c r="J562" s="25">
        <f>IF(D562="","",E562*IFERROR(INDEX(Embalagens!$J:$J,MATCH(D562,Embalagens!$A:$A,0)),0))</f>
        <v/>
      </c>
    </row>
    <row r="563">
      <c r="A563" s="22" t="n"/>
      <c r="I563" s="21">
        <f>IF(D563="","",IFERROR(INDEX(Embalagens!$B:$B,MATCH(D563,Embalagens!$A:$A,0)),"Código não cadastrado"))</f>
        <v/>
      </c>
      <c r="J563" s="25">
        <f>IF(D563="","",E563*IFERROR(INDEX(Embalagens!$J:$J,MATCH(D563,Embalagens!$A:$A,0)),0))</f>
        <v/>
      </c>
    </row>
    <row r="564">
      <c r="A564" s="22" t="n"/>
      <c r="I564" s="21">
        <f>IF(D564="","",IFERROR(INDEX(Embalagens!$B:$B,MATCH(D564,Embalagens!$A:$A,0)),"Código não cadastrado"))</f>
        <v/>
      </c>
      <c r="J564" s="25">
        <f>IF(D564="","",E564*IFERROR(INDEX(Embalagens!$J:$J,MATCH(D564,Embalagens!$A:$A,0)),0))</f>
        <v/>
      </c>
    </row>
    <row r="565">
      <c r="A565" s="22" t="n"/>
      <c r="I565" s="21">
        <f>IF(D565="","",IFERROR(INDEX(Embalagens!$B:$B,MATCH(D565,Embalagens!$A:$A,0)),"Código não cadastrado"))</f>
        <v/>
      </c>
      <c r="J565" s="25">
        <f>IF(D565="","",E565*IFERROR(INDEX(Embalagens!$J:$J,MATCH(D565,Embalagens!$A:$A,0)),0))</f>
        <v/>
      </c>
    </row>
    <row r="566">
      <c r="A566" s="22" t="n"/>
      <c r="I566" s="21">
        <f>IF(D566="","",IFERROR(INDEX(Embalagens!$B:$B,MATCH(D566,Embalagens!$A:$A,0)),"Código não cadastrado"))</f>
        <v/>
      </c>
      <c r="J566" s="25">
        <f>IF(D566="","",E566*IFERROR(INDEX(Embalagens!$J:$J,MATCH(D566,Embalagens!$A:$A,0)),0))</f>
        <v/>
      </c>
    </row>
    <row r="567">
      <c r="A567" s="22" t="n"/>
      <c r="I567" s="21">
        <f>IF(D567="","",IFERROR(INDEX(Embalagens!$B:$B,MATCH(D567,Embalagens!$A:$A,0)),"Código não cadastrado"))</f>
        <v/>
      </c>
      <c r="J567" s="25">
        <f>IF(D567="","",E567*IFERROR(INDEX(Embalagens!$J:$J,MATCH(D567,Embalagens!$A:$A,0)),0))</f>
        <v/>
      </c>
    </row>
    <row r="568">
      <c r="A568" s="22" t="n"/>
      <c r="I568" s="21">
        <f>IF(D568="","",IFERROR(INDEX(Embalagens!$B:$B,MATCH(D568,Embalagens!$A:$A,0)),"Código não cadastrado"))</f>
        <v/>
      </c>
      <c r="J568" s="25">
        <f>IF(D568="","",E568*IFERROR(INDEX(Embalagens!$J:$J,MATCH(D568,Embalagens!$A:$A,0)),0))</f>
        <v/>
      </c>
    </row>
    <row r="569">
      <c r="A569" s="22" t="n"/>
      <c r="I569" s="21">
        <f>IF(D569="","",IFERROR(INDEX(Embalagens!$B:$B,MATCH(D569,Embalagens!$A:$A,0)),"Código não cadastrado"))</f>
        <v/>
      </c>
      <c r="J569" s="25">
        <f>IF(D569="","",E569*IFERROR(INDEX(Embalagens!$J:$J,MATCH(D569,Embalagens!$A:$A,0)),0))</f>
        <v/>
      </c>
    </row>
    <row r="570">
      <c r="A570" s="22" t="n"/>
      <c r="I570" s="21">
        <f>IF(D570="","",IFERROR(INDEX(Embalagens!$B:$B,MATCH(D570,Embalagens!$A:$A,0)),"Código não cadastrado"))</f>
        <v/>
      </c>
      <c r="J570" s="25">
        <f>IF(D570="","",E570*IFERROR(INDEX(Embalagens!$J:$J,MATCH(D570,Embalagens!$A:$A,0)),0))</f>
        <v/>
      </c>
    </row>
    <row r="571">
      <c r="A571" s="22" t="n"/>
      <c r="I571" s="21">
        <f>IF(D571="","",IFERROR(INDEX(Embalagens!$B:$B,MATCH(D571,Embalagens!$A:$A,0)),"Código não cadastrado"))</f>
        <v/>
      </c>
      <c r="J571" s="25">
        <f>IF(D571="","",E571*IFERROR(INDEX(Embalagens!$J:$J,MATCH(D571,Embalagens!$A:$A,0)),0))</f>
        <v/>
      </c>
    </row>
    <row r="572">
      <c r="A572" s="22" t="n"/>
      <c r="I572" s="21">
        <f>IF(D572="","",IFERROR(INDEX(Embalagens!$B:$B,MATCH(D572,Embalagens!$A:$A,0)),"Código não cadastrado"))</f>
        <v/>
      </c>
      <c r="J572" s="25">
        <f>IF(D572="","",E572*IFERROR(INDEX(Embalagens!$J:$J,MATCH(D572,Embalagens!$A:$A,0)),0))</f>
        <v/>
      </c>
    </row>
    <row r="573">
      <c r="A573" s="22" t="n"/>
      <c r="I573" s="21">
        <f>IF(D573="","",IFERROR(INDEX(Embalagens!$B:$B,MATCH(D573,Embalagens!$A:$A,0)),"Código não cadastrado"))</f>
        <v/>
      </c>
      <c r="J573" s="25">
        <f>IF(D573="","",E573*IFERROR(INDEX(Embalagens!$J:$J,MATCH(D573,Embalagens!$A:$A,0)),0))</f>
        <v/>
      </c>
    </row>
    <row r="574">
      <c r="A574" s="22" t="n"/>
      <c r="I574" s="21">
        <f>IF(D574="","",IFERROR(INDEX(Embalagens!$B:$B,MATCH(D574,Embalagens!$A:$A,0)),"Código não cadastrado"))</f>
        <v/>
      </c>
      <c r="J574" s="25">
        <f>IF(D574="","",E574*IFERROR(INDEX(Embalagens!$J:$J,MATCH(D574,Embalagens!$A:$A,0)),0))</f>
        <v/>
      </c>
    </row>
    <row r="575">
      <c r="A575" s="22" t="n"/>
      <c r="I575" s="21">
        <f>IF(D575="","",IFERROR(INDEX(Embalagens!$B:$B,MATCH(D575,Embalagens!$A:$A,0)),"Código não cadastrado"))</f>
        <v/>
      </c>
      <c r="J575" s="25">
        <f>IF(D575="","",E575*IFERROR(INDEX(Embalagens!$J:$J,MATCH(D575,Embalagens!$A:$A,0)),0))</f>
        <v/>
      </c>
    </row>
    <row r="576">
      <c r="A576" s="22" t="n"/>
      <c r="I576" s="21">
        <f>IF(D576="","",IFERROR(INDEX(Embalagens!$B:$B,MATCH(D576,Embalagens!$A:$A,0)),"Código não cadastrado"))</f>
        <v/>
      </c>
      <c r="J576" s="25">
        <f>IF(D576="","",E576*IFERROR(INDEX(Embalagens!$J:$J,MATCH(D576,Embalagens!$A:$A,0)),0))</f>
        <v/>
      </c>
    </row>
    <row r="577">
      <c r="A577" s="22" t="n"/>
      <c r="I577" s="21">
        <f>IF(D577="","",IFERROR(INDEX(Embalagens!$B:$B,MATCH(D577,Embalagens!$A:$A,0)),"Código não cadastrado"))</f>
        <v/>
      </c>
      <c r="J577" s="25">
        <f>IF(D577="","",E577*IFERROR(INDEX(Embalagens!$J:$J,MATCH(D577,Embalagens!$A:$A,0)),0))</f>
        <v/>
      </c>
    </row>
    <row r="578">
      <c r="A578" s="22" t="n"/>
      <c r="I578" s="21">
        <f>IF(D578="","",IFERROR(INDEX(Embalagens!$B:$B,MATCH(D578,Embalagens!$A:$A,0)),"Código não cadastrado"))</f>
        <v/>
      </c>
      <c r="J578" s="25">
        <f>IF(D578="","",E578*IFERROR(INDEX(Embalagens!$J:$J,MATCH(D578,Embalagens!$A:$A,0)),0))</f>
        <v/>
      </c>
    </row>
    <row r="579">
      <c r="A579" s="22" t="n"/>
      <c r="I579" s="21">
        <f>IF(D579="","",IFERROR(INDEX(Embalagens!$B:$B,MATCH(D579,Embalagens!$A:$A,0)),"Código não cadastrado"))</f>
        <v/>
      </c>
      <c r="J579" s="25">
        <f>IF(D579="","",E579*IFERROR(INDEX(Embalagens!$J:$J,MATCH(D579,Embalagens!$A:$A,0)),0))</f>
        <v/>
      </c>
    </row>
    <row r="580">
      <c r="A580" s="22" t="n"/>
      <c r="I580" s="21">
        <f>IF(D580="","",IFERROR(INDEX(Embalagens!$B:$B,MATCH(D580,Embalagens!$A:$A,0)),"Código não cadastrado"))</f>
        <v/>
      </c>
      <c r="J580" s="25">
        <f>IF(D580="","",E580*IFERROR(INDEX(Embalagens!$J:$J,MATCH(D580,Embalagens!$A:$A,0)),0))</f>
        <v/>
      </c>
    </row>
    <row r="581">
      <c r="A581" s="22" t="n"/>
      <c r="I581" s="21">
        <f>IF(D581="","",IFERROR(INDEX(Embalagens!$B:$B,MATCH(D581,Embalagens!$A:$A,0)),"Código não cadastrado"))</f>
        <v/>
      </c>
      <c r="J581" s="25">
        <f>IF(D581="","",E581*IFERROR(INDEX(Embalagens!$J:$J,MATCH(D581,Embalagens!$A:$A,0)),0))</f>
        <v/>
      </c>
    </row>
    <row r="582">
      <c r="A582" s="22" t="n"/>
      <c r="I582" s="21">
        <f>IF(D582="","",IFERROR(INDEX(Embalagens!$B:$B,MATCH(D582,Embalagens!$A:$A,0)),"Código não cadastrado"))</f>
        <v/>
      </c>
      <c r="J582" s="25">
        <f>IF(D582="","",E582*IFERROR(INDEX(Embalagens!$J:$J,MATCH(D582,Embalagens!$A:$A,0)),0))</f>
        <v/>
      </c>
    </row>
    <row r="583">
      <c r="A583" s="22" t="n"/>
      <c r="I583" s="21">
        <f>IF(D583="","",IFERROR(INDEX(Embalagens!$B:$B,MATCH(D583,Embalagens!$A:$A,0)),"Código não cadastrado"))</f>
        <v/>
      </c>
      <c r="J583" s="25">
        <f>IF(D583="","",E583*IFERROR(INDEX(Embalagens!$J:$J,MATCH(D583,Embalagens!$A:$A,0)),0))</f>
        <v/>
      </c>
    </row>
    <row r="584">
      <c r="A584" s="22" t="n"/>
      <c r="I584" s="21">
        <f>IF(D584="","",IFERROR(INDEX(Embalagens!$B:$B,MATCH(D584,Embalagens!$A:$A,0)),"Código não cadastrado"))</f>
        <v/>
      </c>
      <c r="J584" s="25">
        <f>IF(D584="","",E584*IFERROR(INDEX(Embalagens!$J:$J,MATCH(D584,Embalagens!$A:$A,0)),0))</f>
        <v/>
      </c>
    </row>
    <row r="585">
      <c r="A585" s="22" t="n"/>
      <c r="I585" s="21">
        <f>IF(D585="","",IFERROR(INDEX(Embalagens!$B:$B,MATCH(D585,Embalagens!$A:$A,0)),"Código não cadastrado"))</f>
        <v/>
      </c>
      <c r="J585" s="25">
        <f>IF(D585="","",E585*IFERROR(INDEX(Embalagens!$J:$J,MATCH(D585,Embalagens!$A:$A,0)),0))</f>
        <v/>
      </c>
    </row>
    <row r="586">
      <c r="A586" s="22" t="n"/>
      <c r="I586" s="21">
        <f>IF(D586="","",IFERROR(INDEX(Embalagens!$B:$B,MATCH(D586,Embalagens!$A:$A,0)),"Código não cadastrado"))</f>
        <v/>
      </c>
      <c r="J586" s="25">
        <f>IF(D586="","",E586*IFERROR(INDEX(Embalagens!$J:$J,MATCH(D586,Embalagens!$A:$A,0)),0))</f>
        <v/>
      </c>
    </row>
    <row r="587">
      <c r="A587" s="22" t="n"/>
      <c r="I587" s="21">
        <f>IF(D587="","",IFERROR(INDEX(Embalagens!$B:$B,MATCH(D587,Embalagens!$A:$A,0)),"Código não cadastrado"))</f>
        <v/>
      </c>
      <c r="J587" s="25">
        <f>IF(D587="","",E587*IFERROR(INDEX(Embalagens!$J:$J,MATCH(D587,Embalagens!$A:$A,0)),0))</f>
        <v/>
      </c>
    </row>
    <row r="588">
      <c r="A588" s="22" t="n"/>
      <c r="I588" s="21">
        <f>IF(D588="","",IFERROR(INDEX(Embalagens!$B:$B,MATCH(D588,Embalagens!$A:$A,0)),"Código não cadastrado"))</f>
        <v/>
      </c>
      <c r="J588" s="25">
        <f>IF(D588="","",E588*IFERROR(INDEX(Embalagens!$J:$J,MATCH(D588,Embalagens!$A:$A,0)),0))</f>
        <v/>
      </c>
    </row>
    <row r="589">
      <c r="A589" s="22" t="n"/>
      <c r="I589" s="21">
        <f>IF(D589="","",IFERROR(INDEX(Embalagens!$B:$B,MATCH(D589,Embalagens!$A:$A,0)),"Código não cadastrado"))</f>
        <v/>
      </c>
      <c r="J589" s="25">
        <f>IF(D589="","",E589*IFERROR(INDEX(Embalagens!$J:$J,MATCH(D589,Embalagens!$A:$A,0)),0))</f>
        <v/>
      </c>
    </row>
    <row r="590">
      <c r="A590" s="22" t="n"/>
      <c r="I590" s="21">
        <f>IF(D590="","",IFERROR(INDEX(Embalagens!$B:$B,MATCH(D590,Embalagens!$A:$A,0)),"Código não cadastrado"))</f>
        <v/>
      </c>
      <c r="J590" s="25">
        <f>IF(D590="","",E590*IFERROR(INDEX(Embalagens!$J:$J,MATCH(D590,Embalagens!$A:$A,0)),0))</f>
        <v/>
      </c>
    </row>
    <row r="591">
      <c r="A591" s="22" t="n"/>
      <c r="I591" s="21">
        <f>IF(D591="","",IFERROR(INDEX(Embalagens!$B:$B,MATCH(D591,Embalagens!$A:$A,0)),"Código não cadastrado"))</f>
        <v/>
      </c>
      <c r="J591" s="25">
        <f>IF(D591="","",E591*IFERROR(INDEX(Embalagens!$J:$J,MATCH(D591,Embalagens!$A:$A,0)),0))</f>
        <v/>
      </c>
    </row>
    <row r="592">
      <c r="A592" s="22" t="n"/>
      <c r="I592" s="21">
        <f>IF(D592="","",IFERROR(INDEX(Embalagens!$B:$B,MATCH(D592,Embalagens!$A:$A,0)),"Código não cadastrado"))</f>
        <v/>
      </c>
      <c r="J592" s="25">
        <f>IF(D592="","",E592*IFERROR(INDEX(Embalagens!$J:$J,MATCH(D592,Embalagens!$A:$A,0)),0))</f>
        <v/>
      </c>
    </row>
    <row r="593">
      <c r="A593" s="22" t="n"/>
      <c r="I593" s="21">
        <f>IF(D593="","",IFERROR(INDEX(Embalagens!$B:$B,MATCH(D593,Embalagens!$A:$A,0)),"Código não cadastrado"))</f>
        <v/>
      </c>
      <c r="J593" s="25">
        <f>IF(D593="","",E593*IFERROR(INDEX(Embalagens!$J:$J,MATCH(D593,Embalagens!$A:$A,0)),0))</f>
        <v/>
      </c>
    </row>
    <row r="594">
      <c r="A594" s="22" t="n"/>
      <c r="I594" s="21">
        <f>IF(D594="","",IFERROR(INDEX(Embalagens!$B:$B,MATCH(D594,Embalagens!$A:$A,0)),"Código não cadastrado"))</f>
        <v/>
      </c>
      <c r="J594" s="25">
        <f>IF(D594="","",E594*IFERROR(INDEX(Embalagens!$J:$J,MATCH(D594,Embalagens!$A:$A,0)),0))</f>
        <v/>
      </c>
    </row>
    <row r="595">
      <c r="A595" s="22" t="n"/>
      <c r="I595" s="21">
        <f>IF(D595="","",IFERROR(INDEX(Embalagens!$B:$B,MATCH(D595,Embalagens!$A:$A,0)),"Código não cadastrado"))</f>
        <v/>
      </c>
      <c r="J595" s="25">
        <f>IF(D595="","",E595*IFERROR(INDEX(Embalagens!$J:$J,MATCH(D595,Embalagens!$A:$A,0)),0))</f>
        <v/>
      </c>
    </row>
    <row r="596">
      <c r="A596" s="22" t="n"/>
      <c r="I596" s="21">
        <f>IF(D596="","",IFERROR(INDEX(Embalagens!$B:$B,MATCH(D596,Embalagens!$A:$A,0)),"Código não cadastrado"))</f>
        <v/>
      </c>
      <c r="J596" s="25">
        <f>IF(D596="","",E596*IFERROR(INDEX(Embalagens!$J:$J,MATCH(D596,Embalagens!$A:$A,0)),0))</f>
        <v/>
      </c>
    </row>
    <row r="597">
      <c r="A597" s="22" t="n"/>
      <c r="I597" s="21">
        <f>IF(D597="","",IFERROR(INDEX(Embalagens!$B:$B,MATCH(D597,Embalagens!$A:$A,0)),"Código não cadastrado"))</f>
        <v/>
      </c>
      <c r="J597" s="25">
        <f>IF(D597="","",E597*IFERROR(INDEX(Embalagens!$J:$J,MATCH(D597,Embalagens!$A:$A,0)),0))</f>
        <v/>
      </c>
    </row>
    <row r="598">
      <c r="A598" s="22" t="n"/>
      <c r="I598" s="21">
        <f>IF(D598="","",IFERROR(INDEX(Embalagens!$B:$B,MATCH(D598,Embalagens!$A:$A,0)),"Código não cadastrado"))</f>
        <v/>
      </c>
      <c r="J598" s="25">
        <f>IF(D598="","",E598*IFERROR(INDEX(Embalagens!$J:$J,MATCH(D598,Embalagens!$A:$A,0)),0))</f>
        <v/>
      </c>
    </row>
    <row r="599">
      <c r="A599" s="22" t="n"/>
      <c r="I599" s="21">
        <f>IF(D599="","",IFERROR(INDEX(Embalagens!$B:$B,MATCH(D599,Embalagens!$A:$A,0)),"Código não cadastrado"))</f>
        <v/>
      </c>
      <c r="J599" s="25">
        <f>IF(D599="","",E599*IFERROR(INDEX(Embalagens!$J:$J,MATCH(D599,Embalagens!$A:$A,0)),0))</f>
        <v/>
      </c>
    </row>
    <row r="600">
      <c r="A600" s="22" t="n"/>
      <c r="I600" s="21">
        <f>IF(D600="","",IFERROR(INDEX(Embalagens!$B:$B,MATCH(D600,Embalagens!$A:$A,0)),"Código não cadastrado"))</f>
        <v/>
      </c>
      <c r="J600" s="25">
        <f>IF(D600="","",E600*IFERROR(INDEX(Embalagens!$J:$J,MATCH(D600,Embalagens!$A:$A,0)),0))</f>
        <v/>
      </c>
    </row>
    <row r="601">
      <c r="A601" s="22" t="n"/>
      <c r="I601" s="21">
        <f>IF(D601="","",IFERROR(INDEX(Embalagens!$B:$B,MATCH(D601,Embalagens!$A:$A,0)),"Código não cadastrado"))</f>
        <v/>
      </c>
      <c r="J601" s="25">
        <f>IF(D601="","",E601*IFERROR(INDEX(Embalagens!$J:$J,MATCH(D601,Embalagens!$A:$A,0)),0))</f>
        <v/>
      </c>
    </row>
    <row r="602">
      <c r="A602" s="22" t="n"/>
      <c r="I602" s="21">
        <f>IF(D602="","",IFERROR(INDEX(Embalagens!$B:$B,MATCH(D602,Embalagens!$A:$A,0)),"Código não cadastrado"))</f>
        <v/>
      </c>
      <c r="J602" s="25">
        <f>IF(D602="","",E602*IFERROR(INDEX(Embalagens!$J:$J,MATCH(D602,Embalagens!$A:$A,0)),0))</f>
        <v/>
      </c>
    </row>
    <row r="603">
      <c r="A603" s="22" t="n"/>
      <c r="I603" s="21">
        <f>IF(D603="","",IFERROR(INDEX(Embalagens!$B:$B,MATCH(D603,Embalagens!$A:$A,0)),"Código não cadastrado"))</f>
        <v/>
      </c>
      <c r="J603" s="25">
        <f>IF(D603="","",E603*IFERROR(INDEX(Embalagens!$J:$J,MATCH(D603,Embalagens!$A:$A,0)),0))</f>
        <v/>
      </c>
    </row>
    <row r="604">
      <c r="A604" s="22" t="n"/>
      <c r="I604" s="21">
        <f>IF(D604="","",IFERROR(INDEX(Embalagens!$B:$B,MATCH(D604,Embalagens!$A:$A,0)),"Código não cadastrado"))</f>
        <v/>
      </c>
      <c r="J604" s="25">
        <f>IF(D604="","",E604*IFERROR(INDEX(Embalagens!$J:$J,MATCH(D604,Embalagens!$A:$A,0)),0))</f>
        <v/>
      </c>
    </row>
    <row r="605">
      <c r="A605" s="22" t="n"/>
      <c r="I605" s="21">
        <f>IF(D605="","",IFERROR(INDEX(Embalagens!$B:$B,MATCH(D605,Embalagens!$A:$A,0)),"Código não cadastrado"))</f>
        <v/>
      </c>
      <c r="J605" s="25">
        <f>IF(D605="","",E605*IFERROR(INDEX(Embalagens!$J:$J,MATCH(D605,Embalagens!$A:$A,0)),0))</f>
        <v/>
      </c>
    </row>
    <row r="606">
      <c r="A606" s="22" t="n"/>
      <c r="I606" s="21">
        <f>IF(D606="","",IFERROR(INDEX(Embalagens!$B:$B,MATCH(D606,Embalagens!$A:$A,0)),"Código não cadastrado"))</f>
        <v/>
      </c>
      <c r="J606" s="25">
        <f>IF(D606="","",E606*IFERROR(INDEX(Embalagens!$J:$J,MATCH(D606,Embalagens!$A:$A,0)),0))</f>
        <v/>
      </c>
    </row>
    <row r="607">
      <c r="A607" s="22" t="n"/>
      <c r="I607" s="21">
        <f>IF(D607="","",IFERROR(INDEX(Embalagens!$B:$B,MATCH(D607,Embalagens!$A:$A,0)),"Código não cadastrado"))</f>
        <v/>
      </c>
      <c r="J607" s="25">
        <f>IF(D607="","",E607*IFERROR(INDEX(Embalagens!$J:$J,MATCH(D607,Embalagens!$A:$A,0)),0))</f>
        <v/>
      </c>
    </row>
    <row r="608">
      <c r="A608" s="22" t="n"/>
      <c r="I608" s="21">
        <f>IF(D608="","",IFERROR(INDEX(Embalagens!$B:$B,MATCH(D608,Embalagens!$A:$A,0)),"Código não cadastrado"))</f>
        <v/>
      </c>
      <c r="J608" s="25">
        <f>IF(D608="","",E608*IFERROR(INDEX(Embalagens!$J:$J,MATCH(D608,Embalagens!$A:$A,0)),0))</f>
        <v/>
      </c>
    </row>
    <row r="609">
      <c r="A609" s="22" t="n"/>
      <c r="I609" s="21">
        <f>IF(D609="","",IFERROR(INDEX(Embalagens!$B:$B,MATCH(D609,Embalagens!$A:$A,0)),"Código não cadastrado"))</f>
        <v/>
      </c>
      <c r="J609" s="25">
        <f>IF(D609="","",E609*IFERROR(INDEX(Embalagens!$J:$J,MATCH(D609,Embalagens!$A:$A,0)),0))</f>
        <v/>
      </c>
    </row>
    <row r="610">
      <c r="A610" s="22" t="n"/>
      <c r="I610" s="21">
        <f>IF(D610="","",IFERROR(INDEX(Embalagens!$B:$B,MATCH(D610,Embalagens!$A:$A,0)),"Código não cadastrado"))</f>
        <v/>
      </c>
      <c r="J610" s="25">
        <f>IF(D610="","",E610*IFERROR(INDEX(Embalagens!$J:$J,MATCH(D610,Embalagens!$A:$A,0)),0))</f>
        <v/>
      </c>
    </row>
    <row r="611">
      <c r="A611" s="22" t="n"/>
      <c r="I611" s="21">
        <f>IF(D611="","",IFERROR(INDEX(Embalagens!$B:$B,MATCH(D611,Embalagens!$A:$A,0)),"Código não cadastrado"))</f>
        <v/>
      </c>
      <c r="J611" s="25">
        <f>IF(D611="","",E611*IFERROR(INDEX(Embalagens!$J:$J,MATCH(D611,Embalagens!$A:$A,0)),0))</f>
        <v/>
      </c>
    </row>
    <row r="612">
      <c r="A612" s="22" t="n"/>
      <c r="I612" s="21">
        <f>IF(D612="","",IFERROR(INDEX(Embalagens!$B:$B,MATCH(D612,Embalagens!$A:$A,0)),"Código não cadastrado"))</f>
        <v/>
      </c>
      <c r="J612" s="25">
        <f>IF(D612="","",E612*IFERROR(INDEX(Embalagens!$J:$J,MATCH(D612,Embalagens!$A:$A,0)),0))</f>
        <v/>
      </c>
    </row>
    <row r="613">
      <c r="A613" s="22" t="n"/>
      <c r="I613" s="21">
        <f>IF(D613="","",IFERROR(INDEX(Embalagens!$B:$B,MATCH(D613,Embalagens!$A:$A,0)),"Código não cadastrado"))</f>
        <v/>
      </c>
      <c r="J613" s="25">
        <f>IF(D613="","",E613*IFERROR(INDEX(Embalagens!$J:$J,MATCH(D613,Embalagens!$A:$A,0)),0))</f>
        <v/>
      </c>
    </row>
    <row r="614">
      <c r="A614" s="22" t="n"/>
      <c r="I614" s="21">
        <f>IF(D614="","",IFERROR(INDEX(Embalagens!$B:$B,MATCH(D614,Embalagens!$A:$A,0)),"Código não cadastrado"))</f>
        <v/>
      </c>
      <c r="J614" s="25">
        <f>IF(D614="","",E614*IFERROR(INDEX(Embalagens!$J:$J,MATCH(D614,Embalagens!$A:$A,0)),0))</f>
        <v/>
      </c>
    </row>
    <row r="615">
      <c r="A615" s="22" t="n"/>
      <c r="I615" s="21">
        <f>IF(D615="","",IFERROR(INDEX(Embalagens!$B:$B,MATCH(D615,Embalagens!$A:$A,0)),"Código não cadastrado"))</f>
        <v/>
      </c>
      <c r="J615" s="25">
        <f>IF(D615="","",E615*IFERROR(INDEX(Embalagens!$J:$J,MATCH(D615,Embalagens!$A:$A,0)),0))</f>
        <v/>
      </c>
    </row>
    <row r="616">
      <c r="A616" s="22" t="n"/>
      <c r="I616" s="21">
        <f>IF(D616="","",IFERROR(INDEX(Embalagens!$B:$B,MATCH(D616,Embalagens!$A:$A,0)),"Código não cadastrado"))</f>
        <v/>
      </c>
      <c r="J616" s="25">
        <f>IF(D616="","",E616*IFERROR(INDEX(Embalagens!$J:$J,MATCH(D616,Embalagens!$A:$A,0)),0))</f>
        <v/>
      </c>
    </row>
    <row r="617">
      <c r="A617" s="22" t="n"/>
      <c r="I617" s="21">
        <f>IF(D617="","",IFERROR(INDEX(Embalagens!$B:$B,MATCH(D617,Embalagens!$A:$A,0)),"Código não cadastrado"))</f>
        <v/>
      </c>
      <c r="J617" s="25">
        <f>IF(D617="","",E617*IFERROR(INDEX(Embalagens!$J:$J,MATCH(D617,Embalagens!$A:$A,0)),0))</f>
        <v/>
      </c>
    </row>
    <row r="618">
      <c r="A618" s="22" t="n"/>
      <c r="I618" s="21">
        <f>IF(D618="","",IFERROR(INDEX(Embalagens!$B:$B,MATCH(D618,Embalagens!$A:$A,0)),"Código não cadastrado"))</f>
        <v/>
      </c>
      <c r="J618" s="25">
        <f>IF(D618="","",E618*IFERROR(INDEX(Embalagens!$J:$J,MATCH(D618,Embalagens!$A:$A,0)),0))</f>
        <v/>
      </c>
    </row>
    <row r="619">
      <c r="A619" s="22" t="n"/>
      <c r="I619" s="21">
        <f>IF(D619="","",IFERROR(INDEX(Embalagens!$B:$B,MATCH(D619,Embalagens!$A:$A,0)),"Código não cadastrado"))</f>
        <v/>
      </c>
      <c r="J619" s="25">
        <f>IF(D619="","",E619*IFERROR(INDEX(Embalagens!$J:$J,MATCH(D619,Embalagens!$A:$A,0)),0))</f>
        <v/>
      </c>
    </row>
    <row r="620">
      <c r="A620" s="22" t="n"/>
      <c r="I620" s="21">
        <f>IF(D620="","",IFERROR(INDEX(Embalagens!$B:$B,MATCH(D620,Embalagens!$A:$A,0)),"Código não cadastrado"))</f>
        <v/>
      </c>
      <c r="J620" s="25">
        <f>IF(D620="","",E620*IFERROR(INDEX(Embalagens!$J:$J,MATCH(D620,Embalagens!$A:$A,0)),0))</f>
        <v/>
      </c>
    </row>
    <row r="621">
      <c r="A621" s="22" t="n"/>
      <c r="I621" s="21">
        <f>IF(D621="","",IFERROR(INDEX(Embalagens!$B:$B,MATCH(D621,Embalagens!$A:$A,0)),"Código não cadastrado"))</f>
        <v/>
      </c>
      <c r="J621" s="25">
        <f>IF(D621="","",E621*IFERROR(INDEX(Embalagens!$J:$J,MATCH(D621,Embalagens!$A:$A,0)),0))</f>
        <v/>
      </c>
    </row>
    <row r="622">
      <c r="A622" s="22" t="n"/>
      <c r="I622" s="21">
        <f>IF(D622="","",IFERROR(INDEX(Embalagens!$B:$B,MATCH(D622,Embalagens!$A:$A,0)),"Código não cadastrado"))</f>
        <v/>
      </c>
      <c r="J622" s="25">
        <f>IF(D622="","",E622*IFERROR(INDEX(Embalagens!$J:$J,MATCH(D622,Embalagens!$A:$A,0)),0))</f>
        <v/>
      </c>
    </row>
    <row r="623">
      <c r="A623" s="22" t="n"/>
      <c r="I623" s="21">
        <f>IF(D623="","",IFERROR(INDEX(Embalagens!$B:$B,MATCH(D623,Embalagens!$A:$A,0)),"Código não cadastrado"))</f>
        <v/>
      </c>
      <c r="J623" s="25">
        <f>IF(D623="","",E623*IFERROR(INDEX(Embalagens!$J:$J,MATCH(D623,Embalagens!$A:$A,0)),0))</f>
        <v/>
      </c>
    </row>
    <row r="624">
      <c r="A624" s="22" t="n"/>
      <c r="I624" s="21">
        <f>IF(D624="","",IFERROR(INDEX(Embalagens!$B:$B,MATCH(D624,Embalagens!$A:$A,0)),"Código não cadastrado"))</f>
        <v/>
      </c>
      <c r="J624" s="25">
        <f>IF(D624="","",E624*IFERROR(INDEX(Embalagens!$J:$J,MATCH(D624,Embalagens!$A:$A,0)),0))</f>
        <v/>
      </c>
    </row>
    <row r="625">
      <c r="A625" s="22" t="n"/>
      <c r="I625" s="21">
        <f>IF(D625="","",IFERROR(INDEX(Embalagens!$B:$B,MATCH(D625,Embalagens!$A:$A,0)),"Código não cadastrado"))</f>
        <v/>
      </c>
      <c r="J625" s="25">
        <f>IF(D625="","",E625*IFERROR(INDEX(Embalagens!$J:$J,MATCH(D625,Embalagens!$A:$A,0)),0))</f>
        <v/>
      </c>
    </row>
    <row r="626">
      <c r="A626" s="22" t="n"/>
      <c r="I626" s="21">
        <f>IF(D626="","",IFERROR(INDEX(Embalagens!$B:$B,MATCH(D626,Embalagens!$A:$A,0)),"Código não cadastrado"))</f>
        <v/>
      </c>
      <c r="J626" s="25">
        <f>IF(D626="","",E626*IFERROR(INDEX(Embalagens!$J:$J,MATCH(D626,Embalagens!$A:$A,0)),0))</f>
        <v/>
      </c>
    </row>
    <row r="627">
      <c r="A627" s="22" t="n"/>
      <c r="I627" s="21">
        <f>IF(D627="","",IFERROR(INDEX(Embalagens!$B:$B,MATCH(D627,Embalagens!$A:$A,0)),"Código não cadastrado"))</f>
        <v/>
      </c>
      <c r="J627" s="25">
        <f>IF(D627="","",E627*IFERROR(INDEX(Embalagens!$J:$J,MATCH(D627,Embalagens!$A:$A,0)),0))</f>
        <v/>
      </c>
    </row>
    <row r="628">
      <c r="A628" s="22" t="n"/>
      <c r="I628" s="21">
        <f>IF(D628="","",IFERROR(INDEX(Embalagens!$B:$B,MATCH(D628,Embalagens!$A:$A,0)),"Código não cadastrado"))</f>
        <v/>
      </c>
      <c r="J628" s="25">
        <f>IF(D628="","",E628*IFERROR(INDEX(Embalagens!$J:$J,MATCH(D628,Embalagens!$A:$A,0)),0))</f>
        <v/>
      </c>
    </row>
    <row r="629">
      <c r="A629" s="22" t="n"/>
      <c r="I629" s="21">
        <f>IF(D629="","",IFERROR(INDEX(Embalagens!$B:$B,MATCH(D629,Embalagens!$A:$A,0)),"Código não cadastrado"))</f>
        <v/>
      </c>
      <c r="J629" s="25">
        <f>IF(D629="","",E629*IFERROR(INDEX(Embalagens!$J:$J,MATCH(D629,Embalagens!$A:$A,0)),0))</f>
        <v/>
      </c>
    </row>
    <row r="630">
      <c r="A630" s="22" t="n"/>
      <c r="I630" s="21">
        <f>IF(D630="","",IFERROR(INDEX(Embalagens!$B:$B,MATCH(D630,Embalagens!$A:$A,0)),"Código não cadastrado"))</f>
        <v/>
      </c>
      <c r="J630" s="25">
        <f>IF(D630="","",E630*IFERROR(INDEX(Embalagens!$J:$J,MATCH(D630,Embalagens!$A:$A,0)),0))</f>
        <v/>
      </c>
    </row>
    <row r="631">
      <c r="A631" s="22" t="n"/>
      <c r="I631" s="21">
        <f>IF(D631="","",IFERROR(INDEX(Embalagens!$B:$B,MATCH(D631,Embalagens!$A:$A,0)),"Código não cadastrado"))</f>
        <v/>
      </c>
      <c r="J631" s="25">
        <f>IF(D631="","",E631*IFERROR(INDEX(Embalagens!$J:$J,MATCH(D631,Embalagens!$A:$A,0)),0))</f>
        <v/>
      </c>
    </row>
    <row r="632">
      <c r="A632" s="22" t="n"/>
      <c r="I632" s="21">
        <f>IF(D632="","",IFERROR(INDEX(Embalagens!$B:$B,MATCH(D632,Embalagens!$A:$A,0)),"Código não cadastrado"))</f>
        <v/>
      </c>
      <c r="J632" s="25">
        <f>IF(D632="","",E632*IFERROR(INDEX(Embalagens!$J:$J,MATCH(D632,Embalagens!$A:$A,0)),0))</f>
        <v/>
      </c>
    </row>
    <row r="633">
      <c r="A633" s="22" t="n"/>
      <c r="I633" s="21">
        <f>IF(D633="","",IFERROR(INDEX(Embalagens!$B:$B,MATCH(D633,Embalagens!$A:$A,0)),"Código não cadastrado"))</f>
        <v/>
      </c>
      <c r="J633" s="25">
        <f>IF(D633="","",E633*IFERROR(INDEX(Embalagens!$J:$J,MATCH(D633,Embalagens!$A:$A,0)),0))</f>
        <v/>
      </c>
    </row>
    <row r="634">
      <c r="A634" s="22" t="n"/>
      <c r="I634" s="21">
        <f>IF(D634="","",IFERROR(INDEX(Embalagens!$B:$B,MATCH(D634,Embalagens!$A:$A,0)),"Código não cadastrado"))</f>
        <v/>
      </c>
      <c r="J634" s="25">
        <f>IF(D634="","",E634*IFERROR(INDEX(Embalagens!$J:$J,MATCH(D634,Embalagens!$A:$A,0)),0))</f>
        <v/>
      </c>
    </row>
    <row r="635">
      <c r="A635" s="22" t="n"/>
      <c r="I635" s="21">
        <f>IF(D635="","",IFERROR(INDEX(Embalagens!$B:$B,MATCH(D635,Embalagens!$A:$A,0)),"Código não cadastrado"))</f>
        <v/>
      </c>
      <c r="J635" s="25">
        <f>IF(D635="","",E635*IFERROR(INDEX(Embalagens!$J:$J,MATCH(D635,Embalagens!$A:$A,0)),0))</f>
        <v/>
      </c>
    </row>
    <row r="636">
      <c r="A636" s="22" t="n"/>
      <c r="I636" s="21">
        <f>IF(D636="","",IFERROR(INDEX(Embalagens!$B:$B,MATCH(D636,Embalagens!$A:$A,0)),"Código não cadastrado"))</f>
        <v/>
      </c>
      <c r="J636" s="25">
        <f>IF(D636="","",E636*IFERROR(INDEX(Embalagens!$J:$J,MATCH(D636,Embalagens!$A:$A,0)),0))</f>
        <v/>
      </c>
    </row>
    <row r="637">
      <c r="A637" s="22" t="n"/>
      <c r="I637" s="21">
        <f>IF(D637="","",IFERROR(INDEX(Embalagens!$B:$B,MATCH(D637,Embalagens!$A:$A,0)),"Código não cadastrado"))</f>
        <v/>
      </c>
      <c r="J637" s="25">
        <f>IF(D637="","",E637*IFERROR(INDEX(Embalagens!$J:$J,MATCH(D637,Embalagens!$A:$A,0)),0))</f>
        <v/>
      </c>
    </row>
    <row r="638">
      <c r="A638" s="22" t="n"/>
      <c r="I638" s="21">
        <f>IF(D638="","",IFERROR(INDEX(Embalagens!$B:$B,MATCH(D638,Embalagens!$A:$A,0)),"Código não cadastrado"))</f>
        <v/>
      </c>
      <c r="J638" s="25">
        <f>IF(D638="","",E638*IFERROR(INDEX(Embalagens!$J:$J,MATCH(D638,Embalagens!$A:$A,0)),0))</f>
        <v/>
      </c>
    </row>
    <row r="639">
      <c r="A639" s="22" t="n"/>
      <c r="I639" s="21">
        <f>IF(D639="","",IFERROR(INDEX(Embalagens!$B:$B,MATCH(D639,Embalagens!$A:$A,0)),"Código não cadastrado"))</f>
        <v/>
      </c>
      <c r="J639" s="25">
        <f>IF(D639="","",E639*IFERROR(INDEX(Embalagens!$J:$J,MATCH(D639,Embalagens!$A:$A,0)),0))</f>
        <v/>
      </c>
    </row>
    <row r="640">
      <c r="A640" s="22" t="n"/>
      <c r="I640" s="21">
        <f>IF(D640="","",IFERROR(INDEX(Embalagens!$B:$B,MATCH(D640,Embalagens!$A:$A,0)),"Código não cadastrado"))</f>
        <v/>
      </c>
      <c r="J640" s="25">
        <f>IF(D640="","",E640*IFERROR(INDEX(Embalagens!$J:$J,MATCH(D640,Embalagens!$A:$A,0)),0))</f>
        <v/>
      </c>
    </row>
    <row r="641">
      <c r="A641" s="22" t="n"/>
      <c r="I641" s="21">
        <f>IF(D641="","",IFERROR(INDEX(Embalagens!$B:$B,MATCH(D641,Embalagens!$A:$A,0)),"Código não cadastrado"))</f>
        <v/>
      </c>
      <c r="J641" s="25">
        <f>IF(D641="","",E641*IFERROR(INDEX(Embalagens!$J:$J,MATCH(D641,Embalagens!$A:$A,0)),0))</f>
        <v/>
      </c>
    </row>
    <row r="642">
      <c r="A642" s="22" t="n"/>
      <c r="I642" s="21">
        <f>IF(D642="","",IFERROR(INDEX(Embalagens!$B:$B,MATCH(D642,Embalagens!$A:$A,0)),"Código não cadastrado"))</f>
        <v/>
      </c>
      <c r="J642" s="25">
        <f>IF(D642="","",E642*IFERROR(INDEX(Embalagens!$J:$J,MATCH(D642,Embalagens!$A:$A,0)),0))</f>
        <v/>
      </c>
    </row>
    <row r="643">
      <c r="A643" s="22" t="n"/>
      <c r="I643" s="21">
        <f>IF(D643="","",IFERROR(INDEX(Embalagens!$B:$B,MATCH(D643,Embalagens!$A:$A,0)),"Código não cadastrado"))</f>
        <v/>
      </c>
      <c r="J643" s="25">
        <f>IF(D643="","",E643*IFERROR(INDEX(Embalagens!$J:$J,MATCH(D643,Embalagens!$A:$A,0)),0))</f>
        <v/>
      </c>
    </row>
    <row r="644">
      <c r="A644" s="22" t="n"/>
      <c r="I644" s="21">
        <f>IF(D644="","",IFERROR(INDEX(Embalagens!$B:$B,MATCH(D644,Embalagens!$A:$A,0)),"Código não cadastrado"))</f>
        <v/>
      </c>
      <c r="J644" s="25">
        <f>IF(D644="","",E644*IFERROR(INDEX(Embalagens!$J:$J,MATCH(D644,Embalagens!$A:$A,0)),0))</f>
        <v/>
      </c>
    </row>
    <row r="645">
      <c r="A645" s="22" t="n"/>
      <c r="I645" s="21">
        <f>IF(D645="","",IFERROR(INDEX(Embalagens!$B:$B,MATCH(D645,Embalagens!$A:$A,0)),"Código não cadastrado"))</f>
        <v/>
      </c>
      <c r="J645" s="25">
        <f>IF(D645="","",E645*IFERROR(INDEX(Embalagens!$J:$J,MATCH(D645,Embalagens!$A:$A,0)),0))</f>
        <v/>
      </c>
    </row>
    <row r="646">
      <c r="A646" s="22" t="n"/>
      <c r="I646" s="21">
        <f>IF(D646="","",IFERROR(INDEX(Embalagens!$B:$B,MATCH(D646,Embalagens!$A:$A,0)),"Código não cadastrado"))</f>
        <v/>
      </c>
      <c r="J646" s="25">
        <f>IF(D646="","",E646*IFERROR(INDEX(Embalagens!$J:$J,MATCH(D646,Embalagens!$A:$A,0)),0))</f>
        <v/>
      </c>
    </row>
    <row r="647">
      <c r="A647" s="22" t="n"/>
      <c r="I647" s="21">
        <f>IF(D647="","",IFERROR(INDEX(Embalagens!$B:$B,MATCH(D647,Embalagens!$A:$A,0)),"Código não cadastrado"))</f>
        <v/>
      </c>
      <c r="J647" s="25">
        <f>IF(D647="","",E647*IFERROR(INDEX(Embalagens!$J:$J,MATCH(D647,Embalagens!$A:$A,0)),0))</f>
        <v/>
      </c>
    </row>
    <row r="648">
      <c r="A648" s="22" t="n"/>
      <c r="I648" s="21">
        <f>IF(D648="","",IFERROR(INDEX(Embalagens!$B:$B,MATCH(D648,Embalagens!$A:$A,0)),"Código não cadastrado"))</f>
        <v/>
      </c>
      <c r="J648" s="25">
        <f>IF(D648="","",E648*IFERROR(INDEX(Embalagens!$J:$J,MATCH(D648,Embalagens!$A:$A,0)),0))</f>
        <v/>
      </c>
    </row>
    <row r="649">
      <c r="A649" s="22" t="n"/>
      <c r="I649" s="21">
        <f>IF(D649="","",IFERROR(INDEX(Embalagens!$B:$B,MATCH(D649,Embalagens!$A:$A,0)),"Código não cadastrado"))</f>
        <v/>
      </c>
      <c r="J649" s="25">
        <f>IF(D649="","",E649*IFERROR(INDEX(Embalagens!$J:$J,MATCH(D649,Embalagens!$A:$A,0)),0))</f>
        <v/>
      </c>
    </row>
    <row r="650">
      <c r="A650" s="22" t="n"/>
      <c r="I650" s="21">
        <f>IF(D650="","",IFERROR(INDEX(Embalagens!$B:$B,MATCH(D650,Embalagens!$A:$A,0)),"Código não cadastrado"))</f>
        <v/>
      </c>
      <c r="J650" s="25">
        <f>IF(D650="","",E650*IFERROR(INDEX(Embalagens!$J:$J,MATCH(D650,Embalagens!$A:$A,0)),0))</f>
        <v/>
      </c>
    </row>
    <row r="651">
      <c r="A651" s="22" t="n"/>
      <c r="I651" s="21">
        <f>IF(D651="","",IFERROR(INDEX(Embalagens!$B:$B,MATCH(D651,Embalagens!$A:$A,0)),"Código não cadastrado"))</f>
        <v/>
      </c>
      <c r="J651" s="25">
        <f>IF(D651="","",E651*IFERROR(INDEX(Embalagens!$J:$J,MATCH(D651,Embalagens!$A:$A,0)),0))</f>
        <v/>
      </c>
    </row>
    <row r="652">
      <c r="A652" s="22" t="n"/>
      <c r="I652" s="21">
        <f>IF(D652="","",IFERROR(INDEX(Embalagens!$B:$B,MATCH(D652,Embalagens!$A:$A,0)),"Código não cadastrado"))</f>
        <v/>
      </c>
      <c r="J652" s="25">
        <f>IF(D652="","",E652*IFERROR(INDEX(Embalagens!$J:$J,MATCH(D652,Embalagens!$A:$A,0)),0))</f>
        <v/>
      </c>
    </row>
    <row r="653">
      <c r="A653" s="22" t="n"/>
      <c r="I653" s="21">
        <f>IF(D653="","",IFERROR(INDEX(Embalagens!$B:$B,MATCH(D653,Embalagens!$A:$A,0)),"Código não cadastrado"))</f>
        <v/>
      </c>
      <c r="J653" s="25">
        <f>IF(D653="","",E653*IFERROR(INDEX(Embalagens!$J:$J,MATCH(D653,Embalagens!$A:$A,0)),0))</f>
        <v/>
      </c>
    </row>
    <row r="654">
      <c r="A654" s="22" t="n"/>
      <c r="I654" s="21">
        <f>IF(D654="","",IFERROR(INDEX(Embalagens!$B:$B,MATCH(D654,Embalagens!$A:$A,0)),"Código não cadastrado"))</f>
        <v/>
      </c>
      <c r="J654" s="25">
        <f>IF(D654="","",E654*IFERROR(INDEX(Embalagens!$J:$J,MATCH(D654,Embalagens!$A:$A,0)),0))</f>
        <v/>
      </c>
    </row>
    <row r="655">
      <c r="A655" s="22" t="n"/>
      <c r="I655" s="21">
        <f>IF(D655="","",IFERROR(INDEX(Embalagens!$B:$B,MATCH(D655,Embalagens!$A:$A,0)),"Código não cadastrado"))</f>
        <v/>
      </c>
      <c r="J655" s="25">
        <f>IF(D655="","",E655*IFERROR(INDEX(Embalagens!$J:$J,MATCH(D655,Embalagens!$A:$A,0)),0))</f>
        <v/>
      </c>
    </row>
    <row r="656">
      <c r="A656" s="22" t="n"/>
      <c r="I656" s="21">
        <f>IF(D656="","",IFERROR(INDEX(Embalagens!$B:$B,MATCH(D656,Embalagens!$A:$A,0)),"Código não cadastrado"))</f>
        <v/>
      </c>
      <c r="J656" s="25">
        <f>IF(D656="","",E656*IFERROR(INDEX(Embalagens!$J:$J,MATCH(D656,Embalagens!$A:$A,0)),0))</f>
        <v/>
      </c>
    </row>
    <row r="657">
      <c r="A657" s="22" t="n"/>
      <c r="I657" s="21">
        <f>IF(D657="","",IFERROR(INDEX(Embalagens!$B:$B,MATCH(D657,Embalagens!$A:$A,0)),"Código não cadastrado"))</f>
        <v/>
      </c>
      <c r="J657" s="25">
        <f>IF(D657="","",E657*IFERROR(INDEX(Embalagens!$J:$J,MATCH(D657,Embalagens!$A:$A,0)),0))</f>
        <v/>
      </c>
    </row>
    <row r="658">
      <c r="A658" s="22" t="n"/>
      <c r="I658" s="21">
        <f>IF(D658="","",IFERROR(INDEX(Embalagens!$B:$B,MATCH(D658,Embalagens!$A:$A,0)),"Código não cadastrado"))</f>
        <v/>
      </c>
      <c r="J658" s="25">
        <f>IF(D658="","",E658*IFERROR(INDEX(Embalagens!$J:$J,MATCH(D658,Embalagens!$A:$A,0)),0))</f>
        <v/>
      </c>
    </row>
    <row r="659">
      <c r="A659" s="22" t="n"/>
      <c r="I659" s="21">
        <f>IF(D659="","",IFERROR(INDEX(Embalagens!$B:$B,MATCH(D659,Embalagens!$A:$A,0)),"Código não cadastrado"))</f>
        <v/>
      </c>
      <c r="J659" s="25">
        <f>IF(D659="","",E659*IFERROR(INDEX(Embalagens!$J:$J,MATCH(D659,Embalagens!$A:$A,0)),0))</f>
        <v/>
      </c>
    </row>
    <row r="660">
      <c r="A660" s="22" t="n"/>
      <c r="I660" s="21">
        <f>IF(D660="","",IFERROR(INDEX(Embalagens!$B:$B,MATCH(D660,Embalagens!$A:$A,0)),"Código não cadastrado"))</f>
        <v/>
      </c>
      <c r="J660" s="25">
        <f>IF(D660="","",E660*IFERROR(INDEX(Embalagens!$J:$J,MATCH(D660,Embalagens!$A:$A,0)),0))</f>
        <v/>
      </c>
    </row>
    <row r="661">
      <c r="A661" s="22" t="n"/>
      <c r="I661" s="21">
        <f>IF(D661="","",IFERROR(INDEX(Embalagens!$B:$B,MATCH(D661,Embalagens!$A:$A,0)),"Código não cadastrado"))</f>
        <v/>
      </c>
      <c r="J661" s="25">
        <f>IF(D661="","",E661*IFERROR(INDEX(Embalagens!$J:$J,MATCH(D661,Embalagens!$A:$A,0)),0))</f>
        <v/>
      </c>
    </row>
    <row r="662">
      <c r="A662" s="22" t="n"/>
      <c r="I662" s="21">
        <f>IF(D662="","",IFERROR(INDEX(Embalagens!$B:$B,MATCH(D662,Embalagens!$A:$A,0)),"Código não cadastrado"))</f>
        <v/>
      </c>
      <c r="J662" s="25">
        <f>IF(D662="","",E662*IFERROR(INDEX(Embalagens!$J:$J,MATCH(D662,Embalagens!$A:$A,0)),0))</f>
        <v/>
      </c>
    </row>
    <row r="663">
      <c r="A663" s="22" t="n"/>
      <c r="I663" s="21">
        <f>IF(D663="","",IFERROR(INDEX(Embalagens!$B:$B,MATCH(D663,Embalagens!$A:$A,0)),"Código não cadastrado"))</f>
        <v/>
      </c>
      <c r="J663" s="25">
        <f>IF(D663="","",E663*IFERROR(INDEX(Embalagens!$J:$J,MATCH(D663,Embalagens!$A:$A,0)),0))</f>
        <v/>
      </c>
    </row>
    <row r="664">
      <c r="A664" s="22" t="n"/>
      <c r="I664" s="21">
        <f>IF(D664="","",IFERROR(INDEX(Embalagens!$B:$B,MATCH(D664,Embalagens!$A:$A,0)),"Código não cadastrado"))</f>
        <v/>
      </c>
      <c r="J664" s="25">
        <f>IF(D664="","",E664*IFERROR(INDEX(Embalagens!$J:$J,MATCH(D664,Embalagens!$A:$A,0)),0))</f>
        <v/>
      </c>
    </row>
    <row r="665">
      <c r="A665" s="22" t="n"/>
      <c r="I665" s="21">
        <f>IF(D665="","",IFERROR(INDEX(Embalagens!$B:$B,MATCH(D665,Embalagens!$A:$A,0)),"Código não cadastrado"))</f>
        <v/>
      </c>
      <c r="J665" s="25">
        <f>IF(D665="","",E665*IFERROR(INDEX(Embalagens!$J:$J,MATCH(D665,Embalagens!$A:$A,0)),0))</f>
        <v/>
      </c>
    </row>
    <row r="666">
      <c r="A666" s="22" t="n"/>
      <c r="I666" s="21">
        <f>IF(D666="","",IFERROR(INDEX(Embalagens!$B:$B,MATCH(D666,Embalagens!$A:$A,0)),"Código não cadastrado"))</f>
        <v/>
      </c>
      <c r="J666" s="25">
        <f>IF(D666="","",E666*IFERROR(INDEX(Embalagens!$J:$J,MATCH(D666,Embalagens!$A:$A,0)),0))</f>
        <v/>
      </c>
    </row>
    <row r="667">
      <c r="A667" s="22" t="n"/>
      <c r="I667" s="21">
        <f>IF(D667="","",IFERROR(INDEX(Embalagens!$B:$B,MATCH(D667,Embalagens!$A:$A,0)),"Código não cadastrado"))</f>
        <v/>
      </c>
      <c r="J667" s="25">
        <f>IF(D667="","",E667*IFERROR(INDEX(Embalagens!$J:$J,MATCH(D667,Embalagens!$A:$A,0)),0))</f>
        <v/>
      </c>
    </row>
    <row r="668">
      <c r="A668" s="22" t="n"/>
      <c r="I668" s="21">
        <f>IF(D668="","",IFERROR(INDEX(Embalagens!$B:$B,MATCH(D668,Embalagens!$A:$A,0)),"Código não cadastrado"))</f>
        <v/>
      </c>
      <c r="J668" s="25">
        <f>IF(D668="","",E668*IFERROR(INDEX(Embalagens!$J:$J,MATCH(D668,Embalagens!$A:$A,0)),0))</f>
        <v/>
      </c>
    </row>
    <row r="669">
      <c r="A669" s="22" t="n"/>
      <c r="I669" s="21">
        <f>IF(D669="","",IFERROR(INDEX(Embalagens!$B:$B,MATCH(D669,Embalagens!$A:$A,0)),"Código não cadastrado"))</f>
        <v/>
      </c>
      <c r="J669" s="25">
        <f>IF(D669="","",E669*IFERROR(INDEX(Embalagens!$J:$J,MATCH(D669,Embalagens!$A:$A,0)),0))</f>
        <v/>
      </c>
    </row>
    <row r="670">
      <c r="A670" s="22" t="n"/>
      <c r="I670" s="21">
        <f>IF(D670="","",IFERROR(INDEX(Embalagens!$B:$B,MATCH(D670,Embalagens!$A:$A,0)),"Código não cadastrado"))</f>
        <v/>
      </c>
      <c r="J670" s="25">
        <f>IF(D670="","",E670*IFERROR(INDEX(Embalagens!$J:$J,MATCH(D670,Embalagens!$A:$A,0)),0))</f>
        <v/>
      </c>
    </row>
    <row r="671">
      <c r="A671" s="22" t="n"/>
      <c r="I671" s="21">
        <f>IF(D671="","",IFERROR(INDEX(Embalagens!$B:$B,MATCH(D671,Embalagens!$A:$A,0)),"Código não cadastrado"))</f>
        <v/>
      </c>
      <c r="J671" s="25">
        <f>IF(D671="","",E671*IFERROR(INDEX(Embalagens!$J:$J,MATCH(D671,Embalagens!$A:$A,0)),0))</f>
        <v/>
      </c>
    </row>
    <row r="672">
      <c r="A672" s="22" t="n"/>
      <c r="I672" s="21">
        <f>IF(D672="","",IFERROR(INDEX(Embalagens!$B:$B,MATCH(D672,Embalagens!$A:$A,0)),"Código não cadastrado"))</f>
        <v/>
      </c>
      <c r="J672" s="25">
        <f>IF(D672="","",E672*IFERROR(INDEX(Embalagens!$J:$J,MATCH(D672,Embalagens!$A:$A,0)),0))</f>
        <v/>
      </c>
    </row>
    <row r="673">
      <c r="A673" s="22" t="n"/>
      <c r="I673" s="21">
        <f>IF(D673="","",IFERROR(INDEX(Embalagens!$B:$B,MATCH(D673,Embalagens!$A:$A,0)),"Código não cadastrado"))</f>
        <v/>
      </c>
      <c r="J673" s="25">
        <f>IF(D673="","",E673*IFERROR(INDEX(Embalagens!$J:$J,MATCH(D673,Embalagens!$A:$A,0)),0))</f>
        <v/>
      </c>
    </row>
    <row r="674">
      <c r="A674" s="22" t="n"/>
      <c r="I674" s="21">
        <f>IF(D674="","",IFERROR(INDEX(Embalagens!$B:$B,MATCH(D674,Embalagens!$A:$A,0)),"Código não cadastrado"))</f>
        <v/>
      </c>
      <c r="J674" s="25">
        <f>IF(D674="","",E674*IFERROR(INDEX(Embalagens!$J:$J,MATCH(D674,Embalagens!$A:$A,0)),0))</f>
        <v/>
      </c>
    </row>
    <row r="675">
      <c r="A675" s="22" t="n"/>
      <c r="I675" s="21">
        <f>IF(D675="","",IFERROR(INDEX(Embalagens!$B:$B,MATCH(D675,Embalagens!$A:$A,0)),"Código não cadastrado"))</f>
        <v/>
      </c>
      <c r="J675" s="25">
        <f>IF(D675="","",E675*IFERROR(INDEX(Embalagens!$J:$J,MATCH(D675,Embalagens!$A:$A,0)),0))</f>
        <v/>
      </c>
    </row>
    <row r="676">
      <c r="A676" s="22" t="n"/>
      <c r="I676" s="21">
        <f>IF(D676="","",IFERROR(INDEX(Embalagens!$B:$B,MATCH(D676,Embalagens!$A:$A,0)),"Código não cadastrado"))</f>
        <v/>
      </c>
      <c r="J676" s="25">
        <f>IF(D676="","",E676*IFERROR(INDEX(Embalagens!$J:$J,MATCH(D676,Embalagens!$A:$A,0)),0))</f>
        <v/>
      </c>
    </row>
    <row r="677">
      <c r="A677" s="22" t="n"/>
      <c r="I677" s="21">
        <f>IF(D677="","",IFERROR(INDEX(Embalagens!$B:$B,MATCH(D677,Embalagens!$A:$A,0)),"Código não cadastrado"))</f>
        <v/>
      </c>
      <c r="J677" s="25">
        <f>IF(D677="","",E677*IFERROR(INDEX(Embalagens!$J:$J,MATCH(D677,Embalagens!$A:$A,0)),0))</f>
        <v/>
      </c>
    </row>
    <row r="678">
      <c r="A678" s="22" t="n"/>
      <c r="I678" s="21">
        <f>IF(D678="","",IFERROR(INDEX(Embalagens!$B:$B,MATCH(D678,Embalagens!$A:$A,0)),"Código não cadastrado"))</f>
        <v/>
      </c>
      <c r="J678" s="25">
        <f>IF(D678="","",E678*IFERROR(INDEX(Embalagens!$J:$J,MATCH(D678,Embalagens!$A:$A,0)),0))</f>
        <v/>
      </c>
    </row>
    <row r="679">
      <c r="A679" s="22" t="n"/>
      <c r="I679" s="21">
        <f>IF(D679="","",IFERROR(INDEX(Embalagens!$B:$B,MATCH(D679,Embalagens!$A:$A,0)),"Código não cadastrado"))</f>
        <v/>
      </c>
      <c r="J679" s="25">
        <f>IF(D679="","",E679*IFERROR(INDEX(Embalagens!$J:$J,MATCH(D679,Embalagens!$A:$A,0)),0))</f>
        <v/>
      </c>
    </row>
    <row r="680">
      <c r="A680" s="22" t="n"/>
      <c r="I680" s="21">
        <f>IF(D680="","",IFERROR(INDEX(Embalagens!$B:$B,MATCH(D680,Embalagens!$A:$A,0)),"Código não cadastrado"))</f>
        <v/>
      </c>
      <c r="J680" s="25">
        <f>IF(D680="","",E680*IFERROR(INDEX(Embalagens!$J:$J,MATCH(D680,Embalagens!$A:$A,0)),0))</f>
        <v/>
      </c>
    </row>
    <row r="681">
      <c r="A681" s="22" t="n"/>
      <c r="I681" s="21">
        <f>IF(D681="","",IFERROR(INDEX(Embalagens!$B:$B,MATCH(D681,Embalagens!$A:$A,0)),"Código não cadastrado"))</f>
        <v/>
      </c>
      <c r="J681" s="25">
        <f>IF(D681="","",E681*IFERROR(INDEX(Embalagens!$J:$J,MATCH(D681,Embalagens!$A:$A,0)),0))</f>
        <v/>
      </c>
    </row>
    <row r="682">
      <c r="A682" s="22" t="n"/>
      <c r="I682" s="21">
        <f>IF(D682="","",IFERROR(INDEX(Embalagens!$B:$B,MATCH(D682,Embalagens!$A:$A,0)),"Código não cadastrado"))</f>
        <v/>
      </c>
      <c r="J682" s="25">
        <f>IF(D682="","",E682*IFERROR(INDEX(Embalagens!$J:$J,MATCH(D682,Embalagens!$A:$A,0)),0))</f>
        <v/>
      </c>
    </row>
    <row r="683">
      <c r="A683" s="22" t="n"/>
      <c r="I683" s="21">
        <f>IF(D683="","",IFERROR(INDEX(Embalagens!$B:$B,MATCH(D683,Embalagens!$A:$A,0)),"Código não cadastrado"))</f>
        <v/>
      </c>
      <c r="J683" s="25">
        <f>IF(D683="","",E683*IFERROR(INDEX(Embalagens!$J:$J,MATCH(D683,Embalagens!$A:$A,0)),0))</f>
        <v/>
      </c>
    </row>
    <row r="684">
      <c r="A684" s="22" t="n"/>
      <c r="I684" s="21">
        <f>IF(D684="","",IFERROR(INDEX(Embalagens!$B:$B,MATCH(D684,Embalagens!$A:$A,0)),"Código não cadastrado"))</f>
        <v/>
      </c>
      <c r="J684" s="25">
        <f>IF(D684="","",E684*IFERROR(INDEX(Embalagens!$J:$J,MATCH(D684,Embalagens!$A:$A,0)),0))</f>
        <v/>
      </c>
    </row>
    <row r="685">
      <c r="A685" s="22" t="n"/>
      <c r="I685" s="21">
        <f>IF(D685="","",IFERROR(INDEX(Embalagens!$B:$B,MATCH(D685,Embalagens!$A:$A,0)),"Código não cadastrado"))</f>
        <v/>
      </c>
      <c r="J685" s="25">
        <f>IF(D685="","",E685*IFERROR(INDEX(Embalagens!$J:$J,MATCH(D685,Embalagens!$A:$A,0)),0))</f>
        <v/>
      </c>
    </row>
    <row r="686">
      <c r="A686" s="22" t="n"/>
      <c r="I686" s="21">
        <f>IF(D686="","",IFERROR(INDEX(Embalagens!$B:$B,MATCH(D686,Embalagens!$A:$A,0)),"Código não cadastrado"))</f>
        <v/>
      </c>
      <c r="J686" s="25">
        <f>IF(D686="","",E686*IFERROR(INDEX(Embalagens!$J:$J,MATCH(D686,Embalagens!$A:$A,0)),0))</f>
        <v/>
      </c>
    </row>
    <row r="687">
      <c r="A687" s="22" t="n"/>
      <c r="I687" s="21">
        <f>IF(D687="","",IFERROR(INDEX(Embalagens!$B:$B,MATCH(D687,Embalagens!$A:$A,0)),"Código não cadastrado"))</f>
        <v/>
      </c>
      <c r="J687" s="25">
        <f>IF(D687="","",E687*IFERROR(INDEX(Embalagens!$J:$J,MATCH(D687,Embalagens!$A:$A,0)),0))</f>
        <v/>
      </c>
    </row>
    <row r="688">
      <c r="A688" s="22" t="n"/>
      <c r="I688" s="21">
        <f>IF(D688="","",IFERROR(INDEX(Embalagens!$B:$B,MATCH(D688,Embalagens!$A:$A,0)),"Código não cadastrado"))</f>
        <v/>
      </c>
      <c r="J688" s="25">
        <f>IF(D688="","",E688*IFERROR(INDEX(Embalagens!$J:$J,MATCH(D688,Embalagens!$A:$A,0)),0))</f>
        <v/>
      </c>
    </row>
    <row r="689">
      <c r="A689" s="22" t="n"/>
      <c r="I689" s="21">
        <f>IF(D689="","",IFERROR(INDEX(Embalagens!$B:$B,MATCH(D689,Embalagens!$A:$A,0)),"Código não cadastrado"))</f>
        <v/>
      </c>
      <c r="J689" s="25">
        <f>IF(D689="","",E689*IFERROR(INDEX(Embalagens!$J:$J,MATCH(D689,Embalagens!$A:$A,0)),0))</f>
        <v/>
      </c>
    </row>
    <row r="690">
      <c r="A690" s="22" t="n"/>
      <c r="I690" s="21">
        <f>IF(D690="","",IFERROR(INDEX(Embalagens!$B:$B,MATCH(D690,Embalagens!$A:$A,0)),"Código não cadastrado"))</f>
        <v/>
      </c>
      <c r="J690" s="25">
        <f>IF(D690="","",E690*IFERROR(INDEX(Embalagens!$J:$J,MATCH(D690,Embalagens!$A:$A,0)),0))</f>
        <v/>
      </c>
    </row>
    <row r="691">
      <c r="A691" s="22" t="n"/>
      <c r="I691" s="21">
        <f>IF(D691="","",IFERROR(INDEX(Embalagens!$B:$B,MATCH(D691,Embalagens!$A:$A,0)),"Código não cadastrado"))</f>
        <v/>
      </c>
      <c r="J691" s="25">
        <f>IF(D691="","",E691*IFERROR(INDEX(Embalagens!$J:$J,MATCH(D691,Embalagens!$A:$A,0)),0))</f>
        <v/>
      </c>
    </row>
    <row r="692">
      <c r="A692" s="22" t="n"/>
      <c r="I692" s="21">
        <f>IF(D692="","",IFERROR(INDEX(Embalagens!$B:$B,MATCH(D692,Embalagens!$A:$A,0)),"Código não cadastrado"))</f>
        <v/>
      </c>
      <c r="J692" s="25">
        <f>IF(D692="","",E692*IFERROR(INDEX(Embalagens!$J:$J,MATCH(D692,Embalagens!$A:$A,0)),0))</f>
        <v/>
      </c>
    </row>
    <row r="693">
      <c r="A693" s="22" t="n"/>
      <c r="I693" s="21">
        <f>IF(D693="","",IFERROR(INDEX(Embalagens!$B:$B,MATCH(D693,Embalagens!$A:$A,0)),"Código não cadastrado"))</f>
        <v/>
      </c>
      <c r="J693" s="25">
        <f>IF(D693="","",E693*IFERROR(INDEX(Embalagens!$J:$J,MATCH(D693,Embalagens!$A:$A,0)),0))</f>
        <v/>
      </c>
    </row>
    <row r="694">
      <c r="A694" s="22" t="n"/>
      <c r="I694" s="21">
        <f>IF(D694="","",IFERROR(INDEX(Embalagens!$B:$B,MATCH(D694,Embalagens!$A:$A,0)),"Código não cadastrado"))</f>
        <v/>
      </c>
      <c r="J694" s="25">
        <f>IF(D694="","",E694*IFERROR(INDEX(Embalagens!$J:$J,MATCH(D694,Embalagens!$A:$A,0)),0))</f>
        <v/>
      </c>
    </row>
    <row r="695">
      <c r="A695" s="22" t="n"/>
      <c r="I695" s="21">
        <f>IF(D695="","",IFERROR(INDEX(Embalagens!$B:$B,MATCH(D695,Embalagens!$A:$A,0)),"Código não cadastrado"))</f>
        <v/>
      </c>
      <c r="J695" s="25">
        <f>IF(D695="","",E695*IFERROR(INDEX(Embalagens!$J:$J,MATCH(D695,Embalagens!$A:$A,0)),0))</f>
        <v/>
      </c>
    </row>
    <row r="696">
      <c r="A696" s="22" t="n"/>
      <c r="I696" s="21">
        <f>IF(D696="","",IFERROR(INDEX(Embalagens!$B:$B,MATCH(D696,Embalagens!$A:$A,0)),"Código não cadastrado"))</f>
        <v/>
      </c>
      <c r="J696" s="25">
        <f>IF(D696="","",E696*IFERROR(INDEX(Embalagens!$J:$J,MATCH(D696,Embalagens!$A:$A,0)),0))</f>
        <v/>
      </c>
    </row>
    <row r="697">
      <c r="A697" s="22" t="n"/>
      <c r="I697" s="21">
        <f>IF(D697="","",IFERROR(INDEX(Embalagens!$B:$B,MATCH(D697,Embalagens!$A:$A,0)),"Código não cadastrado"))</f>
        <v/>
      </c>
      <c r="J697" s="25">
        <f>IF(D697="","",E697*IFERROR(INDEX(Embalagens!$J:$J,MATCH(D697,Embalagens!$A:$A,0)),0))</f>
        <v/>
      </c>
    </row>
    <row r="698">
      <c r="A698" s="22" t="n"/>
      <c r="I698" s="21">
        <f>IF(D698="","",IFERROR(INDEX(Embalagens!$B:$B,MATCH(D698,Embalagens!$A:$A,0)),"Código não cadastrado"))</f>
        <v/>
      </c>
      <c r="J698" s="25">
        <f>IF(D698="","",E698*IFERROR(INDEX(Embalagens!$J:$J,MATCH(D698,Embalagens!$A:$A,0)),0))</f>
        <v/>
      </c>
    </row>
    <row r="699">
      <c r="A699" s="22" t="n"/>
      <c r="I699" s="21">
        <f>IF(D699="","",IFERROR(INDEX(Embalagens!$B:$B,MATCH(D699,Embalagens!$A:$A,0)),"Código não cadastrado"))</f>
        <v/>
      </c>
      <c r="J699" s="25">
        <f>IF(D699="","",E699*IFERROR(INDEX(Embalagens!$J:$J,MATCH(D699,Embalagens!$A:$A,0)),0))</f>
        <v/>
      </c>
    </row>
    <row r="700">
      <c r="A700" s="22" t="n"/>
      <c r="I700" s="21">
        <f>IF(D700="","",IFERROR(INDEX(Embalagens!$B:$B,MATCH(D700,Embalagens!$A:$A,0)),"Código não cadastrado"))</f>
        <v/>
      </c>
      <c r="J700" s="25">
        <f>IF(D700="","",E700*IFERROR(INDEX(Embalagens!$J:$J,MATCH(D700,Embalagens!$A:$A,0)),0))</f>
        <v/>
      </c>
    </row>
    <row r="701">
      <c r="A701" s="22" t="n"/>
      <c r="I701" s="21">
        <f>IF(D701="","",IFERROR(INDEX(Embalagens!$B:$B,MATCH(D701,Embalagens!$A:$A,0)),"Código não cadastrado"))</f>
        <v/>
      </c>
      <c r="J701" s="25">
        <f>IF(D701="","",E701*IFERROR(INDEX(Embalagens!$J:$J,MATCH(D701,Embalagens!$A:$A,0)),0))</f>
        <v/>
      </c>
    </row>
    <row r="702">
      <c r="A702" s="22" t="n"/>
      <c r="I702" s="21">
        <f>IF(D702="","",IFERROR(INDEX(Embalagens!$B:$B,MATCH(D702,Embalagens!$A:$A,0)),"Código não cadastrado"))</f>
        <v/>
      </c>
      <c r="J702" s="25">
        <f>IF(D702="","",E702*IFERROR(INDEX(Embalagens!$J:$J,MATCH(D702,Embalagens!$A:$A,0)),0))</f>
        <v/>
      </c>
    </row>
    <row r="703">
      <c r="A703" s="22" t="n"/>
      <c r="I703" s="21">
        <f>IF(D703="","",IFERROR(INDEX(Embalagens!$B:$B,MATCH(D703,Embalagens!$A:$A,0)),"Código não cadastrado"))</f>
        <v/>
      </c>
      <c r="J703" s="25">
        <f>IF(D703="","",E703*IFERROR(INDEX(Embalagens!$J:$J,MATCH(D703,Embalagens!$A:$A,0)),0))</f>
        <v/>
      </c>
    </row>
    <row r="704">
      <c r="A704" s="22" t="n"/>
      <c r="I704" s="21">
        <f>IF(D704="","",IFERROR(INDEX(Embalagens!$B:$B,MATCH(D704,Embalagens!$A:$A,0)),"Código não cadastrado"))</f>
        <v/>
      </c>
      <c r="J704" s="25">
        <f>IF(D704="","",E704*IFERROR(INDEX(Embalagens!$J:$J,MATCH(D704,Embalagens!$A:$A,0)),0))</f>
        <v/>
      </c>
    </row>
    <row r="705">
      <c r="A705" s="22" t="n"/>
      <c r="I705" s="21">
        <f>IF(D705="","",IFERROR(INDEX(Embalagens!$B:$B,MATCH(D705,Embalagens!$A:$A,0)),"Código não cadastrado"))</f>
        <v/>
      </c>
      <c r="J705" s="25">
        <f>IF(D705="","",E705*IFERROR(INDEX(Embalagens!$J:$J,MATCH(D705,Embalagens!$A:$A,0)),0))</f>
        <v/>
      </c>
    </row>
    <row r="706">
      <c r="A706" s="22" t="n"/>
      <c r="I706" s="21">
        <f>IF(D706="","",IFERROR(INDEX(Embalagens!$B:$B,MATCH(D706,Embalagens!$A:$A,0)),"Código não cadastrado"))</f>
        <v/>
      </c>
      <c r="J706" s="25">
        <f>IF(D706="","",E706*IFERROR(INDEX(Embalagens!$J:$J,MATCH(D706,Embalagens!$A:$A,0)),0))</f>
        <v/>
      </c>
    </row>
    <row r="707">
      <c r="A707" s="22" t="n"/>
      <c r="I707" s="21">
        <f>IF(D707="","",IFERROR(INDEX(Embalagens!$B:$B,MATCH(D707,Embalagens!$A:$A,0)),"Código não cadastrado"))</f>
        <v/>
      </c>
      <c r="J707" s="25">
        <f>IF(D707="","",E707*IFERROR(INDEX(Embalagens!$J:$J,MATCH(D707,Embalagens!$A:$A,0)),0))</f>
        <v/>
      </c>
    </row>
    <row r="708">
      <c r="A708" s="22" t="n"/>
      <c r="I708" s="21">
        <f>IF(D708="","",IFERROR(INDEX(Embalagens!$B:$B,MATCH(D708,Embalagens!$A:$A,0)),"Código não cadastrado"))</f>
        <v/>
      </c>
      <c r="J708" s="25">
        <f>IF(D708="","",E708*IFERROR(INDEX(Embalagens!$J:$J,MATCH(D708,Embalagens!$A:$A,0)),0))</f>
        <v/>
      </c>
    </row>
    <row r="709">
      <c r="A709" s="22" t="n"/>
      <c r="I709" s="21">
        <f>IF(D709="","",IFERROR(INDEX(Embalagens!$B:$B,MATCH(D709,Embalagens!$A:$A,0)),"Código não cadastrado"))</f>
        <v/>
      </c>
      <c r="J709" s="25">
        <f>IF(D709="","",E709*IFERROR(INDEX(Embalagens!$J:$J,MATCH(D709,Embalagens!$A:$A,0)),0))</f>
        <v/>
      </c>
    </row>
    <row r="710">
      <c r="A710" s="22" t="n"/>
      <c r="I710" s="21">
        <f>IF(D710="","",IFERROR(INDEX(Embalagens!$B:$B,MATCH(D710,Embalagens!$A:$A,0)),"Código não cadastrado"))</f>
        <v/>
      </c>
      <c r="J710" s="25">
        <f>IF(D710="","",E710*IFERROR(INDEX(Embalagens!$J:$J,MATCH(D710,Embalagens!$A:$A,0)),0))</f>
        <v/>
      </c>
    </row>
    <row r="711">
      <c r="A711" s="22" t="n"/>
      <c r="I711" s="21">
        <f>IF(D711="","",IFERROR(INDEX(Embalagens!$B:$B,MATCH(D711,Embalagens!$A:$A,0)),"Código não cadastrado"))</f>
        <v/>
      </c>
      <c r="J711" s="25">
        <f>IF(D711="","",E711*IFERROR(INDEX(Embalagens!$J:$J,MATCH(D711,Embalagens!$A:$A,0)),0))</f>
        <v/>
      </c>
    </row>
    <row r="712">
      <c r="A712" s="22" t="n"/>
      <c r="I712" s="21">
        <f>IF(D712="","",IFERROR(INDEX(Embalagens!$B:$B,MATCH(D712,Embalagens!$A:$A,0)),"Código não cadastrado"))</f>
        <v/>
      </c>
      <c r="J712" s="25">
        <f>IF(D712="","",E712*IFERROR(INDEX(Embalagens!$J:$J,MATCH(D712,Embalagens!$A:$A,0)),0))</f>
        <v/>
      </c>
    </row>
    <row r="713">
      <c r="A713" s="22" t="n"/>
      <c r="I713" s="21">
        <f>IF(D713="","",IFERROR(INDEX(Embalagens!$B:$B,MATCH(D713,Embalagens!$A:$A,0)),"Código não cadastrado"))</f>
        <v/>
      </c>
      <c r="J713" s="25">
        <f>IF(D713="","",E713*IFERROR(INDEX(Embalagens!$J:$J,MATCH(D713,Embalagens!$A:$A,0)),0))</f>
        <v/>
      </c>
    </row>
    <row r="714">
      <c r="A714" s="22" t="n"/>
      <c r="I714" s="21">
        <f>IF(D714="","",IFERROR(INDEX(Embalagens!$B:$B,MATCH(D714,Embalagens!$A:$A,0)),"Código não cadastrado"))</f>
        <v/>
      </c>
      <c r="J714" s="25">
        <f>IF(D714="","",E714*IFERROR(INDEX(Embalagens!$J:$J,MATCH(D714,Embalagens!$A:$A,0)),0))</f>
        <v/>
      </c>
    </row>
    <row r="715">
      <c r="A715" s="22" t="n"/>
      <c r="I715" s="21">
        <f>IF(D715="","",IFERROR(INDEX(Embalagens!$B:$B,MATCH(D715,Embalagens!$A:$A,0)),"Código não cadastrado"))</f>
        <v/>
      </c>
      <c r="J715" s="25">
        <f>IF(D715="","",E715*IFERROR(INDEX(Embalagens!$J:$J,MATCH(D715,Embalagens!$A:$A,0)),0))</f>
        <v/>
      </c>
    </row>
    <row r="716">
      <c r="A716" s="22" t="n"/>
      <c r="I716" s="21">
        <f>IF(D716="","",IFERROR(INDEX(Embalagens!$B:$B,MATCH(D716,Embalagens!$A:$A,0)),"Código não cadastrado"))</f>
        <v/>
      </c>
      <c r="J716" s="25">
        <f>IF(D716="","",E716*IFERROR(INDEX(Embalagens!$J:$J,MATCH(D716,Embalagens!$A:$A,0)),0))</f>
        <v/>
      </c>
    </row>
    <row r="717">
      <c r="A717" s="22" t="n"/>
      <c r="I717" s="21">
        <f>IF(D717="","",IFERROR(INDEX(Embalagens!$B:$B,MATCH(D717,Embalagens!$A:$A,0)),"Código não cadastrado"))</f>
        <v/>
      </c>
      <c r="J717" s="25">
        <f>IF(D717="","",E717*IFERROR(INDEX(Embalagens!$J:$J,MATCH(D717,Embalagens!$A:$A,0)),0))</f>
        <v/>
      </c>
    </row>
    <row r="718">
      <c r="A718" s="22" t="n"/>
      <c r="I718" s="21">
        <f>IF(D718="","",IFERROR(INDEX(Embalagens!$B:$B,MATCH(D718,Embalagens!$A:$A,0)),"Código não cadastrado"))</f>
        <v/>
      </c>
      <c r="J718" s="25">
        <f>IF(D718="","",E718*IFERROR(INDEX(Embalagens!$J:$J,MATCH(D718,Embalagens!$A:$A,0)),0))</f>
        <v/>
      </c>
    </row>
    <row r="719">
      <c r="A719" s="22" t="n"/>
      <c r="I719" s="21">
        <f>IF(D719="","",IFERROR(INDEX(Embalagens!$B:$B,MATCH(D719,Embalagens!$A:$A,0)),"Código não cadastrado"))</f>
        <v/>
      </c>
      <c r="J719" s="25">
        <f>IF(D719="","",E719*IFERROR(INDEX(Embalagens!$J:$J,MATCH(D719,Embalagens!$A:$A,0)),0))</f>
        <v/>
      </c>
    </row>
    <row r="720">
      <c r="A720" s="22" t="n"/>
      <c r="I720" s="21">
        <f>IF(D720="","",IFERROR(INDEX(Embalagens!$B:$B,MATCH(D720,Embalagens!$A:$A,0)),"Código não cadastrado"))</f>
        <v/>
      </c>
      <c r="J720" s="25">
        <f>IF(D720="","",E720*IFERROR(INDEX(Embalagens!$J:$J,MATCH(D720,Embalagens!$A:$A,0)),0))</f>
        <v/>
      </c>
    </row>
    <row r="721">
      <c r="A721" s="22" t="n"/>
      <c r="I721" s="21">
        <f>IF(D721="","",IFERROR(INDEX(Embalagens!$B:$B,MATCH(D721,Embalagens!$A:$A,0)),"Código não cadastrado"))</f>
        <v/>
      </c>
      <c r="J721" s="25">
        <f>IF(D721="","",E721*IFERROR(INDEX(Embalagens!$J:$J,MATCH(D721,Embalagens!$A:$A,0)),0))</f>
        <v/>
      </c>
    </row>
    <row r="722">
      <c r="A722" s="22" t="n"/>
      <c r="I722" s="21">
        <f>IF(D722="","",IFERROR(INDEX(Embalagens!$B:$B,MATCH(D722,Embalagens!$A:$A,0)),"Código não cadastrado"))</f>
        <v/>
      </c>
      <c r="J722" s="25">
        <f>IF(D722="","",E722*IFERROR(INDEX(Embalagens!$J:$J,MATCH(D722,Embalagens!$A:$A,0)),0))</f>
        <v/>
      </c>
    </row>
    <row r="723">
      <c r="A723" s="22" t="n"/>
      <c r="I723" s="21">
        <f>IF(D723="","",IFERROR(INDEX(Embalagens!$B:$B,MATCH(D723,Embalagens!$A:$A,0)),"Código não cadastrado"))</f>
        <v/>
      </c>
      <c r="J723" s="25">
        <f>IF(D723="","",E723*IFERROR(INDEX(Embalagens!$J:$J,MATCH(D723,Embalagens!$A:$A,0)),0))</f>
        <v/>
      </c>
    </row>
    <row r="724">
      <c r="A724" s="22" t="n"/>
      <c r="I724" s="21">
        <f>IF(D724="","",IFERROR(INDEX(Embalagens!$B:$B,MATCH(D724,Embalagens!$A:$A,0)),"Código não cadastrado"))</f>
        <v/>
      </c>
      <c r="J724" s="25">
        <f>IF(D724="","",E724*IFERROR(INDEX(Embalagens!$J:$J,MATCH(D724,Embalagens!$A:$A,0)),0))</f>
        <v/>
      </c>
    </row>
    <row r="725">
      <c r="A725" s="22" t="n"/>
      <c r="I725" s="21">
        <f>IF(D725="","",IFERROR(INDEX(Embalagens!$B:$B,MATCH(D725,Embalagens!$A:$A,0)),"Código não cadastrado"))</f>
        <v/>
      </c>
      <c r="J725" s="25">
        <f>IF(D725="","",E725*IFERROR(INDEX(Embalagens!$J:$J,MATCH(D725,Embalagens!$A:$A,0)),0))</f>
        <v/>
      </c>
    </row>
    <row r="726">
      <c r="A726" s="22" t="n"/>
      <c r="I726" s="21">
        <f>IF(D726="","",IFERROR(INDEX(Embalagens!$B:$B,MATCH(D726,Embalagens!$A:$A,0)),"Código não cadastrado"))</f>
        <v/>
      </c>
      <c r="J726" s="25">
        <f>IF(D726="","",E726*IFERROR(INDEX(Embalagens!$J:$J,MATCH(D726,Embalagens!$A:$A,0)),0))</f>
        <v/>
      </c>
    </row>
    <row r="727">
      <c r="A727" s="22" t="n"/>
      <c r="I727" s="21">
        <f>IF(D727="","",IFERROR(INDEX(Embalagens!$B:$B,MATCH(D727,Embalagens!$A:$A,0)),"Código não cadastrado"))</f>
        <v/>
      </c>
      <c r="J727" s="25">
        <f>IF(D727="","",E727*IFERROR(INDEX(Embalagens!$J:$J,MATCH(D727,Embalagens!$A:$A,0)),0))</f>
        <v/>
      </c>
    </row>
    <row r="728">
      <c r="A728" s="22" t="n"/>
      <c r="I728" s="21">
        <f>IF(D728="","",IFERROR(INDEX(Embalagens!$B:$B,MATCH(D728,Embalagens!$A:$A,0)),"Código não cadastrado"))</f>
        <v/>
      </c>
      <c r="J728" s="25">
        <f>IF(D728="","",E728*IFERROR(INDEX(Embalagens!$J:$J,MATCH(D728,Embalagens!$A:$A,0)),0))</f>
        <v/>
      </c>
    </row>
    <row r="729">
      <c r="A729" s="22" t="n"/>
      <c r="I729" s="21">
        <f>IF(D729="","",IFERROR(INDEX(Embalagens!$B:$B,MATCH(D729,Embalagens!$A:$A,0)),"Código não cadastrado"))</f>
        <v/>
      </c>
      <c r="J729" s="25">
        <f>IF(D729="","",E729*IFERROR(INDEX(Embalagens!$J:$J,MATCH(D729,Embalagens!$A:$A,0)),0))</f>
        <v/>
      </c>
    </row>
    <row r="730">
      <c r="A730" s="22" t="n"/>
      <c r="I730" s="21">
        <f>IF(D730="","",IFERROR(INDEX(Embalagens!$B:$B,MATCH(D730,Embalagens!$A:$A,0)),"Código não cadastrado"))</f>
        <v/>
      </c>
      <c r="J730" s="25">
        <f>IF(D730="","",E730*IFERROR(INDEX(Embalagens!$J:$J,MATCH(D730,Embalagens!$A:$A,0)),0))</f>
        <v/>
      </c>
    </row>
    <row r="731">
      <c r="A731" s="22" t="n"/>
      <c r="I731" s="21">
        <f>IF(D731="","",IFERROR(INDEX(Embalagens!$B:$B,MATCH(D731,Embalagens!$A:$A,0)),"Código não cadastrado"))</f>
        <v/>
      </c>
      <c r="J731" s="25">
        <f>IF(D731="","",E731*IFERROR(INDEX(Embalagens!$J:$J,MATCH(D731,Embalagens!$A:$A,0)),0))</f>
        <v/>
      </c>
    </row>
    <row r="732">
      <c r="A732" s="22" t="n"/>
      <c r="I732" s="21">
        <f>IF(D732="","",IFERROR(INDEX(Embalagens!$B:$B,MATCH(D732,Embalagens!$A:$A,0)),"Código não cadastrado"))</f>
        <v/>
      </c>
      <c r="J732" s="25">
        <f>IF(D732="","",E732*IFERROR(INDEX(Embalagens!$J:$J,MATCH(D732,Embalagens!$A:$A,0)),0))</f>
        <v/>
      </c>
    </row>
    <row r="733">
      <c r="A733" s="22" t="n"/>
      <c r="I733" s="21">
        <f>IF(D733="","",IFERROR(INDEX(Embalagens!$B:$B,MATCH(D733,Embalagens!$A:$A,0)),"Código não cadastrado"))</f>
        <v/>
      </c>
      <c r="J733" s="25">
        <f>IF(D733="","",E733*IFERROR(INDEX(Embalagens!$J:$J,MATCH(D733,Embalagens!$A:$A,0)),0))</f>
        <v/>
      </c>
    </row>
    <row r="734">
      <c r="A734" s="22" t="n"/>
      <c r="I734" s="21">
        <f>IF(D734="","",IFERROR(INDEX(Embalagens!$B:$B,MATCH(D734,Embalagens!$A:$A,0)),"Código não cadastrado"))</f>
        <v/>
      </c>
      <c r="J734" s="25">
        <f>IF(D734="","",E734*IFERROR(INDEX(Embalagens!$J:$J,MATCH(D734,Embalagens!$A:$A,0)),0))</f>
        <v/>
      </c>
    </row>
    <row r="735">
      <c r="A735" s="22" t="n"/>
      <c r="I735" s="21">
        <f>IF(D735="","",IFERROR(INDEX(Embalagens!$B:$B,MATCH(D735,Embalagens!$A:$A,0)),"Código não cadastrado"))</f>
        <v/>
      </c>
      <c r="J735" s="25">
        <f>IF(D735="","",E735*IFERROR(INDEX(Embalagens!$J:$J,MATCH(D735,Embalagens!$A:$A,0)),0))</f>
        <v/>
      </c>
    </row>
    <row r="736">
      <c r="A736" s="22" t="n"/>
      <c r="I736" s="21">
        <f>IF(D736="","",IFERROR(INDEX(Embalagens!$B:$B,MATCH(D736,Embalagens!$A:$A,0)),"Código não cadastrado"))</f>
        <v/>
      </c>
      <c r="J736" s="25">
        <f>IF(D736="","",E736*IFERROR(INDEX(Embalagens!$J:$J,MATCH(D736,Embalagens!$A:$A,0)),0))</f>
        <v/>
      </c>
    </row>
    <row r="737">
      <c r="A737" s="22" t="n"/>
      <c r="I737" s="21">
        <f>IF(D737="","",IFERROR(INDEX(Embalagens!$B:$B,MATCH(D737,Embalagens!$A:$A,0)),"Código não cadastrado"))</f>
        <v/>
      </c>
      <c r="J737" s="25">
        <f>IF(D737="","",E737*IFERROR(INDEX(Embalagens!$J:$J,MATCH(D737,Embalagens!$A:$A,0)),0))</f>
        <v/>
      </c>
    </row>
    <row r="738">
      <c r="A738" s="22" t="n"/>
      <c r="I738" s="21">
        <f>IF(D738="","",IFERROR(INDEX(Embalagens!$B:$B,MATCH(D738,Embalagens!$A:$A,0)),"Código não cadastrado"))</f>
        <v/>
      </c>
      <c r="J738" s="25">
        <f>IF(D738="","",E738*IFERROR(INDEX(Embalagens!$J:$J,MATCH(D738,Embalagens!$A:$A,0)),0))</f>
        <v/>
      </c>
    </row>
    <row r="739">
      <c r="A739" s="22" t="n"/>
      <c r="I739" s="21">
        <f>IF(D739="","",IFERROR(INDEX(Embalagens!$B:$B,MATCH(D739,Embalagens!$A:$A,0)),"Código não cadastrado"))</f>
        <v/>
      </c>
      <c r="J739" s="25">
        <f>IF(D739="","",E739*IFERROR(INDEX(Embalagens!$J:$J,MATCH(D739,Embalagens!$A:$A,0)),0))</f>
        <v/>
      </c>
    </row>
    <row r="740">
      <c r="A740" s="22" t="n"/>
      <c r="I740" s="21">
        <f>IF(D740="","",IFERROR(INDEX(Embalagens!$B:$B,MATCH(D740,Embalagens!$A:$A,0)),"Código não cadastrado"))</f>
        <v/>
      </c>
      <c r="J740" s="25">
        <f>IF(D740="","",E740*IFERROR(INDEX(Embalagens!$J:$J,MATCH(D740,Embalagens!$A:$A,0)),0))</f>
        <v/>
      </c>
    </row>
    <row r="741">
      <c r="A741" s="22" t="n"/>
      <c r="I741" s="21">
        <f>IF(D741="","",IFERROR(INDEX(Embalagens!$B:$B,MATCH(D741,Embalagens!$A:$A,0)),"Código não cadastrado"))</f>
        <v/>
      </c>
      <c r="J741" s="25">
        <f>IF(D741="","",E741*IFERROR(INDEX(Embalagens!$J:$J,MATCH(D741,Embalagens!$A:$A,0)),0))</f>
        <v/>
      </c>
    </row>
    <row r="742">
      <c r="A742" s="22" t="n"/>
      <c r="I742" s="21">
        <f>IF(D742="","",IFERROR(INDEX(Embalagens!$B:$B,MATCH(D742,Embalagens!$A:$A,0)),"Código não cadastrado"))</f>
        <v/>
      </c>
      <c r="J742" s="25">
        <f>IF(D742="","",E742*IFERROR(INDEX(Embalagens!$J:$J,MATCH(D742,Embalagens!$A:$A,0)),0))</f>
        <v/>
      </c>
    </row>
    <row r="743">
      <c r="A743" s="22" t="n"/>
      <c r="I743" s="21">
        <f>IF(D743="","",IFERROR(INDEX(Embalagens!$B:$B,MATCH(D743,Embalagens!$A:$A,0)),"Código não cadastrado"))</f>
        <v/>
      </c>
      <c r="J743" s="25">
        <f>IF(D743="","",E743*IFERROR(INDEX(Embalagens!$J:$J,MATCH(D743,Embalagens!$A:$A,0)),0))</f>
        <v/>
      </c>
    </row>
    <row r="744">
      <c r="A744" s="22" t="n"/>
      <c r="I744" s="21">
        <f>IF(D744="","",IFERROR(INDEX(Embalagens!$B:$B,MATCH(D744,Embalagens!$A:$A,0)),"Código não cadastrado"))</f>
        <v/>
      </c>
      <c r="J744" s="25">
        <f>IF(D744="","",E744*IFERROR(INDEX(Embalagens!$J:$J,MATCH(D744,Embalagens!$A:$A,0)),0))</f>
        <v/>
      </c>
    </row>
    <row r="745">
      <c r="A745" s="22" t="n"/>
      <c r="I745" s="21">
        <f>IF(D745="","",IFERROR(INDEX(Embalagens!$B:$B,MATCH(D745,Embalagens!$A:$A,0)),"Código não cadastrado"))</f>
        <v/>
      </c>
      <c r="J745" s="25">
        <f>IF(D745="","",E745*IFERROR(INDEX(Embalagens!$J:$J,MATCH(D745,Embalagens!$A:$A,0)),0))</f>
        <v/>
      </c>
    </row>
    <row r="746">
      <c r="A746" s="22" t="n"/>
      <c r="I746" s="21">
        <f>IF(D746="","",IFERROR(INDEX(Embalagens!$B:$B,MATCH(D746,Embalagens!$A:$A,0)),"Código não cadastrado"))</f>
        <v/>
      </c>
      <c r="J746" s="25">
        <f>IF(D746="","",E746*IFERROR(INDEX(Embalagens!$J:$J,MATCH(D746,Embalagens!$A:$A,0)),0))</f>
        <v/>
      </c>
    </row>
    <row r="747">
      <c r="A747" s="22" t="n"/>
      <c r="I747" s="21">
        <f>IF(D747="","",IFERROR(INDEX(Embalagens!$B:$B,MATCH(D747,Embalagens!$A:$A,0)),"Código não cadastrado"))</f>
        <v/>
      </c>
      <c r="J747" s="25">
        <f>IF(D747="","",E747*IFERROR(INDEX(Embalagens!$J:$J,MATCH(D747,Embalagens!$A:$A,0)),0))</f>
        <v/>
      </c>
    </row>
    <row r="748">
      <c r="A748" s="22" t="n"/>
      <c r="I748" s="21">
        <f>IF(D748="","",IFERROR(INDEX(Embalagens!$B:$B,MATCH(D748,Embalagens!$A:$A,0)),"Código não cadastrado"))</f>
        <v/>
      </c>
      <c r="J748" s="25">
        <f>IF(D748="","",E748*IFERROR(INDEX(Embalagens!$J:$J,MATCH(D748,Embalagens!$A:$A,0)),0))</f>
        <v/>
      </c>
    </row>
    <row r="749">
      <c r="A749" s="22" t="n"/>
      <c r="I749" s="21">
        <f>IF(D749="","",IFERROR(INDEX(Embalagens!$B:$B,MATCH(D749,Embalagens!$A:$A,0)),"Código não cadastrado"))</f>
        <v/>
      </c>
      <c r="J749" s="25">
        <f>IF(D749="","",E749*IFERROR(INDEX(Embalagens!$J:$J,MATCH(D749,Embalagens!$A:$A,0)),0))</f>
        <v/>
      </c>
    </row>
    <row r="750">
      <c r="A750" s="22" t="n"/>
      <c r="I750" s="21">
        <f>IF(D750="","",IFERROR(INDEX(Embalagens!$B:$B,MATCH(D750,Embalagens!$A:$A,0)),"Código não cadastrado"))</f>
        <v/>
      </c>
      <c r="J750" s="25">
        <f>IF(D750="","",E750*IFERROR(INDEX(Embalagens!$J:$J,MATCH(D750,Embalagens!$A:$A,0)),0))</f>
        <v/>
      </c>
    </row>
    <row r="751">
      <c r="A751" s="22" t="n"/>
      <c r="I751" s="21">
        <f>IF(D751="","",IFERROR(INDEX(Embalagens!$B:$B,MATCH(D751,Embalagens!$A:$A,0)),"Código não cadastrado"))</f>
        <v/>
      </c>
      <c r="J751" s="25">
        <f>IF(D751="","",E751*IFERROR(INDEX(Embalagens!$J:$J,MATCH(D751,Embalagens!$A:$A,0)),0))</f>
        <v/>
      </c>
    </row>
    <row r="752">
      <c r="A752" s="22" t="n"/>
      <c r="I752" s="21">
        <f>IF(D752="","",IFERROR(INDEX(Embalagens!$B:$B,MATCH(D752,Embalagens!$A:$A,0)),"Código não cadastrado"))</f>
        <v/>
      </c>
      <c r="J752" s="25">
        <f>IF(D752="","",E752*IFERROR(INDEX(Embalagens!$J:$J,MATCH(D752,Embalagens!$A:$A,0)),0))</f>
        <v/>
      </c>
    </row>
    <row r="753">
      <c r="A753" s="22" t="n"/>
      <c r="I753" s="21">
        <f>IF(D753="","",IFERROR(INDEX(Embalagens!$B:$B,MATCH(D753,Embalagens!$A:$A,0)),"Código não cadastrado"))</f>
        <v/>
      </c>
      <c r="J753" s="25">
        <f>IF(D753="","",E753*IFERROR(INDEX(Embalagens!$J:$J,MATCH(D753,Embalagens!$A:$A,0)),0))</f>
        <v/>
      </c>
    </row>
    <row r="754">
      <c r="A754" s="22" t="n"/>
      <c r="I754" s="21">
        <f>IF(D754="","",IFERROR(INDEX(Embalagens!$B:$B,MATCH(D754,Embalagens!$A:$A,0)),"Código não cadastrado"))</f>
        <v/>
      </c>
      <c r="J754" s="25">
        <f>IF(D754="","",E754*IFERROR(INDEX(Embalagens!$J:$J,MATCH(D754,Embalagens!$A:$A,0)),0))</f>
        <v/>
      </c>
    </row>
    <row r="755">
      <c r="A755" s="22" t="n"/>
      <c r="I755" s="21">
        <f>IF(D755="","",IFERROR(INDEX(Embalagens!$B:$B,MATCH(D755,Embalagens!$A:$A,0)),"Código não cadastrado"))</f>
        <v/>
      </c>
      <c r="J755" s="25">
        <f>IF(D755="","",E755*IFERROR(INDEX(Embalagens!$J:$J,MATCH(D755,Embalagens!$A:$A,0)),0))</f>
        <v/>
      </c>
    </row>
    <row r="756">
      <c r="A756" s="22" t="n"/>
      <c r="I756" s="21">
        <f>IF(D756="","",IFERROR(INDEX(Embalagens!$B:$B,MATCH(D756,Embalagens!$A:$A,0)),"Código não cadastrado"))</f>
        <v/>
      </c>
      <c r="J756" s="25">
        <f>IF(D756="","",E756*IFERROR(INDEX(Embalagens!$J:$J,MATCH(D756,Embalagens!$A:$A,0)),0))</f>
        <v/>
      </c>
    </row>
    <row r="757">
      <c r="A757" s="22" t="n"/>
      <c r="I757" s="21">
        <f>IF(D757="","",IFERROR(INDEX(Embalagens!$B:$B,MATCH(D757,Embalagens!$A:$A,0)),"Código não cadastrado"))</f>
        <v/>
      </c>
      <c r="J757" s="25">
        <f>IF(D757="","",E757*IFERROR(INDEX(Embalagens!$J:$J,MATCH(D757,Embalagens!$A:$A,0)),0))</f>
        <v/>
      </c>
    </row>
    <row r="758">
      <c r="A758" s="22" t="n"/>
      <c r="I758" s="21">
        <f>IF(D758="","",IFERROR(INDEX(Embalagens!$B:$B,MATCH(D758,Embalagens!$A:$A,0)),"Código não cadastrado"))</f>
        <v/>
      </c>
      <c r="J758" s="25">
        <f>IF(D758="","",E758*IFERROR(INDEX(Embalagens!$J:$J,MATCH(D758,Embalagens!$A:$A,0)),0))</f>
        <v/>
      </c>
    </row>
    <row r="759">
      <c r="A759" s="22" t="n"/>
      <c r="I759" s="21">
        <f>IF(D759="","",IFERROR(INDEX(Embalagens!$B:$B,MATCH(D759,Embalagens!$A:$A,0)),"Código não cadastrado"))</f>
        <v/>
      </c>
      <c r="J759" s="25">
        <f>IF(D759="","",E759*IFERROR(INDEX(Embalagens!$J:$J,MATCH(D759,Embalagens!$A:$A,0)),0))</f>
        <v/>
      </c>
    </row>
    <row r="760">
      <c r="A760" s="22" t="n"/>
      <c r="I760" s="21">
        <f>IF(D760="","",IFERROR(INDEX(Embalagens!$B:$B,MATCH(D760,Embalagens!$A:$A,0)),"Código não cadastrado"))</f>
        <v/>
      </c>
      <c r="J760" s="25">
        <f>IF(D760="","",E760*IFERROR(INDEX(Embalagens!$J:$J,MATCH(D760,Embalagens!$A:$A,0)),0))</f>
        <v/>
      </c>
    </row>
    <row r="761">
      <c r="A761" s="22" t="n"/>
      <c r="I761" s="21">
        <f>IF(D761="","",IFERROR(INDEX(Embalagens!$B:$B,MATCH(D761,Embalagens!$A:$A,0)),"Código não cadastrado"))</f>
        <v/>
      </c>
      <c r="J761" s="25">
        <f>IF(D761="","",E761*IFERROR(INDEX(Embalagens!$J:$J,MATCH(D761,Embalagens!$A:$A,0)),0))</f>
        <v/>
      </c>
    </row>
    <row r="762">
      <c r="A762" s="22" t="n"/>
      <c r="I762" s="21">
        <f>IF(D762="","",IFERROR(INDEX(Embalagens!$B:$B,MATCH(D762,Embalagens!$A:$A,0)),"Código não cadastrado"))</f>
        <v/>
      </c>
      <c r="J762" s="25">
        <f>IF(D762="","",E762*IFERROR(INDEX(Embalagens!$J:$J,MATCH(D762,Embalagens!$A:$A,0)),0))</f>
        <v/>
      </c>
    </row>
    <row r="763">
      <c r="A763" s="22" t="n"/>
      <c r="I763" s="21">
        <f>IF(D763="","",IFERROR(INDEX(Embalagens!$B:$B,MATCH(D763,Embalagens!$A:$A,0)),"Código não cadastrado"))</f>
        <v/>
      </c>
      <c r="J763" s="25">
        <f>IF(D763="","",E763*IFERROR(INDEX(Embalagens!$J:$J,MATCH(D763,Embalagens!$A:$A,0)),0))</f>
        <v/>
      </c>
    </row>
    <row r="764">
      <c r="A764" s="22" t="n"/>
      <c r="I764" s="21">
        <f>IF(D764="","",IFERROR(INDEX(Embalagens!$B:$B,MATCH(D764,Embalagens!$A:$A,0)),"Código não cadastrado"))</f>
        <v/>
      </c>
      <c r="J764" s="25">
        <f>IF(D764="","",E764*IFERROR(INDEX(Embalagens!$J:$J,MATCH(D764,Embalagens!$A:$A,0)),0))</f>
        <v/>
      </c>
    </row>
    <row r="765">
      <c r="A765" s="22" t="n"/>
      <c r="I765" s="21">
        <f>IF(D765="","",IFERROR(INDEX(Embalagens!$B:$B,MATCH(D765,Embalagens!$A:$A,0)),"Código não cadastrado"))</f>
        <v/>
      </c>
      <c r="J765" s="25">
        <f>IF(D765="","",E765*IFERROR(INDEX(Embalagens!$J:$J,MATCH(D765,Embalagens!$A:$A,0)),0))</f>
        <v/>
      </c>
    </row>
    <row r="766">
      <c r="A766" s="22" t="n"/>
      <c r="I766" s="21">
        <f>IF(D766="","",IFERROR(INDEX(Embalagens!$B:$B,MATCH(D766,Embalagens!$A:$A,0)),"Código não cadastrado"))</f>
        <v/>
      </c>
      <c r="J766" s="25">
        <f>IF(D766="","",E766*IFERROR(INDEX(Embalagens!$J:$J,MATCH(D766,Embalagens!$A:$A,0)),0))</f>
        <v/>
      </c>
    </row>
    <row r="767">
      <c r="A767" s="22" t="n"/>
      <c r="I767" s="21">
        <f>IF(D767="","",IFERROR(INDEX(Embalagens!$B:$B,MATCH(D767,Embalagens!$A:$A,0)),"Código não cadastrado"))</f>
        <v/>
      </c>
      <c r="J767" s="25">
        <f>IF(D767="","",E767*IFERROR(INDEX(Embalagens!$J:$J,MATCH(D767,Embalagens!$A:$A,0)),0))</f>
        <v/>
      </c>
    </row>
    <row r="768">
      <c r="A768" s="22" t="n"/>
      <c r="I768" s="21">
        <f>IF(D768="","",IFERROR(INDEX(Embalagens!$B:$B,MATCH(D768,Embalagens!$A:$A,0)),"Código não cadastrado"))</f>
        <v/>
      </c>
      <c r="J768" s="25">
        <f>IF(D768="","",E768*IFERROR(INDEX(Embalagens!$J:$J,MATCH(D768,Embalagens!$A:$A,0)),0))</f>
        <v/>
      </c>
    </row>
    <row r="769">
      <c r="A769" s="22" t="n"/>
      <c r="I769" s="21">
        <f>IF(D769="","",IFERROR(INDEX(Embalagens!$B:$B,MATCH(D769,Embalagens!$A:$A,0)),"Código não cadastrado"))</f>
        <v/>
      </c>
      <c r="J769" s="25">
        <f>IF(D769="","",E769*IFERROR(INDEX(Embalagens!$J:$J,MATCH(D769,Embalagens!$A:$A,0)),0))</f>
        <v/>
      </c>
    </row>
    <row r="770">
      <c r="A770" s="22" t="n"/>
      <c r="I770" s="21">
        <f>IF(D770="","",IFERROR(INDEX(Embalagens!$B:$B,MATCH(D770,Embalagens!$A:$A,0)),"Código não cadastrado"))</f>
        <v/>
      </c>
      <c r="J770" s="25">
        <f>IF(D770="","",E770*IFERROR(INDEX(Embalagens!$J:$J,MATCH(D770,Embalagens!$A:$A,0)),0))</f>
        <v/>
      </c>
    </row>
    <row r="771">
      <c r="A771" s="22" t="n"/>
      <c r="I771" s="21">
        <f>IF(D771="","",IFERROR(INDEX(Embalagens!$B:$B,MATCH(D771,Embalagens!$A:$A,0)),"Código não cadastrado"))</f>
        <v/>
      </c>
      <c r="J771" s="25">
        <f>IF(D771="","",E771*IFERROR(INDEX(Embalagens!$J:$J,MATCH(D771,Embalagens!$A:$A,0)),0))</f>
        <v/>
      </c>
    </row>
    <row r="772">
      <c r="A772" s="22" t="n"/>
      <c r="I772" s="21">
        <f>IF(D772="","",IFERROR(INDEX(Embalagens!$B:$B,MATCH(D772,Embalagens!$A:$A,0)),"Código não cadastrado"))</f>
        <v/>
      </c>
      <c r="J772" s="25">
        <f>IF(D772="","",E772*IFERROR(INDEX(Embalagens!$J:$J,MATCH(D772,Embalagens!$A:$A,0)),0))</f>
        <v/>
      </c>
    </row>
    <row r="773">
      <c r="A773" s="22" t="n"/>
      <c r="I773" s="21">
        <f>IF(D773="","",IFERROR(INDEX(Embalagens!$B:$B,MATCH(D773,Embalagens!$A:$A,0)),"Código não cadastrado"))</f>
        <v/>
      </c>
      <c r="J773" s="25">
        <f>IF(D773="","",E773*IFERROR(INDEX(Embalagens!$J:$J,MATCH(D773,Embalagens!$A:$A,0)),0))</f>
        <v/>
      </c>
    </row>
    <row r="774">
      <c r="A774" s="22" t="n"/>
      <c r="I774" s="21">
        <f>IF(D774="","",IFERROR(INDEX(Embalagens!$B:$B,MATCH(D774,Embalagens!$A:$A,0)),"Código não cadastrado"))</f>
        <v/>
      </c>
      <c r="J774" s="25">
        <f>IF(D774="","",E774*IFERROR(INDEX(Embalagens!$J:$J,MATCH(D774,Embalagens!$A:$A,0)),0))</f>
        <v/>
      </c>
    </row>
    <row r="775">
      <c r="A775" s="22" t="n"/>
      <c r="I775" s="21">
        <f>IF(D775="","",IFERROR(INDEX(Embalagens!$B:$B,MATCH(D775,Embalagens!$A:$A,0)),"Código não cadastrado"))</f>
        <v/>
      </c>
      <c r="J775" s="25">
        <f>IF(D775="","",E775*IFERROR(INDEX(Embalagens!$J:$J,MATCH(D775,Embalagens!$A:$A,0)),0))</f>
        <v/>
      </c>
    </row>
    <row r="776">
      <c r="A776" s="22" t="n"/>
      <c r="I776" s="21">
        <f>IF(D776="","",IFERROR(INDEX(Embalagens!$B:$B,MATCH(D776,Embalagens!$A:$A,0)),"Código não cadastrado"))</f>
        <v/>
      </c>
      <c r="J776" s="25">
        <f>IF(D776="","",E776*IFERROR(INDEX(Embalagens!$J:$J,MATCH(D776,Embalagens!$A:$A,0)),0))</f>
        <v/>
      </c>
    </row>
    <row r="777">
      <c r="A777" s="22" t="n"/>
      <c r="I777" s="21">
        <f>IF(D777="","",IFERROR(INDEX(Embalagens!$B:$B,MATCH(D777,Embalagens!$A:$A,0)),"Código não cadastrado"))</f>
        <v/>
      </c>
      <c r="J777" s="25">
        <f>IF(D777="","",E777*IFERROR(INDEX(Embalagens!$J:$J,MATCH(D777,Embalagens!$A:$A,0)),0))</f>
        <v/>
      </c>
    </row>
    <row r="778">
      <c r="A778" s="22" t="n"/>
      <c r="I778" s="21">
        <f>IF(D778="","",IFERROR(INDEX(Embalagens!$B:$B,MATCH(D778,Embalagens!$A:$A,0)),"Código não cadastrado"))</f>
        <v/>
      </c>
      <c r="J778" s="25">
        <f>IF(D778="","",E778*IFERROR(INDEX(Embalagens!$J:$J,MATCH(D778,Embalagens!$A:$A,0)),0))</f>
        <v/>
      </c>
    </row>
    <row r="779">
      <c r="A779" s="22" t="n"/>
      <c r="I779" s="21">
        <f>IF(D779="","",IFERROR(INDEX(Embalagens!$B:$B,MATCH(D779,Embalagens!$A:$A,0)),"Código não cadastrado"))</f>
        <v/>
      </c>
      <c r="J779" s="25">
        <f>IF(D779="","",E779*IFERROR(INDEX(Embalagens!$J:$J,MATCH(D779,Embalagens!$A:$A,0)),0))</f>
        <v/>
      </c>
    </row>
    <row r="780">
      <c r="A780" s="22" t="n"/>
      <c r="I780" s="21">
        <f>IF(D780="","",IFERROR(INDEX(Embalagens!$B:$B,MATCH(D780,Embalagens!$A:$A,0)),"Código não cadastrado"))</f>
        <v/>
      </c>
      <c r="J780" s="25">
        <f>IF(D780="","",E780*IFERROR(INDEX(Embalagens!$J:$J,MATCH(D780,Embalagens!$A:$A,0)),0))</f>
        <v/>
      </c>
    </row>
    <row r="781">
      <c r="A781" s="22" t="n"/>
      <c r="I781" s="21">
        <f>IF(D781="","",IFERROR(INDEX(Embalagens!$B:$B,MATCH(D781,Embalagens!$A:$A,0)),"Código não cadastrado"))</f>
        <v/>
      </c>
      <c r="J781" s="25">
        <f>IF(D781="","",E781*IFERROR(INDEX(Embalagens!$J:$J,MATCH(D781,Embalagens!$A:$A,0)),0))</f>
        <v/>
      </c>
    </row>
    <row r="782">
      <c r="A782" s="22" t="n"/>
      <c r="I782" s="21">
        <f>IF(D782="","",IFERROR(INDEX(Embalagens!$B:$B,MATCH(D782,Embalagens!$A:$A,0)),"Código não cadastrado"))</f>
        <v/>
      </c>
      <c r="J782" s="25">
        <f>IF(D782="","",E782*IFERROR(INDEX(Embalagens!$J:$J,MATCH(D782,Embalagens!$A:$A,0)),0))</f>
        <v/>
      </c>
    </row>
    <row r="783">
      <c r="A783" s="22" t="n"/>
      <c r="I783" s="21">
        <f>IF(D783="","",IFERROR(INDEX(Embalagens!$B:$B,MATCH(D783,Embalagens!$A:$A,0)),"Código não cadastrado"))</f>
        <v/>
      </c>
      <c r="J783" s="25">
        <f>IF(D783="","",E783*IFERROR(INDEX(Embalagens!$J:$J,MATCH(D783,Embalagens!$A:$A,0)),0))</f>
        <v/>
      </c>
    </row>
    <row r="784">
      <c r="A784" s="22" t="n"/>
      <c r="I784" s="21">
        <f>IF(D784="","",IFERROR(INDEX(Embalagens!$B:$B,MATCH(D784,Embalagens!$A:$A,0)),"Código não cadastrado"))</f>
        <v/>
      </c>
      <c r="J784" s="25">
        <f>IF(D784="","",E784*IFERROR(INDEX(Embalagens!$J:$J,MATCH(D784,Embalagens!$A:$A,0)),0))</f>
        <v/>
      </c>
    </row>
    <row r="785">
      <c r="A785" s="22" t="n"/>
      <c r="I785" s="21">
        <f>IF(D785="","",IFERROR(INDEX(Embalagens!$B:$B,MATCH(D785,Embalagens!$A:$A,0)),"Código não cadastrado"))</f>
        <v/>
      </c>
      <c r="J785" s="25">
        <f>IF(D785="","",E785*IFERROR(INDEX(Embalagens!$J:$J,MATCH(D785,Embalagens!$A:$A,0)),0))</f>
        <v/>
      </c>
    </row>
    <row r="786">
      <c r="A786" s="22" t="n"/>
      <c r="I786" s="21">
        <f>IF(D786="","",IFERROR(INDEX(Embalagens!$B:$B,MATCH(D786,Embalagens!$A:$A,0)),"Código não cadastrado"))</f>
        <v/>
      </c>
      <c r="J786" s="25">
        <f>IF(D786="","",E786*IFERROR(INDEX(Embalagens!$J:$J,MATCH(D786,Embalagens!$A:$A,0)),0))</f>
        <v/>
      </c>
    </row>
    <row r="787">
      <c r="A787" s="22" t="n"/>
      <c r="I787" s="21">
        <f>IF(D787="","",IFERROR(INDEX(Embalagens!$B:$B,MATCH(D787,Embalagens!$A:$A,0)),"Código não cadastrado"))</f>
        <v/>
      </c>
      <c r="J787" s="25">
        <f>IF(D787="","",E787*IFERROR(INDEX(Embalagens!$J:$J,MATCH(D787,Embalagens!$A:$A,0)),0))</f>
        <v/>
      </c>
    </row>
    <row r="788">
      <c r="A788" s="22" t="n"/>
      <c r="I788" s="21">
        <f>IF(D788="","",IFERROR(INDEX(Embalagens!$B:$B,MATCH(D788,Embalagens!$A:$A,0)),"Código não cadastrado"))</f>
        <v/>
      </c>
      <c r="J788" s="25">
        <f>IF(D788="","",E788*IFERROR(INDEX(Embalagens!$J:$J,MATCH(D788,Embalagens!$A:$A,0)),0))</f>
        <v/>
      </c>
    </row>
    <row r="789">
      <c r="A789" s="22" t="n"/>
      <c r="I789" s="21">
        <f>IF(D789="","",IFERROR(INDEX(Embalagens!$B:$B,MATCH(D789,Embalagens!$A:$A,0)),"Código não cadastrado"))</f>
        <v/>
      </c>
      <c r="J789" s="25">
        <f>IF(D789="","",E789*IFERROR(INDEX(Embalagens!$J:$J,MATCH(D789,Embalagens!$A:$A,0)),0))</f>
        <v/>
      </c>
    </row>
    <row r="790">
      <c r="A790" s="22" t="n"/>
      <c r="I790" s="21">
        <f>IF(D790="","",IFERROR(INDEX(Embalagens!$B:$B,MATCH(D790,Embalagens!$A:$A,0)),"Código não cadastrado"))</f>
        <v/>
      </c>
      <c r="J790" s="25">
        <f>IF(D790="","",E790*IFERROR(INDEX(Embalagens!$J:$J,MATCH(D790,Embalagens!$A:$A,0)),0))</f>
        <v/>
      </c>
    </row>
    <row r="791">
      <c r="A791" s="22" t="n"/>
      <c r="I791" s="21">
        <f>IF(D791="","",IFERROR(INDEX(Embalagens!$B:$B,MATCH(D791,Embalagens!$A:$A,0)),"Código não cadastrado"))</f>
        <v/>
      </c>
      <c r="J791" s="25">
        <f>IF(D791="","",E791*IFERROR(INDEX(Embalagens!$J:$J,MATCH(D791,Embalagens!$A:$A,0)),0))</f>
        <v/>
      </c>
    </row>
    <row r="792">
      <c r="A792" s="22" t="n"/>
      <c r="I792" s="21">
        <f>IF(D792="","",IFERROR(INDEX(Embalagens!$B:$B,MATCH(D792,Embalagens!$A:$A,0)),"Código não cadastrado"))</f>
        <v/>
      </c>
      <c r="J792" s="25">
        <f>IF(D792="","",E792*IFERROR(INDEX(Embalagens!$J:$J,MATCH(D792,Embalagens!$A:$A,0)),0))</f>
        <v/>
      </c>
    </row>
    <row r="793">
      <c r="A793" s="22" t="n"/>
      <c r="I793" s="21">
        <f>IF(D793="","",IFERROR(INDEX(Embalagens!$B:$B,MATCH(D793,Embalagens!$A:$A,0)),"Código não cadastrado"))</f>
        <v/>
      </c>
      <c r="J793" s="25">
        <f>IF(D793="","",E793*IFERROR(INDEX(Embalagens!$J:$J,MATCH(D793,Embalagens!$A:$A,0)),0))</f>
        <v/>
      </c>
    </row>
    <row r="794">
      <c r="A794" s="22" t="n"/>
      <c r="I794" s="21">
        <f>IF(D794="","",IFERROR(INDEX(Embalagens!$B:$B,MATCH(D794,Embalagens!$A:$A,0)),"Código não cadastrado"))</f>
        <v/>
      </c>
      <c r="J794" s="25">
        <f>IF(D794="","",E794*IFERROR(INDEX(Embalagens!$J:$J,MATCH(D794,Embalagens!$A:$A,0)),0))</f>
        <v/>
      </c>
    </row>
    <row r="795">
      <c r="A795" s="22" t="n"/>
      <c r="I795" s="21">
        <f>IF(D795="","",IFERROR(INDEX(Embalagens!$B:$B,MATCH(D795,Embalagens!$A:$A,0)),"Código não cadastrado"))</f>
        <v/>
      </c>
      <c r="J795" s="25">
        <f>IF(D795="","",E795*IFERROR(INDEX(Embalagens!$J:$J,MATCH(D795,Embalagens!$A:$A,0)),0))</f>
        <v/>
      </c>
    </row>
    <row r="796">
      <c r="A796" s="22" t="n"/>
      <c r="I796" s="21">
        <f>IF(D796="","",IFERROR(INDEX(Embalagens!$B:$B,MATCH(D796,Embalagens!$A:$A,0)),"Código não cadastrado"))</f>
        <v/>
      </c>
      <c r="J796" s="25">
        <f>IF(D796="","",E796*IFERROR(INDEX(Embalagens!$J:$J,MATCH(D796,Embalagens!$A:$A,0)),0))</f>
        <v/>
      </c>
    </row>
    <row r="797">
      <c r="A797" s="22" t="n"/>
      <c r="I797" s="21">
        <f>IF(D797="","",IFERROR(INDEX(Embalagens!$B:$B,MATCH(D797,Embalagens!$A:$A,0)),"Código não cadastrado"))</f>
        <v/>
      </c>
      <c r="J797" s="25">
        <f>IF(D797="","",E797*IFERROR(INDEX(Embalagens!$J:$J,MATCH(D797,Embalagens!$A:$A,0)),0))</f>
        <v/>
      </c>
    </row>
    <row r="798">
      <c r="A798" s="22" t="n"/>
      <c r="I798" s="21">
        <f>IF(D798="","",IFERROR(INDEX(Embalagens!$B:$B,MATCH(D798,Embalagens!$A:$A,0)),"Código não cadastrado"))</f>
        <v/>
      </c>
      <c r="J798" s="25">
        <f>IF(D798="","",E798*IFERROR(INDEX(Embalagens!$J:$J,MATCH(D798,Embalagens!$A:$A,0)),0))</f>
        <v/>
      </c>
    </row>
    <row r="799">
      <c r="A799" s="22" t="n"/>
      <c r="I799" s="21">
        <f>IF(D799="","",IFERROR(INDEX(Embalagens!$B:$B,MATCH(D799,Embalagens!$A:$A,0)),"Código não cadastrado"))</f>
        <v/>
      </c>
      <c r="J799" s="25">
        <f>IF(D799="","",E799*IFERROR(INDEX(Embalagens!$J:$J,MATCH(D799,Embalagens!$A:$A,0)),0))</f>
        <v/>
      </c>
    </row>
    <row r="800">
      <c r="A800" s="22" t="n"/>
      <c r="I800" s="21">
        <f>IF(D800="","",IFERROR(INDEX(Embalagens!$B:$B,MATCH(D800,Embalagens!$A:$A,0)),"Código não cadastrado"))</f>
        <v/>
      </c>
      <c r="J800" s="25">
        <f>IF(D800="","",E800*IFERROR(INDEX(Embalagens!$J:$J,MATCH(D800,Embalagens!$A:$A,0)),0))</f>
        <v/>
      </c>
    </row>
    <row r="801">
      <c r="A801" s="22" t="n"/>
      <c r="I801" s="21">
        <f>IF(D801="","",IFERROR(INDEX(Embalagens!$B:$B,MATCH(D801,Embalagens!$A:$A,0)),"Código não cadastrado"))</f>
        <v/>
      </c>
      <c r="J801" s="25">
        <f>IF(D801="","",E801*IFERROR(INDEX(Embalagens!$J:$J,MATCH(D801,Embalagens!$A:$A,0)),0))</f>
        <v/>
      </c>
    </row>
    <row r="802">
      <c r="A802" s="22" t="n"/>
      <c r="I802" s="21">
        <f>IF(D802="","",IFERROR(INDEX(Embalagens!$B:$B,MATCH(D802,Embalagens!$A:$A,0)),"Código não cadastrado"))</f>
        <v/>
      </c>
      <c r="J802" s="25">
        <f>IF(D802="","",E802*IFERROR(INDEX(Embalagens!$J:$J,MATCH(D802,Embalagens!$A:$A,0)),0))</f>
        <v/>
      </c>
    </row>
    <row r="803">
      <c r="A803" s="22" t="n"/>
      <c r="I803" s="21">
        <f>IF(D803="","",IFERROR(INDEX(Embalagens!$B:$B,MATCH(D803,Embalagens!$A:$A,0)),"Código não cadastrado"))</f>
        <v/>
      </c>
      <c r="J803" s="25">
        <f>IF(D803="","",E803*IFERROR(INDEX(Embalagens!$J:$J,MATCH(D803,Embalagens!$A:$A,0)),0))</f>
        <v/>
      </c>
    </row>
    <row r="804">
      <c r="A804" s="22" t="n"/>
      <c r="I804" s="21">
        <f>IF(D804="","",IFERROR(INDEX(Embalagens!$B:$B,MATCH(D804,Embalagens!$A:$A,0)),"Código não cadastrado"))</f>
        <v/>
      </c>
      <c r="J804" s="25">
        <f>IF(D804="","",E804*IFERROR(INDEX(Embalagens!$J:$J,MATCH(D804,Embalagens!$A:$A,0)),0))</f>
        <v/>
      </c>
    </row>
    <row r="805">
      <c r="A805" s="22" t="n"/>
      <c r="I805" s="21">
        <f>IF(D805="","",IFERROR(INDEX(Embalagens!$B:$B,MATCH(D805,Embalagens!$A:$A,0)),"Código não cadastrado"))</f>
        <v/>
      </c>
      <c r="J805" s="25">
        <f>IF(D805="","",E805*IFERROR(INDEX(Embalagens!$J:$J,MATCH(D805,Embalagens!$A:$A,0)),0))</f>
        <v/>
      </c>
    </row>
    <row r="806">
      <c r="A806" s="22" t="n"/>
      <c r="I806" s="21">
        <f>IF(D806="","",IFERROR(INDEX(Embalagens!$B:$B,MATCH(D806,Embalagens!$A:$A,0)),"Código não cadastrado"))</f>
        <v/>
      </c>
      <c r="J806" s="25">
        <f>IF(D806="","",E806*IFERROR(INDEX(Embalagens!$J:$J,MATCH(D806,Embalagens!$A:$A,0)),0))</f>
        <v/>
      </c>
    </row>
    <row r="807">
      <c r="A807" s="22" t="n"/>
      <c r="I807" s="21">
        <f>IF(D807="","",IFERROR(INDEX(Embalagens!$B:$B,MATCH(D807,Embalagens!$A:$A,0)),"Código não cadastrado"))</f>
        <v/>
      </c>
      <c r="J807" s="25">
        <f>IF(D807="","",E807*IFERROR(INDEX(Embalagens!$J:$J,MATCH(D807,Embalagens!$A:$A,0)),0))</f>
        <v/>
      </c>
    </row>
    <row r="808">
      <c r="A808" s="22" t="n"/>
      <c r="I808" s="21">
        <f>IF(D808="","",IFERROR(INDEX(Embalagens!$B:$B,MATCH(D808,Embalagens!$A:$A,0)),"Código não cadastrado"))</f>
        <v/>
      </c>
      <c r="J808" s="25">
        <f>IF(D808="","",E808*IFERROR(INDEX(Embalagens!$J:$J,MATCH(D808,Embalagens!$A:$A,0)),0))</f>
        <v/>
      </c>
    </row>
    <row r="809">
      <c r="A809" s="22" t="n"/>
      <c r="I809" s="21">
        <f>IF(D809="","",IFERROR(INDEX(Embalagens!$B:$B,MATCH(D809,Embalagens!$A:$A,0)),"Código não cadastrado"))</f>
        <v/>
      </c>
      <c r="J809" s="25">
        <f>IF(D809="","",E809*IFERROR(INDEX(Embalagens!$J:$J,MATCH(D809,Embalagens!$A:$A,0)),0))</f>
        <v/>
      </c>
    </row>
    <row r="810">
      <c r="A810" s="22" t="n"/>
      <c r="I810" s="21">
        <f>IF(D810="","",IFERROR(INDEX(Embalagens!$B:$B,MATCH(D810,Embalagens!$A:$A,0)),"Código não cadastrado"))</f>
        <v/>
      </c>
      <c r="J810" s="25">
        <f>IF(D810="","",E810*IFERROR(INDEX(Embalagens!$J:$J,MATCH(D810,Embalagens!$A:$A,0)),0))</f>
        <v/>
      </c>
    </row>
    <row r="811">
      <c r="A811" s="22" t="n"/>
      <c r="I811" s="21">
        <f>IF(D811="","",IFERROR(INDEX(Embalagens!$B:$B,MATCH(D811,Embalagens!$A:$A,0)),"Código não cadastrado"))</f>
        <v/>
      </c>
      <c r="J811" s="25">
        <f>IF(D811="","",E811*IFERROR(INDEX(Embalagens!$J:$J,MATCH(D811,Embalagens!$A:$A,0)),0))</f>
        <v/>
      </c>
    </row>
    <row r="812">
      <c r="A812" s="22" t="n"/>
      <c r="I812" s="21">
        <f>IF(D812="","",IFERROR(INDEX(Embalagens!$B:$B,MATCH(D812,Embalagens!$A:$A,0)),"Código não cadastrado"))</f>
        <v/>
      </c>
      <c r="J812" s="25">
        <f>IF(D812="","",E812*IFERROR(INDEX(Embalagens!$J:$J,MATCH(D812,Embalagens!$A:$A,0)),0))</f>
        <v/>
      </c>
    </row>
    <row r="813">
      <c r="A813" s="22" t="n"/>
      <c r="I813" s="21">
        <f>IF(D813="","",IFERROR(INDEX(Embalagens!$B:$B,MATCH(D813,Embalagens!$A:$A,0)),"Código não cadastrado"))</f>
        <v/>
      </c>
      <c r="J813" s="25">
        <f>IF(D813="","",E813*IFERROR(INDEX(Embalagens!$J:$J,MATCH(D813,Embalagens!$A:$A,0)),0))</f>
        <v/>
      </c>
    </row>
    <row r="814">
      <c r="A814" s="22" t="n"/>
      <c r="I814" s="21">
        <f>IF(D814="","",IFERROR(INDEX(Embalagens!$B:$B,MATCH(D814,Embalagens!$A:$A,0)),"Código não cadastrado"))</f>
        <v/>
      </c>
      <c r="J814" s="25">
        <f>IF(D814="","",E814*IFERROR(INDEX(Embalagens!$J:$J,MATCH(D814,Embalagens!$A:$A,0)),0))</f>
        <v/>
      </c>
    </row>
    <row r="815">
      <c r="A815" s="22" t="n"/>
      <c r="I815" s="21">
        <f>IF(D815="","",IFERROR(INDEX(Embalagens!$B:$B,MATCH(D815,Embalagens!$A:$A,0)),"Código não cadastrado"))</f>
        <v/>
      </c>
      <c r="J815" s="25">
        <f>IF(D815="","",E815*IFERROR(INDEX(Embalagens!$J:$J,MATCH(D815,Embalagens!$A:$A,0)),0))</f>
        <v/>
      </c>
    </row>
    <row r="816">
      <c r="A816" s="22" t="n"/>
      <c r="I816" s="21">
        <f>IF(D816="","",IFERROR(INDEX(Embalagens!$B:$B,MATCH(D816,Embalagens!$A:$A,0)),"Código não cadastrado"))</f>
        <v/>
      </c>
      <c r="J816" s="25">
        <f>IF(D816="","",E816*IFERROR(INDEX(Embalagens!$J:$J,MATCH(D816,Embalagens!$A:$A,0)),0))</f>
        <v/>
      </c>
    </row>
    <row r="817">
      <c r="A817" s="22" t="n"/>
      <c r="I817" s="21">
        <f>IF(D817="","",IFERROR(INDEX(Embalagens!$B:$B,MATCH(D817,Embalagens!$A:$A,0)),"Código não cadastrado"))</f>
        <v/>
      </c>
      <c r="J817" s="25">
        <f>IF(D817="","",E817*IFERROR(INDEX(Embalagens!$J:$J,MATCH(D817,Embalagens!$A:$A,0)),0))</f>
        <v/>
      </c>
    </row>
    <row r="818">
      <c r="A818" s="22" t="n"/>
      <c r="I818" s="21">
        <f>IF(D818="","",IFERROR(INDEX(Embalagens!$B:$B,MATCH(D818,Embalagens!$A:$A,0)),"Código não cadastrado"))</f>
        <v/>
      </c>
      <c r="J818" s="25">
        <f>IF(D818="","",E818*IFERROR(INDEX(Embalagens!$J:$J,MATCH(D818,Embalagens!$A:$A,0)),0))</f>
        <v/>
      </c>
    </row>
    <row r="819">
      <c r="A819" s="22" t="n"/>
      <c r="I819" s="21">
        <f>IF(D819="","",IFERROR(INDEX(Embalagens!$B:$B,MATCH(D819,Embalagens!$A:$A,0)),"Código não cadastrado"))</f>
        <v/>
      </c>
      <c r="J819" s="25">
        <f>IF(D819="","",E819*IFERROR(INDEX(Embalagens!$J:$J,MATCH(D819,Embalagens!$A:$A,0)),0))</f>
        <v/>
      </c>
    </row>
    <row r="820">
      <c r="A820" s="22" t="n"/>
      <c r="I820" s="21">
        <f>IF(D820="","",IFERROR(INDEX(Embalagens!$B:$B,MATCH(D820,Embalagens!$A:$A,0)),"Código não cadastrado"))</f>
        <v/>
      </c>
      <c r="J820" s="25">
        <f>IF(D820="","",E820*IFERROR(INDEX(Embalagens!$J:$J,MATCH(D820,Embalagens!$A:$A,0)),0))</f>
        <v/>
      </c>
    </row>
    <row r="821">
      <c r="A821" s="22" t="n"/>
      <c r="I821" s="21">
        <f>IF(D821="","",IFERROR(INDEX(Embalagens!$B:$B,MATCH(D821,Embalagens!$A:$A,0)),"Código não cadastrado"))</f>
        <v/>
      </c>
      <c r="J821" s="25">
        <f>IF(D821="","",E821*IFERROR(INDEX(Embalagens!$J:$J,MATCH(D821,Embalagens!$A:$A,0)),0))</f>
        <v/>
      </c>
    </row>
    <row r="822">
      <c r="A822" s="22" t="n"/>
      <c r="I822" s="21">
        <f>IF(D822="","",IFERROR(INDEX(Embalagens!$B:$B,MATCH(D822,Embalagens!$A:$A,0)),"Código não cadastrado"))</f>
        <v/>
      </c>
      <c r="J822" s="25">
        <f>IF(D822="","",E822*IFERROR(INDEX(Embalagens!$J:$J,MATCH(D822,Embalagens!$A:$A,0)),0))</f>
        <v/>
      </c>
    </row>
    <row r="823">
      <c r="A823" s="22" t="n"/>
      <c r="I823" s="21">
        <f>IF(D823="","",IFERROR(INDEX(Embalagens!$B:$B,MATCH(D823,Embalagens!$A:$A,0)),"Código não cadastrado"))</f>
        <v/>
      </c>
      <c r="J823" s="25">
        <f>IF(D823="","",E823*IFERROR(INDEX(Embalagens!$J:$J,MATCH(D823,Embalagens!$A:$A,0)),0))</f>
        <v/>
      </c>
    </row>
    <row r="824">
      <c r="A824" s="22" t="n"/>
      <c r="I824" s="21">
        <f>IF(D824="","",IFERROR(INDEX(Embalagens!$B:$B,MATCH(D824,Embalagens!$A:$A,0)),"Código não cadastrado"))</f>
        <v/>
      </c>
      <c r="J824" s="25">
        <f>IF(D824="","",E824*IFERROR(INDEX(Embalagens!$J:$J,MATCH(D824,Embalagens!$A:$A,0)),0))</f>
        <v/>
      </c>
    </row>
    <row r="825">
      <c r="A825" s="22" t="n"/>
      <c r="I825" s="21">
        <f>IF(D825="","",IFERROR(INDEX(Embalagens!$B:$B,MATCH(D825,Embalagens!$A:$A,0)),"Código não cadastrado"))</f>
        <v/>
      </c>
      <c r="J825" s="25">
        <f>IF(D825="","",E825*IFERROR(INDEX(Embalagens!$J:$J,MATCH(D825,Embalagens!$A:$A,0)),0))</f>
        <v/>
      </c>
    </row>
    <row r="826">
      <c r="A826" s="22" t="n"/>
      <c r="I826" s="21">
        <f>IF(D826="","",IFERROR(INDEX(Embalagens!$B:$B,MATCH(D826,Embalagens!$A:$A,0)),"Código não cadastrado"))</f>
        <v/>
      </c>
      <c r="J826" s="25">
        <f>IF(D826="","",E826*IFERROR(INDEX(Embalagens!$J:$J,MATCH(D826,Embalagens!$A:$A,0)),0))</f>
        <v/>
      </c>
    </row>
    <row r="827">
      <c r="A827" s="22" t="n"/>
      <c r="I827" s="21">
        <f>IF(D827="","",IFERROR(INDEX(Embalagens!$B:$B,MATCH(D827,Embalagens!$A:$A,0)),"Código não cadastrado"))</f>
        <v/>
      </c>
      <c r="J827" s="25">
        <f>IF(D827="","",E827*IFERROR(INDEX(Embalagens!$J:$J,MATCH(D827,Embalagens!$A:$A,0)),0))</f>
        <v/>
      </c>
    </row>
    <row r="828">
      <c r="A828" s="22" t="n"/>
      <c r="I828" s="21">
        <f>IF(D828="","",IFERROR(INDEX(Embalagens!$B:$B,MATCH(D828,Embalagens!$A:$A,0)),"Código não cadastrado"))</f>
        <v/>
      </c>
      <c r="J828" s="25">
        <f>IF(D828="","",E828*IFERROR(INDEX(Embalagens!$J:$J,MATCH(D828,Embalagens!$A:$A,0)),0))</f>
        <v/>
      </c>
    </row>
    <row r="829">
      <c r="A829" s="22" t="n"/>
      <c r="I829" s="21">
        <f>IF(D829="","",IFERROR(INDEX(Embalagens!$B:$B,MATCH(D829,Embalagens!$A:$A,0)),"Código não cadastrado"))</f>
        <v/>
      </c>
      <c r="J829" s="25">
        <f>IF(D829="","",E829*IFERROR(INDEX(Embalagens!$J:$J,MATCH(D829,Embalagens!$A:$A,0)),0))</f>
        <v/>
      </c>
    </row>
    <row r="830">
      <c r="A830" s="22" t="n"/>
      <c r="I830" s="21">
        <f>IF(D830="","",IFERROR(INDEX(Embalagens!$B:$B,MATCH(D830,Embalagens!$A:$A,0)),"Código não cadastrado"))</f>
        <v/>
      </c>
      <c r="J830" s="25">
        <f>IF(D830="","",E830*IFERROR(INDEX(Embalagens!$J:$J,MATCH(D830,Embalagens!$A:$A,0)),0))</f>
        <v/>
      </c>
    </row>
    <row r="831">
      <c r="A831" s="22" t="n"/>
      <c r="I831" s="21">
        <f>IF(D831="","",IFERROR(INDEX(Embalagens!$B:$B,MATCH(D831,Embalagens!$A:$A,0)),"Código não cadastrado"))</f>
        <v/>
      </c>
      <c r="J831" s="25">
        <f>IF(D831="","",E831*IFERROR(INDEX(Embalagens!$J:$J,MATCH(D831,Embalagens!$A:$A,0)),0))</f>
        <v/>
      </c>
    </row>
    <row r="832">
      <c r="A832" s="22" t="n"/>
      <c r="I832" s="21">
        <f>IF(D832="","",IFERROR(INDEX(Embalagens!$B:$B,MATCH(D832,Embalagens!$A:$A,0)),"Código não cadastrado"))</f>
        <v/>
      </c>
      <c r="J832" s="25">
        <f>IF(D832="","",E832*IFERROR(INDEX(Embalagens!$J:$J,MATCH(D832,Embalagens!$A:$A,0)),0))</f>
        <v/>
      </c>
    </row>
    <row r="833">
      <c r="A833" s="22" t="n"/>
      <c r="I833" s="21">
        <f>IF(D833="","",IFERROR(INDEX(Embalagens!$B:$B,MATCH(D833,Embalagens!$A:$A,0)),"Código não cadastrado"))</f>
        <v/>
      </c>
      <c r="J833" s="25">
        <f>IF(D833="","",E833*IFERROR(INDEX(Embalagens!$J:$J,MATCH(D833,Embalagens!$A:$A,0)),0))</f>
        <v/>
      </c>
    </row>
    <row r="834">
      <c r="A834" s="22" t="n"/>
      <c r="I834" s="21">
        <f>IF(D834="","",IFERROR(INDEX(Embalagens!$B:$B,MATCH(D834,Embalagens!$A:$A,0)),"Código não cadastrado"))</f>
        <v/>
      </c>
      <c r="J834" s="25">
        <f>IF(D834="","",E834*IFERROR(INDEX(Embalagens!$J:$J,MATCH(D834,Embalagens!$A:$A,0)),0))</f>
        <v/>
      </c>
    </row>
    <row r="835">
      <c r="A835" s="22" t="n"/>
      <c r="I835" s="21">
        <f>IF(D835="","",IFERROR(INDEX(Embalagens!$B:$B,MATCH(D835,Embalagens!$A:$A,0)),"Código não cadastrado"))</f>
        <v/>
      </c>
      <c r="J835" s="25">
        <f>IF(D835="","",E835*IFERROR(INDEX(Embalagens!$J:$J,MATCH(D835,Embalagens!$A:$A,0)),0))</f>
        <v/>
      </c>
    </row>
    <row r="836">
      <c r="A836" s="22" t="n"/>
      <c r="I836" s="21">
        <f>IF(D836="","",IFERROR(INDEX(Embalagens!$B:$B,MATCH(D836,Embalagens!$A:$A,0)),"Código não cadastrado"))</f>
        <v/>
      </c>
      <c r="J836" s="25">
        <f>IF(D836="","",E836*IFERROR(INDEX(Embalagens!$J:$J,MATCH(D836,Embalagens!$A:$A,0)),0))</f>
        <v/>
      </c>
    </row>
    <row r="837">
      <c r="A837" s="22" t="n"/>
      <c r="I837" s="21">
        <f>IF(D837="","",IFERROR(INDEX(Embalagens!$B:$B,MATCH(D837,Embalagens!$A:$A,0)),"Código não cadastrado"))</f>
        <v/>
      </c>
      <c r="J837" s="25">
        <f>IF(D837="","",E837*IFERROR(INDEX(Embalagens!$J:$J,MATCH(D837,Embalagens!$A:$A,0)),0))</f>
        <v/>
      </c>
    </row>
    <row r="838">
      <c r="A838" s="22" t="n"/>
      <c r="I838" s="21">
        <f>IF(D838="","",IFERROR(INDEX(Embalagens!$B:$B,MATCH(D838,Embalagens!$A:$A,0)),"Código não cadastrado"))</f>
        <v/>
      </c>
      <c r="J838" s="25">
        <f>IF(D838="","",E838*IFERROR(INDEX(Embalagens!$J:$J,MATCH(D838,Embalagens!$A:$A,0)),0))</f>
        <v/>
      </c>
    </row>
    <row r="839">
      <c r="A839" s="22" t="n"/>
      <c r="I839" s="21">
        <f>IF(D839="","",IFERROR(INDEX(Embalagens!$B:$B,MATCH(D839,Embalagens!$A:$A,0)),"Código não cadastrado"))</f>
        <v/>
      </c>
      <c r="J839" s="25">
        <f>IF(D839="","",E839*IFERROR(INDEX(Embalagens!$J:$J,MATCH(D839,Embalagens!$A:$A,0)),0))</f>
        <v/>
      </c>
    </row>
    <row r="840">
      <c r="A840" s="22" t="n"/>
      <c r="I840" s="21">
        <f>IF(D840="","",IFERROR(INDEX(Embalagens!$B:$B,MATCH(D840,Embalagens!$A:$A,0)),"Código não cadastrado"))</f>
        <v/>
      </c>
      <c r="J840" s="25">
        <f>IF(D840="","",E840*IFERROR(INDEX(Embalagens!$J:$J,MATCH(D840,Embalagens!$A:$A,0)),0))</f>
        <v/>
      </c>
    </row>
    <row r="841">
      <c r="A841" s="22" t="n"/>
      <c r="I841" s="21">
        <f>IF(D841="","",IFERROR(INDEX(Embalagens!$B:$B,MATCH(D841,Embalagens!$A:$A,0)),"Código não cadastrado"))</f>
        <v/>
      </c>
      <c r="J841" s="25">
        <f>IF(D841="","",E841*IFERROR(INDEX(Embalagens!$J:$J,MATCH(D841,Embalagens!$A:$A,0)),0))</f>
        <v/>
      </c>
    </row>
    <row r="842">
      <c r="A842" s="22" t="n"/>
      <c r="I842" s="21">
        <f>IF(D842="","",IFERROR(INDEX(Embalagens!$B:$B,MATCH(D842,Embalagens!$A:$A,0)),"Código não cadastrado"))</f>
        <v/>
      </c>
      <c r="J842" s="25">
        <f>IF(D842="","",E842*IFERROR(INDEX(Embalagens!$J:$J,MATCH(D842,Embalagens!$A:$A,0)),0))</f>
        <v/>
      </c>
    </row>
    <row r="843">
      <c r="A843" s="22" t="n"/>
      <c r="I843" s="21">
        <f>IF(D843="","",IFERROR(INDEX(Embalagens!$B:$B,MATCH(D843,Embalagens!$A:$A,0)),"Código não cadastrado"))</f>
        <v/>
      </c>
      <c r="J843" s="25">
        <f>IF(D843="","",E843*IFERROR(INDEX(Embalagens!$J:$J,MATCH(D843,Embalagens!$A:$A,0)),0))</f>
        <v/>
      </c>
    </row>
    <row r="844">
      <c r="A844" s="22" t="n"/>
      <c r="I844" s="21">
        <f>IF(D844="","",IFERROR(INDEX(Embalagens!$B:$B,MATCH(D844,Embalagens!$A:$A,0)),"Código não cadastrado"))</f>
        <v/>
      </c>
      <c r="J844" s="25">
        <f>IF(D844="","",E844*IFERROR(INDEX(Embalagens!$J:$J,MATCH(D844,Embalagens!$A:$A,0)),0))</f>
        <v/>
      </c>
    </row>
    <row r="845">
      <c r="A845" s="22" t="n"/>
      <c r="I845" s="21">
        <f>IF(D845="","",IFERROR(INDEX(Embalagens!$B:$B,MATCH(D845,Embalagens!$A:$A,0)),"Código não cadastrado"))</f>
        <v/>
      </c>
      <c r="J845" s="25">
        <f>IF(D845="","",E845*IFERROR(INDEX(Embalagens!$J:$J,MATCH(D845,Embalagens!$A:$A,0)),0))</f>
        <v/>
      </c>
    </row>
    <row r="846">
      <c r="A846" s="22" t="n"/>
      <c r="I846" s="21">
        <f>IF(D846="","",IFERROR(INDEX(Embalagens!$B:$B,MATCH(D846,Embalagens!$A:$A,0)),"Código não cadastrado"))</f>
        <v/>
      </c>
      <c r="J846" s="25">
        <f>IF(D846="","",E846*IFERROR(INDEX(Embalagens!$J:$J,MATCH(D846,Embalagens!$A:$A,0)),0))</f>
        <v/>
      </c>
    </row>
    <row r="847">
      <c r="A847" s="22" t="n"/>
      <c r="I847" s="21">
        <f>IF(D847="","",IFERROR(INDEX(Embalagens!$B:$B,MATCH(D847,Embalagens!$A:$A,0)),"Código não cadastrado"))</f>
        <v/>
      </c>
      <c r="J847" s="25">
        <f>IF(D847="","",E847*IFERROR(INDEX(Embalagens!$J:$J,MATCH(D847,Embalagens!$A:$A,0)),0))</f>
        <v/>
      </c>
    </row>
    <row r="848">
      <c r="A848" s="22" t="n"/>
      <c r="I848" s="21">
        <f>IF(D848="","",IFERROR(INDEX(Embalagens!$B:$B,MATCH(D848,Embalagens!$A:$A,0)),"Código não cadastrado"))</f>
        <v/>
      </c>
      <c r="J848" s="25">
        <f>IF(D848="","",E848*IFERROR(INDEX(Embalagens!$J:$J,MATCH(D848,Embalagens!$A:$A,0)),0))</f>
        <v/>
      </c>
    </row>
    <row r="849">
      <c r="A849" s="22" t="n"/>
      <c r="I849" s="21">
        <f>IF(D849="","",IFERROR(INDEX(Embalagens!$B:$B,MATCH(D849,Embalagens!$A:$A,0)),"Código não cadastrado"))</f>
        <v/>
      </c>
      <c r="J849" s="25">
        <f>IF(D849="","",E849*IFERROR(INDEX(Embalagens!$J:$J,MATCH(D849,Embalagens!$A:$A,0)),0))</f>
        <v/>
      </c>
    </row>
    <row r="850">
      <c r="A850" s="22" t="n"/>
      <c r="I850" s="21">
        <f>IF(D850="","",IFERROR(INDEX(Embalagens!$B:$B,MATCH(D850,Embalagens!$A:$A,0)),"Código não cadastrado"))</f>
        <v/>
      </c>
      <c r="J850" s="25">
        <f>IF(D850="","",E850*IFERROR(INDEX(Embalagens!$J:$J,MATCH(D850,Embalagens!$A:$A,0)),0))</f>
        <v/>
      </c>
    </row>
    <row r="851">
      <c r="A851" s="22" t="n"/>
      <c r="I851" s="21">
        <f>IF(D851="","",IFERROR(INDEX(Embalagens!$B:$B,MATCH(D851,Embalagens!$A:$A,0)),"Código não cadastrado"))</f>
        <v/>
      </c>
      <c r="J851" s="25">
        <f>IF(D851="","",E851*IFERROR(INDEX(Embalagens!$J:$J,MATCH(D851,Embalagens!$A:$A,0)),0))</f>
        <v/>
      </c>
    </row>
    <row r="852">
      <c r="A852" s="22" t="n"/>
      <c r="I852" s="21">
        <f>IF(D852="","",IFERROR(INDEX(Embalagens!$B:$B,MATCH(D852,Embalagens!$A:$A,0)),"Código não cadastrado"))</f>
        <v/>
      </c>
      <c r="J852" s="25">
        <f>IF(D852="","",E852*IFERROR(INDEX(Embalagens!$J:$J,MATCH(D852,Embalagens!$A:$A,0)),0))</f>
        <v/>
      </c>
    </row>
    <row r="853">
      <c r="A853" s="22" t="n"/>
      <c r="I853" s="21">
        <f>IF(D853="","",IFERROR(INDEX(Embalagens!$B:$B,MATCH(D853,Embalagens!$A:$A,0)),"Código não cadastrado"))</f>
        <v/>
      </c>
      <c r="J853" s="25">
        <f>IF(D853="","",E853*IFERROR(INDEX(Embalagens!$J:$J,MATCH(D853,Embalagens!$A:$A,0)),0))</f>
        <v/>
      </c>
    </row>
    <row r="854">
      <c r="A854" s="22" t="n"/>
      <c r="I854" s="21">
        <f>IF(D854="","",IFERROR(INDEX(Embalagens!$B:$B,MATCH(D854,Embalagens!$A:$A,0)),"Código não cadastrado"))</f>
        <v/>
      </c>
      <c r="J854" s="25">
        <f>IF(D854="","",E854*IFERROR(INDEX(Embalagens!$J:$J,MATCH(D854,Embalagens!$A:$A,0)),0))</f>
        <v/>
      </c>
    </row>
    <row r="855">
      <c r="A855" s="22" t="n"/>
      <c r="I855" s="21">
        <f>IF(D855="","",IFERROR(INDEX(Embalagens!$B:$B,MATCH(D855,Embalagens!$A:$A,0)),"Código não cadastrado"))</f>
        <v/>
      </c>
      <c r="J855" s="25">
        <f>IF(D855="","",E855*IFERROR(INDEX(Embalagens!$J:$J,MATCH(D855,Embalagens!$A:$A,0)),0))</f>
        <v/>
      </c>
    </row>
    <row r="856">
      <c r="A856" s="22" t="n"/>
      <c r="I856" s="21">
        <f>IF(D856="","",IFERROR(INDEX(Embalagens!$B:$B,MATCH(D856,Embalagens!$A:$A,0)),"Código não cadastrado"))</f>
        <v/>
      </c>
      <c r="J856" s="25">
        <f>IF(D856="","",E856*IFERROR(INDEX(Embalagens!$J:$J,MATCH(D856,Embalagens!$A:$A,0)),0))</f>
        <v/>
      </c>
    </row>
    <row r="857">
      <c r="A857" s="22" t="n"/>
      <c r="I857" s="21">
        <f>IF(D857="","",IFERROR(INDEX(Embalagens!$B:$B,MATCH(D857,Embalagens!$A:$A,0)),"Código não cadastrado"))</f>
        <v/>
      </c>
      <c r="J857" s="25">
        <f>IF(D857="","",E857*IFERROR(INDEX(Embalagens!$J:$J,MATCH(D857,Embalagens!$A:$A,0)),0))</f>
        <v/>
      </c>
    </row>
    <row r="858">
      <c r="A858" s="22" t="n"/>
      <c r="I858" s="21">
        <f>IF(D858="","",IFERROR(INDEX(Embalagens!$B:$B,MATCH(D858,Embalagens!$A:$A,0)),"Código não cadastrado"))</f>
        <v/>
      </c>
      <c r="J858" s="25">
        <f>IF(D858="","",E858*IFERROR(INDEX(Embalagens!$J:$J,MATCH(D858,Embalagens!$A:$A,0)),0))</f>
        <v/>
      </c>
    </row>
    <row r="859">
      <c r="A859" s="22" t="n"/>
      <c r="I859" s="21">
        <f>IF(D859="","",IFERROR(INDEX(Embalagens!$B:$B,MATCH(D859,Embalagens!$A:$A,0)),"Código não cadastrado"))</f>
        <v/>
      </c>
      <c r="J859" s="25">
        <f>IF(D859="","",E859*IFERROR(INDEX(Embalagens!$J:$J,MATCH(D859,Embalagens!$A:$A,0)),0))</f>
        <v/>
      </c>
    </row>
    <row r="860">
      <c r="A860" s="22" t="n"/>
      <c r="I860" s="21">
        <f>IF(D860="","",IFERROR(INDEX(Embalagens!$B:$B,MATCH(D860,Embalagens!$A:$A,0)),"Código não cadastrado"))</f>
        <v/>
      </c>
      <c r="J860" s="25">
        <f>IF(D860="","",E860*IFERROR(INDEX(Embalagens!$J:$J,MATCH(D860,Embalagens!$A:$A,0)),0))</f>
        <v/>
      </c>
    </row>
    <row r="861">
      <c r="A861" s="22" t="n"/>
      <c r="I861" s="21">
        <f>IF(D861="","",IFERROR(INDEX(Embalagens!$B:$B,MATCH(D861,Embalagens!$A:$A,0)),"Código não cadastrado"))</f>
        <v/>
      </c>
      <c r="J861" s="25">
        <f>IF(D861="","",E861*IFERROR(INDEX(Embalagens!$J:$J,MATCH(D861,Embalagens!$A:$A,0)),0))</f>
        <v/>
      </c>
    </row>
    <row r="862">
      <c r="A862" s="22" t="n"/>
      <c r="I862" s="21">
        <f>IF(D862="","",IFERROR(INDEX(Embalagens!$B:$B,MATCH(D862,Embalagens!$A:$A,0)),"Código não cadastrado"))</f>
        <v/>
      </c>
      <c r="J862" s="25">
        <f>IF(D862="","",E862*IFERROR(INDEX(Embalagens!$J:$J,MATCH(D862,Embalagens!$A:$A,0)),0))</f>
        <v/>
      </c>
    </row>
    <row r="863">
      <c r="A863" s="22" t="n"/>
      <c r="I863" s="21">
        <f>IF(D863="","",IFERROR(INDEX(Embalagens!$B:$B,MATCH(D863,Embalagens!$A:$A,0)),"Código não cadastrado"))</f>
        <v/>
      </c>
      <c r="J863" s="25">
        <f>IF(D863="","",E863*IFERROR(INDEX(Embalagens!$J:$J,MATCH(D863,Embalagens!$A:$A,0)),0))</f>
        <v/>
      </c>
    </row>
    <row r="864">
      <c r="A864" s="22" t="n"/>
      <c r="I864" s="21">
        <f>IF(D864="","",IFERROR(INDEX(Embalagens!$B:$B,MATCH(D864,Embalagens!$A:$A,0)),"Código não cadastrado"))</f>
        <v/>
      </c>
      <c r="J864" s="25">
        <f>IF(D864="","",E864*IFERROR(INDEX(Embalagens!$J:$J,MATCH(D864,Embalagens!$A:$A,0)),0))</f>
        <v/>
      </c>
    </row>
    <row r="865">
      <c r="A865" s="22" t="n"/>
      <c r="I865" s="21">
        <f>IF(D865="","",IFERROR(INDEX(Embalagens!$B:$B,MATCH(D865,Embalagens!$A:$A,0)),"Código não cadastrado"))</f>
        <v/>
      </c>
      <c r="J865" s="25">
        <f>IF(D865="","",E865*IFERROR(INDEX(Embalagens!$J:$J,MATCH(D865,Embalagens!$A:$A,0)),0))</f>
        <v/>
      </c>
    </row>
    <row r="866">
      <c r="A866" s="22" t="n"/>
      <c r="I866" s="21">
        <f>IF(D866="","",IFERROR(INDEX(Embalagens!$B:$B,MATCH(D866,Embalagens!$A:$A,0)),"Código não cadastrado"))</f>
        <v/>
      </c>
      <c r="J866" s="25">
        <f>IF(D866="","",E866*IFERROR(INDEX(Embalagens!$J:$J,MATCH(D866,Embalagens!$A:$A,0)),0))</f>
        <v/>
      </c>
    </row>
    <row r="867">
      <c r="A867" s="22" t="n"/>
      <c r="I867" s="21">
        <f>IF(D867="","",IFERROR(INDEX(Embalagens!$B:$B,MATCH(D867,Embalagens!$A:$A,0)),"Código não cadastrado"))</f>
        <v/>
      </c>
      <c r="J867" s="25">
        <f>IF(D867="","",E867*IFERROR(INDEX(Embalagens!$J:$J,MATCH(D867,Embalagens!$A:$A,0)),0))</f>
        <v/>
      </c>
    </row>
    <row r="868">
      <c r="A868" s="22" t="n"/>
      <c r="I868" s="21">
        <f>IF(D868="","",IFERROR(INDEX(Embalagens!$B:$B,MATCH(D868,Embalagens!$A:$A,0)),"Código não cadastrado"))</f>
        <v/>
      </c>
      <c r="J868" s="25">
        <f>IF(D868="","",E868*IFERROR(INDEX(Embalagens!$J:$J,MATCH(D868,Embalagens!$A:$A,0)),0))</f>
        <v/>
      </c>
    </row>
    <row r="869">
      <c r="A869" s="22" t="n"/>
      <c r="I869" s="21">
        <f>IF(D869="","",IFERROR(INDEX(Embalagens!$B:$B,MATCH(D869,Embalagens!$A:$A,0)),"Código não cadastrado"))</f>
        <v/>
      </c>
      <c r="J869" s="25">
        <f>IF(D869="","",E869*IFERROR(INDEX(Embalagens!$J:$J,MATCH(D869,Embalagens!$A:$A,0)),0))</f>
        <v/>
      </c>
    </row>
    <row r="870">
      <c r="A870" s="22" t="n"/>
      <c r="I870" s="21">
        <f>IF(D870="","",IFERROR(INDEX(Embalagens!$B:$B,MATCH(D870,Embalagens!$A:$A,0)),"Código não cadastrado"))</f>
        <v/>
      </c>
      <c r="J870" s="25">
        <f>IF(D870="","",E870*IFERROR(INDEX(Embalagens!$J:$J,MATCH(D870,Embalagens!$A:$A,0)),0))</f>
        <v/>
      </c>
    </row>
    <row r="871">
      <c r="A871" s="22" t="n"/>
      <c r="I871" s="21">
        <f>IF(D871="","",IFERROR(INDEX(Embalagens!$B:$B,MATCH(D871,Embalagens!$A:$A,0)),"Código não cadastrado"))</f>
        <v/>
      </c>
      <c r="J871" s="25">
        <f>IF(D871="","",E871*IFERROR(INDEX(Embalagens!$J:$J,MATCH(D871,Embalagens!$A:$A,0)),0))</f>
        <v/>
      </c>
    </row>
    <row r="872">
      <c r="A872" s="22" t="n"/>
      <c r="I872" s="21">
        <f>IF(D872="","",IFERROR(INDEX(Embalagens!$B:$B,MATCH(D872,Embalagens!$A:$A,0)),"Código não cadastrado"))</f>
        <v/>
      </c>
      <c r="J872" s="25">
        <f>IF(D872="","",E872*IFERROR(INDEX(Embalagens!$J:$J,MATCH(D872,Embalagens!$A:$A,0)),0))</f>
        <v/>
      </c>
    </row>
    <row r="873">
      <c r="A873" s="22" t="n"/>
      <c r="I873" s="21">
        <f>IF(D873="","",IFERROR(INDEX(Embalagens!$B:$B,MATCH(D873,Embalagens!$A:$A,0)),"Código não cadastrado"))</f>
        <v/>
      </c>
      <c r="J873" s="25">
        <f>IF(D873="","",E873*IFERROR(INDEX(Embalagens!$J:$J,MATCH(D873,Embalagens!$A:$A,0)),0))</f>
        <v/>
      </c>
    </row>
    <row r="874">
      <c r="A874" s="22" t="n"/>
      <c r="I874" s="21">
        <f>IF(D874="","",IFERROR(INDEX(Embalagens!$B:$B,MATCH(D874,Embalagens!$A:$A,0)),"Código não cadastrado"))</f>
        <v/>
      </c>
      <c r="J874" s="25">
        <f>IF(D874="","",E874*IFERROR(INDEX(Embalagens!$J:$J,MATCH(D874,Embalagens!$A:$A,0)),0))</f>
        <v/>
      </c>
    </row>
    <row r="875">
      <c r="A875" s="22" t="n"/>
      <c r="I875" s="21">
        <f>IF(D875="","",IFERROR(INDEX(Embalagens!$B:$B,MATCH(D875,Embalagens!$A:$A,0)),"Código não cadastrado"))</f>
        <v/>
      </c>
      <c r="J875" s="25">
        <f>IF(D875="","",E875*IFERROR(INDEX(Embalagens!$J:$J,MATCH(D875,Embalagens!$A:$A,0)),0))</f>
        <v/>
      </c>
    </row>
    <row r="876">
      <c r="A876" s="22" t="n"/>
      <c r="I876" s="21">
        <f>IF(D876="","",IFERROR(INDEX(Embalagens!$B:$B,MATCH(D876,Embalagens!$A:$A,0)),"Código não cadastrado"))</f>
        <v/>
      </c>
      <c r="J876" s="25">
        <f>IF(D876="","",E876*IFERROR(INDEX(Embalagens!$J:$J,MATCH(D876,Embalagens!$A:$A,0)),0))</f>
        <v/>
      </c>
    </row>
    <row r="877">
      <c r="A877" s="22" t="n"/>
      <c r="I877" s="21">
        <f>IF(D877="","",IFERROR(INDEX(Embalagens!$B:$B,MATCH(D877,Embalagens!$A:$A,0)),"Código não cadastrado"))</f>
        <v/>
      </c>
      <c r="J877" s="25">
        <f>IF(D877="","",E877*IFERROR(INDEX(Embalagens!$J:$J,MATCH(D877,Embalagens!$A:$A,0)),0))</f>
        <v/>
      </c>
    </row>
    <row r="878">
      <c r="A878" s="22" t="n"/>
      <c r="I878" s="21">
        <f>IF(D878="","",IFERROR(INDEX(Embalagens!$B:$B,MATCH(D878,Embalagens!$A:$A,0)),"Código não cadastrado"))</f>
        <v/>
      </c>
      <c r="J878" s="25">
        <f>IF(D878="","",E878*IFERROR(INDEX(Embalagens!$J:$J,MATCH(D878,Embalagens!$A:$A,0)),0))</f>
        <v/>
      </c>
    </row>
    <row r="879">
      <c r="A879" s="22" t="n"/>
      <c r="I879" s="21">
        <f>IF(D879="","",IFERROR(INDEX(Embalagens!$B:$B,MATCH(D879,Embalagens!$A:$A,0)),"Código não cadastrado"))</f>
        <v/>
      </c>
      <c r="J879" s="25">
        <f>IF(D879="","",E879*IFERROR(INDEX(Embalagens!$J:$J,MATCH(D879,Embalagens!$A:$A,0)),0))</f>
        <v/>
      </c>
    </row>
    <row r="880">
      <c r="A880" s="22" t="n"/>
      <c r="I880" s="21">
        <f>IF(D880="","",IFERROR(INDEX(Embalagens!$B:$B,MATCH(D880,Embalagens!$A:$A,0)),"Código não cadastrado"))</f>
        <v/>
      </c>
      <c r="J880" s="25">
        <f>IF(D880="","",E880*IFERROR(INDEX(Embalagens!$J:$J,MATCH(D880,Embalagens!$A:$A,0)),0))</f>
        <v/>
      </c>
    </row>
    <row r="881">
      <c r="A881" s="22" t="n"/>
      <c r="I881" s="21">
        <f>IF(D881="","",IFERROR(INDEX(Embalagens!$B:$B,MATCH(D881,Embalagens!$A:$A,0)),"Código não cadastrado"))</f>
        <v/>
      </c>
      <c r="J881" s="25">
        <f>IF(D881="","",E881*IFERROR(INDEX(Embalagens!$J:$J,MATCH(D881,Embalagens!$A:$A,0)),0))</f>
        <v/>
      </c>
    </row>
    <row r="882">
      <c r="A882" s="22" t="n"/>
      <c r="I882" s="21">
        <f>IF(D882="","",IFERROR(INDEX(Embalagens!$B:$B,MATCH(D882,Embalagens!$A:$A,0)),"Código não cadastrado"))</f>
        <v/>
      </c>
      <c r="J882" s="25">
        <f>IF(D882="","",E882*IFERROR(INDEX(Embalagens!$J:$J,MATCH(D882,Embalagens!$A:$A,0)),0))</f>
        <v/>
      </c>
    </row>
    <row r="883">
      <c r="A883" s="22" t="n"/>
      <c r="I883" s="21">
        <f>IF(D883="","",IFERROR(INDEX(Embalagens!$B:$B,MATCH(D883,Embalagens!$A:$A,0)),"Código não cadastrado"))</f>
        <v/>
      </c>
      <c r="J883" s="25">
        <f>IF(D883="","",E883*IFERROR(INDEX(Embalagens!$J:$J,MATCH(D883,Embalagens!$A:$A,0)),0))</f>
        <v/>
      </c>
    </row>
    <row r="884">
      <c r="A884" s="22" t="n"/>
      <c r="I884" s="21">
        <f>IF(D884="","",IFERROR(INDEX(Embalagens!$B:$B,MATCH(D884,Embalagens!$A:$A,0)),"Código não cadastrado"))</f>
        <v/>
      </c>
      <c r="J884" s="25">
        <f>IF(D884="","",E884*IFERROR(INDEX(Embalagens!$J:$J,MATCH(D884,Embalagens!$A:$A,0)),0))</f>
        <v/>
      </c>
    </row>
    <row r="885">
      <c r="A885" s="22" t="n"/>
      <c r="I885" s="21">
        <f>IF(D885="","",IFERROR(INDEX(Embalagens!$B:$B,MATCH(D885,Embalagens!$A:$A,0)),"Código não cadastrado"))</f>
        <v/>
      </c>
      <c r="J885" s="25">
        <f>IF(D885="","",E885*IFERROR(INDEX(Embalagens!$J:$J,MATCH(D885,Embalagens!$A:$A,0)),0))</f>
        <v/>
      </c>
    </row>
    <row r="886">
      <c r="A886" s="22" t="n"/>
      <c r="I886" s="21">
        <f>IF(D886="","",IFERROR(INDEX(Embalagens!$B:$B,MATCH(D886,Embalagens!$A:$A,0)),"Código não cadastrado"))</f>
        <v/>
      </c>
      <c r="J886" s="25">
        <f>IF(D886="","",E886*IFERROR(INDEX(Embalagens!$J:$J,MATCH(D886,Embalagens!$A:$A,0)),0))</f>
        <v/>
      </c>
    </row>
    <row r="887">
      <c r="A887" s="22" t="n"/>
      <c r="I887" s="21">
        <f>IF(D887="","",IFERROR(INDEX(Embalagens!$B:$B,MATCH(D887,Embalagens!$A:$A,0)),"Código não cadastrado"))</f>
        <v/>
      </c>
      <c r="J887" s="25">
        <f>IF(D887="","",E887*IFERROR(INDEX(Embalagens!$J:$J,MATCH(D887,Embalagens!$A:$A,0)),0))</f>
        <v/>
      </c>
    </row>
    <row r="888">
      <c r="A888" s="22" t="n"/>
      <c r="I888" s="21">
        <f>IF(D888="","",IFERROR(INDEX(Embalagens!$B:$B,MATCH(D888,Embalagens!$A:$A,0)),"Código não cadastrado"))</f>
        <v/>
      </c>
      <c r="J888" s="25">
        <f>IF(D888="","",E888*IFERROR(INDEX(Embalagens!$J:$J,MATCH(D888,Embalagens!$A:$A,0)),0))</f>
        <v/>
      </c>
    </row>
    <row r="889">
      <c r="A889" s="22" t="n"/>
      <c r="I889" s="21">
        <f>IF(D889="","",IFERROR(INDEX(Embalagens!$B:$B,MATCH(D889,Embalagens!$A:$A,0)),"Código não cadastrado"))</f>
        <v/>
      </c>
      <c r="J889" s="25">
        <f>IF(D889="","",E889*IFERROR(INDEX(Embalagens!$J:$J,MATCH(D889,Embalagens!$A:$A,0)),0))</f>
        <v/>
      </c>
    </row>
    <row r="890">
      <c r="A890" s="22" t="n"/>
      <c r="I890" s="21">
        <f>IF(D890="","",IFERROR(INDEX(Embalagens!$B:$B,MATCH(D890,Embalagens!$A:$A,0)),"Código não cadastrado"))</f>
        <v/>
      </c>
      <c r="J890" s="25">
        <f>IF(D890="","",E890*IFERROR(INDEX(Embalagens!$J:$J,MATCH(D890,Embalagens!$A:$A,0)),0))</f>
        <v/>
      </c>
    </row>
    <row r="891">
      <c r="A891" s="22" t="n"/>
      <c r="I891" s="21">
        <f>IF(D891="","",IFERROR(INDEX(Embalagens!$B:$B,MATCH(D891,Embalagens!$A:$A,0)),"Código não cadastrado"))</f>
        <v/>
      </c>
      <c r="J891" s="25">
        <f>IF(D891="","",E891*IFERROR(INDEX(Embalagens!$J:$J,MATCH(D891,Embalagens!$A:$A,0)),0))</f>
        <v/>
      </c>
    </row>
    <row r="892">
      <c r="A892" s="22" t="n"/>
      <c r="I892" s="21">
        <f>IF(D892="","",IFERROR(INDEX(Embalagens!$B:$B,MATCH(D892,Embalagens!$A:$A,0)),"Código não cadastrado"))</f>
        <v/>
      </c>
      <c r="J892" s="25">
        <f>IF(D892="","",E892*IFERROR(INDEX(Embalagens!$J:$J,MATCH(D892,Embalagens!$A:$A,0)),0))</f>
        <v/>
      </c>
    </row>
    <row r="893">
      <c r="A893" s="22" t="n"/>
      <c r="I893" s="21">
        <f>IF(D893="","",IFERROR(INDEX(Embalagens!$B:$B,MATCH(D893,Embalagens!$A:$A,0)),"Código não cadastrado"))</f>
        <v/>
      </c>
      <c r="J893" s="25">
        <f>IF(D893="","",E893*IFERROR(INDEX(Embalagens!$J:$J,MATCH(D893,Embalagens!$A:$A,0)),0))</f>
        <v/>
      </c>
    </row>
    <row r="894">
      <c r="A894" s="22" t="n"/>
      <c r="I894" s="21">
        <f>IF(D894="","",IFERROR(INDEX(Embalagens!$B:$B,MATCH(D894,Embalagens!$A:$A,0)),"Código não cadastrado"))</f>
        <v/>
      </c>
      <c r="J894" s="25">
        <f>IF(D894="","",E894*IFERROR(INDEX(Embalagens!$J:$J,MATCH(D894,Embalagens!$A:$A,0)),0))</f>
        <v/>
      </c>
    </row>
    <row r="895">
      <c r="A895" s="22" t="n"/>
      <c r="I895" s="21">
        <f>IF(D895="","",IFERROR(INDEX(Embalagens!$B:$B,MATCH(D895,Embalagens!$A:$A,0)),"Código não cadastrado"))</f>
        <v/>
      </c>
      <c r="J895" s="25">
        <f>IF(D895="","",E895*IFERROR(INDEX(Embalagens!$J:$J,MATCH(D895,Embalagens!$A:$A,0)),0))</f>
        <v/>
      </c>
    </row>
    <row r="896">
      <c r="A896" s="22" t="n"/>
      <c r="I896" s="21">
        <f>IF(D896="","",IFERROR(INDEX(Embalagens!$B:$B,MATCH(D896,Embalagens!$A:$A,0)),"Código não cadastrado"))</f>
        <v/>
      </c>
      <c r="J896" s="25">
        <f>IF(D896="","",E896*IFERROR(INDEX(Embalagens!$J:$J,MATCH(D896,Embalagens!$A:$A,0)),0))</f>
        <v/>
      </c>
    </row>
    <row r="897">
      <c r="A897" s="22" t="n"/>
      <c r="I897" s="21">
        <f>IF(D897="","",IFERROR(INDEX(Embalagens!$B:$B,MATCH(D897,Embalagens!$A:$A,0)),"Código não cadastrado"))</f>
        <v/>
      </c>
      <c r="J897" s="25">
        <f>IF(D897="","",E897*IFERROR(INDEX(Embalagens!$J:$J,MATCH(D897,Embalagens!$A:$A,0)),0))</f>
        <v/>
      </c>
    </row>
    <row r="898">
      <c r="A898" s="22" t="n"/>
      <c r="I898" s="21">
        <f>IF(D898="","",IFERROR(INDEX(Embalagens!$B:$B,MATCH(D898,Embalagens!$A:$A,0)),"Código não cadastrado"))</f>
        <v/>
      </c>
      <c r="J898" s="25">
        <f>IF(D898="","",E898*IFERROR(INDEX(Embalagens!$J:$J,MATCH(D898,Embalagens!$A:$A,0)),0))</f>
        <v/>
      </c>
    </row>
    <row r="899">
      <c r="A899" s="22" t="n"/>
      <c r="I899" s="21">
        <f>IF(D899="","",IFERROR(INDEX(Embalagens!$B:$B,MATCH(D899,Embalagens!$A:$A,0)),"Código não cadastrado"))</f>
        <v/>
      </c>
      <c r="J899" s="25">
        <f>IF(D899="","",E899*IFERROR(INDEX(Embalagens!$J:$J,MATCH(D899,Embalagens!$A:$A,0)),0))</f>
        <v/>
      </c>
    </row>
    <row r="900">
      <c r="A900" s="22" t="n"/>
      <c r="I900" s="21">
        <f>IF(D900="","",IFERROR(INDEX(Embalagens!$B:$B,MATCH(D900,Embalagens!$A:$A,0)),"Código não cadastrado"))</f>
        <v/>
      </c>
      <c r="J900" s="25">
        <f>IF(D900="","",E900*IFERROR(INDEX(Embalagens!$J:$J,MATCH(D900,Embalagens!$A:$A,0)),0))</f>
        <v/>
      </c>
    </row>
    <row r="901">
      <c r="A901" s="22" t="n"/>
      <c r="I901" s="21">
        <f>IF(D901="","",IFERROR(INDEX(Embalagens!$B:$B,MATCH(D901,Embalagens!$A:$A,0)),"Código não cadastrado"))</f>
        <v/>
      </c>
      <c r="J901" s="25">
        <f>IF(D901="","",E901*IFERROR(INDEX(Embalagens!$J:$J,MATCH(D901,Embalagens!$A:$A,0)),0))</f>
        <v/>
      </c>
    </row>
    <row r="902">
      <c r="A902" s="22" t="n"/>
      <c r="I902" s="21">
        <f>IF(D902="","",IFERROR(INDEX(Embalagens!$B:$B,MATCH(D902,Embalagens!$A:$A,0)),"Código não cadastrado"))</f>
        <v/>
      </c>
      <c r="J902" s="25">
        <f>IF(D902="","",E902*IFERROR(INDEX(Embalagens!$J:$J,MATCH(D902,Embalagens!$A:$A,0)),0))</f>
        <v/>
      </c>
    </row>
    <row r="903">
      <c r="A903" s="22" t="n"/>
      <c r="I903" s="21">
        <f>IF(D903="","",IFERROR(INDEX(Embalagens!$B:$B,MATCH(D903,Embalagens!$A:$A,0)),"Código não cadastrado"))</f>
        <v/>
      </c>
      <c r="J903" s="25">
        <f>IF(D903="","",E903*IFERROR(INDEX(Embalagens!$J:$J,MATCH(D903,Embalagens!$A:$A,0)),0))</f>
        <v/>
      </c>
    </row>
    <row r="904">
      <c r="A904" s="22" t="n"/>
      <c r="I904" s="21">
        <f>IF(D904="","",IFERROR(INDEX(Embalagens!$B:$B,MATCH(D904,Embalagens!$A:$A,0)),"Código não cadastrado"))</f>
        <v/>
      </c>
      <c r="J904" s="25">
        <f>IF(D904="","",E904*IFERROR(INDEX(Embalagens!$J:$J,MATCH(D904,Embalagens!$A:$A,0)),0))</f>
        <v/>
      </c>
    </row>
    <row r="905">
      <c r="A905" s="22" t="n"/>
      <c r="I905" s="21">
        <f>IF(D905="","",IFERROR(INDEX(Embalagens!$B:$B,MATCH(D905,Embalagens!$A:$A,0)),"Código não cadastrado"))</f>
        <v/>
      </c>
      <c r="J905" s="25">
        <f>IF(D905="","",E905*IFERROR(INDEX(Embalagens!$J:$J,MATCH(D905,Embalagens!$A:$A,0)),0))</f>
        <v/>
      </c>
    </row>
    <row r="906">
      <c r="A906" s="22" t="n"/>
      <c r="I906" s="21">
        <f>IF(D906="","",IFERROR(INDEX(Embalagens!$B:$B,MATCH(D906,Embalagens!$A:$A,0)),"Código não cadastrado"))</f>
        <v/>
      </c>
      <c r="J906" s="25">
        <f>IF(D906="","",E906*IFERROR(INDEX(Embalagens!$J:$J,MATCH(D906,Embalagens!$A:$A,0)),0))</f>
        <v/>
      </c>
    </row>
    <row r="907">
      <c r="A907" s="22" t="n"/>
      <c r="I907" s="21">
        <f>IF(D907="","",IFERROR(INDEX(Embalagens!$B:$B,MATCH(D907,Embalagens!$A:$A,0)),"Código não cadastrado"))</f>
        <v/>
      </c>
      <c r="J907" s="25">
        <f>IF(D907="","",E907*IFERROR(INDEX(Embalagens!$J:$J,MATCH(D907,Embalagens!$A:$A,0)),0))</f>
        <v/>
      </c>
    </row>
    <row r="908">
      <c r="A908" s="22" t="n"/>
      <c r="I908" s="21">
        <f>IF(D908="","",IFERROR(INDEX(Embalagens!$B:$B,MATCH(D908,Embalagens!$A:$A,0)),"Código não cadastrado"))</f>
        <v/>
      </c>
      <c r="J908" s="25">
        <f>IF(D908="","",E908*IFERROR(INDEX(Embalagens!$J:$J,MATCH(D908,Embalagens!$A:$A,0)),0))</f>
        <v/>
      </c>
    </row>
    <row r="909">
      <c r="A909" s="22" t="n"/>
      <c r="I909" s="21">
        <f>IF(D909="","",IFERROR(INDEX(Embalagens!$B:$B,MATCH(D909,Embalagens!$A:$A,0)),"Código não cadastrado"))</f>
        <v/>
      </c>
      <c r="J909" s="25">
        <f>IF(D909="","",E909*IFERROR(INDEX(Embalagens!$J:$J,MATCH(D909,Embalagens!$A:$A,0)),0))</f>
        <v/>
      </c>
    </row>
    <row r="910">
      <c r="A910" s="22" t="n"/>
      <c r="I910" s="21">
        <f>IF(D910="","",IFERROR(INDEX(Embalagens!$B:$B,MATCH(D910,Embalagens!$A:$A,0)),"Código não cadastrado"))</f>
        <v/>
      </c>
      <c r="J910" s="25">
        <f>IF(D910="","",E910*IFERROR(INDEX(Embalagens!$J:$J,MATCH(D910,Embalagens!$A:$A,0)),0))</f>
        <v/>
      </c>
    </row>
    <row r="911">
      <c r="A911" s="22" t="n"/>
      <c r="I911" s="21">
        <f>IF(D911="","",IFERROR(INDEX(Embalagens!$B:$B,MATCH(D911,Embalagens!$A:$A,0)),"Código não cadastrado"))</f>
        <v/>
      </c>
      <c r="J911" s="25">
        <f>IF(D911="","",E911*IFERROR(INDEX(Embalagens!$J:$J,MATCH(D911,Embalagens!$A:$A,0)),0))</f>
        <v/>
      </c>
    </row>
    <row r="912">
      <c r="A912" s="22" t="n"/>
      <c r="I912" s="21">
        <f>IF(D912="","",IFERROR(INDEX(Embalagens!$B:$B,MATCH(D912,Embalagens!$A:$A,0)),"Código não cadastrado"))</f>
        <v/>
      </c>
      <c r="J912" s="25">
        <f>IF(D912="","",E912*IFERROR(INDEX(Embalagens!$J:$J,MATCH(D912,Embalagens!$A:$A,0)),0))</f>
        <v/>
      </c>
    </row>
    <row r="913">
      <c r="A913" s="22" t="n"/>
      <c r="I913" s="21">
        <f>IF(D913="","",IFERROR(INDEX(Embalagens!$B:$B,MATCH(D913,Embalagens!$A:$A,0)),"Código não cadastrado"))</f>
        <v/>
      </c>
      <c r="J913" s="25">
        <f>IF(D913="","",E913*IFERROR(INDEX(Embalagens!$J:$J,MATCH(D913,Embalagens!$A:$A,0)),0))</f>
        <v/>
      </c>
    </row>
    <row r="914">
      <c r="A914" s="22" t="n"/>
      <c r="I914" s="21">
        <f>IF(D914="","",IFERROR(INDEX(Embalagens!$B:$B,MATCH(D914,Embalagens!$A:$A,0)),"Código não cadastrado"))</f>
        <v/>
      </c>
      <c r="J914" s="25">
        <f>IF(D914="","",E914*IFERROR(INDEX(Embalagens!$J:$J,MATCH(D914,Embalagens!$A:$A,0)),0))</f>
        <v/>
      </c>
    </row>
    <row r="915">
      <c r="A915" s="22" t="n"/>
      <c r="I915" s="21">
        <f>IF(D915="","",IFERROR(INDEX(Embalagens!$B:$B,MATCH(D915,Embalagens!$A:$A,0)),"Código não cadastrado"))</f>
        <v/>
      </c>
      <c r="J915" s="25">
        <f>IF(D915="","",E915*IFERROR(INDEX(Embalagens!$J:$J,MATCH(D915,Embalagens!$A:$A,0)),0))</f>
        <v/>
      </c>
    </row>
    <row r="916">
      <c r="A916" s="22" t="n"/>
      <c r="I916" s="21">
        <f>IF(D916="","",IFERROR(INDEX(Embalagens!$B:$B,MATCH(D916,Embalagens!$A:$A,0)),"Código não cadastrado"))</f>
        <v/>
      </c>
      <c r="J916" s="25">
        <f>IF(D916="","",E916*IFERROR(INDEX(Embalagens!$J:$J,MATCH(D916,Embalagens!$A:$A,0)),0))</f>
        <v/>
      </c>
    </row>
    <row r="917">
      <c r="A917" s="22" t="n"/>
      <c r="I917" s="21">
        <f>IF(D917="","",IFERROR(INDEX(Embalagens!$B:$B,MATCH(D917,Embalagens!$A:$A,0)),"Código não cadastrado"))</f>
        <v/>
      </c>
      <c r="J917" s="25">
        <f>IF(D917="","",E917*IFERROR(INDEX(Embalagens!$J:$J,MATCH(D917,Embalagens!$A:$A,0)),0))</f>
        <v/>
      </c>
    </row>
    <row r="918">
      <c r="A918" s="22" t="n"/>
      <c r="I918" s="21">
        <f>IF(D918="","",IFERROR(INDEX(Embalagens!$B:$B,MATCH(D918,Embalagens!$A:$A,0)),"Código não cadastrado"))</f>
        <v/>
      </c>
      <c r="J918" s="25">
        <f>IF(D918="","",E918*IFERROR(INDEX(Embalagens!$J:$J,MATCH(D918,Embalagens!$A:$A,0)),0))</f>
        <v/>
      </c>
    </row>
    <row r="919">
      <c r="A919" s="22" t="n"/>
      <c r="I919" s="21">
        <f>IF(D919="","",IFERROR(INDEX(Embalagens!$B:$B,MATCH(D919,Embalagens!$A:$A,0)),"Código não cadastrado"))</f>
        <v/>
      </c>
      <c r="J919" s="25">
        <f>IF(D919="","",E919*IFERROR(INDEX(Embalagens!$J:$J,MATCH(D919,Embalagens!$A:$A,0)),0))</f>
        <v/>
      </c>
    </row>
    <row r="920">
      <c r="A920" s="22" t="n"/>
      <c r="I920" s="21">
        <f>IF(D920="","",IFERROR(INDEX(Embalagens!$B:$B,MATCH(D920,Embalagens!$A:$A,0)),"Código não cadastrado"))</f>
        <v/>
      </c>
      <c r="J920" s="25">
        <f>IF(D920="","",E920*IFERROR(INDEX(Embalagens!$J:$J,MATCH(D920,Embalagens!$A:$A,0)),0))</f>
        <v/>
      </c>
    </row>
    <row r="921">
      <c r="A921" s="22" t="n"/>
      <c r="I921" s="21">
        <f>IF(D921="","",IFERROR(INDEX(Embalagens!$B:$B,MATCH(D921,Embalagens!$A:$A,0)),"Código não cadastrado"))</f>
        <v/>
      </c>
      <c r="J921" s="25">
        <f>IF(D921="","",E921*IFERROR(INDEX(Embalagens!$J:$J,MATCH(D921,Embalagens!$A:$A,0)),0))</f>
        <v/>
      </c>
    </row>
    <row r="922">
      <c r="A922" s="22" t="n"/>
      <c r="I922" s="21">
        <f>IF(D922="","",IFERROR(INDEX(Embalagens!$B:$B,MATCH(D922,Embalagens!$A:$A,0)),"Código não cadastrado"))</f>
        <v/>
      </c>
      <c r="J922" s="25">
        <f>IF(D922="","",E922*IFERROR(INDEX(Embalagens!$J:$J,MATCH(D922,Embalagens!$A:$A,0)),0))</f>
        <v/>
      </c>
    </row>
    <row r="923">
      <c r="A923" s="22" t="n"/>
      <c r="I923" s="21">
        <f>IF(D923="","",IFERROR(INDEX(Embalagens!$B:$B,MATCH(D923,Embalagens!$A:$A,0)),"Código não cadastrado"))</f>
        <v/>
      </c>
      <c r="J923" s="25">
        <f>IF(D923="","",E923*IFERROR(INDEX(Embalagens!$J:$J,MATCH(D923,Embalagens!$A:$A,0)),0))</f>
        <v/>
      </c>
    </row>
    <row r="924">
      <c r="A924" s="22" t="n"/>
      <c r="I924" s="21">
        <f>IF(D924="","",IFERROR(INDEX(Embalagens!$B:$B,MATCH(D924,Embalagens!$A:$A,0)),"Código não cadastrado"))</f>
        <v/>
      </c>
      <c r="J924" s="25">
        <f>IF(D924="","",E924*IFERROR(INDEX(Embalagens!$J:$J,MATCH(D924,Embalagens!$A:$A,0)),0))</f>
        <v/>
      </c>
    </row>
    <row r="925">
      <c r="A925" s="22" t="n"/>
      <c r="I925" s="21">
        <f>IF(D925="","",IFERROR(INDEX(Embalagens!$B:$B,MATCH(D925,Embalagens!$A:$A,0)),"Código não cadastrado"))</f>
        <v/>
      </c>
      <c r="J925" s="25">
        <f>IF(D925="","",E925*IFERROR(INDEX(Embalagens!$J:$J,MATCH(D925,Embalagens!$A:$A,0)),0))</f>
        <v/>
      </c>
    </row>
    <row r="926">
      <c r="A926" s="22" t="n"/>
      <c r="I926" s="21">
        <f>IF(D926="","",IFERROR(INDEX(Embalagens!$B:$B,MATCH(D926,Embalagens!$A:$A,0)),"Código não cadastrado"))</f>
        <v/>
      </c>
      <c r="J926" s="25">
        <f>IF(D926="","",E926*IFERROR(INDEX(Embalagens!$J:$J,MATCH(D926,Embalagens!$A:$A,0)),0))</f>
        <v/>
      </c>
    </row>
    <row r="927">
      <c r="A927" s="22" t="n"/>
      <c r="I927" s="21">
        <f>IF(D927="","",IFERROR(INDEX(Embalagens!$B:$B,MATCH(D927,Embalagens!$A:$A,0)),"Código não cadastrado"))</f>
        <v/>
      </c>
      <c r="J927" s="25">
        <f>IF(D927="","",E927*IFERROR(INDEX(Embalagens!$J:$J,MATCH(D927,Embalagens!$A:$A,0)),0))</f>
        <v/>
      </c>
    </row>
    <row r="928">
      <c r="A928" s="22" t="n"/>
      <c r="I928" s="21">
        <f>IF(D928="","",IFERROR(INDEX(Embalagens!$B:$B,MATCH(D928,Embalagens!$A:$A,0)),"Código não cadastrado"))</f>
        <v/>
      </c>
      <c r="J928" s="25">
        <f>IF(D928="","",E928*IFERROR(INDEX(Embalagens!$J:$J,MATCH(D928,Embalagens!$A:$A,0)),0))</f>
        <v/>
      </c>
    </row>
    <row r="929">
      <c r="A929" s="22" t="n"/>
      <c r="I929" s="21">
        <f>IF(D929="","",IFERROR(INDEX(Embalagens!$B:$B,MATCH(D929,Embalagens!$A:$A,0)),"Código não cadastrado"))</f>
        <v/>
      </c>
      <c r="J929" s="25">
        <f>IF(D929="","",E929*IFERROR(INDEX(Embalagens!$J:$J,MATCH(D929,Embalagens!$A:$A,0)),0))</f>
        <v/>
      </c>
    </row>
    <row r="930">
      <c r="A930" s="22" t="n"/>
      <c r="I930" s="21">
        <f>IF(D930="","",IFERROR(INDEX(Embalagens!$B:$B,MATCH(D930,Embalagens!$A:$A,0)),"Código não cadastrado"))</f>
        <v/>
      </c>
      <c r="J930" s="25">
        <f>IF(D930="","",E930*IFERROR(INDEX(Embalagens!$J:$J,MATCH(D930,Embalagens!$A:$A,0)),0))</f>
        <v/>
      </c>
    </row>
    <row r="931">
      <c r="A931" s="22" t="n"/>
      <c r="I931" s="21">
        <f>IF(D931="","",IFERROR(INDEX(Embalagens!$B:$B,MATCH(D931,Embalagens!$A:$A,0)),"Código não cadastrado"))</f>
        <v/>
      </c>
      <c r="J931" s="25">
        <f>IF(D931="","",E931*IFERROR(INDEX(Embalagens!$J:$J,MATCH(D931,Embalagens!$A:$A,0)),0))</f>
        <v/>
      </c>
    </row>
    <row r="932">
      <c r="A932" s="22" t="n"/>
      <c r="I932" s="21">
        <f>IF(D932="","",IFERROR(INDEX(Embalagens!$B:$B,MATCH(D932,Embalagens!$A:$A,0)),"Código não cadastrado"))</f>
        <v/>
      </c>
      <c r="J932" s="25">
        <f>IF(D932="","",E932*IFERROR(INDEX(Embalagens!$J:$J,MATCH(D932,Embalagens!$A:$A,0)),0))</f>
        <v/>
      </c>
    </row>
    <row r="933">
      <c r="A933" s="22" t="n"/>
      <c r="I933" s="21">
        <f>IF(D933="","",IFERROR(INDEX(Embalagens!$B:$B,MATCH(D933,Embalagens!$A:$A,0)),"Código não cadastrado"))</f>
        <v/>
      </c>
      <c r="J933" s="25">
        <f>IF(D933="","",E933*IFERROR(INDEX(Embalagens!$J:$J,MATCH(D933,Embalagens!$A:$A,0)),0))</f>
        <v/>
      </c>
    </row>
    <row r="934">
      <c r="A934" s="22" t="n"/>
      <c r="I934" s="21">
        <f>IF(D934="","",IFERROR(INDEX(Embalagens!$B:$B,MATCH(D934,Embalagens!$A:$A,0)),"Código não cadastrado"))</f>
        <v/>
      </c>
      <c r="J934" s="25">
        <f>IF(D934="","",E934*IFERROR(INDEX(Embalagens!$J:$J,MATCH(D934,Embalagens!$A:$A,0)),0))</f>
        <v/>
      </c>
    </row>
    <row r="935">
      <c r="A935" s="22" t="n"/>
      <c r="I935" s="21">
        <f>IF(D935="","",IFERROR(INDEX(Embalagens!$B:$B,MATCH(D935,Embalagens!$A:$A,0)),"Código não cadastrado"))</f>
        <v/>
      </c>
      <c r="J935" s="25">
        <f>IF(D935="","",E935*IFERROR(INDEX(Embalagens!$J:$J,MATCH(D935,Embalagens!$A:$A,0)),0))</f>
        <v/>
      </c>
    </row>
    <row r="936">
      <c r="A936" s="22" t="n"/>
      <c r="I936" s="21">
        <f>IF(D936="","",IFERROR(INDEX(Embalagens!$B:$B,MATCH(D936,Embalagens!$A:$A,0)),"Código não cadastrado"))</f>
        <v/>
      </c>
      <c r="J936" s="25">
        <f>IF(D936="","",E936*IFERROR(INDEX(Embalagens!$J:$J,MATCH(D936,Embalagens!$A:$A,0)),0))</f>
        <v/>
      </c>
    </row>
    <row r="937">
      <c r="A937" s="22" t="n"/>
      <c r="I937" s="21">
        <f>IF(D937="","",IFERROR(INDEX(Embalagens!$B:$B,MATCH(D937,Embalagens!$A:$A,0)),"Código não cadastrado"))</f>
        <v/>
      </c>
      <c r="J937" s="25">
        <f>IF(D937="","",E937*IFERROR(INDEX(Embalagens!$J:$J,MATCH(D937,Embalagens!$A:$A,0)),0))</f>
        <v/>
      </c>
    </row>
    <row r="938">
      <c r="A938" s="22" t="n"/>
      <c r="I938" s="21">
        <f>IF(D938="","",IFERROR(INDEX(Embalagens!$B:$B,MATCH(D938,Embalagens!$A:$A,0)),"Código não cadastrado"))</f>
        <v/>
      </c>
      <c r="J938" s="25">
        <f>IF(D938="","",E938*IFERROR(INDEX(Embalagens!$J:$J,MATCH(D938,Embalagens!$A:$A,0)),0))</f>
        <v/>
      </c>
    </row>
    <row r="939">
      <c r="A939" s="22" t="n"/>
      <c r="I939" s="21">
        <f>IF(D939="","",IFERROR(INDEX(Embalagens!$B:$B,MATCH(D939,Embalagens!$A:$A,0)),"Código não cadastrado"))</f>
        <v/>
      </c>
      <c r="J939" s="25">
        <f>IF(D939="","",E939*IFERROR(INDEX(Embalagens!$J:$J,MATCH(D939,Embalagens!$A:$A,0)),0))</f>
        <v/>
      </c>
    </row>
    <row r="940">
      <c r="A940" s="22" t="n"/>
      <c r="I940" s="21">
        <f>IF(D940="","",IFERROR(INDEX(Embalagens!$B:$B,MATCH(D940,Embalagens!$A:$A,0)),"Código não cadastrado"))</f>
        <v/>
      </c>
      <c r="J940" s="25">
        <f>IF(D940="","",E940*IFERROR(INDEX(Embalagens!$J:$J,MATCH(D940,Embalagens!$A:$A,0)),0))</f>
        <v/>
      </c>
    </row>
    <row r="941">
      <c r="A941" s="22" t="n"/>
      <c r="I941" s="21">
        <f>IF(D941="","",IFERROR(INDEX(Embalagens!$B:$B,MATCH(D941,Embalagens!$A:$A,0)),"Código não cadastrado"))</f>
        <v/>
      </c>
      <c r="J941" s="25">
        <f>IF(D941="","",E941*IFERROR(INDEX(Embalagens!$J:$J,MATCH(D941,Embalagens!$A:$A,0)),0))</f>
        <v/>
      </c>
    </row>
    <row r="942">
      <c r="A942" s="22" t="n"/>
      <c r="I942" s="21">
        <f>IF(D942="","",IFERROR(INDEX(Embalagens!$B:$B,MATCH(D942,Embalagens!$A:$A,0)),"Código não cadastrado"))</f>
        <v/>
      </c>
      <c r="J942" s="25">
        <f>IF(D942="","",E942*IFERROR(INDEX(Embalagens!$J:$J,MATCH(D942,Embalagens!$A:$A,0)),0))</f>
        <v/>
      </c>
    </row>
    <row r="943">
      <c r="A943" s="22" t="n"/>
      <c r="I943" s="21">
        <f>IF(D943="","",IFERROR(INDEX(Embalagens!$B:$B,MATCH(D943,Embalagens!$A:$A,0)),"Código não cadastrado"))</f>
        <v/>
      </c>
      <c r="J943" s="25">
        <f>IF(D943="","",E943*IFERROR(INDEX(Embalagens!$J:$J,MATCH(D943,Embalagens!$A:$A,0)),0))</f>
        <v/>
      </c>
    </row>
    <row r="944">
      <c r="A944" s="22" t="n"/>
      <c r="I944" s="21">
        <f>IF(D944="","",IFERROR(INDEX(Embalagens!$B:$B,MATCH(D944,Embalagens!$A:$A,0)),"Código não cadastrado"))</f>
        <v/>
      </c>
      <c r="J944" s="25">
        <f>IF(D944="","",E944*IFERROR(INDEX(Embalagens!$J:$J,MATCH(D944,Embalagens!$A:$A,0)),0))</f>
        <v/>
      </c>
    </row>
    <row r="945">
      <c r="A945" s="22" t="n"/>
      <c r="I945" s="21">
        <f>IF(D945="","",IFERROR(INDEX(Embalagens!$B:$B,MATCH(D945,Embalagens!$A:$A,0)),"Código não cadastrado"))</f>
        <v/>
      </c>
      <c r="J945" s="25">
        <f>IF(D945="","",E945*IFERROR(INDEX(Embalagens!$J:$J,MATCH(D945,Embalagens!$A:$A,0)),0))</f>
        <v/>
      </c>
    </row>
    <row r="946">
      <c r="A946" s="22" t="n"/>
      <c r="I946" s="21">
        <f>IF(D946="","",IFERROR(INDEX(Embalagens!$B:$B,MATCH(D946,Embalagens!$A:$A,0)),"Código não cadastrado"))</f>
        <v/>
      </c>
      <c r="J946" s="25">
        <f>IF(D946="","",E946*IFERROR(INDEX(Embalagens!$J:$J,MATCH(D946,Embalagens!$A:$A,0)),0))</f>
        <v/>
      </c>
    </row>
    <row r="947">
      <c r="A947" s="22" t="n"/>
      <c r="I947" s="21">
        <f>IF(D947="","",IFERROR(INDEX(Embalagens!$B:$B,MATCH(D947,Embalagens!$A:$A,0)),"Código não cadastrado"))</f>
        <v/>
      </c>
      <c r="J947" s="25">
        <f>IF(D947="","",E947*IFERROR(INDEX(Embalagens!$J:$J,MATCH(D947,Embalagens!$A:$A,0)),0))</f>
        <v/>
      </c>
    </row>
    <row r="948">
      <c r="A948" s="22" t="n"/>
      <c r="I948" s="21">
        <f>IF(D948="","",IFERROR(INDEX(Embalagens!$B:$B,MATCH(D948,Embalagens!$A:$A,0)),"Código não cadastrado"))</f>
        <v/>
      </c>
      <c r="J948" s="25">
        <f>IF(D948="","",E948*IFERROR(INDEX(Embalagens!$J:$J,MATCH(D948,Embalagens!$A:$A,0)),0))</f>
        <v/>
      </c>
    </row>
    <row r="949">
      <c r="A949" s="22" t="n"/>
      <c r="I949" s="21">
        <f>IF(D949="","",IFERROR(INDEX(Embalagens!$B:$B,MATCH(D949,Embalagens!$A:$A,0)),"Código não cadastrado"))</f>
        <v/>
      </c>
      <c r="J949" s="25">
        <f>IF(D949="","",E949*IFERROR(INDEX(Embalagens!$J:$J,MATCH(D949,Embalagens!$A:$A,0)),0))</f>
        <v/>
      </c>
    </row>
    <row r="950">
      <c r="A950" s="22" t="n"/>
      <c r="I950" s="21">
        <f>IF(D950="","",IFERROR(INDEX(Embalagens!$B:$B,MATCH(D950,Embalagens!$A:$A,0)),"Código não cadastrado"))</f>
        <v/>
      </c>
      <c r="J950" s="25">
        <f>IF(D950="","",E950*IFERROR(INDEX(Embalagens!$J:$J,MATCH(D950,Embalagens!$A:$A,0)),0))</f>
        <v/>
      </c>
    </row>
    <row r="951">
      <c r="A951" s="22" t="n"/>
      <c r="I951" s="21">
        <f>IF(D951="","",IFERROR(INDEX(Embalagens!$B:$B,MATCH(D951,Embalagens!$A:$A,0)),"Código não cadastrado"))</f>
        <v/>
      </c>
      <c r="J951" s="25">
        <f>IF(D951="","",E951*IFERROR(INDEX(Embalagens!$J:$J,MATCH(D951,Embalagens!$A:$A,0)),0))</f>
        <v/>
      </c>
    </row>
    <row r="952">
      <c r="A952" s="22" t="n"/>
      <c r="I952" s="21">
        <f>IF(D952="","",IFERROR(INDEX(Embalagens!$B:$B,MATCH(D952,Embalagens!$A:$A,0)),"Código não cadastrado"))</f>
        <v/>
      </c>
      <c r="J952" s="25">
        <f>IF(D952="","",E952*IFERROR(INDEX(Embalagens!$J:$J,MATCH(D952,Embalagens!$A:$A,0)),0))</f>
        <v/>
      </c>
    </row>
    <row r="953">
      <c r="A953" s="22" t="n"/>
      <c r="I953" s="21">
        <f>IF(D953="","",IFERROR(INDEX(Embalagens!$B:$B,MATCH(D953,Embalagens!$A:$A,0)),"Código não cadastrado"))</f>
        <v/>
      </c>
      <c r="J953" s="25">
        <f>IF(D953="","",E953*IFERROR(INDEX(Embalagens!$J:$J,MATCH(D953,Embalagens!$A:$A,0)),0))</f>
        <v/>
      </c>
    </row>
    <row r="954">
      <c r="A954" s="22" t="n"/>
      <c r="I954" s="21">
        <f>IF(D954="","",IFERROR(INDEX(Embalagens!$B:$B,MATCH(D954,Embalagens!$A:$A,0)),"Código não cadastrado"))</f>
        <v/>
      </c>
      <c r="J954" s="25">
        <f>IF(D954="","",E954*IFERROR(INDEX(Embalagens!$J:$J,MATCH(D954,Embalagens!$A:$A,0)),0))</f>
        <v/>
      </c>
    </row>
    <row r="955">
      <c r="A955" s="22" t="n"/>
      <c r="I955" s="21">
        <f>IF(D955="","",IFERROR(INDEX(Embalagens!$B:$B,MATCH(D955,Embalagens!$A:$A,0)),"Código não cadastrado"))</f>
        <v/>
      </c>
      <c r="J955" s="25">
        <f>IF(D955="","",E955*IFERROR(INDEX(Embalagens!$J:$J,MATCH(D955,Embalagens!$A:$A,0)),0))</f>
        <v/>
      </c>
    </row>
    <row r="956">
      <c r="A956" s="22" t="n"/>
      <c r="I956" s="21">
        <f>IF(D956="","",IFERROR(INDEX(Embalagens!$B:$B,MATCH(D956,Embalagens!$A:$A,0)),"Código não cadastrado"))</f>
        <v/>
      </c>
      <c r="J956" s="25">
        <f>IF(D956="","",E956*IFERROR(INDEX(Embalagens!$J:$J,MATCH(D956,Embalagens!$A:$A,0)),0))</f>
        <v/>
      </c>
    </row>
    <row r="957">
      <c r="A957" s="22" t="n"/>
      <c r="I957" s="21">
        <f>IF(D957="","",IFERROR(INDEX(Embalagens!$B:$B,MATCH(D957,Embalagens!$A:$A,0)),"Código não cadastrado"))</f>
        <v/>
      </c>
      <c r="J957" s="25">
        <f>IF(D957="","",E957*IFERROR(INDEX(Embalagens!$J:$J,MATCH(D957,Embalagens!$A:$A,0)),0))</f>
        <v/>
      </c>
    </row>
    <row r="958">
      <c r="A958" s="22" t="n"/>
      <c r="I958" s="21">
        <f>IF(D958="","",IFERROR(INDEX(Embalagens!$B:$B,MATCH(D958,Embalagens!$A:$A,0)),"Código não cadastrado"))</f>
        <v/>
      </c>
      <c r="J958" s="25">
        <f>IF(D958="","",E958*IFERROR(INDEX(Embalagens!$J:$J,MATCH(D958,Embalagens!$A:$A,0)),0))</f>
        <v/>
      </c>
    </row>
    <row r="959">
      <c r="A959" s="22" t="n"/>
      <c r="I959" s="21">
        <f>IF(D959="","",IFERROR(INDEX(Embalagens!$B:$B,MATCH(D959,Embalagens!$A:$A,0)),"Código não cadastrado"))</f>
        <v/>
      </c>
      <c r="J959" s="25">
        <f>IF(D959="","",E959*IFERROR(INDEX(Embalagens!$J:$J,MATCH(D959,Embalagens!$A:$A,0)),0))</f>
        <v/>
      </c>
    </row>
    <row r="960">
      <c r="A960" s="22" t="n"/>
      <c r="I960" s="21">
        <f>IF(D960="","",IFERROR(INDEX(Embalagens!$B:$B,MATCH(D960,Embalagens!$A:$A,0)),"Código não cadastrado"))</f>
        <v/>
      </c>
      <c r="J960" s="25">
        <f>IF(D960="","",E960*IFERROR(INDEX(Embalagens!$J:$J,MATCH(D960,Embalagens!$A:$A,0)),0))</f>
        <v/>
      </c>
    </row>
    <row r="961">
      <c r="A961" s="22" t="n"/>
      <c r="I961" s="21">
        <f>IF(D961="","",IFERROR(INDEX(Embalagens!$B:$B,MATCH(D961,Embalagens!$A:$A,0)),"Código não cadastrado"))</f>
        <v/>
      </c>
      <c r="J961" s="25">
        <f>IF(D961="","",E961*IFERROR(INDEX(Embalagens!$J:$J,MATCH(D961,Embalagens!$A:$A,0)),0))</f>
        <v/>
      </c>
    </row>
    <row r="962">
      <c r="A962" s="22" t="n"/>
      <c r="I962" s="21">
        <f>IF(D962="","",IFERROR(INDEX(Embalagens!$B:$B,MATCH(D962,Embalagens!$A:$A,0)),"Código não cadastrado"))</f>
        <v/>
      </c>
      <c r="J962" s="25">
        <f>IF(D962="","",E962*IFERROR(INDEX(Embalagens!$J:$J,MATCH(D962,Embalagens!$A:$A,0)),0))</f>
        <v/>
      </c>
    </row>
    <row r="963">
      <c r="A963" s="22" t="n"/>
      <c r="I963" s="21">
        <f>IF(D963="","",IFERROR(INDEX(Embalagens!$B:$B,MATCH(D963,Embalagens!$A:$A,0)),"Código não cadastrado"))</f>
        <v/>
      </c>
      <c r="J963" s="25">
        <f>IF(D963="","",E963*IFERROR(INDEX(Embalagens!$J:$J,MATCH(D963,Embalagens!$A:$A,0)),0))</f>
        <v/>
      </c>
    </row>
    <row r="964">
      <c r="A964" s="22" t="n"/>
      <c r="I964" s="21">
        <f>IF(D964="","",IFERROR(INDEX(Embalagens!$B:$B,MATCH(D964,Embalagens!$A:$A,0)),"Código não cadastrado"))</f>
        <v/>
      </c>
      <c r="J964" s="25">
        <f>IF(D964="","",E964*IFERROR(INDEX(Embalagens!$J:$J,MATCH(D964,Embalagens!$A:$A,0)),0))</f>
        <v/>
      </c>
    </row>
    <row r="965">
      <c r="A965" s="22" t="n"/>
      <c r="I965" s="21">
        <f>IF(D965="","",IFERROR(INDEX(Embalagens!$B:$B,MATCH(D965,Embalagens!$A:$A,0)),"Código não cadastrado"))</f>
        <v/>
      </c>
      <c r="J965" s="25">
        <f>IF(D965="","",E965*IFERROR(INDEX(Embalagens!$J:$J,MATCH(D965,Embalagens!$A:$A,0)),0))</f>
        <v/>
      </c>
    </row>
    <row r="966">
      <c r="A966" s="22" t="n"/>
      <c r="I966" s="21">
        <f>IF(D966="","",IFERROR(INDEX(Embalagens!$B:$B,MATCH(D966,Embalagens!$A:$A,0)),"Código não cadastrado"))</f>
        <v/>
      </c>
      <c r="J966" s="25">
        <f>IF(D966="","",E966*IFERROR(INDEX(Embalagens!$J:$J,MATCH(D966,Embalagens!$A:$A,0)),0))</f>
        <v/>
      </c>
    </row>
    <row r="967">
      <c r="A967" s="22" t="n"/>
      <c r="I967" s="21">
        <f>IF(D967="","",IFERROR(INDEX(Embalagens!$B:$B,MATCH(D967,Embalagens!$A:$A,0)),"Código não cadastrado"))</f>
        <v/>
      </c>
      <c r="J967" s="25">
        <f>IF(D967="","",E967*IFERROR(INDEX(Embalagens!$J:$J,MATCH(D967,Embalagens!$A:$A,0)),0))</f>
        <v/>
      </c>
    </row>
    <row r="968">
      <c r="A968" s="22" t="n"/>
      <c r="I968" s="21">
        <f>IF(D968="","",IFERROR(INDEX(Embalagens!$B:$B,MATCH(D968,Embalagens!$A:$A,0)),"Código não cadastrado"))</f>
        <v/>
      </c>
      <c r="J968" s="25">
        <f>IF(D968="","",E968*IFERROR(INDEX(Embalagens!$J:$J,MATCH(D968,Embalagens!$A:$A,0)),0))</f>
        <v/>
      </c>
    </row>
    <row r="969">
      <c r="A969" s="22" t="n"/>
      <c r="I969" s="21">
        <f>IF(D969="","",IFERROR(INDEX(Embalagens!$B:$B,MATCH(D969,Embalagens!$A:$A,0)),"Código não cadastrado"))</f>
        <v/>
      </c>
      <c r="J969" s="25">
        <f>IF(D969="","",E969*IFERROR(INDEX(Embalagens!$J:$J,MATCH(D969,Embalagens!$A:$A,0)),0))</f>
        <v/>
      </c>
    </row>
    <row r="970">
      <c r="A970" s="22" t="n"/>
      <c r="I970" s="21">
        <f>IF(D970="","",IFERROR(INDEX(Embalagens!$B:$B,MATCH(D970,Embalagens!$A:$A,0)),"Código não cadastrado"))</f>
        <v/>
      </c>
      <c r="J970" s="25">
        <f>IF(D970="","",E970*IFERROR(INDEX(Embalagens!$J:$J,MATCH(D970,Embalagens!$A:$A,0)),0))</f>
        <v/>
      </c>
    </row>
    <row r="971">
      <c r="A971" s="22" t="n"/>
      <c r="I971" s="21">
        <f>IF(D971="","",IFERROR(INDEX(Embalagens!$B:$B,MATCH(D971,Embalagens!$A:$A,0)),"Código não cadastrado"))</f>
        <v/>
      </c>
      <c r="J971" s="25">
        <f>IF(D971="","",E971*IFERROR(INDEX(Embalagens!$J:$J,MATCH(D971,Embalagens!$A:$A,0)),0))</f>
        <v/>
      </c>
    </row>
    <row r="972">
      <c r="A972" s="22" t="n"/>
      <c r="I972" s="21">
        <f>IF(D972="","",IFERROR(INDEX(Embalagens!$B:$B,MATCH(D972,Embalagens!$A:$A,0)),"Código não cadastrado"))</f>
        <v/>
      </c>
      <c r="J972" s="25">
        <f>IF(D972="","",E972*IFERROR(INDEX(Embalagens!$J:$J,MATCH(D972,Embalagens!$A:$A,0)),0))</f>
        <v/>
      </c>
    </row>
    <row r="973">
      <c r="A973" s="22" t="n"/>
      <c r="I973" s="21">
        <f>IF(D973="","",IFERROR(INDEX(Embalagens!$B:$B,MATCH(D973,Embalagens!$A:$A,0)),"Código não cadastrado"))</f>
        <v/>
      </c>
      <c r="J973" s="25">
        <f>IF(D973="","",E973*IFERROR(INDEX(Embalagens!$J:$J,MATCH(D973,Embalagens!$A:$A,0)),0))</f>
        <v/>
      </c>
    </row>
    <row r="974">
      <c r="A974" s="22" t="n"/>
      <c r="I974" s="21">
        <f>IF(D974="","",IFERROR(INDEX(Embalagens!$B:$B,MATCH(D974,Embalagens!$A:$A,0)),"Código não cadastrado"))</f>
        <v/>
      </c>
      <c r="J974" s="25">
        <f>IF(D974="","",E974*IFERROR(INDEX(Embalagens!$J:$J,MATCH(D974,Embalagens!$A:$A,0)),0))</f>
        <v/>
      </c>
    </row>
    <row r="975">
      <c r="A975" s="22" t="n"/>
      <c r="I975" s="21">
        <f>IF(D975="","",IFERROR(INDEX(Embalagens!$B:$B,MATCH(D975,Embalagens!$A:$A,0)),"Código não cadastrado"))</f>
        <v/>
      </c>
      <c r="J975" s="25">
        <f>IF(D975="","",E975*IFERROR(INDEX(Embalagens!$J:$J,MATCH(D975,Embalagens!$A:$A,0)),0))</f>
        <v/>
      </c>
    </row>
    <row r="976">
      <c r="A976" s="22" t="n"/>
      <c r="I976" s="21">
        <f>IF(D976="","",IFERROR(INDEX(Embalagens!$B:$B,MATCH(D976,Embalagens!$A:$A,0)),"Código não cadastrado"))</f>
        <v/>
      </c>
      <c r="J976" s="25">
        <f>IF(D976="","",E976*IFERROR(INDEX(Embalagens!$J:$J,MATCH(D976,Embalagens!$A:$A,0)),0))</f>
        <v/>
      </c>
    </row>
    <row r="977">
      <c r="A977" s="22" t="n"/>
      <c r="I977" s="21">
        <f>IF(D977="","",IFERROR(INDEX(Embalagens!$B:$B,MATCH(D977,Embalagens!$A:$A,0)),"Código não cadastrado"))</f>
        <v/>
      </c>
      <c r="J977" s="25">
        <f>IF(D977="","",E977*IFERROR(INDEX(Embalagens!$J:$J,MATCH(D977,Embalagens!$A:$A,0)),0))</f>
        <v/>
      </c>
    </row>
    <row r="978">
      <c r="A978" s="22" t="n"/>
      <c r="I978" s="21">
        <f>IF(D978="","",IFERROR(INDEX(Embalagens!$B:$B,MATCH(D978,Embalagens!$A:$A,0)),"Código não cadastrado"))</f>
        <v/>
      </c>
      <c r="J978" s="25">
        <f>IF(D978="","",E978*IFERROR(INDEX(Embalagens!$J:$J,MATCH(D978,Embalagens!$A:$A,0)),0))</f>
        <v/>
      </c>
    </row>
    <row r="979">
      <c r="A979" s="22" t="n"/>
      <c r="I979" s="21">
        <f>IF(D979="","",IFERROR(INDEX(Embalagens!$B:$B,MATCH(D979,Embalagens!$A:$A,0)),"Código não cadastrado"))</f>
        <v/>
      </c>
      <c r="J979" s="25">
        <f>IF(D979="","",E979*IFERROR(INDEX(Embalagens!$J:$J,MATCH(D979,Embalagens!$A:$A,0)),0))</f>
        <v/>
      </c>
    </row>
    <row r="980">
      <c r="A980" s="22" t="n"/>
      <c r="I980" s="21">
        <f>IF(D980="","",IFERROR(INDEX(Embalagens!$B:$B,MATCH(D980,Embalagens!$A:$A,0)),"Código não cadastrado"))</f>
        <v/>
      </c>
      <c r="J980" s="25">
        <f>IF(D980="","",E980*IFERROR(INDEX(Embalagens!$J:$J,MATCH(D980,Embalagens!$A:$A,0)),0))</f>
        <v/>
      </c>
    </row>
    <row r="981">
      <c r="A981" s="22" t="n"/>
      <c r="I981" s="21">
        <f>IF(D981="","",IFERROR(INDEX(Embalagens!$B:$B,MATCH(D981,Embalagens!$A:$A,0)),"Código não cadastrado"))</f>
        <v/>
      </c>
      <c r="J981" s="25">
        <f>IF(D981="","",E981*IFERROR(INDEX(Embalagens!$J:$J,MATCH(D981,Embalagens!$A:$A,0)),0))</f>
        <v/>
      </c>
    </row>
    <row r="982">
      <c r="A982" s="22" t="n"/>
      <c r="I982" s="21">
        <f>IF(D982="","",IFERROR(INDEX(Embalagens!$B:$B,MATCH(D982,Embalagens!$A:$A,0)),"Código não cadastrado"))</f>
        <v/>
      </c>
      <c r="J982" s="25">
        <f>IF(D982="","",E982*IFERROR(INDEX(Embalagens!$J:$J,MATCH(D982,Embalagens!$A:$A,0)),0))</f>
        <v/>
      </c>
    </row>
    <row r="983">
      <c r="A983" s="22" t="n"/>
      <c r="I983" s="21">
        <f>IF(D983="","",IFERROR(INDEX(Embalagens!$B:$B,MATCH(D983,Embalagens!$A:$A,0)),"Código não cadastrado"))</f>
        <v/>
      </c>
      <c r="J983" s="25">
        <f>IF(D983="","",E983*IFERROR(INDEX(Embalagens!$J:$J,MATCH(D983,Embalagens!$A:$A,0)),0))</f>
        <v/>
      </c>
    </row>
    <row r="984">
      <c r="A984" s="22" t="n"/>
      <c r="I984" s="21">
        <f>IF(D984="","",IFERROR(INDEX(Embalagens!$B:$B,MATCH(D984,Embalagens!$A:$A,0)),"Código não cadastrado"))</f>
        <v/>
      </c>
      <c r="J984" s="25">
        <f>IF(D984="","",E984*IFERROR(INDEX(Embalagens!$J:$J,MATCH(D984,Embalagens!$A:$A,0)),0))</f>
        <v/>
      </c>
    </row>
    <row r="985">
      <c r="A985" s="22" t="n"/>
      <c r="I985" s="21">
        <f>IF(D985="","",IFERROR(INDEX(Embalagens!$B:$B,MATCH(D985,Embalagens!$A:$A,0)),"Código não cadastrado"))</f>
        <v/>
      </c>
      <c r="J985" s="25">
        <f>IF(D985="","",E985*IFERROR(INDEX(Embalagens!$J:$J,MATCH(D985,Embalagens!$A:$A,0)),0))</f>
        <v/>
      </c>
    </row>
    <row r="986">
      <c r="A986" s="22" t="n"/>
      <c r="I986" s="21">
        <f>IF(D986="","",IFERROR(INDEX(Embalagens!$B:$B,MATCH(D986,Embalagens!$A:$A,0)),"Código não cadastrado"))</f>
        <v/>
      </c>
      <c r="J986" s="25">
        <f>IF(D986="","",E986*IFERROR(INDEX(Embalagens!$J:$J,MATCH(D986,Embalagens!$A:$A,0)),0))</f>
        <v/>
      </c>
    </row>
    <row r="987">
      <c r="A987" s="22" t="n"/>
      <c r="I987" s="21">
        <f>IF(D987="","",IFERROR(INDEX(Embalagens!$B:$B,MATCH(D987,Embalagens!$A:$A,0)),"Código não cadastrado"))</f>
        <v/>
      </c>
      <c r="J987" s="25">
        <f>IF(D987="","",E987*IFERROR(INDEX(Embalagens!$J:$J,MATCH(D987,Embalagens!$A:$A,0)),0))</f>
        <v/>
      </c>
    </row>
    <row r="988">
      <c r="A988" s="22" t="n"/>
      <c r="I988" s="21">
        <f>IF(D988="","",IFERROR(INDEX(Embalagens!$B:$B,MATCH(D988,Embalagens!$A:$A,0)),"Código não cadastrado"))</f>
        <v/>
      </c>
      <c r="J988" s="25">
        <f>IF(D988="","",E988*IFERROR(INDEX(Embalagens!$J:$J,MATCH(D988,Embalagens!$A:$A,0)),0))</f>
        <v/>
      </c>
    </row>
    <row r="989">
      <c r="A989" s="22" t="n"/>
      <c r="I989" s="21">
        <f>IF(D989="","",IFERROR(INDEX(Embalagens!$B:$B,MATCH(D989,Embalagens!$A:$A,0)),"Código não cadastrado"))</f>
        <v/>
      </c>
      <c r="J989" s="25">
        <f>IF(D989="","",E989*IFERROR(INDEX(Embalagens!$J:$J,MATCH(D989,Embalagens!$A:$A,0)),0))</f>
        <v/>
      </c>
    </row>
    <row r="990">
      <c r="A990" s="22" t="n"/>
      <c r="I990" s="21">
        <f>IF(D990="","",IFERROR(INDEX(Embalagens!$B:$B,MATCH(D990,Embalagens!$A:$A,0)),"Código não cadastrado"))</f>
        <v/>
      </c>
      <c r="J990" s="25">
        <f>IF(D990="","",E990*IFERROR(INDEX(Embalagens!$J:$J,MATCH(D990,Embalagens!$A:$A,0)),0))</f>
        <v/>
      </c>
    </row>
    <row r="991">
      <c r="A991" s="22" t="n"/>
      <c r="I991" s="21">
        <f>IF(D991="","",IFERROR(INDEX(Embalagens!$B:$B,MATCH(D991,Embalagens!$A:$A,0)),"Código não cadastrado"))</f>
        <v/>
      </c>
      <c r="J991" s="25">
        <f>IF(D991="","",E991*IFERROR(INDEX(Embalagens!$J:$J,MATCH(D991,Embalagens!$A:$A,0)),0))</f>
        <v/>
      </c>
    </row>
    <row r="992">
      <c r="A992" s="22" t="n"/>
      <c r="I992" s="21">
        <f>IF(D992="","",IFERROR(INDEX(Embalagens!$B:$B,MATCH(D992,Embalagens!$A:$A,0)),"Código não cadastrado"))</f>
        <v/>
      </c>
      <c r="J992" s="25">
        <f>IF(D992="","",E992*IFERROR(INDEX(Embalagens!$J:$J,MATCH(D992,Embalagens!$A:$A,0)),0))</f>
        <v/>
      </c>
    </row>
    <row r="993">
      <c r="A993" s="22" t="n"/>
      <c r="I993" s="21">
        <f>IF(D993="","",IFERROR(INDEX(Embalagens!$B:$B,MATCH(D993,Embalagens!$A:$A,0)),"Código não cadastrado"))</f>
        <v/>
      </c>
      <c r="J993" s="25">
        <f>IF(D993="","",E993*IFERROR(INDEX(Embalagens!$J:$J,MATCH(D993,Embalagens!$A:$A,0)),0))</f>
        <v/>
      </c>
    </row>
    <row r="994">
      <c r="A994" s="22" t="n"/>
      <c r="I994" s="21">
        <f>IF(D994="","",IFERROR(INDEX(Embalagens!$B:$B,MATCH(D994,Embalagens!$A:$A,0)),"Código não cadastrado"))</f>
        <v/>
      </c>
      <c r="J994" s="25">
        <f>IF(D994="","",E994*IFERROR(INDEX(Embalagens!$J:$J,MATCH(D994,Embalagens!$A:$A,0)),0))</f>
        <v/>
      </c>
    </row>
    <row r="995">
      <c r="A995" s="22" t="n"/>
      <c r="I995" s="21">
        <f>IF(D995="","",IFERROR(INDEX(Embalagens!$B:$B,MATCH(D995,Embalagens!$A:$A,0)),"Código não cadastrado"))</f>
        <v/>
      </c>
      <c r="J995" s="25">
        <f>IF(D995="","",E995*IFERROR(INDEX(Embalagens!$J:$J,MATCH(D995,Embalagens!$A:$A,0)),0))</f>
        <v/>
      </c>
    </row>
    <row r="996">
      <c r="A996" s="22" t="n"/>
      <c r="I996" s="21">
        <f>IF(D996="","",IFERROR(INDEX(Embalagens!$B:$B,MATCH(D996,Embalagens!$A:$A,0)),"Código não cadastrado"))</f>
        <v/>
      </c>
      <c r="J996" s="25">
        <f>IF(D996="","",E996*IFERROR(INDEX(Embalagens!$J:$J,MATCH(D996,Embalagens!$A:$A,0)),0))</f>
        <v/>
      </c>
    </row>
    <row r="997">
      <c r="A997" s="22" t="n"/>
      <c r="I997" s="21">
        <f>IF(D997="","",IFERROR(INDEX(Embalagens!$B:$B,MATCH(D997,Embalagens!$A:$A,0)),"Código não cadastrado"))</f>
        <v/>
      </c>
      <c r="J997" s="25">
        <f>IF(D997="","",E997*IFERROR(INDEX(Embalagens!$J:$J,MATCH(D997,Embalagens!$A:$A,0)),0))</f>
        <v/>
      </c>
    </row>
    <row r="998">
      <c r="A998" s="22" t="n"/>
      <c r="I998" s="21">
        <f>IF(D998="","",IFERROR(INDEX(Embalagens!$B:$B,MATCH(D998,Embalagens!$A:$A,0)),"Código não cadastrado"))</f>
        <v/>
      </c>
      <c r="J998" s="25">
        <f>IF(D998="","",E998*IFERROR(INDEX(Embalagens!$J:$J,MATCH(D998,Embalagens!$A:$A,0)),0))</f>
        <v/>
      </c>
    </row>
    <row r="999">
      <c r="A999" s="22" t="n"/>
      <c r="I999" s="21">
        <f>IF(D999="","",IFERROR(INDEX(Embalagens!$B:$B,MATCH(D999,Embalagens!$A:$A,0)),"Código não cadastrado"))</f>
        <v/>
      </c>
      <c r="J999" s="25">
        <f>IF(D999="","",E999*IFERROR(INDEX(Embalagens!$J:$J,MATCH(D999,Embalagens!$A:$A,0)),0))</f>
        <v/>
      </c>
    </row>
    <row r="1000">
      <c r="A1000" s="22" t="n"/>
      <c r="I1000" s="21">
        <f>IF(D1000="","",IFERROR(INDEX(Embalagens!$B:$B,MATCH(D1000,Embalagens!$A:$A,0)),"Código não cadastrado"))</f>
        <v/>
      </c>
      <c r="J1000" s="25">
        <f>IF(D1000="","",E1000*IFERROR(INDEX(Embalagens!$J:$J,MATCH(D1000,Embalagens!$A:$A,0)),0))</f>
        <v/>
      </c>
    </row>
    <row r="1001">
      <c r="A1001" s="22" t="n"/>
      <c r="I1001" s="21">
        <f>IF(D1001="","",IFERROR(INDEX(Embalagens!$B:$B,MATCH(D1001,Embalagens!$A:$A,0)),"Código não cadastrado"))</f>
        <v/>
      </c>
      <c r="J1001" s="25">
        <f>IF(D1001="","",E1001*IFERROR(INDEX(Embalagens!$J:$J,MATCH(D1001,Embalagens!$A:$A,0)),0))</f>
        <v/>
      </c>
    </row>
  </sheetData>
  <autoFilter ref="A1:J1"/>
  <dataValidations count="2">
    <dataValidation sqref="F2:F1001" showDropDown="0" showInputMessage="0" showErrorMessage="0" allowBlank="1" type="list">
      <formula1>=Listas!$L$2:$L$6</formula1>
    </dataValidation>
    <dataValidation sqref="G2:G1001" showDropDown="0" showInputMessage="0" showErrorMessage="0" allowBlank="1" type="list">
      <formula1>=Listas!$M$2:$M$3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8" t="inlineStr">
        <is>
          <t>Status cadastro</t>
        </is>
      </c>
      <c r="B1" s="28" t="inlineStr">
        <is>
          <t>Periodicidade</t>
        </is>
      </c>
      <c r="C1" s="28" t="inlineStr">
        <is>
          <t>Situação</t>
        </is>
      </c>
      <c r="D1" s="28" t="inlineStr">
        <is>
          <t>Motivo</t>
        </is>
      </c>
      <c r="E1" s="28" t="inlineStr">
        <is>
          <t>Status da ação</t>
        </is>
      </c>
      <c r="F1" s="28" t="inlineStr">
        <is>
          <t>Chance de recompra</t>
        </is>
      </c>
      <c r="G1" s="28" t="inlineStr">
        <is>
          <t>Departamento</t>
        </is>
      </c>
      <c r="H1" s="28" t="inlineStr">
        <is>
          <t>Categoria custo</t>
        </is>
      </c>
      <c r="I1" s="28" t="inlineStr">
        <is>
          <t>Tipo de ganho</t>
        </is>
      </c>
      <c r="J1" s="28" t="inlineStr">
        <is>
          <t>Tipo embalagem</t>
        </is>
      </c>
      <c r="K1" s="28" t="inlineStr">
        <is>
          <t>Status embalagem</t>
        </is>
      </c>
      <c r="L1" s="28" t="inlineStr">
        <is>
          <t>Forma de uso</t>
        </is>
      </c>
      <c r="M1" s="28" t="inlineStr">
        <is>
          <t>Sim/Não</t>
        </is>
      </c>
    </row>
    <row r="2">
      <c r="A2" t="inlineStr">
        <is>
          <t>Ativo</t>
        </is>
      </c>
      <c r="B2" t="n">
        <v>1</v>
      </c>
      <c r="C2" t="inlineStr">
        <is>
          <t>Não recomprou</t>
        </is>
      </c>
      <c r="D2" t="inlineStr">
        <is>
          <t>Estoque alto no cliente</t>
        </is>
      </c>
      <c r="E2" t="inlineStr">
        <is>
          <t>Aberta</t>
        </is>
      </c>
      <c r="F2" t="inlineStr">
        <is>
          <t>Alta</t>
        </is>
      </c>
      <c r="G2" t="inlineStr">
        <is>
          <t>Comercial/Comex</t>
        </is>
      </c>
      <c r="H2" t="inlineStr">
        <is>
          <t>Amostras</t>
        </is>
      </c>
      <c r="I2" t="inlineStr">
        <is>
          <t>Economia direta</t>
        </is>
      </c>
      <c r="J2" t="inlineStr">
        <is>
          <t>Caixa master</t>
        </is>
      </c>
      <c r="K2" t="inlineStr">
        <is>
          <t>Obsoleta</t>
        </is>
      </c>
      <c r="L2" t="inlineStr">
        <is>
          <t>Mesmo idioma</t>
        </is>
      </c>
      <c r="M2" t="inlineStr">
        <is>
          <t>Sim</t>
        </is>
      </c>
    </row>
    <row r="3">
      <c r="A3" t="inlineStr">
        <is>
          <t>Inativo</t>
        </is>
      </c>
      <c r="B3" t="n">
        <v>2</v>
      </c>
      <c r="C3" t="inlineStr">
        <is>
          <t>Atrasado</t>
        </is>
      </c>
      <c r="D3" t="inlineStr">
        <is>
          <t>Preço / câmbio</t>
        </is>
      </c>
      <c r="E3" t="inlineStr">
        <is>
          <t>Concluída</t>
        </is>
      </c>
      <c r="F3" t="inlineStr">
        <is>
          <t>Média</t>
        </is>
      </c>
      <c r="G3" t="inlineStr">
        <is>
          <t>Compras/Suprimentos</t>
        </is>
      </c>
      <c r="H3" t="inlineStr">
        <is>
          <t>Frete de amostras</t>
        </is>
      </c>
      <c r="I3" t="inlineStr">
        <is>
          <t>Custo evitado</t>
        </is>
      </c>
      <c r="J3" t="inlineStr">
        <is>
          <t>Cartucho</t>
        </is>
      </c>
      <c r="K3" t="inlineStr">
        <is>
          <t>Ativa</t>
        </is>
      </c>
      <c r="L3" t="inlineStr">
        <is>
          <t>Bonificação</t>
        </is>
      </c>
      <c r="M3" t="inlineStr">
        <is>
          <t>Não</t>
        </is>
      </c>
    </row>
    <row r="4">
      <c r="A4" t="inlineStr">
        <is>
          <t>Perdido</t>
        </is>
      </c>
      <c r="B4" t="n">
        <v>3</v>
      </c>
      <c r="C4" t="inlineStr">
        <is>
          <t>Recomprou</t>
        </is>
      </c>
      <c r="D4" t="inlineStr">
        <is>
          <t>Perdeu para concorrente</t>
        </is>
      </c>
      <c r="E4" t="inlineStr">
        <is>
          <t>Cancelada</t>
        </is>
      </c>
      <c r="F4" t="inlineStr">
        <is>
          <t>Baixa</t>
        </is>
      </c>
      <c r="G4" t="inlineStr">
        <is>
          <t>Marketing/Arte</t>
        </is>
      </c>
      <c r="H4" t="inlineStr">
        <is>
          <t>Inspeções</t>
        </is>
      </c>
      <c r="I4" t="inlineStr">
        <is>
          <t>Custo transferido ao cliente</t>
        </is>
      </c>
      <c r="J4" t="inlineStr">
        <is>
          <t>Saco/filme</t>
        </is>
      </c>
      <c r="K4" t="inlineStr">
        <is>
          <t>Em avaliação</t>
        </is>
      </c>
      <c r="L4" t="inlineStr">
        <is>
          <t>Reforço/acessório</t>
        </is>
      </c>
    </row>
    <row r="5">
      <c r="A5" t="inlineStr">
        <is>
          <t>Prospect</t>
        </is>
      </c>
      <c r="B5" t="n">
        <v>4</v>
      </c>
      <c r="C5" t="inlineStr">
        <is>
          <t>Novo/reativado</t>
        </is>
      </c>
      <c r="D5" t="inlineStr">
        <is>
          <t>Reclamação de qualidade</t>
        </is>
      </c>
      <c r="G5" t="inlineStr">
        <is>
          <t>Qualidade/Regulatório</t>
        </is>
      </c>
      <c r="H5" t="inlineStr">
        <is>
          <t>Viagens internacionais</t>
        </is>
      </c>
      <c r="I5" t="inlineStr">
        <is>
          <t>Receita recuperada</t>
        </is>
      </c>
      <c r="J5" t="inlineStr">
        <is>
          <t>Etiqueta</t>
        </is>
      </c>
      <c r="L5" t="inlineStr">
        <is>
          <t>Reetiquetagem/neutra</t>
        </is>
      </c>
    </row>
    <row r="6">
      <c r="B6" t="n">
        <v>6</v>
      </c>
      <c r="C6" t="inlineStr">
        <is>
          <t>Antecipou</t>
        </is>
      </c>
      <c r="D6" t="inlineStr">
        <is>
          <t>Atraso em embarque anterior</t>
        </is>
      </c>
      <c r="G6" t="inlineStr">
        <is>
          <t>PCP/Produção</t>
        </is>
      </c>
      <c r="H6" t="inlineStr">
        <is>
          <t>Impressões / documentos</t>
        </is>
      </c>
      <c r="J6" t="inlineStr">
        <is>
          <t>Bandeja</t>
        </is>
      </c>
      <c r="L6" t="inlineStr">
        <is>
          <t>Descarte/reciclagem</t>
        </is>
      </c>
    </row>
    <row r="7">
      <c r="B7" t="n">
        <v>12</v>
      </c>
      <c r="C7" t="inlineStr">
        <is>
          <t>Perdido</t>
        </is>
      </c>
      <c r="D7" t="inlineStr">
        <is>
          <t>Barreira sanitária / regulatória</t>
        </is>
      </c>
      <c r="G7" t="inlineStr">
        <is>
          <t>Logística/Embarque</t>
        </is>
      </c>
      <c r="H7" t="inlineStr">
        <is>
          <t>Courier</t>
        </is>
      </c>
      <c r="J7" t="inlineStr">
        <is>
          <t>Divisória/reforço</t>
        </is>
      </c>
    </row>
    <row r="8">
      <c r="D8" t="inlineStr">
        <is>
          <t>Frete / contêiner / logística</t>
        </is>
      </c>
      <c r="G8" t="inlineStr">
        <is>
          <t>Financeiro</t>
        </is>
      </c>
      <c r="H8" t="inlineStr">
        <is>
          <t>Frete internacional</t>
        </is>
      </c>
      <c r="J8" t="inlineStr">
        <is>
          <t>Outro</t>
        </is>
      </c>
    </row>
    <row r="9">
      <c r="D9" t="inlineStr">
        <is>
          <t>Demanda sazonal</t>
        </is>
      </c>
      <c r="G9" t="inlineStr">
        <is>
          <t>Documentação/Despachante</t>
        </is>
      </c>
      <c r="H9" t="inlineStr">
        <is>
          <t>Embalagens reaproveitadas</t>
        </is>
      </c>
    </row>
    <row r="10">
      <c r="D10" t="inlineStr">
        <is>
          <t>Crédito / financeiro do cliente</t>
        </is>
      </c>
      <c r="H10" t="inlineStr">
        <is>
          <t>Certificados / taxas</t>
        </is>
      </c>
    </row>
    <row r="11">
      <c r="D11" t="inlineStr">
        <is>
          <t>Troca de comprador / estrutura</t>
        </is>
      </c>
      <c r="H11" t="inlineStr">
        <is>
          <t>Outros</t>
        </is>
      </c>
    </row>
    <row r="12">
      <c r="D12" t="inlineStr">
        <is>
          <t>Produto indisponível</t>
        </is>
      </c>
    </row>
    <row r="13">
      <c r="D13" t="inlineStr">
        <is>
          <t>Pedido adiado para o mês seguinte</t>
        </is>
      </c>
    </row>
    <row r="14">
      <c r="D14" t="inlineStr">
        <is>
          <t>Cliente encerrou atividade</t>
        </is>
      </c>
    </row>
    <row r="15">
      <c r="D15" t="inlineStr">
        <is>
          <t>Sem retorno do cliente</t>
        </is>
      </c>
    </row>
    <row r="16">
      <c r="D16" t="inlineStr">
        <is>
          <t>Outro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2026-10-09T12:20:40Z</dcterms:created>
  <dcterms:modified xmlns:dcterms="http://purl.org/dc/terms/" xmlns:xsi="http://www.w3.org/2001/XMLSchema-instance" xsi:type="dcterms:W3CDTF">2026-10-09T12:20:41Z</dcterms:modified>
</cp:coreProperties>
</file>